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esktop\"/>
    </mc:Choice>
  </mc:AlternateContent>
  <xr:revisionPtr revIDLastSave="0" documentId="13_ncr:1_{69C795BD-C38C-4281-94BE-1492C4493D25}" xr6:coauthVersionLast="47" xr6:coauthVersionMax="47" xr10:uidLastSave="{00000000-0000-0000-0000-000000000000}"/>
  <bookViews>
    <workbookView xWindow="-120" yWindow="-120" windowWidth="29040" windowHeight="15840" activeTab="2" xr2:uid="{0A4DD5FA-7118-4C0F-BBF9-D1BB724E04BE}"/>
  </bookViews>
  <sheets>
    <sheet name="Лист9" sheetId="9" r:id="rId1"/>
    <sheet name="Лист12" sheetId="12" r:id="rId2"/>
    <sheet name="Лист8" sheetId="8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8" l="1"/>
  <c r="E2" i="8"/>
  <c r="D3" i="8"/>
  <c r="E3" i="8"/>
  <c r="D4" i="8"/>
  <c r="E4" i="8"/>
  <c r="D5" i="8"/>
  <c r="E5" i="8"/>
  <c r="D6" i="8"/>
  <c r="E6" i="8"/>
  <c r="D7" i="8"/>
  <c r="E7" i="8"/>
  <c r="D8" i="8"/>
  <c r="E8" i="8"/>
  <c r="D9" i="8"/>
  <c r="E9" i="8"/>
  <c r="D10" i="8"/>
  <c r="E10" i="8"/>
  <c r="D11" i="8"/>
  <c r="E11" i="8"/>
  <c r="D12" i="8"/>
  <c r="E12" i="8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E90" i="8"/>
  <c r="E91" i="8"/>
  <c r="E1" i="8"/>
  <c r="D1" i="8"/>
  <c r="D1" i="9"/>
  <c r="B1" i="9"/>
  <c r="C1" i="9"/>
  <c r="D2" i="9" s="1"/>
  <c r="C2" i="9"/>
  <c r="D3" i="9" s="1"/>
  <c r="C3" i="9"/>
  <c r="D4" i="9" s="1"/>
  <c r="C4" i="9"/>
  <c r="D5" i="9" s="1"/>
  <c r="C5" i="9"/>
  <c r="D6" i="9" s="1"/>
  <c r="C6" i="9"/>
  <c r="D7" i="9" s="1"/>
  <c r="C7" i="9"/>
  <c r="D8" i="9" s="1"/>
  <c r="C8" i="9"/>
  <c r="D9" i="9" s="1"/>
  <c r="C9" i="9"/>
  <c r="D10" i="9" s="1"/>
  <c r="C10" i="9"/>
  <c r="D11" i="9" s="1"/>
  <c r="C11" i="9"/>
  <c r="D12" i="9" s="1"/>
  <c r="C12" i="9"/>
  <c r="D13" i="9" s="1"/>
  <c r="C13" i="9"/>
  <c r="D14" i="9" s="1"/>
  <c r="C14" i="9"/>
  <c r="D15" i="9" s="1"/>
  <c r="C15" i="9"/>
  <c r="D16" i="9" s="1"/>
  <c r="C16" i="9"/>
  <c r="D17" i="9" s="1"/>
  <c r="C17" i="9"/>
  <c r="D18" i="9" s="1"/>
  <c r="C18" i="9"/>
  <c r="D19" i="9" s="1"/>
  <c r="C19" i="9"/>
  <c r="D20" i="9" s="1"/>
  <c r="C20" i="9"/>
  <c r="D21" i="9" s="1"/>
  <c r="C21" i="9"/>
  <c r="D22" i="9" s="1"/>
  <c r="C22" i="9"/>
  <c r="D23" i="9" s="1"/>
  <c r="C23" i="9"/>
  <c r="D24" i="9" s="1"/>
  <c r="C24" i="9"/>
  <c r="D25" i="9" s="1"/>
  <c r="C25" i="9"/>
  <c r="D26" i="9" s="1"/>
  <c r="C26" i="9"/>
  <c r="D27" i="9" s="1"/>
  <c r="C27" i="9"/>
  <c r="D28" i="9" s="1"/>
  <c r="C28" i="9"/>
  <c r="D29" i="9" s="1"/>
  <c r="C29" i="9"/>
  <c r="D30" i="9" s="1"/>
  <c r="C30" i="9"/>
  <c r="D31" i="9" s="1"/>
  <c r="C31" i="9"/>
  <c r="D32" i="9" s="1"/>
  <c r="C32" i="9"/>
  <c r="D33" i="9" s="1"/>
  <c r="C33" i="9"/>
  <c r="D34" i="9" s="1"/>
  <c r="C34" i="9"/>
  <c r="D35" i="9" s="1"/>
  <c r="C35" i="9"/>
  <c r="D36" i="9" s="1"/>
  <c r="C36" i="9"/>
  <c r="D37" i="9" s="1"/>
  <c r="C37" i="9"/>
  <c r="D38" i="9" s="1"/>
  <c r="C38" i="9"/>
  <c r="D39" i="9" s="1"/>
  <c r="C39" i="9"/>
  <c r="D40" i="9" s="1"/>
  <c r="C40" i="9"/>
  <c r="D41" i="9" s="1"/>
  <c r="C41" i="9"/>
  <c r="D42" i="9" s="1"/>
  <c r="C42" i="9"/>
  <c r="D43" i="9" s="1"/>
  <c r="C43" i="9"/>
  <c r="D44" i="9" s="1"/>
  <c r="C44" i="9"/>
  <c r="D45" i="9" s="1"/>
  <c r="C45" i="9"/>
  <c r="D46" i="9" s="1"/>
  <c r="C46" i="9"/>
  <c r="D47" i="9" s="1"/>
  <c r="C47" i="9"/>
  <c r="D48" i="9" s="1"/>
  <c r="C48" i="9"/>
  <c r="D49" i="9" s="1"/>
  <c r="C49" i="9"/>
  <c r="D50" i="9" s="1"/>
  <c r="C50" i="9"/>
  <c r="D51" i="9" s="1"/>
  <c r="C51" i="9"/>
  <c r="D52" i="9" s="1"/>
  <c r="C52" i="9"/>
  <c r="D53" i="9" s="1"/>
  <c r="C53" i="9"/>
  <c r="D54" i="9" s="1"/>
  <c r="C54" i="9"/>
  <c r="D55" i="9" s="1"/>
  <c r="C55" i="9"/>
  <c r="D56" i="9" s="1"/>
  <c r="C56" i="9"/>
  <c r="D57" i="9" s="1"/>
  <c r="C57" i="9"/>
  <c r="D58" i="9" s="1"/>
  <c r="C58" i="9"/>
  <c r="D59" i="9" s="1"/>
  <c r="C59" i="9"/>
  <c r="D60" i="9" s="1"/>
  <c r="C60" i="9"/>
  <c r="D61" i="9" s="1"/>
  <c r="C61" i="9"/>
  <c r="D62" i="9" s="1"/>
  <c r="C62" i="9"/>
  <c r="D63" i="9" s="1"/>
  <c r="C63" i="9"/>
  <c r="D64" i="9" s="1"/>
  <c r="C64" i="9"/>
  <c r="D65" i="9" s="1"/>
  <c r="C65" i="9"/>
  <c r="D66" i="9" s="1"/>
  <c r="C66" i="9"/>
  <c r="D67" i="9" s="1"/>
  <c r="C67" i="9"/>
  <c r="D68" i="9" s="1"/>
  <c r="C68" i="9"/>
  <c r="D69" i="9" s="1"/>
  <c r="C69" i="9"/>
  <c r="D70" i="9" s="1"/>
  <c r="C70" i="9"/>
  <c r="D71" i="9" s="1"/>
  <c r="C71" i="9"/>
  <c r="D72" i="9" s="1"/>
  <c r="C72" i="9"/>
  <c r="D73" i="9" s="1"/>
  <c r="C73" i="9"/>
  <c r="D74" i="9" s="1"/>
  <c r="C74" i="9"/>
  <c r="D75" i="9" s="1"/>
  <c r="C75" i="9"/>
  <c r="D76" i="9" s="1"/>
  <c r="C76" i="9"/>
  <c r="D77" i="9" s="1"/>
  <c r="C77" i="9"/>
  <c r="D78" i="9" s="1"/>
  <c r="C78" i="9"/>
  <c r="D79" i="9" s="1"/>
  <c r="C79" i="9"/>
  <c r="D80" i="9" s="1"/>
  <c r="C80" i="9"/>
  <c r="D81" i="9" s="1"/>
  <c r="C81" i="9"/>
  <c r="D82" i="9" s="1"/>
  <c r="C82" i="9"/>
  <c r="D83" i="9" s="1"/>
  <c r="C83" i="9"/>
  <c r="D84" i="9" s="1"/>
  <c r="C84" i="9"/>
  <c r="D85" i="9" s="1"/>
  <c r="C85" i="9"/>
  <c r="D86" i="9" s="1"/>
  <c r="C86" i="9"/>
  <c r="D87" i="9" s="1"/>
  <c r="C87" i="9"/>
  <c r="D88" i="9" s="1"/>
  <c r="C88" i="9"/>
  <c r="D89" i="9" s="1"/>
  <c r="C89" i="9"/>
  <c r="D90" i="9" s="1"/>
  <c r="C90" i="9"/>
  <c r="D91" i="9" s="1"/>
  <c r="C91" i="9"/>
  <c r="D92" i="9" s="1"/>
  <c r="C92" i="9"/>
  <c r="D93" i="9" s="1"/>
  <c r="C93" i="9"/>
  <c r="D94" i="9" s="1"/>
  <c r="C94" i="9"/>
  <c r="D95" i="9" s="1"/>
  <c r="C95" i="9"/>
  <c r="D96" i="9" s="1"/>
  <c r="C96" i="9"/>
  <c r="D97" i="9" s="1"/>
  <c r="C97" i="9"/>
  <c r="D98" i="9" s="1"/>
  <c r="C98" i="9"/>
  <c r="D99" i="9" s="1"/>
  <c r="C99" i="9"/>
  <c r="D100" i="9" s="1"/>
  <c r="C100" i="9"/>
  <c r="D101" i="9" s="1"/>
  <c r="C101" i="9"/>
  <c r="D102" i="9" s="1"/>
  <c r="C102" i="9"/>
  <c r="D103" i="9" s="1"/>
  <c r="C103" i="9"/>
  <c r="D104" i="9" s="1"/>
  <c r="C104" i="9"/>
  <c r="D105" i="9" s="1"/>
  <c r="C105" i="9"/>
  <c r="D106" i="9" s="1"/>
  <c r="C106" i="9"/>
  <c r="D107" i="9" s="1"/>
  <c r="C107" i="9"/>
  <c r="D108" i="9" s="1"/>
  <c r="C108" i="9"/>
  <c r="D109" i="9" s="1"/>
  <c r="C109" i="9"/>
  <c r="D110" i="9" s="1"/>
  <c r="C110" i="9"/>
  <c r="D111" i="9" s="1"/>
  <c r="C111" i="9"/>
  <c r="D112" i="9" s="1"/>
  <c r="C112" i="9"/>
  <c r="D113" i="9" s="1"/>
  <c r="C113" i="9"/>
  <c r="D114" i="9" s="1"/>
  <c r="C114" i="9"/>
  <c r="D115" i="9" s="1"/>
  <c r="C115" i="9"/>
  <c r="D116" i="9" s="1"/>
  <c r="C116" i="9"/>
  <c r="D117" i="9" s="1"/>
  <c r="C117" i="9"/>
  <c r="D118" i="9" s="1"/>
  <c r="C118" i="9"/>
  <c r="D119" i="9" s="1"/>
  <c r="C119" i="9"/>
  <c r="D120" i="9" s="1"/>
  <c r="C120" i="9"/>
  <c r="D121" i="9" s="1"/>
  <c r="C121" i="9"/>
  <c r="D122" i="9" s="1"/>
  <c r="C122" i="9"/>
  <c r="D123" i="9" s="1"/>
  <c r="C123" i="9"/>
  <c r="D124" i="9" s="1"/>
  <c r="C124" i="9"/>
  <c r="D125" i="9" s="1"/>
  <c r="C125" i="9"/>
  <c r="D126" i="9" s="1"/>
  <c r="C126" i="9"/>
  <c r="D127" i="9" s="1"/>
  <c r="C127" i="9"/>
  <c r="D128" i="9" s="1"/>
  <c r="C128" i="9"/>
  <c r="D129" i="9" s="1"/>
  <c r="C129" i="9"/>
  <c r="D130" i="9" s="1"/>
  <c r="C130" i="9"/>
  <c r="D131" i="9" s="1"/>
  <c r="C131" i="9"/>
  <c r="D132" i="9" s="1"/>
  <c r="C132" i="9"/>
  <c r="D133" i="9" s="1"/>
  <c r="C133" i="9"/>
  <c r="D134" i="9" s="1"/>
  <c r="C134" i="9"/>
  <c r="D135" i="9" s="1"/>
  <c r="C135" i="9"/>
  <c r="D136" i="9" s="1"/>
  <c r="C136" i="9"/>
  <c r="D137" i="9" s="1"/>
  <c r="C137" i="9"/>
  <c r="D138" i="9" s="1"/>
  <c r="C138" i="9"/>
  <c r="D139" i="9" s="1"/>
  <c r="C139" i="9"/>
  <c r="D140" i="9" s="1"/>
  <c r="C140" i="9"/>
  <c r="D141" i="9" s="1"/>
  <c r="C141" i="9"/>
  <c r="D142" i="9" s="1"/>
  <c r="C142" i="9"/>
  <c r="D143" i="9" s="1"/>
  <c r="C143" i="9"/>
  <c r="D144" i="9" s="1"/>
  <c r="C144" i="9"/>
  <c r="D145" i="9" s="1"/>
  <c r="C145" i="9"/>
  <c r="D146" i="9" s="1"/>
  <c r="C146" i="9"/>
  <c r="D147" i="9" s="1"/>
  <c r="C147" i="9"/>
  <c r="D148" i="9" s="1"/>
  <c r="C148" i="9"/>
  <c r="D149" i="9" s="1"/>
  <c r="C149" i="9"/>
  <c r="D150" i="9" s="1"/>
  <c r="C150" i="9"/>
  <c r="D151" i="9" s="1"/>
  <c r="C151" i="9"/>
  <c r="D152" i="9" s="1"/>
  <c r="C152" i="9"/>
  <c r="D153" i="9" s="1"/>
  <c r="C153" i="9"/>
  <c r="D154" i="9" s="1"/>
  <c r="C154" i="9"/>
  <c r="D155" i="9" s="1"/>
  <c r="C155" i="9"/>
  <c r="D156" i="9" s="1"/>
  <c r="C156" i="9"/>
  <c r="D157" i="9" s="1"/>
  <c r="C157" i="9"/>
  <c r="D158" i="9" s="1"/>
  <c r="C158" i="9"/>
  <c r="D159" i="9" s="1"/>
  <c r="C159" i="9"/>
  <c r="D160" i="9" s="1"/>
  <c r="C160" i="9"/>
  <c r="D161" i="9" s="1"/>
  <c r="C161" i="9"/>
  <c r="D162" i="9" s="1"/>
  <c r="C162" i="9"/>
  <c r="D163" i="9" s="1"/>
  <c r="C163" i="9"/>
  <c r="D164" i="9" s="1"/>
  <c r="C164" i="9"/>
  <c r="D165" i="9" s="1"/>
  <c r="C165" i="9"/>
  <c r="D166" i="9" s="1"/>
  <c r="C166" i="9"/>
  <c r="D167" i="9" s="1"/>
  <c r="C167" i="9"/>
  <c r="D168" i="9" s="1"/>
  <c r="C168" i="9"/>
  <c r="D169" i="9" s="1"/>
  <c r="C169" i="9"/>
  <c r="D170" i="9" s="1"/>
  <c r="C170" i="9"/>
  <c r="D171" i="9" s="1"/>
  <c r="C171" i="9"/>
  <c r="D172" i="9" s="1"/>
  <c r="C172" i="9"/>
  <c r="D173" i="9" s="1"/>
  <c r="C173" i="9"/>
  <c r="D174" i="9" s="1"/>
  <c r="C174" i="9"/>
  <c r="D175" i="9" s="1"/>
  <c r="C175" i="9"/>
  <c r="D176" i="9" s="1"/>
  <c r="C176" i="9"/>
  <c r="D177" i="9" s="1"/>
  <c r="C177" i="9"/>
  <c r="D178" i="9" s="1"/>
  <c r="C178" i="9"/>
  <c r="D179" i="9" s="1"/>
  <c r="C179" i="9"/>
  <c r="D180" i="9" s="1"/>
  <c r="C180" i="9"/>
  <c r="D181" i="9" s="1"/>
  <c r="C181" i="9"/>
  <c r="D182" i="9" s="1"/>
  <c r="C182" i="9"/>
  <c r="D183" i="9" s="1"/>
  <c r="C183" i="9"/>
  <c r="D184" i="9" s="1"/>
  <c r="C184" i="9"/>
  <c r="D185" i="9" s="1"/>
  <c r="C185" i="9"/>
  <c r="D186" i="9" s="1"/>
  <c r="C186" i="9"/>
  <c r="D187" i="9" s="1"/>
  <c r="C187" i="9"/>
  <c r="D188" i="9" s="1"/>
  <c r="C188" i="9"/>
  <c r="D189" i="9" s="1"/>
  <c r="C189" i="9"/>
  <c r="D190" i="9" s="1"/>
  <c r="C190" i="9"/>
  <c r="D191" i="9" s="1"/>
  <c r="C191" i="9"/>
  <c r="D192" i="9" s="1"/>
  <c r="C192" i="9"/>
  <c r="D193" i="9" s="1"/>
  <c r="C193" i="9"/>
  <c r="D194" i="9" s="1"/>
  <c r="C194" i="9"/>
  <c r="D195" i="9" s="1"/>
  <c r="C195" i="9"/>
  <c r="D196" i="9" s="1"/>
  <c r="C196" i="9"/>
  <c r="D197" i="9" s="1"/>
  <c r="C197" i="9"/>
  <c r="D198" i="9" s="1"/>
  <c r="C198" i="9"/>
  <c r="D199" i="9" s="1"/>
  <c r="C199" i="9"/>
  <c r="D200" i="9" s="1"/>
  <c r="C200" i="9"/>
  <c r="D201" i="9" s="1"/>
  <c r="C201" i="9"/>
  <c r="D202" i="9" s="1"/>
  <c r="C202" i="9"/>
  <c r="D203" i="9" s="1"/>
  <c r="C203" i="9"/>
  <c r="D204" i="9" s="1"/>
  <c r="C204" i="9"/>
  <c r="D205" i="9" s="1"/>
  <c r="C205" i="9"/>
  <c r="D206" i="9" s="1"/>
  <c r="C206" i="9"/>
  <c r="D207" i="9" s="1"/>
  <c r="C207" i="9"/>
  <c r="D208" i="9" s="1"/>
  <c r="C208" i="9"/>
  <c r="D209" i="9" s="1"/>
  <c r="C209" i="9"/>
  <c r="D210" i="9" s="1"/>
  <c r="C210" i="9"/>
  <c r="D211" i="9" s="1"/>
  <c r="C211" i="9"/>
  <c r="D212" i="9" s="1"/>
  <c r="C212" i="9"/>
  <c r="D213" i="9" s="1"/>
  <c r="C213" i="9"/>
  <c r="D214" i="9" s="1"/>
  <c r="C214" i="9"/>
  <c r="D215" i="9" s="1"/>
  <c r="C215" i="9"/>
  <c r="D216" i="9" s="1"/>
  <c r="C216" i="9"/>
  <c r="D217" i="9" s="1"/>
  <c r="C217" i="9"/>
  <c r="D218" i="9" s="1"/>
  <c r="C218" i="9"/>
  <c r="D219" i="9" s="1"/>
  <c r="C219" i="9"/>
  <c r="D220" i="9" s="1"/>
  <c r="C220" i="9"/>
  <c r="D221" i="9" s="1"/>
  <c r="C221" i="9"/>
  <c r="D222" i="9" s="1"/>
  <c r="C222" i="9"/>
  <c r="D223" i="9" s="1"/>
  <c r="C223" i="9"/>
  <c r="D224" i="9" s="1"/>
  <c r="C224" i="9"/>
  <c r="D225" i="9" s="1"/>
  <c r="C225" i="9"/>
  <c r="D226" i="9" s="1"/>
  <c r="C226" i="9"/>
  <c r="D227" i="9" s="1"/>
  <c r="C227" i="9"/>
  <c r="D228" i="9" s="1"/>
  <c r="C228" i="9"/>
  <c r="D229" i="9" s="1"/>
  <c r="C229" i="9"/>
  <c r="D230" i="9" s="1"/>
  <c r="C230" i="9"/>
  <c r="D231" i="9" s="1"/>
  <c r="C231" i="9"/>
  <c r="D232" i="9" s="1"/>
  <c r="C232" i="9"/>
  <c r="D233" i="9" s="1"/>
  <c r="C233" i="9"/>
  <c r="D234" i="9" s="1"/>
  <c r="C234" i="9"/>
  <c r="D235" i="9" s="1"/>
  <c r="C235" i="9"/>
  <c r="D236" i="9" s="1"/>
  <c r="C236" i="9"/>
  <c r="D237" i="9" s="1"/>
  <c r="C237" i="9"/>
  <c r="D238" i="9" s="1"/>
  <c r="C238" i="9"/>
  <c r="D239" i="9" s="1"/>
  <c r="C239" i="9"/>
  <c r="D240" i="9" s="1"/>
  <c r="C240" i="9"/>
  <c r="D241" i="9" s="1"/>
  <c r="C241" i="9"/>
  <c r="D242" i="9" s="1"/>
  <c r="C242" i="9"/>
  <c r="D243" i="9" s="1"/>
  <c r="C243" i="9"/>
  <c r="D244" i="9" s="1"/>
  <c r="C244" i="9"/>
  <c r="D245" i="9" s="1"/>
  <c r="C245" i="9"/>
  <c r="D246" i="9" s="1"/>
  <c r="C246" i="9"/>
  <c r="D247" i="9" s="1"/>
  <c r="C247" i="9"/>
  <c r="D248" i="9" s="1"/>
  <c r="C248" i="9"/>
  <c r="D249" i="9" s="1"/>
  <c r="C249" i="9"/>
  <c r="D250" i="9" s="1"/>
  <c r="C250" i="9"/>
  <c r="D251" i="9" s="1"/>
  <c r="C251" i="9"/>
  <c r="D252" i="9" s="1"/>
  <c r="C252" i="9"/>
  <c r="D253" i="9" s="1"/>
  <c r="C253" i="9"/>
  <c r="D254" i="9" s="1"/>
  <c r="C254" i="9"/>
  <c r="D255" i="9" s="1"/>
  <c r="C255" i="9"/>
  <c r="D256" i="9" s="1"/>
  <c r="C256" i="9"/>
  <c r="D257" i="9" s="1"/>
  <c r="C257" i="9"/>
  <c r="D258" i="9" s="1"/>
  <c r="C258" i="9"/>
  <c r="D259" i="9" s="1"/>
  <c r="C259" i="9"/>
  <c r="D260" i="9" s="1"/>
  <c r="C260" i="9"/>
  <c r="D261" i="9" s="1"/>
  <c r="C261" i="9"/>
  <c r="D262" i="9" s="1"/>
  <c r="C262" i="9"/>
  <c r="D263" i="9" s="1"/>
  <c r="C263" i="9"/>
  <c r="D264" i="9" s="1"/>
  <c r="C264" i="9"/>
  <c r="D265" i="9" s="1"/>
  <c r="C265" i="9"/>
  <c r="D266" i="9" s="1"/>
  <c r="C266" i="9"/>
  <c r="D267" i="9" s="1"/>
  <c r="C267" i="9"/>
  <c r="D268" i="9" s="1"/>
  <c r="C268" i="9"/>
  <c r="D269" i="9" s="1"/>
  <c r="C269" i="9"/>
  <c r="D270" i="9" s="1"/>
  <c r="C270" i="9"/>
  <c r="D271" i="9" s="1"/>
  <c r="C271" i="9"/>
  <c r="D272" i="9" s="1"/>
  <c r="C272" i="9"/>
  <c r="D273" i="9" s="1"/>
  <c r="C273" i="9"/>
  <c r="D274" i="9" s="1"/>
  <c r="C274" i="9"/>
  <c r="D275" i="9" s="1"/>
  <c r="C275" i="9"/>
  <c r="D276" i="9" s="1"/>
  <c r="C276" i="9"/>
  <c r="D277" i="9" s="1"/>
  <c r="C277" i="9"/>
  <c r="D278" i="9" s="1"/>
  <c r="C278" i="9"/>
  <c r="D279" i="9" s="1"/>
  <c r="C279" i="9"/>
  <c r="D280" i="9" s="1"/>
  <c r="C280" i="9"/>
  <c r="D281" i="9" s="1"/>
  <c r="C281" i="9"/>
  <c r="D282" i="9" s="1"/>
  <c r="C282" i="9"/>
  <c r="D283" i="9" s="1"/>
  <c r="C283" i="9"/>
  <c r="D284" i="9" s="1"/>
  <c r="C284" i="9"/>
  <c r="D285" i="9" s="1"/>
  <c r="C285" i="9"/>
  <c r="D286" i="9" s="1"/>
  <c r="C286" i="9"/>
  <c r="D287" i="9" s="1"/>
  <c r="C287" i="9"/>
  <c r="D288" i="9" s="1"/>
  <c r="C288" i="9"/>
  <c r="D289" i="9" s="1"/>
  <c r="C289" i="9"/>
  <c r="D290" i="9" s="1"/>
  <c r="C290" i="9"/>
  <c r="D291" i="9" s="1"/>
  <c r="C291" i="9"/>
  <c r="D292" i="9" s="1"/>
  <c r="C292" i="9"/>
  <c r="D293" i="9" s="1"/>
  <c r="C293" i="9"/>
  <c r="D294" i="9" s="1"/>
  <c r="C294" i="9"/>
  <c r="D295" i="9" s="1"/>
  <c r="C295" i="9"/>
  <c r="D296" i="9" s="1"/>
  <c r="C296" i="9"/>
  <c r="D297" i="9" s="1"/>
  <c r="C297" i="9"/>
  <c r="D298" i="9" s="1"/>
  <c r="C298" i="9"/>
  <c r="D299" i="9" s="1"/>
  <c r="C299" i="9"/>
  <c r="D300" i="9" s="1"/>
  <c r="C300" i="9"/>
  <c r="D301" i="9" s="1"/>
  <c r="C301" i="9"/>
  <c r="D302" i="9" s="1"/>
  <c r="C302" i="9"/>
  <c r="D303" i="9" s="1"/>
  <c r="C303" i="9"/>
  <c r="D304" i="9" s="1"/>
  <c r="C304" i="9"/>
  <c r="D305" i="9" s="1"/>
  <c r="C305" i="9"/>
  <c r="D306" i="9" s="1"/>
  <c r="C306" i="9"/>
  <c r="D307" i="9" s="1"/>
  <c r="C307" i="9"/>
  <c r="D308" i="9" s="1"/>
  <c r="C308" i="9"/>
  <c r="D309" i="9" s="1"/>
  <c r="C309" i="9"/>
  <c r="D310" i="9" s="1"/>
  <c r="C310" i="9"/>
  <c r="D311" i="9" s="1"/>
  <c r="C311" i="9"/>
  <c r="D312" i="9" s="1"/>
  <c r="C312" i="9"/>
  <c r="D313" i="9" s="1"/>
  <c r="C313" i="9"/>
  <c r="D314" i="9" s="1"/>
  <c r="C314" i="9"/>
  <c r="D315" i="9" s="1"/>
  <c r="C315" i="9"/>
  <c r="D316" i="9" s="1"/>
  <c r="C316" i="9"/>
  <c r="D317" i="9" s="1"/>
  <c r="C317" i="9"/>
  <c r="D318" i="9" s="1"/>
  <c r="C318" i="9"/>
  <c r="D319" i="9" s="1"/>
  <c r="C319" i="9"/>
  <c r="D320" i="9" s="1"/>
  <c r="C320" i="9"/>
  <c r="D321" i="9" s="1"/>
  <c r="C321" i="9"/>
  <c r="D322" i="9" s="1"/>
  <c r="C322" i="9"/>
  <c r="D323" i="9" s="1"/>
  <c r="C323" i="9"/>
  <c r="D324" i="9" s="1"/>
  <c r="C324" i="9"/>
  <c r="D325" i="9" s="1"/>
  <c r="C325" i="9"/>
  <c r="D326" i="9" s="1"/>
  <c r="C326" i="9"/>
  <c r="D327" i="9" s="1"/>
  <c r="C327" i="9"/>
  <c r="D328" i="9" s="1"/>
  <c r="C328" i="9"/>
  <c r="D329" i="9" s="1"/>
  <c r="C329" i="9"/>
  <c r="D330" i="9" s="1"/>
  <c r="C330" i="9"/>
  <c r="D331" i="9" s="1"/>
  <c r="C331" i="9"/>
  <c r="D332" i="9" s="1"/>
  <c r="C332" i="9"/>
  <c r="D333" i="9" s="1"/>
  <c r="C333" i="9"/>
  <c r="D334" i="9" s="1"/>
  <c r="C334" i="9"/>
  <c r="D335" i="9" s="1"/>
  <c r="C335" i="9"/>
  <c r="D336" i="9" s="1"/>
  <c r="C336" i="9"/>
  <c r="D337" i="9" s="1"/>
  <c r="C337" i="9"/>
  <c r="D338" i="9" s="1"/>
  <c r="C338" i="9"/>
  <c r="D339" i="9" s="1"/>
  <c r="C339" i="9"/>
  <c r="D340" i="9" s="1"/>
  <c r="C340" i="9"/>
  <c r="D341" i="9" s="1"/>
  <c r="C341" i="9"/>
  <c r="D342" i="9" s="1"/>
  <c r="C342" i="9"/>
  <c r="D343" i="9" s="1"/>
  <c r="C343" i="9"/>
  <c r="D344" i="9" s="1"/>
  <c r="C344" i="9"/>
  <c r="D345" i="9" s="1"/>
  <c r="C345" i="9"/>
  <c r="D346" i="9" s="1"/>
  <c r="C346" i="9"/>
  <c r="D347" i="9" s="1"/>
  <c r="C347" i="9"/>
  <c r="D348" i="9" s="1"/>
  <c r="C348" i="9"/>
  <c r="D349" i="9" s="1"/>
  <c r="C349" i="9"/>
  <c r="D350" i="9" s="1"/>
  <c r="C350" i="9"/>
  <c r="D351" i="9" s="1"/>
  <c r="C351" i="9"/>
  <c r="D352" i="9" s="1"/>
  <c r="C352" i="9"/>
  <c r="D353" i="9" s="1"/>
  <c r="C353" i="9"/>
  <c r="D354" i="9" s="1"/>
  <c r="C354" i="9"/>
  <c r="D355" i="9" s="1"/>
  <c r="C355" i="9"/>
  <c r="D356" i="9" s="1"/>
  <c r="C356" i="9"/>
  <c r="D357" i="9" s="1"/>
  <c r="C357" i="9"/>
  <c r="D358" i="9" s="1"/>
  <c r="C358" i="9"/>
  <c r="D359" i="9" s="1"/>
  <c r="C359" i="9"/>
  <c r="D360" i="9" s="1"/>
  <c r="C360" i="9"/>
  <c r="D361" i="9" s="1"/>
  <c r="C361" i="9"/>
  <c r="D362" i="9" s="1"/>
  <c r="C362" i="9"/>
  <c r="D363" i="9" s="1"/>
  <c r="C363" i="9"/>
  <c r="D364" i="9" s="1"/>
  <c r="C364" i="9"/>
  <c r="D365" i="9" s="1"/>
  <c r="C365" i="9"/>
  <c r="D366" i="9" s="1"/>
  <c r="C366" i="9"/>
  <c r="D367" i="9" s="1"/>
  <c r="C367" i="9"/>
  <c r="D368" i="9" s="1"/>
  <c r="C368" i="9"/>
  <c r="D369" i="9" s="1"/>
  <c r="C369" i="9"/>
  <c r="D370" i="9" s="1"/>
  <c r="C370" i="9"/>
  <c r="D371" i="9" s="1"/>
  <c r="C371" i="9"/>
  <c r="D372" i="9" s="1"/>
  <c r="C372" i="9"/>
  <c r="D373" i="9" s="1"/>
  <c r="C373" i="9"/>
  <c r="D374" i="9" s="1"/>
  <c r="C374" i="9"/>
  <c r="D375" i="9" s="1"/>
  <c r="C375" i="9"/>
  <c r="D376" i="9" s="1"/>
  <c r="C376" i="9"/>
  <c r="D377" i="9" s="1"/>
  <c r="C377" i="9"/>
  <c r="D378" i="9" s="1"/>
  <c r="C378" i="9"/>
  <c r="D379" i="9" s="1"/>
  <c r="C379" i="9"/>
  <c r="D380" i="9" s="1"/>
  <c r="C380" i="9"/>
  <c r="D381" i="9" s="1"/>
  <c r="C381" i="9"/>
  <c r="D382" i="9" s="1"/>
  <c r="C382" i="9"/>
  <c r="D383" i="9" s="1"/>
  <c r="C383" i="9"/>
  <c r="D384" i="9" s="1"/>
  <c r="C384" i="9"/>
  <c r="D385" i="9" s="1"/>
  <c r="C385" i="9"/>
  <c r="D386" i="9" s="1"/>
  <c r="C386" i="9"/>
  <c r="D387" i="9" s="1"/>
  <c r="C387" i="9"/>
  <c r="D388" i="9" s="1"/>
  <c r="C388" i="9"/>
  <c r="D389" i="9" s="1"/>
  <c r="C389" i="9"/>
  <c r="D390" i="9" s="1"/>
  <c r="C390" i="9"/>
  <c r="D391" i="9" s="1"/>
  <c r="C391" i="9"/>
  <c r="D392" i="9" s="1"/>
  <c r="C392" i="9"/>
  <c r="D393" i="9" s="1"/>
  <c r="C393" i="9"/>
  <c r="D394" i="9" s="1"/>
  <c r="C394" i="9"/>
  <c r="D395" i="9" s="1"/>
  <c r="C395" i="9"/>
  <c r="D396" i="9" s="1"/>
  <c r="C396" i="9"/>
  <c r="D397" i="9" s="1"/>
  <c r="C397" i="9"/>
  <c r="D398" i="9" s="1"/>
  <c r="C398" i="9"/>
  <c r="D399" i="9" s="1"/>
  <c r="C399" i="9"/>
  <c r="D400" i="9" s="1"/>
  <c r="C400" i="9"/>
  <c r="D401" i="9" s="1"/>
  <c r="C401" i="9"/>
  <c r="D402" i="9" s="1"/>
  <c r="C402" i="9"/>
  <c r="D403" i="9" s="1"/>
  <c r="C403" i="9"/>
  <c r="D404" i="9" s="1"/>
  <c r="C404" i="9"/>
  <c r="D405" i="9" s="1"/>
  <c r="C405" i="9"/>
  <c r="D406" i="9" s="1"/>
  <c r="C406" i="9"/>
  <c r="D407" i="9" s="1"/>
  <c r="C407" i="9"/>
  <c r="D408" i="9" s="1"/>
  <c r="C408" i="9"/>
  <c r="D409" i="9" s="1"/>
  <c r="C409" i="9"/>
  <c r="D410" i="9" s="1"/>
  <c r="C410" i="9"/>
  <c r="D411" i="9" s="1"/>
  <c r="C411" i="9"/>
  <c r="D412" i="9" s="1"/>
  <c r="C412" i="9"/>
  <c r="D413" i="9" s="1"/>
  <c r="C413" i="9"/>
  <c r="D414" i="9" s="1"/>
  <c r="C414" i="9"/>
  <c r="D415" i="9" s="1"/>
  <c r="C415" i="9"/>
  <c r="D416" i="9" s="1"/>
  <c r="C416" i="9"/>
  <c r="D417" i="9" s="1"/>
  <c r="C417" i="9"/>
  <c r="D418" i="9" s="1"/>
  <c r="C418" i="9"/>
  <c r="D419" i="9" s="1"/>
  <c r="C419" i="9"/>
  <c r="D420" i="9" s="1"/>
  <c r="C420" i="9"/>
  <c r="D421" i="9" s="1"/>
  <c r="C421" i="9"/>
  <c r="D422" i="9" s="1"/>
  <c r="C422" i="9"/>
  <c r="D423" i="9" s="1"/>
  <c r="C423" i="9"/>
  <c r="D424" i="9" s="1"/>
  <c r="C424" i="9"/>
  <c r="D425" i="9" s="1"/>
  <c r="C425" i="9"/>
  <c r="D426" i="9" s="1"/>
  <c r="C426" i="9"/>
  <c r="D427" i="9" s="1"/>
  <c r="C427" i="9"/>
  <c r="D428" i="9" s="1"/>
  <c r="C428" i="9"/>
  <c r="D429" i="9" s="1"/>
  <c r="C429" i="9"/>
  <c r="D430" i="9" s="1"/>
  <c r="C430" i="9"/>
  <c r="D431" i="9" s="1"/>
  <c r="C431" i="9"/>
  <c r="D432" i="9" s="1"/>
  <c r="C432" i="9"/>
  <c r="D433" i="9" s="1"/>
  <c r="C433" i="9"/>
  <c r="D434" i="9" s="1"/>
  <c r="C434" i="9"/>
  <c r="D435" i="9" s="1"/>
  <c r="C435" i="9"/>
  <c r="D436" i="9" s="1"/>
  <c r="C436" i="9"/>
  <c r="D437" i="9" s="1"/>
  <c r="C437" i="9"/>
  <c r="D438" i="9" s="1"/>
  <c r="C438" i="9"/>
  <c r="D439" i="9" s="1"/>
  <c r="C439" i="9"/>
  <c r="D440" i="9" s="1"/>
  <c r="C440" i="9"/>
  <c r="D441" i="9" s="1"/>
  <c r="C441" i="9"/>
  <c r="D442" i="9" s="1"/>
  <c r="C442" i="9"/>
  <c r="D443" i="9" s="1"/>
  <c r="C443" i="9"/>
  <c r="D444" i="9" s="1"/>
  <c r="C444" i="9"/>
  <c r="D445" i="9" s="1"/>
  <c r="C445" i="9"/>
  <c r="D446" i="9" s="1"/>
  <c r="C446" i="9"/>
  <c r="D447" i="9" s="1"/>
  <c r="C447" i="9"/>
  <c r="D448" i="9" s="1"/>
  <c r="C448" i="9"/>
  <c r="D449" i="9" s="1"/>
  <c r="C449" i="9"/>
  <c r="D450" i="9" s="1"/>
  <c r="C450" i="9"/>
  <c r="D451" i="9" s="1"/>
  <c r="C451" i="9"/>
  <c r="D452" i="9" s="1"/>
  <c r="C452" i="9"/>
  <c r="D453" i="9" s="1"/>
  <c r="C453" i="9"/>
  <c r="D454" i="9" s="1"/>
  <c r="C454" i="9"/>
  <c r="D455" i="9" s="1"/>
  <c r="C455" i="9"/>
  <c r="D456" i="9" s="1"/>
  <c r="C456" i="9"/>
  <c r="D457" i="9" s="1"/>
  <c r="C457" i="9"/>
  <c r="D458" i="9" s="1"/>
  <c r="C458" i="9"/>
  <c r="D459" i="9" s="1"/>
  <c r="C459" i="9"/>
  <c r="D460" i="9" s="1"/>
  <c r="C460" i="9"/>
  <c r="D461" i="9" s="1"/>
  <c r="C461" i="9"/>
  <c r="D462" i="9" s="1"/>
  <c r="C462" i="9"/>
  <c r="D463" i="9" s="1"/>
  <c r="C463" i="9"/>
  <c r="D464" i="9" s="1"/>
  <c r="C464" i="9"/>
  <c r="D465" i="9" s="1"/>
  <c r="C465" i="9"/>
  <c r="D466" i="9" s="1"/>
  <c r="C466" i="9"/>
  <c r="D467" i="9" s="1"/>
  <c r="C467" i="9"/>
  <c r="D468" i="9" s="1"/>
  <c r="C468" i="9"/>
  <c r="D469" i="9" s="1"/>
  <c r="C469" i="9"/>
  <c r="D470" i="9" s="1"/>
  <c r="C470" i="9"/>
  <c r="D471" i="9" s="1"/>
  <c r="C471" i="9"/>
  <c r="D472" i="9" s="1"/>
  <c r="C472" i="9"/>
  <c r="D473" i="9" s="1"/>
  <c r="C473" i="9"/>
  <c r="D474" i="9" s="1"/>
  <c r="C474" i="9"/>
  <c r="D475" i="9" s="1"/>
  <c r="C475" i="9"/>
  <c r="D476" i="9" s="1"/>
  <c r="C476" i="9"/>
  <c r="D477" i="9" s="1"/>
  <c r="C477" i="9"/>
  <c r="D478" i="9" s="1"/>
  <c r="C478" i="9"/>
  <c r="D479" i="9" s="1"/>
  <c r="C479" i="9"/>
  <c r="D480" i="9" s="1"/>
  <c r="C480" i="9"/>
  <c r="D481" i="9" s="1"/>
  <c r="C481" i="9"/>
  <c r="D482" i="9" s="1"/>
  <c r="C482" i="9"/>
  <c r="D483" i="9" s="1"/>
  <c r="C483" i="9"/>
  <c r="D484" i="9" s="1"/>
  <c r="C484" i="9"/>
  <c r="D485" i="9" s="1"/>
  <c r="C485" i="9"/>
  <c r="D486" i="9" s="1"/>
  <c r="C486" i="9"/>
  <c r="D487" i="9" s="1"/>
  <c r="C487" i="9"/>
  <c r="D488" i="9" s="1"/>
  <c r="C488" i="9"/>
  <c r="D489" i="9" s="1"/>
  <c r="C489" i="9"/>
  <c r="D490" i="9" s="1"/>
  <c r="C490" i="9"/>
  <c r="D491" i="9" s="1"/>
  <c r="C491" i="9"/>
  <c r="D492" i="9" s="1"/>
  <c r="C492" i="9"/>
  <c r="D493" i="9" s="1"/>
  <c r="C493" i="9"/>
  <c r="D494" i="9" s="1"/>
  <c r="C494" i="9"/>
  <c r="D495" i="9" s="1"/>
  <c r="C495" i="9"/>
  <c r="D496" i="9" s="1"/>
  <c r="C496" i="9"/>
  <c r="D497" i="9" s="1"/>
  <c r="C497" i="9"/>
  <c r="D498" i="9" s="1"/>
  <c r="C498" i="9"/>
  <c r="D499" i="9" s="1"/>
  <c r="C499" i="9"/>
  <c r="D500" i="9" s="1"/>
  <c r="C500" i="9"/>
  <c r="D501" i="9" s="1"/>
  <c r="C501" i="9"/>
  <c r="D502" i="9" s="1"/>
  <c r="C502" i="9"/>
  <c r="D503" i="9" s="1"/>
  <c r="C503" i="9"/>
  <c r="D504" i="9" s="1"/>
  <c r="C504" i="9"/>
  <c r="D505" i="9" s="1"/>
  <c r="C505" i="9"/>
  <c r="D506" i="9" s="1"/>
  <c r="C506" i="9"/>
  <c r="D507" i="9" s="1"/>
  <c r="C507" i="9"/>
  <c r="D508" i="9" s="1"/>
  <c r="C508" i="9"/>
  <c r="D509" i="9" s="1"/>
  <c r="C509" i="9"/>
  <c r="D510" i="9" s="1"/>
  <c r="C510" i="9"/>
  <c r="D511" i="9" s="1"/>
  <c r="C511" i="9"/>
  <c r="D512" i="9" s="1"/>
  <c r="C512" i="9"/>
  <c r="D513" i="9" s="1"/>
  <c r="C513" i="9"/>
  <c r="D514" i="9" s="1"/>
  <c r="C514" i="9"/>
  <c r="D515" i="9" s="1"/>
  <c r="C515" i="9"/>
  <c r="D516" i="9" s="1"/>
  <c r="C516" i="9"/>
  <c r="D517" i="9" s="1"/>
  <c r="C517" i="9"/>
  <c r="D518" i="9" s="1"/>
  <c r="C518" i="9"/>
  <c r="D519" i="9" s="1"/>
  <c r="C519" i="9"/>
  <c r="D520" i="9" s="1"/>
  <c r="C520" i="9"/>
  <c r="D521" i="9" s="1"/>
  <c r="C521" i="9"/>
  <c r="D522" i="9" s="1"/>
  <c r="C522" i="9"/>
  <c r="D523" i="9" s="1"/>
  <c r="C523" i="9"/>
  <c r="D524" i="9" s="1"/>
  <c r="C524" i="9"/>
  <c r="D525" i="9" s="1"/>
  <c r="C525" i="9"/>
  <c r="D526" i="9" s="1"/>
  <c r="C526" i="9"/>
  <c r="D527" i="9" s="1"/>
  <c r="C527" i="9"/>
  <c r="D528" i="9" s="1"/>
  <c r="C528" i="9"/>
  <c r="D529" i="9" s="1"/>
  <c r="C529" i="9"/>
  <c r="D530" i="9" s="1"/>
  <c r="C530" i="9"/>
  <c r="D531" i="9" s="1"/>
  <c r="C531" i="9"/>
  <c r="D532" i="9" s="1"/>
  <c r="C532" i="9"/>
  <c r="D533" i="9" s="1"/>
  <c r="C533" i="9"/>
  <c r="D534" i="9" s="1"/>
  <c r="C534" i="9"/>
  <c r="D535" i="9" s="1"/>
  <c r="C535" i="9"/>
  <c r="D536" i="9" s="1"/>
  <c r="C536" i="9"/>
  <c r="D537" i="9" s="1"/>
  <c r="C537" i="9"/>
  <c r="D538" i="9" s="1"/>
  <c r="C538" i="9"/>
  <c r="D539" i="9" s="1"/>
  <c r="C539" i="9"/>
  <c r="D540" i="9" s="1"/>
  <c r="C540" i="9"/>
  <c r="D541" i="9" s="1"/>
  <c r="C541" i="9"/>
  <c r="D542" i="9" s="1"/>
  <c r="C542" i="9"/>
  <c r="D543" i="9" s="1"/>
  <c r="C543" i="9"/>
  <c r="D544" i="9" s="1"/>
  <c r="C544" i="9"/>
  <c r="D545" i="9" s="1"/>
  <c r="C545" i="9"/>
  <c r="D546" i="9" s="1"/>
  <c r="C546" i="9"/>
  <c r="D547" i="9" s="1"/>
  <c r="C547" i="9"/>
  <c r="D548" i="9" s="1"/>
  <c r="C548" i="9"/>
  <c r="D549" i="9" s="1"/>
  <c r="C549" i="9"/>
  <c r="D550" i="9" s="1"/>
  <c r="C550" i="9"/>
  <c r="D551" i="9" s="1"/>
  <c r="C551" i="9"/>
  <c r="D552" i="9" s="1"/>
  <c r="C552" i="9"/>
  <c r="D553" i="9" s="1"/>
  <c r="C553" i="9"/>
  <c r="D554" i="9" s="1"/>
  <c r="C554" i="9"/>
  <c r="D555" i="9" s="1"/>
  <c r="C555" i="9"/>
  <c r="D556" i="9" s="1"/>
  <c r="C556" i="9"/>
  <c r="D557" i="9" s="1"/>
  <c r="C557" i="9"/>
  <c r="D558" i="9" s="1"/>
  <c r="C558" i="9"/>
  <c r="D559" i="9" s="1"/>
  <c r="C559" i="9"/>
  <c r="D560" i="9" s="1"/>
  <c r="C560" i="9"/>
  <c r="D561" i="9" s="1"/>
  <c r="C561" i="9"/>
  <c r="D562" i="9" s="1"/>
  <c r="C562" i="9"/>
  <c r="D563" i="9" s="1"/>
  <c r="C563" i="9"/>
  <c r="D564" i="9" s="1"/>
  <c r="C564" i="9"/>
  <c r="D565" i="9" s="1"/>
  <c r="C565" i="9"/>
  <c r="D566" i="9" s="1"/>
  <c r="C566" i="9"/>
  <c r="D567" i="9" s="1"/>
  <c r="C567" i="9"/>
  <c r="D568" i="9" s="1"/>
  <c r="C568" i="9"/>
  <c r="D569" i="9" s="1"/>
  <c r="C569" i="9"/>
  <c r="D570" i="9" s="1"/>
  <c r="C570" i="9"/>
  <c r="D571" i="9" s="1"/>
  <c r="C571" i="9"/>
  <c r="D572" i="9" s="1"/>
  <c r="C572" i="9"/>
  <c r="D573" i="9" s="1"/>
  <c r="C573" i="9"/>
  <c r="D574" i="9" s="1"/>
  <c r="C574" i="9"/>
  <c r="D575" i="9" s="1"/>
  <c r="C575" i="9"/>
  <c r="D576" i="9" s="1"/>
  <c r="C576" i="9"/>
  <c r="D577" i="9" s="1"/>
  <c r="C577" i="9"/>
  <c r="D578" i="9" s="1"/>
  <c r="C578" i="9"/>
  <c r="D579" i="9" s="1"/>
  <c r="C579" i="9"/>
  <c r="D580" i="9" s="1"/>
  <c r="C580" i="9"/>
  <c r="D581" i="9" s="1"/>
  <c r="C581" i="9"/>
  <c r="D582" i="9" s="1"/>
  <c r="C582" i="9"/>
  <c r="D583" i="9" s="1"/>
  <c r="C583" i="9"/>
  <c r="D584" i="9" s="1"/>
  <c r="C584" i="9"/>
  <c r="D585" i="9" s="1"/>
  <c r="C585" i="9"/>
  <c r="D586" i="9" s="1"/>
  <c r="C586" i="9"/>
  <c r="D587" i="9" s="1"/>
  <c r="C587" i="9"/>
  <c r="D588" i="9" s="1"/>
  <c r="C588" i="9"/>
  <c r="D589" i="9" s="1"/>
  <c r="C589" i="9"/>
  <c r="D590" i="9" s="1"/>
  <c r="C590" i="9"/>
  <c r="D591" i="9" s="1"/>
  <c r="C591" i="9"/>
  <c r="D592" i="9" s="1"/>
  <c r="C592" i="9"/>
  <c r="D593" i="9" s="1"/>
  <c r="C593" i="9"/>
  <c r="D594" i="9" s="1"/>
  <c r="C594" i="9"/>
  <c r="D595" i="9" s="1"/>
  <c r="C595" i="9"/>
  <c r="D596" i="9" s="1"/>
  <c r="C596" i="9"/>
  <c r="D597" i="9" s="1"/>
  <c r="C597" i="9"/>
  <c r="D598" i="9" s="1"/>
  <c r="C598" i="9"/>
  <c r="D599" i="9" s="1"/>
  <c r="C599" i="9"/>
  <c r="D600" i="9" s="1"/>
  <c r="C600" i="9"/>
  <c r="D601" i="9" s="1"/>
  <c r="C601" i="9"/>
  <c r="D602" i="9" s="1"/>
  <c r="C602" i="9"/>
  <c r="D603" i="9" s="1"/>
  <c r="C603" i="9"/>
  <c r="D604" i="9" s="1"/>
  <c r="C604" i="9"/>
  <c r="D605" i="9" s="1"/>
  <c r="C605" i="9"/>
  <c r="D606" i="9" s="1"/>
  <c r="C606" i="9"/>
  <c r="D607" i="9" s="1"/>
  <c r="C607" i="9"/>
  <c r="D608" i="9" s="1"/>
  <c r="C608" i="9"/>
  <c r="D609" i="9" s="1"/>
  <c r="C609" i="9"/>
  <c r="D610" i="9" s="1"/>
  <c r="C610" i="9"/>
  <c r="D611" i="9" s="1"/>
  <c r="C611" i="9"/>
  <c r="D612" i="9" s="1"/>
  <c r="C612" i="9"/>
  <c r="D613" i="9" s="1"/>
  <c r="C613" i="9"/>
  <c r="D614" i="9" s="1"/>
  <c r="C614" i="9"/>
  <c r="D615" i="9" s="1"/>
  <c r="C615" i="9"/>
  <c r="D616" i="9" s="1"/>
  <c r="C616" i="9"/>
  <c r="D617" i="9" s="1"/>
  <c r="C617" i="9"/>
  <c r="D618" i="9" s="1"/>
  <c r="C618" i="9"/>
  <c r="D619" i="9" s="1"/>
  <c r="C619" i="9"/>
  <c r="D620" i="9" s="1"/>
  <c r="C620" i="9"/>
  <c r="D621" i="9" s="1"/>
  <c r="C621" i="9"/>
  <c r="D622" i="9" s="1"/>
  <c r="C622" i="9"/>
  <c r="D623" i="9" s="1"/>
  <c r="C623" i="9"/>
  <c r="D624" i="9" s="1"/>
  <c r="C624" i="9"/>
  <c r="D625" i="9" s="1"/>
  <c r="C625" i="9"/>
  <c r="D626" i="9" s="1"/>
  <c r="C626" i="9"/>
  <c r="D627" i="9" s="1"/>
  <c r="C627" i="9"/>
  <c r="D628" i="9" s="1"/>
  <c r="C628" i="9"/>
  <c r="D629" i="9" s="1"/>
  <c r="C629" i="9"/>
  <c r="D630" i="9" s="1"/>
  <c r="C630" i="9"/>
  <c r="D631" i="9" s="1"/>
  <c r="C631" i="9"/>
  <c r="D632" i="9" s="1"/>
  <c r="C632" i="9"/>
  <c r="D633" i="9" s="1"/>
  <c r="C633" i="9"/>
  <c r="D634" i="9" s="1"/>
  <c r="C634" i="9"/>
  <c r="D635" i="9" s="1"/>
  <c r="C635" i="9"/>
  <c r="D636" i="9" s="1"/>
  <c r="C636" i="9"/>
  <c r="D637" i="9" s="1"/>
  <c r="C637" i="9"/>
  <c r="D638" i="9" s="1"/>
  <c r="C638" i="9"/>
  <c r="D639" i="9" s="1"/>
  <c r="C639" i="9"/>
  <c r="D640" i="9" s="1"/>
  <c r="C640" i="9"/>
  <c r="D641" i="9" s="1"/>
  <c r="C641" i="9"/>
  <c r="D642" i="9" s="1"/>
  <c r="C642" i="9"/>
  <c r="D643" i="9" s="1"/>
  <c r="C643" i="9"/>
  <c r="D644" i="9" s="1"/>
  <c r="C644" i="9"/>
  <c r="D645" i="9" s="1"/>
  <c r="C645" i="9"/>
  <c r="D646" i="9" s="1"/>
  <c r="C646" i="9"/>
  <c r="D647" i="9" s="1"/>
  <c r="C647" i="9"/>
  <c r="D648" i="9" s="1"/>
  <c r="C648" i="9"/>
  <c r="D649" i="9" s="1"/>
  <c r="C649" i="9"/>
  <c r="D650" i="9" s="1"/>
  <c r="C650" i="9"/>
  <c r="D651" i="9" s="1"/>
  <c r="C651" i="9"/>
  <c r="D652" i="9" s="1"/>
  <c r="C652" i="9"/>
  <c r="D653" i="9" s="1"/>
  <c r="C653" i="9"/>
  <c r="D654" i="9" s="1"/>
  <c r="C654" i="9"/>
  <c r="D655" i="9" s="1"/>
  <c r="C655" i="9"/>
  <c r="D656" i="9" s="1"/>
  <c r="C656" i="9"/>
  <c r="D657" i="9" s="1"/>
  <c r="C657" i="9"/>
  <c r="D658" i="9" s="1"/>
  <c r="C658" i="9"/>
  <c r="D659" i="9" s="1"/>
  <c r="C659" i="9"/>
  <c r="D660" i="9" s="1"/>
  <c r="C660" i="9"/>
  <c r="D661" i="9" s="1"/>
  <c r="C661" i="9"/>
  <c r="D662" i="9" s="1"/>
  <c r="C662" i="9"/>
  <c r="D663" i="9" s="1"/>
  <c r="C663" i="9"/>
  <c r="D664" i="9" s="1"/>
  <c r="C664" i="9"/>
  <c r="D665" i="9" s="1"/>
  <c r="C665" i="9"/>
  <c r="D666" i="9" s="1"/>
  <c r="C666" i="9"/>
  <c r="D667" i="9" s="1"/>
  <c r="C667" i="9"/>
  <c r="D668" i="9" s="1"/>
  <c r="C668" i="9"/>
  <c r="D669" i="9" s="1"/>
  <c r="C669" i="9"/>
  <c r="D670" i="9" s="1"/>
  <c r="C670" i="9"/>
  <c r="D671" i="9" s="1"/>
  <c r="C671" i="9"/>
  <c r="D672" i="9" s="1"/>
  <c r="C672" i="9"/>
  <c r="D673" i="9" s="1"/>
  <c r="C673" i="9"/>
  <c r="D674" i="9" s="1"/>
  <c r="C674" i="9"/>
  <c r="D675" i="9" s="1"/>
  <c r="C675" i="9"/>
  <c r="D676" i="9" s="1"/>
  <c r="C676" i="9"/>
  <c r="D677" i="9" s="1"/>
  <c r="C677" i="9"/>
  <c r="D678" i="9" s="1"/>
  <c r="C678" i="9"/>
  <c r="D679" i="9" s="1"/>
  <c r="C679" i="9"/>
  <c r="D680" i="9" s="1"/>
  <c r="C680" i="9"/>
  <c r="D681" i="9" s="1"/>
  <c r="C681" i="9"/>
  <c r="D682" i="9" s="1"/>
  <c r="C682" i="9"/>
  <c r="D683" i="9" s="1"/>
  <c r="C683" i="9"/>
  <c r="D684" i="9" s="1"/>
  <c r="C684" i="9"/>
  <c r="D685" i="9" s="1"/>
  <c r="C685" i="9"/>
  <c r="D686" i="9" s="1"/>
  <c r="C686" i="9"/>
  <c r="D687" i="9" s="1"/>
  <c r="C687" i="9"/>
  <c r="D688" i="9" s="1"/>
  <c r="C688" i="9"/>
  <c r="D689" i="9" s="1"/>
  <c r="C689" i="9"/>
  <c r="D690" i="9" s="1"/>
  <c r="C690" i="9"/>
  <c r="D691" i="9" s="1"/>
  <c r="C691" i="9"/>
  <c r="D692" i="9" s="1"/>
  <c r="C692" i="9"/>
  <c r="D693" i="9" s="1"/>
  <c r="C693" i="9"/>
  <c r="D694" i="9" s="1"/>
  <c r="C694" i="9"/>
  <c r="D695" i="9" s="1"/>
  <c r="C695" i="9"/>
  <c r="D696" i="9" s="1"/>
  <c r="C696" i="9"/>
  <c r="D697" i="9" s="1"/>
  <c r="C697" i="9"/>
  <c r="D698" i="9" s="1"/>
  <c r="C698" i="9"/>
  <c r="D699" i="9" s="1"/>
  <c r="C699" i="9"/>
  <c r="D700" i="9" s="1"/>
  <c r="C700" i="9"/>
  <c r="D701" i="9" s="1"/>
  <c r="C701" i="9"/>
  <c r="D702" i="9" s="1"/>
  <c r="C702" i="9"/>
  <c r="D703" i="9" s="1"/>
  <c r="C703" i="9"/>
  <c r="D704" i="9" s="1"/>
  <c r="C704" i="9"/>
  <c r="D705" i="9" s="1"/>
  <c r="C705" i="9"/>
  <c r="D706" i="9" s="1"/>
  <c r="C706" i="9"/>
  <c r="D707" i="9" s="1"/>
  <c r="C707" i="9"/>
  <c r="D708" i="9" s="1"/>
  <c r="C708" i="9"/>
  <c r="D709" i="9" s="1"/>
  <c r="C709" i="9"/>
  <c r="D710" i="9" s="1"/>
  <c r="C710" i="9"/>
  <c r="D711" i="9" s="1"/>
  <c r="C711" i="9"/>
  <c r="D712" i="9" s="1"/>
  <c r="C712" i="9"/>
  <c r="D713" i="9" s="1"/>
  <c r="C713" i="9"/>
  <c r="D714" i="9" s="1"/>
  <c r="C714" i="9"/>
  <c r="D715" i="9" s="1"/>
  <c r="C715" i="9"/>
  <c r="D716" i="9" s="1"/>
  <c r="C716" i="9"/>
  <c r="D717" i="9" s="1"/>
  <c r="C717" i="9"/>
  <c r="D718" i="9" s="1"/>
  <c r="C718" i="9"/>
  <c r="D719" i="9" s="1"/>
  <c r="C719" i="9"/>
  <c r="D720" i="9" s="1"/>
  <c r="C720" i="9"/>
  <c r="D721" i="9" s="1"/>
  <c r="C721" i="9"/>
  <c r="D722" i="9" s="1"/>
  <c r="C722" i="9"/>
  <c r="D723" i="9" s="1"/>
  <c r="C723" i="9"/>
  <c r="D724" i="9" s="1"/>
  <c r="C724" i="9"/>
  <c r="D725" i="9" s="1"/>
  <c r="C725" i="9"/>
  <c r="D726" i="9" s="1"/>
  <c r="C726" i="9"/>
  <c r="D727" i="9" s="1"/>
  <c r="C727" i="9"/>
  <c r="D728" i="9" s="1"/>
  <c r="C728" i="9"/>
  <c r="D729" i="9" s="1"/>
  <c r="C729" i="9"/>
  <c r="D730" i="9" s="1"/>
  <c r="C730" i="9"/>
  <c r="D731" i="9" s="1"/>
  <c r="C731" i="9"/>
  <c r="D732" i="9" s="1"/>
  <c r="C732" i="9"/>
  <c r="D733" i="9" s="1"/>
  <c r="C733" i="9"/>
  <c r="D734" i="9" s="1"/>
  <c r="C734" i="9"/>
  <c r="D735" i="9" s="1"/>
  <c r="C735" i="9"/>
  <c r="D736" i="9" s="1"/>
  <c r="C736" i="9"/>
  <c r="D737" i="9" s="1"/>
  <c r="C737" i="9"/>
  <c r="D738" i="9" s="1"/>
  <c r="C738" i="9"/>
  <c r="D739" i="9" s="1"/>
  <c r="C739" i="9"/>
  <c r="D740" i="9" s="1"/>
  <c r="C740" i="9"/>
  <c r="D741" i="9" s="1"/>
  <c r="C741" i="9"/>
  <c r="D742" i="9" s="1"/>
  <c r="C742" i="9"/>
  <c r="D743" i="9" s="1"/>
  <c r="C743" i="9"/>
  <c r="D744" i="9" s="1"/>
  <c r="C744" i="9"/>
  <c r="D745" i="9" s="1"/>
  <c r="C745" i="9"/>
  <c r="D746" i="9" s="1"/>
  <c r="C746" i="9"/>
  <c r="D747" i="9" s="1"/>
  <c r="C747" i="9"/>
  <c r="D748" i="9" s="1"/>
  <c r="C748" i="9"/>
  <c r="D749" i="9" s="1"/>
  <c r="C749" i="9"/>
  <c r="D750" i="9" s="1"/>
  <c r="C750" i="9"/>
  <c r="D751" i="9" s="1"/>
  <c r="C751" i="9"/>
  <c r="D752" i="9" s="1"/>
  <c r="C752" i="9"/>
  <c r="D753" i="9" s="1"/>
  <c r="C753" i="9"/>
  <c r="D754" i="9" s="1"/>
  <c r="C754" i="9"/>
  <c r="D755" i="9" s="1"/>
  <c r="C755" i="9"/>
  <c r="D756" i="9" s="1"/>
  <c r="C756" i="9"/>
  <c r="D757" i="9" s="1"/>
  <c r="C757" i="9"/>
  <c r="D758" i="9" s="1"/>
  <c r="C758" i="9"/>
  <c r="D759" i="9" s="1"/>
  <c r="C759" i="9"/>
  <c r="D760" i="9" s="1"/>
  <c r="C760" i="9"/>
  <c r="D761" i="9" s="1"/>
  <c r="C761" i="9"/>
  <c r="D762" i="9" s="1"/>
  <c r="C762" i="9"/>
  <c r="D763" i="9" s="1"/>
  <c r="C763" i="9"/>
  <c r="D764" i="9" s="1"/>
  <c r="C764" i="9"/>
  <c r="D765" i="9" s="1"/>
  <c r="C765" i="9"/>
  <c r="D766" i="9" s="1"/>
  <c r="C766" i="9"/>
  <c r="D767" i="9" s="1"/>
  <c r="C767" i="9"/>
  <c r="D768" i="9" s="1"/>
  <c r="C768" i="9"/>
  <c r="D769" i="9" s="1"/>
  <c r="C769" i="9"/>
  <c r="D770" i="9" s="1"/>
  <c r="C770" i="9"/>
  <c r="D771" i="9" s="1"/>
  <c r="C771" i="9"/>
  <c r="D772" i="9" s="1"/>
  <c r="C772" i="9"/>
  <c r="D773" i="9" s="1"/>
  <c r="C773" i="9"/>
  <c r="D774" i="9" s="1"/>
  <c r="C774" i="9"/>
  <c r="D775" i="9" s="1"/>
  <c r="C775" i="9"/>
  <c r="D776" i="9" s="1"/>
  <c r="C776" i="9"/>
  <c r="D777" i="9" s="1"/>
  <c r="C777" i="9"/>
  <c r="D778" i="9" s="1"/>
  <c r="C778" i="9"/>
  <c r="D779" i="9" s="1"/>
  <c r="C779" i="9"/>
  <c r="D780" i="9" s="1"/>
  <c r="C780" i="9"/>
  <c r="D781" i="9" s="1"/>
  <c r="C781" i="9"/>
  <c r="D782" i="9" s="1"/>
  <c r="C782" i="9"/>
  <c r="D783" i="9" s="1"/>
  <c r="C783" i="9"/>
  <c r="D784" i="9" s="1"/>
  <c r="C784" i="9"/>
  <c r="D785" i="9" s="1"/>
  <c r="C785" i="9"/>
  <c r="D786" i="9" s="1"/>
  <c r="C786" i="9"/>
  <c r="D787" i="9" s="1"/>
  <c r="C787" i="9"/>
  <c r="D788" i="9" s="1"/>
  <c r="C788" i="9"/>
  <c r="D789" i="9" s="1"/>
  <c r="C789" i="9"/>
  <c r="D790" i="9" s="1"/>
  <c r="C790" i="9"/>
  <c r="D791" i="9" s="1"/>
  <c r="C791" i="9"/>
  <c r="D792" i="9" s="1"/>
  <c r="C792" i="9"/>
  <c r="D793" i="9" s="1"/>
  <c r="C793" i="9"/>
  <c r="D794" i="9" s="1"/>
  <c r="C794" i="9"/>
  <c r="D795" i="9" s="1"/>
  <c r="C795" i="9"/>
  <c r="D796" i="9" s="1"/>
  <c r="C796" i="9"/>
  <c r="D797" i="9" s="1"/>
  <c r="C797" i="9"/>
  <c r="D798" i="9" s="1"/>
  <c r="C798" i="9"/>
  <c r="D799" i="9" s="1"/>
  <c r="C799" i="9"/>
  <c r="D800" i="9" s="1"/>
  <c r="C800" i="9"/>
  <c r="D801" i="9" s="1"/>
  <c r="C801" i="9"/>
  <c r="D802" i="9" s="1"/>
  <c r="C802" i="9"/>
  <c r="D803" i="9" s="1"/>
  <c r="C803" i="9"/>
  <c r="D804" i="9" s="1"/>
  <c r="C804" i="9"/>
  <c r="D805" i="9" s="1"/>
  <c r="C805" i="9"/>
  <c r="D806" i="9" s="1"/>
  <c r="C806" i="9"/>
  <c r="D807" i="9" s="1"/>
  <c r="C807" i="9"/>
  <c r="D808" i="9" s="1"/>
  <c r="C808" i="9"/>
  <c r="D809" i="9" s="1"/>
  <c r="C809" i="9"/>
  <c r="D810" i="9" s="1"/>
  <c r="C810" i="9"/>
  <c r="D811" i="9" s="1"/>
  <c r="C811" i="9"/>
  <c r="D812" i="9" s="1"/>
  <c r="C812" i="9"/>
  <c r="D813" i="9" s="1"/>
  <c r="C813" i="9"/>
  <c r="D814" i="9" s="1"/>
  <c r="C814" i="9"/>
  <c r="D815" i="9" s="1"/>
  <c r="C815" i="9"/>
  <c r="D816" i="9" s="1"/>
  <c r="C816" i="9"/>
  <c r="D817" i="9" s="1"/>
  <c r="C817" i="9"/>
  <c r="D818" i="9" s="1"/>
  <c r="C818" i="9"/>
  <c r="D819" i="9" s="1"/>
  <c r="C819" i="9"/>
  <c r="D820" i="9" s="1"/>
  <c r="C820" i="9"/>
  <c r="D821" i="9" s="1"/>
  <c r="C821" i="9"/>
  <c r="D822" i="9" s="1"/>
  <c r="C822" i="9"/>
  <c r="D823" i="9" s="1"/>
  <c r="C823" i="9"/>
  <c r="D824" i="9" s="1"/>
  <c r="C824" i="9"/>
  <c r="D825" i="9" s="1"/>
  <c r="C825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</calcChain>
</file>

<file path=xl/sharedStrings.xml><?xml version="1.0" encoding="utf-8"?>
<sst xmlns="http://schemas.openxmlformats.org/spreadsheetml/2006/main" count="1282" uniqueCount="549">
  <si>
    <t>Image_001.jpg</t>
  </si>
  <si>
    <t>Image_004.png</t>
  </si>
  <si>
    <t>Image_007.png</t>
  </si>
  <si>
    <t>Image_010.png</t>
  </si>
  <si>
    <t>Image_013.png</t>
  </si>
  <si>
    <t>Image_016.png</t>
  </si>
  <si>
    <t>Image_019.png</t>
  </si>
  <si>
    <t>Image_022.png</t>
  </si>
  <si>
    <t>Image_025.png</t>
  </si>
  <si>
    <t>Image_028.jpg</t>
  </si>
  <si>
    <t>Image_031.jpg</t>
  </si>
  <si>
    <t>Image_034.png</t>
  </si>
  <si>
    <t>Image_037.png</t>
  </si>
  <si>
    <t>Image_040.png</t>
  </si>
  <si>
    <t>Image_043.jpg</t>
  </si>
  <si>
    <t>Image_046.png</t>
  </si>
  <si>
    <t>Image_049.png</t>
  </si>
  <si>
    <t>Image_052.jpg</t>
  </si>
  <si>
    <t>Image_056.png</t>
  </si>
  <si>
    <t>Image_060.png</t>
  </si>
  <si>
    <t>Image_063.png</t>
  </si>
  <si>
    <t>Image_066.jpg</t>
  </si>
  <si>
    <t>Image_069.png</t>
  </si>
  <si>
    <t>Image_072.jpg</t>
  </si>
  <si>
    <t>Image_075.jpg</t>
  </si>
  <si>
    <t>Image_078.png</t>
  </si>
  <si>
    <t>Image_081.png</t>
  </si>
  <si>
    <t>Image_085.png</t>
  </si>
  <si>
    <t>Image_089.png</t>
  </si>
  <si>
    <t>Image_092.png</t>
  </si>
  <si>
    <t>Image_095.png</t>
  </si>
  <si>
    <t>Image_098.png</t>
  </si>
  <si>
    <t>Image_101.png</t>
  </si>
  <si>
    <t>Image_104.png</t>
  </si>
  <si>
    <t>Image_107.png</t>
  </si>
  <si>
    <t>Image_110.png</t>
  </si>
  <si>
    <t>Image_113.jpg</t>
  </si>
  <si>
    <t>Image_117.jpg</t>
  </si>
  <si>
    <t>Image_121.png</t>
  </si>
  <si>
    <t>Image_124.png</t>
  </si>
  <si>
    <t>Image_128.png</t>
  </si>
  <si>
    <t>Image_131.png</t>
  </si>
  <si>
    <t>Image_134.png</t>
  </si>
  <si>
    <t>Image_137.png</t>
  </si>
  <si>
    <t>Image_140.png</t>
  </si>
  <si>
    <t>Image_143.png</t>
  </si>
  <si>
    <t>Image_146.png</t>
  </si>
  <si>
    <t>Image_150.png</t>
  </si>
  <si>
    <t>Image_153.png</t>
  </si>
  <si>
    <t>Image_158.jpg</t>
  </si>
  <si>
    <t>Image_161.png</t>
  </si>
  <si>
    <t>Image_164.jpg</t>
  </si>
  <si>
    <t>Image_167.png</t>
  </si>
  <si>
    <t>Image_170.jpg</t>
  </si>
  <si>
    <t>Image_173.png</t>
  </si>
  <si>
    <t>Image_176.png</t>
  </si>
  <si>
    <t>Image_179.png</t>
  </si>
  <si>
    <t>Image_182.png</t>
  </si>
  <si>
    <t>Image_185.jpg</t>
  </si>
  <si>
    <t>Image_188.png</t>
  </si>
  <si>
    <t>Image_191.png</t>
  </si>
  <si>
    <t>Image_194.jpg</t>
  </si>
  <si>
    <t>Image_197.png</t>
  </si>
  <si>
    <t>Image_200.png</t>
  </si>
  <si>
    <t>Image_203.png</t>
  </si>
  <si>
    <t>Image_206.png</t>
  </si>
  <si>
    <t>Image_209.png</t>
  </si>
  <si>
    <t>Image_212.png</t>
  </si>
  <si>
    <t>Image_216.png</t>
  </si>
  <si>
    <t>Image_221.png</t>
  </si>
  <si>
    <t>Image_224.png</t>
  </si>
  <si>
    <t>Image_227.png</t>
  </si>
  <si>
    <t>Image_230.png</t>
  </si>
  <si>
    <t>Image_233.png</t>
  </si>
  <si>
    <t>Image_236.png</t>
  </si>
  <si>
    <t>Image_239.png</t>
  </si>
  <si>
    <t>Image_242.png</t>
  </si>
  <si>
    <t>Image_245.png</t>
  </si>
  <si>
    <t>Image_248.png</t>
  </si>
  <si>
    <t>Image_251.png</t>
  </si>
  <si>
    <t>Image_254.png</t>
  </si>
  <si>
    <t>Image_257.png</t>
  </si>
  <si>
    <t>Image_260.png</t>
  </si>
  <si>
    <t>Image_263.png</t>
  </si>
  <si>
    <t>Image_266.png</t>
  </si>
  <si>
    <t>Image_269.png</t>
  </si>
  <si>
    <t>Image_272.png</t>
  </si>
  <si>
    <t>Image_275.png</t>
  </si>
  <si>
    <t>Image_278.png</t>
  </si>
  <si>
    <t>Image_281.png</t>
  </si>
  <si>
    <t>Image_285.png</t>
  </si>
  <si>
    <t>4” Long Teardrop</t>
  </si>
  <si>
    <t>S, M, L, XL</t>
  </si>
  <si>
    <t>61432BH THE ARCHITECT</t>
  </si>
  <si>
    <t>6 7/8, 7, 7 1/8, 7 1/4, 7 3/8, 7 1/2, 7 5/8</t>
  </si>
  <si>
    <t>61430BH TRINELL</t>
  </si>
  <si>
    <t>Superior Fur Felt</t>
  </si>
  <si>
    <t>61442BH NILSON</t>
  </si>
  <si>
    <t>2 7/8” Brim</t>
  </si>
  <si>
    <t>Black Dipped Nail</t>
  </si>
  <si>
    <t>Japanese Grosgrain Trim</t>
  </si>
  <si>
    <t>Genuine Leather Sweatband</t>
  </si>
  <si>
    <t>Fully Lined</t>
  </si>
  <si>
    <t>Copper Slate Uniform Green</t>
  </si>
  <si>
    <t>6140 DRAPER III</t>
  </si>
  <si>
    <t>5 1/4” Pinch Front Crown</t>
  </si>
  <si>
    <t>2 1/4” Snap Brim</t>
  </si>
  <si>
    <t>Black Charcoal Cognac Olive</t>
  </si>
  <si>
    <t>61433BH CAVALIER</t>
  </si>
  <si>
    <t>4 3/4” Raised Front Teardrop Crown</t>
  </si>
  <si>
    <t>2 5/8” Brim</t>
  </si>
  <si>
    <t>Black Maple</t>
  </si>
  <si>
    <t>61424BH RALAT</t>
  </si>
  <si>
    <t>3” Snap Brim</t>
  </si>
  <si>
    <t>Vintage Flooring Nail</t>
  </si>
  <si>
    <t>Fine Woven Sweatband</t>
  </si>
  <si>
    <t>Black Charcoal</t>
  </si>
  <si>
    <t>4 1/2” Cattleman Crown</t>
  </si>
  <si>
    <t>Black Buckskin</t>
  </si>
  <si>
    <t>4 1/2” Raised Front Teardrop Crown</t>
  </si>
  <si>
    <t>2 3/4” Brim</t>
  </si>
  <si>
    <t>Lambskin Leather Pug Band with Metal Tip</t>
  </si>
  <si>
    <t>Removable Feather</t>
  </si>
  <si>
    <t>Black Light Mink</t>
  </si>
  <si>
    <t>61428BH GIRVIN</t>
  </si>
  <si>
    <t>4” Long Teardrop Crown</t>
  </si>
  <si>
    <t>3” Brim</t>
  </si>
  <si>
    <t>Black Chocolate</t>
  </si>
  <si>
    <t>Fur Velour</t>
  </si>
  <si>
    <t>Aubergine Black Mink</t>
  </si>
  <si>
    <t>61426BH AUMAN</t>
  </si>
  <si>
    <t>Black</t>
  </si>
  <si>
    <t>THE COLVIN in uniform green color.</t>
  </si>
  <si>
    <t>Superfine Velour Finish</t>
  </si>
  <si>
    <t>Narrow Leather Band with Thick Topstitch</t>
  </si>
  <si>
    <t>Black Nickel Soft Khaki Stucco</t>
  </si>
  <si>
    <t>37189BH GODWIN</t>
  </si>
  <si>
    <t>Black Eggplant Lazuli Blue Oak Taupe</t>
  </si>
  <si>
    <t>37190BH TREVEL</t>
  </si>
  <si>
    <t>Black Copper Nickel</t>
  </si>
  <si>
    <t>THE COLVER in honey color.</t>
  </si>
  <si>
    <t>Beaver Finish</t>
  </si>
  <si>
    <t>Black Nickel Oak</t>
  </si>
  <si>
    <t>30003BH LANG</t>
  </si>
  <si>
    <t>4 1/4” Teardrop Crown</t>
  </si>
  <si>
    <t>Avion Black Uniform Green</t>
  </si>
  <si>
    <t>37192BH CROFT</t>
  </si>
  <si>
    <t>4” Outdoorsman Crown</t>
  </si>
  <si>
    <t>Black Copper Taupe</t>
  </si>
  <si>
    <t>37191BH LEVON</t>
  </si>
  <si>
    <t>4” Telescope Crown</t>
  </si>
  <si>
    <t>Elite Velour Finish</t>
  </si>
  <si>
    <t>Black Lazuli Blue Oak</t>
  </si>
  <si>
    <t>Black Lazuli Blue Uniform Green</t>
  </si>
  <si>
    <t>20001BH COLVER</t>
  </si>
  <si>
    <t>Elite Stiffened Finish</t>
  </si>
  <si>
    <t>Avion Black Chestnut</t>
  </si>
  <si>
    <t>Greige Honey Ochre Silver Lining</t>
  </si>
  <si>
    <t>37172BH BOGAN</t>
  </si>
  <si>
    <t>Elite Finish</t>
  </si>
  <si>
    <t>Almond Black Camel</t>
  </si>
  <si>
    <t>Peacoat Plaza Taupe Saddle Steel</t>
  </si>
  <si>
    <t>20007BH CLORINDON</t>
  </si>
  <si>
    <t>Wide Japanese Grosgrain Band</t>
  </si>
  <si>
    <t>Black Unbleached</t>
  </si>
  <si>
    <t>S, M, L, XL, XXL</t>
  </si>
  <si>
    <t>Avion Black Soft Khaki</t>
  </si>
  <si>
    <t>20006BH DEVERS</t>
  </si>
  <si>
    <t>Black Camel Oak Stucco</t>
  </si>
  <si>
    <t>30002BH BARKSDALE</t>
  </si>
  <si>
    <t>Polished Elite Stiffened Finish</t>
  </si>
  <si>
    <t>Beech Black Whiskey</t>
  </si>
  <si>
    <t>37173BH AMMON</t>
  </si>
  <si>
    <t>Almond Black Camel Henna</t>
  </si>
  <si>
    <t>37171BH WINTERS</t>
  </si>
  <si>
    <t>30001BH WALSH</t>
  </si>
  <si>
    <t>Black Plaza Taupe</t>
  </si>
  <si>
    <t>37186BH ERNEST</t>
  </si>
  <si>
    <t>Black Midnight Brown Unbleached</t>
  </si>
  <si>
    <t>Navy Serpent Walnut</t>
  </si>
  <si>
    <t>37158BH BRANDT</t>
  </si>
  <si>
    <t>S, M, L, XL, XXL, XXXL</t>
  </si>
  <si>
    <t>4” Outback Crown</t>
  </si>
  <si>
    <t>Avion Black</t>
  </si>
  <si>
    <t>70658BH MOLIN</t>
  </si>
  <si>
    <t>Black Oak</t>
  </si>
  <si>
    <t>70659BH COLVIN</t>
  </si>
  <si>
    <t>Black Honey Uniform Green</t>
  </si>
  <si>
    <t>70660BH ERLER</t>
  </si>
  <si>
    <t>LiteFelt®</t>
  </si>
  <si>
    <t>70655BH LUND</t>
  </si>
  <si>
    <t>Black Ochre</t>
  </si>
  <si>
    <t>7006 BRIAR</t>
  </si>
  <si>
    <t>4 1/2” Teardrop Crown</t>
  </si>
  <si>
    <t>Black Unbleached Woodland Mix</t>
  </si>
  <si>
    <t>7034 BLIXEN</t>
  </si>
  <si>
    <t>Avion</t>
  </si>
  <si>
    <t>70613BH SPERLING</t>
  </si>
  <si>
    <t>Bluestone Serpent Woodland Mix</t>
  </si>
  <si>
    <t>7005 CURTIS</t>
  </si>
  <si>
    <t>Antique Black Contrapposto Grey Navy</t>
  </si>
  <si>
    <t>Sea Breeze Serpent Speckled Egg Mix Uniform Green Vintage Blue</t>
  </si>
  <si>
    <t>7021 DARRON</t>
  </si>
  <si>
    <t>Black Caramel Gun Metal Satin Brass Soft Khaki</t>
  </si>
  <si>
    <t>70653BH BURNELL</t>
  </si>
  <si>
    <t>Natural Mix Ochre</t>
  </si>
  <si>
    <t>7002 FEDORA</t>
  </si>
  <si>
    <t>Black Graphite Nickel Red</t>
  </si>
  <si>
    <t>70654BH TREPORT</t>
  </si>
  <si>
    <t>Ink Blue Olive Mix Rust</t>
  </si>
  <si>
    <t>70646BH NELLES</t>
  </si>
  <si>
    <t>Black Camel Pale Olive Whiskey</t>
  </si>
  <si>
    <t>70652BH MARACK</t>
  </si>
  <si>
    <t>Black Oxford Mix</t>
  </si>
  <si>
    <t>7016 WYNN</t>
  </si>
  <si>
    <t>Black Cognac Olive Mix</t>
  </si>
  <si>
    <t>Oxblood Pewter Serpent Silverbelly</t>
  </si>
  <si>
    <t>7055 ATMORE</t>
  </si>
  <si>
    <t>Medium Brown Mix</t>
  </si>
  <si>
    <t>7001 TINO</t>
  </si>
  <si>
    <t>Basalt Black Black Mix Brown</t>
  </si>
  <si>
    <t>Contrapposto Copper Natural Mix Navy Port</t>
  </si>
  <si>
    <t>Red Satin Brass Sea Breeze Unbleached Vintage Blue</t>
  </si>
  <si>
    <t>Wool Felt</t>
  </si>
  <si>
    <t>Black Cognac Fawn</t>
  </si>
  <si>
    <t>38359BH TROPE</t>
  </si>
  <si>
    <t>Black Uniform Green</t>
  </si>
  <si>
    <t>38368BH CYD</t>
  </si>
  <si>
    <t>Avion Black Whiskey</t>
  </si>
  <si>
    <t>38366BH THALER</t>
  </si>
  <si>
    <t>Black Nickel Uniform Green</t>
  </si>
  <si>
    <t>Black Lazuli Blue Mink Ochre</t>
  </si>
  <si>
    <t>3814 GANGSTER</t>
  </si>
  <si>
    <t>38345BH MAGLOR</t>
  </si>
  <si>
    <t>Black Chocolate Forest Navy</t>
  </si>
  <si>
    <t>3817 GODFATHER</t>
  </si>
  <si>
    <t>Homburg Crown</t>
  </si>
  <si>
    <t>Bitter Chocolate Black Mink Night Shade Navy</t>
  </si>
  <si>
    <t>38357BH KISNER</t>
  </si>
  <si>
    <t>Stiffened Wool Felt</t>
  </si>
  <si>
    <t>Black Silver Sand</t>
  </si>
  <si>
    <t>38350BH PISTON</t>
  </si>
  <si>
    <t>Black Caramel Navy Olive</t>
  </si>
  <si>
    <t>10001BH BRODNAX</t>
  </si>
  <si>
    <t>Black Olive Oil Plaza Taupe</t>
  </si>
  <si>
    <t>Ochre Soft Khaki</t>
  </si>
  <si>
    <t>38349BH KLAXON</t>
  </si>
  <si>
    <t>Black Navy</t>
  </si>
  <si>
    <t>1451 JETT</t>
  </si>
  <si>
    <t>4” Porkpie Crown</t>
  </si>
  <si>
    <t>6 3/4, 6 7/8, 7, 7 1/8, 7 1/4, 7 3/8, 7 1/2, 7 5/8</t>
  </si>
  <si>
    <t>4 1/2” Derby Crown</t>
  </si>
  <si>
    <t>Black Brown White</t>
  </si>
  <si>
    <t>1452 HARKER</t>
  </si>
  <si>
    <t>Black Hemlock</t>
  </si>
  <si>
    <t>3813 ICE</t>
  </si>
  <si>
    <t>5” Tall Crown</t>
  </si>
  <si>
    <t>BRAID</t>
  </si>
  <si>
    <t>Braid</t>
  </si>
  <si>
    <t>Birch Black Coconut Deep Red Espresso</t>
  </si>
  <si>
    <t>Fog Latte Navy Static Tan</t>
  </si>
  <si>
    <t>81690 MANNES</t>
  </si>
  <si>
    <t>Brown Multi</t>
  </si>
  <si>
    <t>Navy Multi Nordic Multi Overcast Skydiver Woods Multi</t>
  </si>
  <si>
    <t>CAPS</t>
  </si>
  <si>
    <t>25550BH DERIN</t>
  </si>
  <si>
    <t>Black Blue Bronze</t>
  </si>
  <si>
    <t>25552BH CLAUD</t>
  </si>
  <si>
    <t>25553BH ABEL</t>
  </si>
  <si>
    <t>Classic Flat Cap</t>
  </si>
  <si>
    <t>Copper Green Grey</t>
  </si>
  <si>
    <t>Oak Plaid</t>
  </si>
  <si>
    <t>25555BH APOSTO</t>
  </si>
  <si>
    <t>Beige Stripe Black Stripe Avion Stripe</t>
  </si>
  <si>
    <t>25551BH FOSTER</t>
  </si>
  <si>
    <t>Avion Black Oak</t>
  </si>
  <si>
    <t>THE FOSTER in oak color.</t>
  </si>
  <si>
    <t>Avion Plaid Oak Twill Uniform Green Plaid</t>
  </si>
  <si>
    <t>25557BH BRUNE</t>
  </si>
  <si>
    <t>Avion Grey</t>
  </si>
  <si>
    <t>25558BH FURMAN</t>
  </si>
  <si>
    <t>Blue Plaid Copper Plaid Uniform Green Plaid</t>
  </si>
  <si>
    <t>25150BH REFFELL</t>
  </si>
  <si>
    <t>Black Copper</t>
  </si>
  <si>
    <t>1365 GRAHAM</t>
  </si>
  <si>
    <t>5 Panel Cap</t>
  </si>
  <si>
    <t>Black Chino Navy Tan</t>
  </si>
  <si>
    <t>25440 ORMOND</t>
  </si>
  <si>
    <t>Black Paid Brown Herringbone</t>
  </si>
  <si>
    <t>25111 LAZAR</t>
  </si>
  <si>
    <t>Dark Coffee</t>
  </si>
  <si>
    <t>25101 STOCKTON</t>
  </si>
  <si>
    <t>Ivy Cap</t>
  </si>
  <si>
    <t>25102 TAXTEN</t>
  </si>
  <si>
    <t>Brown</t>
  </si>
  <si>
    <t>25100 NOCLIN</t>
  </si>
  <si>
    <t>25141BH BRODIE</t>
  </si>
  <si>
    <t>Trapper</t>
  </si>
  <si>
    <t>Marl Black Navy Plaid</t>
  </si>
  <si>
    <t>25119 VERNON</t>
  </si>
  <si>
    <t>Black Brown</t>
  </si>
  <si>
    <t>25105 VEGA</t>
  </si>
  <si>
    <t>1369 JACKMAN</t>
  </si>
  <si>
    <t>Black Burgundy</t>
  </si>
  <si>
    <t>1362 DALTON</t>
  </si>
  <si>
    <t>Ink Blue Plaza Taupe</t>
  </si>
  <si>
    <t>Black Nickel Satin Brass Uniform Green</t>
  </si>
  <si>
    <t>Navy Nickel Satin Brass Silverbelly Vintage Blue</t>
  </si>
  <si>
    <t>47009BH FLUME</t>
  </si>
  <si>
    <t>37188BH COLBY</t>
  </si>
  <si>
    <t>20009BH COLTER</t>
  </si>
  <si>
    <t>37193BH CONLON</t>
  </si>
  <si>
    <t>37180BH STEDMAN</t>
  </si>
  <si>
    <t>37185BH ELLETT</t>
  </si>
  <si>
    <t>37161BH PERRY</t>
  </si>
  <si>
    <t>70657BH FALCON</t>
  </si>
  <si>
    <t>70656BH ACKER</t>
  </si>
  <si>
    <t>38367BH NIALL</t>
  </si>
  <si>
    <t>7100 RIFF</t>
  </si>
  <si>
    <t>71001BH CRISS</t>
  </si>
  <si>
    <t>38358BH STERNE</t>
  </si>
  <si>
    <t>3816 DERBY</t>
  </si>
  <si>
    <t>81670 BILLY</t>
  </si>
  <si>
    <t>25554BH LOU</t>
  </si>
  <si>
    <t>25556BH GRIFF</t>
  </si>
  <si>
    <t>25548BH FINNEGAN</t>
  </si>
  <si>
    <t>Smooth Natural Lambskin Trim with Feather</t>
  </si>
  <si>
    <t>Chain Link Detail</t>
  </si>
  <si>
    <t>4 1/2” Fedora Crown</t>
  </si>
  <si>
    <t>2 5/8” Snap Brim</t>
  </si>
  <si>
    <t>Leather Cord Knot at Crosspiece with Removable Feather</t>
  </si>
  <si>
    <t>3” Flat Brim</t>
  </si>
  <si>
    <t>Leather Band with Double Triangle Fold</t>
  </si>
  <si>
    <t>Japanese Grosgrain Geometric Band</t>
  </si>
  <si>
    <t>18 19</t>
  </si>
  <si>
    <t>4” Center Dent Crown</t>
  </si>
  <si>
    <t>2” Snap Brim</t>
  </si>
  <si>
    <t>3” Brim with Bound Edge</t>
  </si>
  <si>
    <t>Heathered Ribbon Overlay with Knotted End</t>
  </si>
  <si>
    <t>Leather Sweatband</t>
  </si>
  <si>
    <t>3 1/4” Brim with Slight Curl</t>
  </si>
  <si>
    <t>Thin Japanese Grosgrain Ribbon Band</t>
  </si>
  <si>
    <t>Japanese Grosgrain Band overlaid with Ostrich Leather Band</t>
  </si>
  <si>
    <t>Japanese Grosgrain Trim with Vintage Flooring Nail</t>
  </si>
  <si>
    <t>Drilex® Sweatband</t>
  </si>
  <si>
    <t>5 1/4” Raised Front Teardrop Crown</t>
  </si>
  <si>
    <t>3” Flat Brim with Underbrim Color Accent</t>
  </si>
  <si>
    <t>Stacked Japanese Grosgrain Ribbon Band</t>
  </si>
  <si>
    <t>3” Flat Brim with Double Wrapped Leather Band</t>
  </si>
  <si>
    <t>Velvet Band with Contrast Tipped Crosspiece</t>
  </si>
  <si>
    <t>20 21</t>
  </si>
  <si>
    <t>Leather Double Wrap Band</t>
  </si>
  <si>
    <t>4” Rounded Pork Pie Crown</t>
  </si>
  <si>
    <t>Goatskin Leather Sweatband</t>
  </si>
  <si>
    <t>4” Sever Pinch Front Crown</t>
  </si>
  <si>
    <t>2 3/8” Snap Brim</t>
  </si>
  <si>
    <t>Japanese Wide Grosgrain Trim Folded with Pleated End Piece</t>
  </si>
  <si>
    <t>Polished Elite Finish</t>
  </si>
  <si>
    <t>Wide Japanese Grosgrain Band with Contrast Stripe at Crosspiece</t>
  </si>
  <si>
    <t>Cream Dipped Nail</t>
  </si>
  <si>
    <t>2 7/8” Turn Down Brim</t>
  </si>
  <si>
    <t>3 1/4” Hand Curled Brim</t>
  </si>
  <si>
    <t>Japanese Herringbone Ribbon Trim with Metal Clamp</t>
  </si>
  <si>
    <t>Pebbled Leather Band with Buckle Detail</t>
  </si>
  <si>
    <t>2 1/2”” Turn Down Brim</t>
  </si>
  <si>
    <t>Lanolux®</t>
  </si>
  <si>
    <t>Natural Leather Trim</t>
  </si>
  <si>
    <t>Black Black Mix Bluestone Walnut</t>
  </si>
  <si>
    <t>2 1/2” Snap Brim</t>
  </si>
  <si>
    <t>Dual Color Suede Band with Whip Stitch Detail</t>
  </si>
  <si>
    <t>Thin Metal Detail on Each Side</t>
  </si>
  <si>
    <t>Comfort Sweatband</t>
  </si>
  <si>
    <t>Basalt</t>
  </si>
  <si>
    <t>Black Cognac Copper Medium Brown Mix</t>
  </si>
  <si>
    <t>3” Contour Turn Down Brim</t>
  </si>
  <si>
    <t>Suede Braid Cording with Metal Ends</t>
  </si>
  <si>
    <t>3” Turn Down Brim</t>
  </si>
  <si>
    <t>Japanese Ribbon with Leather Band Overlay</t>
  </si>
  <si>
    <t>Japanese Grograin Band with a Two Tone Leather Band</t>
  </si>
  <si>
    <t>Thin Double Wrapped Leather Band</t>
  </si>
  <si>
    <t>4” Severe Pinch Front Crown</t>
  </si>
  <si>
    <t>Partial Grosgrain Band</t>
  </si>
  <si>
    <t>Pinch Stitching on Crown</t>
  </si>
  <si>
    <t>4 1/2” Telescope Crown</t>
  </si>
  <si>
    <t>1 1/2” Snap</t>
  </si>
  <si>
    <t>4” Low Profile Pinch Front Crown</t>
  </si>
  <si>
    <t>2 1/2” Turn Down Brim</t>
  </si>
  <si>
    <t>Japanese Double Layered Ribbon Band</t>
  </si>
  <si>
    <t>4” Low Teardrop Crown</t>
  </si>
  <si>
    <t>Two Tone Braided Leather Cord Trim</t>
  </si>
  <si>
    <t>Moisture Wicking Sweatband</t>
  </si>
  <si>
    <t>Aged Suede Band with Metal Trim</t>
  </si>
  <si>
    <t>Japanese Ribbon with Two Slot Crosspiece</t>
  </si>
  <si>
    <t>Feather inserted into Slots</t>
  </si>
  <si>
    <t>1 3/4” Contour Snap Brim</t>
  </si>
  <si>
    <t>2 1/4” Brim</t>
  </si>
  <si>
    <t>Hand Torched LiteFelt®</t>
  </si>
  <si>
    <t>35 WOOL FELT</t>
  </si>
  <si>
    <t>4” Brim</t>
  </si>
  <si>
    <t>Narrow Two Tone Japanese Grograin Trim</t>
  </si>
  <si>
    <t>2 1/2” Bound Brim</t>
  </si>
  <si>
    <t>No Band</t>
  </si>
  <si>
    <t>Bailey Oval Pin</t>
  </si>
  <si>
    <t>Pug Band</t>
  </si>
  <si>
    <t>2 3/4” Roll Brim with Binding</t>
  </si>
  <si>
    <t>1 1/2” Brim</t>
  </si>
  <si>
    <t>Grosgrain Trim</t>
  </si>
  <si>
    <t>Polished Wool Felt</t>
  </si>
  <si>
    <t>3 1/4” Brim</t>
  </si>
  <si>
    <t>Vegan Leather Bolo Cord</t>
  </si>
  <si>
    <t>5 1/2” Open Crown</t>
  </si>
  <si>
    <t>Laser Etched Design at Center Back</t>
  </si>
  <si>
    <t>Logo Metal Staple</t>
  </si>
  <si>
    <t>4 1/2” Moldable Crown</t>
  </si>
  <si>
    <t>2 1/2” Brim</t>
  </si>
  <si>
    <t>Moldable Wool Felt Finish</t>
  </si>
  <si>
    <t>Japanese Grosgrain Ribbon</t>
  </si>
  <si>
    <t>Overlaid with Laced Leather Band</t>
  </si>
  <si>
    <t>Japanese Grosgrain Ribbon with Double Folded Loop</t>
  </si>
  <si>
    <t>Braided Leather Cord Overlay with Metal Ends</t>
  </si>
  <si>
    <t>2” Brim</t>
  </si>
  <si>
    <t>1 1/2” Stingy Rolled Brim</t>
  </si>
  <si>
    <t>2 1/8” Roll Brim with Binding</t>
  </si>
  <si>
    <t>3 3/4” Teardrop Crown</t>
  </si>
  <si>
    <t>1 5/8” Snap Brim</t>
  </si>
  <si>
    <t>Contrast Rope Grosgrain Band</t>
  </si>
  <si>
    <t>Charcoal Multi</t>
  </si>
  <si>
    <t>Cement Multi Deep Red Multi Light Grey Multi Natural Multi</t>
  </si>
  <si>
    <t>Paneled Contour Fit</t>
  </si>
  <si>
    <t>Double Pinch Pleat Center Front</t>
  </si>
  <si>
    <t>Wool Blend</t>
  </si>
  <si>
    <t>8/4 Cap</t>
  </si>
  <si>
    <t>Convertible Earflaps</t>
  </si>
  <si>
    <t>Contour 5 Panel Cap</t>
  </si>
  <si>
    <t>Contour 8 Panel</t>
  </si>
  <si>
    <t>Water Resistant Poplin Fabric</t>
  </si>
  <si>
    <t>Leather</t>
  </si>
  <si>
    <t>Burnished Lambskin Leather</t>
  </si>
  <si>
    <t>Genuine Leather</t>
  </si>
  <si>
    <t>Grosgrain Sweatband</t>
  </si>
  <si>
    <t>51 OUTDOORS</t>
  </si>
  <si>
    <t>Lambskin Leather / Faux Fur</t>
  </si>
  <si>
    <t>100% Viscose / Faux Fur</t>
  </si>
  <si>
    <t>Genuine Lambskin Leather / Rabbit Fur</t>
  </si>
  <si>
    <t>Hand Stitched Crown Detail</t>
  </si>
  <si>
    <t>4 1/2” Safari Crease Crown</t>
  </si>
  <si>
    <t>2 3/4” Turn Down Brim</t>
  </si>
  <si>
    <t>4” Low Pinch Front Crown</t>
  </si>
  <si>
    <t>2 1/8” Brim</t>
  </si>
  <si>
    <t>4oz. LiteFelt®</t>
  </si>
  <si>
    <t>Vegan Leather Trim</t>
  </si>
  <si>
    <t>Roll Up / Packable</t>
  </si>
  <si>
    <t>Includes Dust Bag</t>
  </si>
  <si>
    <t>Charcoal Dk. Brown Navy</t>
  </si>
  <si>
    <t>Vanilla Bean</t>
  </si>
  <si>
    <t>Black,Charcoal,Cognac,Olive</t>
  </si>
  <si>
    <t>Black,Maple</t>
  </si>
  <si>
    <t>Black,Charcoal</t>
  </si>
  <si>
    <t>Black,Buckskin</t>
  </si>
  <si>
    <t>Black,Chocolate</t>
  </si>
  <si>
    <t>Aubergine,Black,Mink</t>
  </si>
  <si>
    <t>Black,Copper,Nickel</t>
  </si>
  <si>
    <t>Black,Unbleached</t>
  </si>
  <si>
    <t>Black,Copper,Taupe</t>
  </si>
  <si>
    <t>Black,Nickel,Oak</t>
  </si>
  <si>
    <t>Black,Camel,Oak,Stucco</t>
  </si>
  <si>
    <t>Beech,Black,Whiskey</t>
  </si>
  <si>
    <t>Navy,Serpent,Walnut</t>
  </si>
  <si>
    <t>Black,Ochre</t>
  </si>
  <si>
    <t>Black,Oak</t>
  </si>
  <si>
    <t>Avion,Black</t>
  </si>
  <si>
    <t>Black,Graphite,Nickel,Red</t>
  </si>
  <si>
    <t>Oxblood,Pewter,Serpent,Silverbelly</t>
  </si>
  <si>
    <t>Black,Cognac,Fawn</t>
  </si>
  <si>
    <t>Avion,Black,Whiskey</t>
  </si>
  <si>
    <t>Black,Chocolate,Forest,Navy</t>
  </si>
  <si>
    <t>Black,Caramel,Navy,Olive</t>
  </si>
  <si>
    <t>Black,Navy</t>
  </si>
  <si>
    <t>Black,Hemlock</t>
  </si>
  <si>
    <t>Fog,Latte,Navy,Static,Tan</t>
  </si>
  <si>
    <t>Black,Blue,Bronze</t>
  </si>
  <si>
    <t>Copper,Green,Grey</t>
  </si>
  <si>
    <t>Avion,Black,Oak</t>
  </si>
  <si>
    <t>Beige,Stripe,Black,Stripe,Avion,Stripe</t>
  </si>
  <si>
    <t>Oak,Plaid</t>
  </si>
  <si>
    <t>Black,Paid,Brown,Herringbone</t>
  </si>
  <si>
    <t>Avion,Grey</t>
  </si>
  <si>
    <t>Black,Chino,Navy,Tan</t>
  </si>
  <si>
    <t>Black,Copper</t>
  </si>
  <si>
    <t>Dark,Coffee</t>
  </si>
  <si>
    <t>Marl,Black,Navy,Plaid</t>
  </si>
  <si>
    <t>Black,Brown</t>
  </si>
  <si>
    <t>Charcoal,Dk.,Brown,Navy</t>
  </si>
  <si>
    <t>Copper,Slate,Uniform Green</t>
  </si>
  <si>
    <t>Avion,Black,Uniform Green</t>
  </si>
  <si>
    <t>Black,Honey,Uniform Green</t>
  </si>
  <si>
    <t>Black,Uniform Green</t>
  </si>
  <si>
    <t>Black,Nickel,Uniform Green</t>
  </si>
  <si>
    <t>Blue,Plaid,Copper,Plaid,Uniform Green,Plaid</t>
  </si>
  <si>
    <t>Avion,Plaid,Oak,Twill,Uniform Green,Plaid</t>
  </si>
  <si>
    <t>Black,Light Mink</t>
  </si>
  <si>
    <t>Black,Eggplant,Lazuli Blue,Oak,Taupe</t>
  </si>
  <si>
    <t>Black,Lazuli Blue,Uniform Green</t>
  </si>
  <si>
    <t>Black,Lazuli Blue,Oak</t>
  </si>
  <si>
    <t>Black,Lazuli Blue,Mink,Ochre</t>
  </si>
  <si>
    <t>Black,Nickel,Soft Khaki,Stucco</t>
  </si>
  <si>
    <t>Avion,Black,Soft Khaki</t>
  </si>
  <si>
    <t>Ochre,Soft Khaki</t>
  </si>
  <si>
    <t>Peacoat,Plaza Taupe,Saddle,Steel</t>
  </si>
  <si>
    <t>Black,Plaza Taupe</t>
  </si>
  <si>
    <t>Black,Olive,Oil,Plaza Taupe</t>
  </si>
  <si>
    <t>Ink Blue,Plaza Taupe</t>
  </si>
  <si>
    <t>Black,Black Mix,Bluestone,Walnut</t>
  </si>
  <si>
    <t>Black,Nickel,Satin Brass,Uniform Green</t>
  </si>
  <si>
    <t>Black,Unbleached,Woodland Mix</t>
  </si>
  <si>
    <t>Bluestone,Serpent,Woodland Mix</t>
  </si>
  <si>
    <t>Navy,Nickel,Satin Brass,Silverbelly,Vintage Blue</t>
  </si>
  <si>
    <t>Sea Breeze,Serpent,Speckled Egg Mix,Uniform Green,Vintage Blue</t>
  </si>
  <si>
    <t>Natural Mix,Ochre</t>
  </si>
  <si>
    <t>Contrapposto,Copper,Natural Mix,Navy,Port</t>
  </si>
  <si>
    <t>Greige,Honey,Ochre,Silver Lining</t>
  </si>
  <si>
    <t>Black,Midnight Brown,Unbleached</t>
  </si>
  <si>
    <t>Ink Blue,Olive Mix,Rust</t>
  </si>
  <si>
    <t>Black,Caramel,Gun Metal,Satin Brass,Soft Khaki</t>
  </si>
  <si>
    <t>Black,Camel,Pale Olive,Whiskey</t>
  </si>
  <si>
    <t>Black,Oxford Mix</t>
  </si>
  <si>
    <t>Bitter Chocolate,Black,Mink,Night Shade,Navy</t>
  </si>
  <si>
    <t>Black,Silver Sand</t>
  </si>
  <si>
    <t>Cement Multi,Deep,Red Multi,Light,Grey Multi,Natural Multi,Charcoal Multi,Navy Multi,Nordic Multi,Overcast,Skydiver,Woods Multi</t>
  </si>
  <si>
    <t>Black,Brown,White,Birch,Black,Coconut,Deep Red,Espresso</t>
  </si>
  <si>
    <t>46-006-55-00</t>
  </si>
  <si>
    <t>46-002-32-00</t>
  </si>
  <si>
    <t>46-002-55-00</t>
  </si>
  <si>
    <t>81-004-09</t>
  </si>
  <si>
    <t>44-018-12-00</t>
  </si>
  <si>
    <t>44-018-36-00</t>
  </si>
  <si>
    <t>44-018-08-00</t>
  </si>
  <si>
    <t>46-005-14-00</t>
  </si>
  <si>
    <t>44-018-66-00</t>
  </si>
  <si>
    <t>46-004-90-00</t>
  </si>
  <si>
    <t>46-004-03-00</t>
  </si>
  <si>
    <t>46-004-12-00</t>
  </si>
  <si>
    <t>46-004-09-00</t>
  </si>
  <si>
    <t>60-026-09</t>
  </si>
  <si>
    <t>60-029-05</t>
  </si>
  <si>
    <t>60-029-16</t>
  </si>
  <si>
    <t>44-018-19-00</t>
  </si>
  <si>
    <t>46-003-78-00</t>
  </si>
  <si>
    <t>46-004-05-00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</si>
</sst>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left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6" Type="http://schemas.openxmlformats.org/officeDocument/2006/relationships/image" Target="../media/image16.png"/><Relationship Id="rId11" Type="http://schemas.openxmlformats.org/officeDocument/2006/relationships/image" Target="../media/image11.jpg"/><Relationship Id="rId32" Type="http://schemas.openxmlformats.org/officeDocument/2006/relationships/image" Target="../media/image32.png"/><Relationship Id="rId37" Type="http://schemas.openxmlformats.org/officeDocument/2006/relationships/image" Target="../media/image37.jp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14" Type="http://schemas.openxmlformats.org/officeDocument/2006/relationships/image" Target="../media/image14.png"/><Relationship Id="rId22" Type="http://schemas.openxmlformats.org/officeDocument/2006/relationships/image" Target="../media/image22.jp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jpg"/><Relationship Id="rId33" Type="http://schemas.openxmlformats.org/officeDocument/2006/relationships/image" Target="../media/image33.png"/><Relationship Id="rId38" Type="http://schemas.openxmlformats.org/officeDocument/2006/relationships/image" Target="../media/image38.jpg"/><Relationship Id="rId46" Type="http://schemas.openxmlformats.org/officeDocument/2006/relationships/image" Target="../media/image46.png"/><Relationship Id="rId59" Type="http://schemas.openxmlformats.org/officeDocument/2006/relationships/image" Target="../media/image59.jp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jpg"/><Relationship Id="rId62" Type="http://schemas.openxmlformats.org/officeDocument/2006/relationships/image" Target="../media/image62.jp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15" Type="http://schemas.openxmlformats.org/officeDocument/2006/relationships/image" Target="../media/image15.jp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jp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jp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jp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jp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jp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24631</xdr:rowOff>
    </xdr:from>
    <xdr:to>
      <xdr:col>0</xdr:col>
      <xdr:colOff>1400175</xdr:colOff>
      <xdr:row>0</xdr:row>
      <xdr:rowOff>918343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9FAAF3E7-1CFA-4882-919F-8A1C583A2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631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</xdr:row>
      <xdr:rowOff>21907</xdr:rowOff>
    </xdr:from>
    <xdr:to>
      <xdr:col>0</xdr:col>
      <xdr:colOff>1400175</xdr:colOff>
      <xdr:row>1</xdr:row>
      <xdr:rowOff>844867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70515585-C146-4E4D-BB16-6AEE36616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64882"/>
          <a:ext cx="1371600" cy="8229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</xdr:row>
      <xdr:rowOff>23685</xdr:rowOff>
    </xdr:from>
    <xdr:to>
      <xdr:col>0</xdr:col>
      <xdr:colOff>1400175</xdr:colOff>
      <xdr:row>2</xdr:row>
      <xdr:rowOff>995491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7B2E9FEC-C65B-40CE-9A33-D548CA9B13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33435"/>
          <a:ext cx="1371600" cy="9718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</xdr:row>
      <xdr:rowOff>21824</xdr:rowOff>
    </xdr:from>
    <xdr:to>
      <xdr:col>0</xdr:col>
      <xdr:colOff>1400175</xdr:colOff>
      <xdr:row>3</xdr:row>
      <xdr:rowOff>940200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3F6272C8-5DD2-407C-BFB4-C90BB785BA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50749"/>
          <a:ext cx="1371600" cy="9183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</xdr:row>
      <xdr:rowOff>25036</xdr:rowOff>
    </xdr:from>
    <xdr:to>
      <xdr:col>0</xdr:col>
      <xdr:colOff>1400175</xdr:colOff>
      <xdr:row>4</xdr:row>
      <xdr:rowOff>975089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6224C8E0-94A8-4193-8786-1AA6DF365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5986"/>
          <a:ext cx="1371600" cy="9500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</xdr:row>
      <xdr:rowOff>21399</xdr:rowOff>
    </xdr:from>
    <xdr:to>
      <xdr:col>0</xdr:col>
      <xdr:colOff>1400175</xdr:colOff>
      <xdr:row>5</xdr:row>
      <xdr:rowOff>950151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B40F2D35-75BE-4C84-81F2-1467D6EA7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812474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</xdr:row>
      <xdr:rowOff>22347</xdr:rowOff>
    </xdr:from>
    <xdr:to>
      <xdr:col>0</xdr:col>
      <xdr:colOff>1400175</xdr:colOff>
      <xdr:row>6</xdr:row>
      <xdr:rowOff>1044453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F3DF93-3D54-418D-BD49-0E5E84D4F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784972"/>
          <a:ext cx="1371600" cy="1022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</xdr:row>
      <xdr:rowOff>22396</xdr:rowOff>
    </xdr:from>
    <xdr:to>
      <xdr:col>0</xdr:col>
      <xdr:colOff>1400175</xdr:colOff>
      <xdr:row>7</xdr:row>
      <xdr:rowOff>949153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49235E9-2DDD-41BF-87F8-F239B00B8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851821"/>
          <a:ext cx="1371600" cy="9267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</xdr:row>
      <xdr:rowOff>21336</xdr:rowOff>
    </xdr:from>
    <xdr:to>
      <xdr:col>0</xdr:col>
      <xdr:colOff>1400175</xdr:colOff>
      <xdr:row>8</xdr:row>
      <xdr:rowOff>893064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C6FB70DB-3077-45FF-B59B-9063CEDCC1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22311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</xdr:row>
      <xdr:rowOff>22175</xdr:rowOff>
    </xdr:from>
    <xdr:to>
      <xdr:col>0</xdr:col>
      <xdr:colOff>1400175</xdr:colOff>
      <xdr:row>9</xdr:row>
      <xdr:rowOff>977951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4B33EE4F-1462-4C41-9EF9-FDDB23723A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737550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</xdr:row>
      <xdr:rowOff>23619</xdr:rowOff>
    </xdr:from>
    <xdr:to>
      <xdr:col>0</xdr:col>
      <xdr:colOff>1400175</xdr:colOff>
      <xdr:row>10</xdr:row>
      <xdr:rowOff>966982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FFE2353E-54BD-4972-A3E4-2DBFA23B88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73911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</xdr:row>
      <xdr:rowOff>21399</xdr:rowOff>
    </xdr:from>
    <xdr:to>
      <xdr:col>0</xdr:col>
      <xdr:colOff>1400175</xdr:colOff>
      <xdr:row>11</xdr:row>
      <xdr:rowOff>950151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F30488D3-136B-4480-9F0E-EB8C07F1B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727499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</xdr:row>
      <xdr:rowOff>21698</xdr:rowOff>
    </xdr:from>
    <xdr:to>
      <xdr:col>0</xdr:col>
      <xdr:colOff>1400175</xdr:colOff>
      <xdr:row>12</xdr:row>
      <xdr:rowOff>968902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97A66D83-F1CA-499B-B1C8-638AE9E512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699348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</xdr:row>
      <xdr:rowOff>24474</xdr:rowOff>
    </xdr:from>
    <xdr:to>
      <xdr:col>0</xdr:col>
      <xdr:colOff>1400175</xdr:colOff>
      <xdr:row>13</xdr:row>
      <xdr:rowOff>947075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73527E01-9984-454E-A48F-B4A3B5ADD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92724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</xdr:row>
      <xdr:rowOff>24416</xdr:rowOff>
    </xdr:from>
    <xdr:to>
      <xdr:col>0</xdr:col>
      <xdr:colOff>1400175</xdr:colOff>
      <xdr:row>14</xdr:row>
      <xdr:rowOff>899509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EB9C7D59-B5FD-4CA3-9BD0-48593A6A4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664216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24842</xdr:rowOff>
    </xdr:from>
    <xdr:to>
      <xdr:col>0</xdr:col>
      <xdr:colOff>1400175</xdr:colOff>
      <xdr:row>15</xdr:row>
      <xdr:rowOff>1013383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5A505936-AE58-41CB-A7AB-6D47F48B4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58856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</xdr:row>
      <xdr:rowOff>22489</xdr:rowOff>
    </xdr:from>
    <xdr:to>
      <xdr:col>0</xdr:col>
      <xdr:colOff>1400175</xdr:colOff>
      <xdr:row>16</xdr:row>
      <xdr:rowOff>920487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D07416A7-E27D-420A-8504-C39EFACC92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624439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</xdr:row>
      <xdr:rowOff>21527</xdr:rowOff>
    </xdr:from>
    <xdr:to>
      <xdr:col>0</xdr:col>
      <xdr:colOff>1400175</xdr:colOff>
      <xdr:row>17</xdr:row>
      <xdr:rowOff>921446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18A5273-06CC-47D1-9F5B-006B45E545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566452"/>
          <a:ext cx="1371600" cy="89991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</xdr:row>
      <xdr:rowOff>23619</xdr:rowOff>
    </xdr:from>
    <xdr:to>
      <xdr:col>0</xdr:col>
      <xdr:colOff>1400175</xdr:colOff>
      <xdr:row>18</xdr:row>
      <xdr:rowOff>966982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A3FED59F-3B9E-41E4-ABEC-1E2FFD6E11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51151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</xdr:row>
      <xdr:rowOff>25563</xdr:rowOff>
    </xdr:from>
    <xdr:to>
      <xdr:col>0</xdr:col>
      <xdr:colOff>1400175</xdr:colOff>
      <xdr:row>19</xdr:row>
      <xdr:rowOff>917411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B6BBA5A-8E4C-4353-891C-8672A81D0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504063"/>
          <a:ext cx="1371600" cy="8918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</xdr:row>
      <xdr:rowOff>23983</xdr:rowOff>
    </xdr:from>
    <xdr:to>
      <xdr:col>0</xdr:col>
      <xdr:colOff>1400175</xdr:colOff>
      <xdr:row>20</xdr:row>
      <xdr:rowOff>1014241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26E8934D-220E-4B01-A6C8-007C65E21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445458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</xdr:row>
      <xdr:rowOff>24200</xdr:rowOff>
    </xdr:from>
    <xdr:to>
      <xdr:col>0</xdr:col>
      <xdr:colOff>1400175</xdr:colOff>
      <xdr:row>21</xdr:row>
      <xdr:rowOff>880674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95AC594A-1BB0-4E6E-BB36-F4A6F622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483900"/>
          <a:ext cx="1371600" cy="8564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</xdr:row>
      <xdr:rowOff>23279</xdr:rowOff>
    </xdr:from>
    <xdr:to>
      <xdr:col>0</xdr:col>
      <xdr:colOff>1400175</xdr:colOff>
      <xdr:row>22</xdr:row>
      <xdr:rowOff>872072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402269FE-3F17-4805-91DB-6BB599466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387854"/>
          <a:ext cx="1371600" cy="8487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</xdr:row>
      <xdr:rowOff>22757</xdr:rowOff>
    </xdr:from>
    <xdr:to>
      <xdr:col>0</xdr:col>
      <xdr:colOff>1400175</xdr:colOff>
      <xdr:row>23</xdr:row>
      <xdr:rowOff>891644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10C7088D-9A97-43FF-BB8D-6051EB249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282682"/>
          <a:ext cx="1371600" cy="86888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</xdr:row>
      <xdr:rowOff>21743</xdr:rowOff>
    </xdr:from>
    <xdr:to>
      <xdr:col>0</xdr:col>
      <xdr:colOff>1400175</xdr:colOff>
      <xdr:row>24</xdr:row>
      <xdr:rowOff>940281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2D9B406-77B8-4998-8CCC-12DE0EF297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3196068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</xdr:row>
      <xdr:rowOff>21306</xdr:rowOff>
    </xdr:from>
    <xdr:to>
      <xdr:col>0</xdr:col>
      <xdr:colOff>1400175</xdr:colOff>
      <xdr:row>25</xdr:row>
      <xdr:rowOff>959769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25DD05D4-E816-42A2-8247-07987772A8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157656"/>
          <a:ext cx="1371600" cy="9384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</xdr:row>
      <xdr:rowOff>22861</xdr:rowOff>
    </xdr:from>
    <xdr:to>
      <xdr:col>0</xdr:col>
      <xdr:colOff>1400175</xdr:colOff>
      <xdr:row>26</xdr:row>
      <xdr:rowOff>967741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A727BE50-3A4F-42AE-8DB0-78FF523D62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140286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</xdr:row>
      <xdr:rowOff>25059</xdr:rowOff>
    </xdr:from>
    <xdr:to>
      <xdr:col>0</xdr:col>
      <xdr:colOff>1400175</xdr:colOff>
      <xdr:row>27</xdr:row>
      <xdr:rowOff>1127467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F83BD519-F432-4989-B6F8-D765CA8656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133084"/>
          <a:ext cx="1371600" cy="11024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</xdr:row>
      <xdr:rowOff>22287</xdr:rowOff>
    </xdr:from>
    <xdr:to>
      <xdr:col>0</xdr:col>
      <xdr:colOff>1400175</xdr:colOff>
      <xdr:row>28</xdr:row>
      <xdr:rowOff>1168335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6C4AB4A1-DCC4-4B0C-836A-379B66E31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282837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</xdr:row>
      <xdr:rowOff>22058</xdr:rowOff>
    </xdr:from>
    <xdr:to>
      <xdr:col>0</xdr:col>
      <xdr:colOff>1400175</xdr:colOff>
      <xdr:row>29</xdr:row>
      <xdr:rowOff>930442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7CF08533-7C62-4956-9B74-966560057A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473233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</xdr:row>
      <xdr:rowOff>24842</xdr:rowOff>
    </xdr:from>
    <xdr:to>
      <xdr:col>0</xdr:col>
      <xdr:colOff>1400175</xdr:colOff>
      <xdr:row>30</xdr:row>
      <xdr:rowOff>1013383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6621B2CF-39E1-427E-AB5A-5892988CCA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42851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31</xdr:row>
      <xdr:rowOff>25372</xdr:rowOff>
    </xdr:from>
    <xdr:to>
      <xdr:col>0</xdr:col>
      <xdr:colOff>1400175</xdr:colOff>
      <xdr:row>31</xdr:row>
      <xdr:rowOff>1003329</xdr:rowOff>
    </xdr:to>
    <xdr:pic>
      <xdr:nvPicPr>
        <xdr:cNvPr id="65" name="Рисунок 64">
          <a:extLst>
            <a:ext uri="{FF2B5EF4-FFF2-40B4-BE49-F238E27FC236}">
              <a16:creationId xmlns:a16="http://schemas.microsoft.com/office/drawing/2014/main" id="{DEB8621F-D619-4D75-8955-41ABC4911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467272"/>
          <a:ext cx="1371600" cy="9779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32</xdr:row>
      <xdr:rowOff>23983</xdr:rowOff>
    </xdr:from>
    <xdr:to>
      <xdr:col>0</xdr:col>
      <xdr:colOff>1400175</xdr:colOff>
      <xdr:row>32</xdr:row>
      <xdr:rowOff>1014241</xdr:rowOff>
    </xdr:to>
    <xdr:pic>
      <xdr:nvPicPr>
        <xdr:cNvPr id="67" name="Рисунок 66">
          <a:extLst>
            <a:ext uri="{FF2B5EF4-FFF2-40B4-BE49-F238E27FC236}">
              <a16:creationId xmlns:a16="http://schemas.microsoft.com/office/drawing/2014/main" id="{4780F494-967C-4E3B-AECF-41931E15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494583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33</xdr:row>
      <xdr:rowOff>22823</xdr:rowOff>
    </xdr:from>
    <xdr:to>
      <xdr:col>0</xdr:col>
      <xdr:colOff>1400175</xdr:colOff>
      <xdr:row>33</xdr:row>
      <xdr:rowOff>986825</xdr:rowOff>
    </xdr:to>
    <xdr:pic>
      <xdr:nvPicPr>
        <xdr:cNvPr id="69" name="Рисунок 68">
          <a:extLst>
            <a:ext uri="{FF2B5EF4-FFF2-40B4-BE49-F238E27FC236}">
              <a16:creationId xmlns:a16="http://schemas.microsoft.com/office/drawing/2014/main" id="{E912354A-2350-4449-A20C-8CF150D86F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531648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34</xdr:row>
      <xdr:rowOff>23385</xdr:rowOff>
    </xdr:from>
    <xdr:to>
      <xdr:col>0</xdr:col>
      <xdr:colOff>1400175</xdr:colOff>
      <xdr:row>34</xdr:row>
      <xdr:rowOff>976739</xdr:rowOff>
    </xdr:to>
    <xdr:pic>
      <xdr:nvPicPr>
        <xdr:cNvPr id="71" name="Рисунок 70">
          <a:extLst>
            <a:ext uri="{FF2B5EF4-FFF2-40B4-BE49-F238E27FC236}">
              <a16:creationId xmlns:a16="http://schemas.microsoft.com/office/drawing/2014/main" id="{4A84663E-885C-40CE-9B25-5A242A27C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541860"/>
          <a:ext cx="1371600" cy="953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35</xdr:row>
      <xdr:rowOff>22436</xdr:rowOff>
    </xdr:from>
    <xdr:to>
      <xdr:col>0</xdr:col>
      <xdr:colOff>1400175</xdr:colOff>
      <xdr:row>35</xdr:row>
      <xdr:rowOff>1101515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C747EF3E-8447-4FC0-87EC-5ED2763D6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541036"/>
          <a:ext cx="1371600" cy="107907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36</xdr:row>
      <xdr:rowOff>22175</xdr:rowOff>
    </xdr:from>
    <xdr:to>
      <xdr:col>0</xdr:col>
      <xdr:colOff>1400175</xdr:colOff>
      <xdr:row>36</xdr:row>
      <xdr:rowOff>977951</xdr:rowOff>
    </xdr:to>
    <xdr:pic>
      <xdr:nvPicPr>
        <xdr:cNvPr id="75" name="Рисунок 74">
          <a:extLst>
            <a:ext uri="{FF2B5EF4-FFF2-40B4-BE49-F238E27FC236}">
              <a16:creationId xmlns:a16="http://schemas.microsoft.com/office/drawing/2014/main" id="{D19B015E-5A87-4F8B-B3D8-ABB59F4CBF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664725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37</xdr:row>
      <xdr:rowOff>25037</xdr:rowOff>
    </xdr:from>
    <xdr:to>
      <xdr:col>0</xdr:col>
      <xdr:colOff>1400175</xdr:colOff>
      <xdr:row>37</xdr:row>
      <xdr:rowOff>965563</xdr:rowOff>
    </xdr:to>
    <xdr:pic>
      <xdr:nvPicPr>
        <xdr:cNvPr id="77" name="Рисунок 76">
          <a:extLst>
            <a:ext uri="{FF2B5EF4-FFF2-40B4-BE49-F238E27FC236}">
              <a16:creationId xmlns:a16="http://schemas.microsoft.com/office/drawing/2014/main" id="{DF0778D9-013B-4A70-957A-DAD83DC0E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6667712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38</xdr:row>
      <xdr:rowOff>24445</xdr:rowOff>
    </xdr:from>
    <xdr:to>
      <xdr:col>0</xdr:col>
      <xdr:colOff>1400175</xdr:colOff>
      <xdr:row>38</xdr:row>
      <xdr:rowOff>1080456</xdr:rowOff>
    </xdr:to>
    <xdr:pic>
      <xdr:nvPicPr>
        <xdr:cNvPr id="79" name="Рисунок 78">
          <a:extLst>
            <a:ext uri="{FF2B5EF4-FFF2-40B4-BE49-F238E27FC236}">
              <a16:creationId xmlns:a16="http://schemas.microsoft.com/office/drawing/2014/main" id="{B50940C5-54A7-4790-A8B4-C81C704CB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7657720"/>
          <a:ext cx="1371600" cy="105601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39</xdr:row>
      <xdr:rowOff>22594</xdr:rowOff>
    </xdr:from>
    <xdr:to>
      <xdr:col>0</xdr:col>
      <xdr:colOff>1400175</xdr:colOff>
      <xdr:row>39</xdr:row>
      <xdr:rowOff>1025154</xdr:rowOff>
    </xdr:to>
    <xdr:pic>
      <xdr:nvPicPr>
        <xdr:cNvPr id="81" name="Рисунок 80">
          <a:extLst>
            <a:ext uri="{FF2B5EF4-FFF2-40B4-BE49-F238E27FC236}">
              <a16:creationId xmlns:a16="http://schemas.microsoft.com/office/drawing/2014/main" id="{0E0751A9-374D-4C43-9245-9FD3C2E11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760769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40</xdr:row>
      <xdr:rowOff>24712</xdr:rowOff>
    </xdr:from>
    <xdr:to>
      <xdr:col>0</xdr:col>
      <xdr:colOff>1400175</xdr:colOff>
      <xdr:row>40</xdr:row>
      <xdr:rowOff>956365</xdr:rowOff>
    </xdr:to>
    <xdr:pic>
      <xdr:nvPicPr>
        <xdr:cNvPr id="83" name="Рисунок 82">
          <a:extLst>
            <a:ext uri="{FF2B5EF4-FFF2-40B4-BE49-F238E27FC236}">
              <a16:creationId xmlns:a16="http://schemas.microsoft.com/office/drawing/2014/main" id="{466E82E7-3A35-44EF-96F6-32528B0C4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9810637"/>
          <a:ext cx="1371600" cy="931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41</xdr:row>
      <xdr:rowOff>23298</xdr:rowOff>
    </xdr:from>
    <xdr:to>
      <xdr:col>0</xdr:col>
      <xdr:colOff>1400175</xdr:colOff>
      <xdr:row>41</xdr:row>
      <xdr:rowOff>900628</xdr:rowOff>
    </xdr:to>
    <xdr:pic>
      <xdr:nvPicPr>
        <xdr:cNvPr id="85" name="Рисунок 84">
          <a:extLst>
            <a:ext uri="{FF2B5EF4-FFF2-40B4-BE49-F238E27FC236}">
              <a16:creationId xmlns:a16="http://schemas.microsoft.com/office/drawing/2014/main" id="{F9CD21C8-1337-4BEE-9F5A-9FB9FD0DE6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0790298"/>
          <a:ext cx="1371600" cy="87733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42</xdr:row>
      <xdr:rowOff>22138</xdr:rowOff>
    </xdr:from>
    <xdr:to>
      <xdr:col>0</xdr:col>
      <xdr:colOff>1400175</xdr:colOff>
      <xdr:row>42</xdr:row>
      <xdr:rowOff>930360</xdr:rowOff>
    </xdr:to>
    <xdr:pic>
      <xdr:nvPicPr>
        <xdr:cNvPr id="87" name="Рисунок 86">
          <a:extLst>
            <a:ext uri="{FF2B5EF4-FFF2-40B4-BE49-F238E27FC236}">
              <a16:creationId xmlns:a16="http://schemas.microsoft.com/office/drawing/2014/main" id="{90432A9F-DE4A-4DB3-8E83-5CBE106F71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1713063"/>
          <a:ext cx="1371600" cy="9082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43</xdr:row>
      <xdr:rowOff>23878</xdr:rowOff>
    </xdr:from>
    <xdr:to>
      <xdr:col>0</xdr:col>
      <xdr:colOff>1400175</xdr:colOff>
      <xdr:row>43</xdr:row>
      <xdr:rowOff>909575</xdr:rowOff>
    </xdr:to>
    <xdr:pic>
      <xdr:nvPicPr>
        <xdr:cNvPr id="89" name="Рисунок 88">
          <a:extLst>
            <a:ext uri="{FF2B5EF4-FFF2-40B4-BE49-F238E27FC236}">
              <a16:creationId xmlns:a16="http://schemas.microsoft.com/office/drawing/2014/main" id="{1A2EF277-36F8-41BE-B351-97BD22EEB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2667303"/>
          <a:ext cx="1371600" cy="88569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44</xdr:row>
      <xdr:rowOff>24764</xdr:rowOff>
    </xdr:from>
    <xdr:to>
      <xdr:col>0</xdr:col>
      <xdr:colOff>1400175</xdr:colOff>
      <xdr:row>44</xdr:row>
      <xdr:rowOff>984884</xdr:rowOff>
    </xdr:to>
    <xdr:pic>
      <xdr:nvPicPr>
        <xdr:cNvPr id="91" name="Рисунок 90">
          <a:extLst>
            <a:ext uri="{FF2B5EF4-FFF2-40B4-BE49-F238E27FC236}">
              <a16:creationId xmlns:a16="http://schemas.microsoft.com/office/drawing/2014/main" id="{245C2721-A341-4608-A93F-C6680FDFCD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3601639"/>
          <a:ext cx="1371600" cy="9601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45</xdr:row>
      <xdr:rowOff>21915</xdr:rowOff>
    </xdr:from>
    <xdr:to>
      <xdr:col>0</xdr:col>
      <xdr:colOff>1400175</xdr:colOff>
      <xdr:row>45</xdr:row>
      <xdr:rowOff>968683</xdr:rowOff>
    </xdr:to>
    <xdr:pic>
      <xdr:nvPicPr>
        <xdr:cNvPr id="93" name="Рисунок 92">
          <a:extLst>
            <a:ext uri="{FF2B5EF4-FFF2-40B4-BE49-F238E27FC236}">
              <a16:creationId xmlns:a16="http://schemas.microsoft.com/office/drawing/2014/main" id="{F126C6EB-5F58-4C85-BF82-42A0F494D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4608440"/>
          <a:ext cx="1371600" cy="9467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46</xdr:row>
      <xdr:rowOff>25685</xdr:rowOff>
    </xdr:from>
    <xdr:to>
      <xdr:col>0</xdr:col>
      <xdr:colOff>1400175</xdr:colOff>
      <xdr:row>46</xdr:row>
      <xdr:rowOff>1098263</xdr:rowOff>
    </xdr:to>
    <xdr:pic>
      <xdr:nvPicPr>
        <xdr:cNvPr id="95" name="Рисунок 94">
          <a:extLst>
            <a:ext uri="{FF2B5EF4-FFF2-40B4-BE49-F238E27FC236}">
              <a16:creationId xmlns:a16="http://schemas.microsoft.com/office/drawing/2014/main" id="{F22189F7-9202-4CCE-94E0-DF2B4EAB71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5602810"/>
          <a:ext cx="1371600" cy="10725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47</xdr:row>
      <xdr:rowOff>23813</xdr:rowOff>
    </xdr:from>
    <xdr:to>
      <xdr:col>0</xdr:col>
      <xdr:colOff>1400175</xdr:colOff>
      <xdr:row>47</xdr:row>
      <xdr:rowOff>938213</xdr:rowOff>
    </xdr:to>
    <xdr:pic>
      <xdr:nvPicPr>
        <xdr:cNvPr id="97" name="Рисунок 96">
          <a:extLst>
            <a:ext uri="{FF2B5EF4-FFF2-40B4-BE49-F238E27FC236}">
              <a16:creationId xmlns:a16="http://schemas.microsoft.com/office/drawing/2014/main" id="{DCB87683-C532-400E-B054-7B465B0E06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6724888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48</xdr:row>
      <xdr:rowOff>23251</xdr:rowOff>
    </xdr:from>
    <xdr:to>
      <xdr:col>0</xdr:col>
      <xdr:colOff>1400175</xdr:colOff>
      <xdr:row>48</xdr:row>
      <xdr:rowOff>1186422</xdr:rowOff>
    </xdr:to>
    <xdr:pic>
      <xdr:nvPicPr>
        <xdr:cNvPr id="99" name="Рисунок 98">
          <a:extLst>
            <a:ext uri="{FF2B5EF4-FFF2-40B4-BE49-F238E27FC236}">
              <a16:creationId xmlns:a16="http://schemas.microsoft.com/office/drawing/2014/main" id="{92C2D655-1D99-414F-A86F-67C24EA97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686351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49</xdr:row>
      <xdr:rowOff>21313</xdr:rowOff>
    </xdr:from>
    <xdr:to>
      <xdr:col>0</xdr:col>
      <xdr:colOff>1400175</xdr:colOff>
      <xdr:row>49</xdr:row>
      <xdr:rowOff>902613</xdr:rowOff>
    </xdr:to>
    <xdr:pic>
      <xdr:nvPicPr>
        <xdr:cNvPr id="101" name="Рисунок 100">
          <a:extLst>
            <a:ext uri="{FF2B5EF4-FFF2-40B4-BE49-F238E27FC236}">
              <a16:creationId xmlns:a16="http://schemas.microsoft.com/office/drawing/2014/main" id="{1C73286F-F1C5-481E-95AE-9BCDAE5358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8894088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50</xdr:row>
      <xdr:rowOff>25174</xdr:rowOff>
    </xdr:from>
    <xdr:to>
      <xdr:col>0</xdr:col>
      <xdr:colOff>1400175</xdr:colOff>
      <xdr:row>50</xdr:row>
      <xdr:rowOff>955903</xdr:rowOff>
    </xdr:to>
    <xdr:pic>
      <xdr:nvPicPr>
        <xdr:cNvPr id="103" name="Рисунок 102">
          <a:extLst>
            <a:ext uri="{FF2B5EF4-FFF2-40B4-BE49-F238E27FC236}">
              <a16:creationId xmlns:a16="http://schemas.microsoft.com/office/drawing/2014/main" id="{128407EA-F62F-4132-989C-F55A03E82C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9821874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51</xdr:row>
      <xdr:rowOff>25493</xdr:rowOff>
    </xdr:from>
    <xdr:to>
      <xdr:col>0</xdr:col>
      <xdr:colOff>1400175</xdr:colOff>
      <xdr:row>51</xdr:row>
      <xdr:rowOff>993681</xdr:rowOff>
    </xdr:to>
    <xdr:pic>
      <xdr:nvPicPr>
        <xdr:cNvPr id="105" name="Рисунок 104">
          <a:extLst>
            <a:ext uri="{FF2B5EF4-FFF2-40B4-BE49-F238E27FC236}">
              <a16:creationId xmlns:a16="http://schemas.microsoft.com/office/drawing/2014/main" id="{32879272-FDAD-43F0-81FE-21C2F23899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803268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52</xdr:row>
      <xdr:rowOff>25174</xdr:rowOff>
    </xdr:from>
    <xdr:to>
      <xdr:col>0</xdr:col>
      <xdr:colOff>1400175</xdr:colOff>
      <xdr:row>52</xdr:row>
      <xdr:rowOff>955903</xdr:rowOff>
    </xdr:to>
    <xdr:pic>
      <xdr:nvPicPr>
        <xdr:cNvPr id="107" name="Рисунок 106">
          <a:extLst>
            <a:ext uri="{FF2B5EF4-FFF2-40B4-BE49-F238E27FC236}">
              <a16:creationId xmlns:a16="http://schemas.microsoft.com/office/drawing/2014/main" id="{F20514CD-7DD2-431D-B419-F8C9A37A11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1822124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53</xdr:row>
      <xdr:rowOff>23031</xdr:rowOff>
    </xdr:from>
    <xdr:to>
      <xdr:col>0</xdr:col>
      <xdr:colOff>1400175</xdr:colOff>
      <xdr:row>53</xdr:row>
      <xdr:rowOff>1005670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1C32C173-C359-4504-8887-811657FA0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801056"/>
          <a:ext cx="1371600" cy="9826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54</xdr:row>
      <xdr:rowOff>24383</xdr:rowOff>
    </xdr:from>
    <xdr:to>
      <xdr:col>0</xdr:col>
      <xdr:colOff>1400175</xdr:colOff>
      <xdr:row>54</xdr:row>
      <xdr:rowOff>1042415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6D6A0604-BC31-4C7E-9CEB-8A01B6212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3831108"/>
          <a:ext cx="1371600" cy="10180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55</xdr:row>
      <xdr:rowOff>24581</xdr:rowOff>
    </xdr:from>
    <xdr:to>
      <xdr:col>0</xdr:col>
      <xdr:colOff>1400175</xdr:colOff>
      <xdr:row>55</xdr:row>
      <xdr:rowOff>1051743</xdr:rowOff>
    </xdr:to>
    <xdr:pic>
      <xdr:nvPicPr>
        <xdr:cNvPr id="113" name="Рисунок 112">
          <a:extLst>
            <a:ext uri="{FF2B5EF4-FFF2-40B4-BE49-F238E27FC236}">
              <a16:creationId xmlns:a16="http://schemas.microsoft.com/office/drawing/2014/main" id="{A51D7CFC-44B3-4BCE-B843-5A2DA5AC9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4898106"/>
          <a:ext cx="1371600" cy="10271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56</xdr:row>
      <xdr:rowOff>25121</xdr:rowOff>
    </xdr:from>
    <xdr:to>
      <xdr:col>0</xdr:col>
      <xdr:colOff>1400175</xdr:colOff>
      <xdr:row>56</xdr:row>
      <xdr:rowOff>994049</xdr:rowOff>
    </xdr:to>
    <xdr:pic>
      <xdr:nvPicPr>
        <xdr:cNvPr id="115" name="Рисунок 114">
          <a:extLst>
            <a:ext uri="{FF2B5EF4-FFF2-40B4-BE49-F238E27FC236}">
              <a16:creationId xmlns:a16="http://schemas.microsoft.com/office/drawing/2014/main" id="{D425DA93-C7BC-4A7C-AD6A-5D489CEE7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5974971"/>
          <a:ext cx="1371600" cy="9689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57</xdr:row>
      <xdr:rowOff>25716</xdr:rowOff>
    </xdr:from>
    <xdr:to>
      <xdr:col>0</xdr:col>
      <xdr:colOff>1400175</xdr:colOff>
      <xdr:row>57</xdr:row>
      <xdr:rowOff>1031556</xdr:rowOff>
    </xdr:to>
    <xdr:pic>
      <xdr:nvPicPr>
        <xdr:cNvPr id="117" name="Рисунок 116">
          <a:extLst>
            <a:ext uri="{FF2B5EF4-FFF2-40B4-BE49-F238E27FC236}">
              <a16:creationId xmlns:a16="http://schemas.microsoft.com/office/drawing/2014/main" id="{36258E84-0F01-4083-A632-CF43CE3B48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6994741"/>
          <a:ext cx="1371600" cy="10058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58</xdr:row>
      <xdr:rowOff>25431</xdr:rowOff>
    </xdr:from>
    <xdr:to>
      <xdr:col>0</xdr:col>
      <xdr:colOff>1400175</xdr:colOff>
      <xdr:row>58</xdr:row>
      <xdr:rowOff>850874</xdr:rowOff>
    </xdr:to>
    <xdr:pic>
      <xdr:nvPicPr>
        <xdr:cNvPr id="119" name="Рисунок 118">
          <a:extLst>
            <a:ext uri="{FF2B5EF4-FFF2-40B4-BE49-F238E27FC236}">
              <a16:creationId xmlns:a16="http://schemas.microsoft.com/office/drawing/2014/main" id="{50038EB0-028E-4844-AAC5-191D5448DC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8051731"/>
          <a:ext cx="1371600" cy="8254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59</xdr:row>
      <xdr:rowOff>24972</xdr:rowOff>
    </xdr:from>
    <xdr:to>
      <xdr:col>0</xdr:col>
      <xdr:colOff>1400175</xdr:colOff>
      <xdr:row>59</xdr:row>
      <xdr:rowOff>908480</xdr:rowOff>
    </xdr:to>
    <xdr:pic>
      <xdr:nvPicPr>
        <xdr:cNvPr id="121" name="Рисунок 120">
          <a:extLst>
            <a:ext uri="{FF2B5EF4-FFF2-40B4-BE49-F238E27FC236}">
              <a16:creationId xmlns:a16="http://schemas.microsoft.com/office/drawing/2014/main" id="{9DBB99B9-04F4-4012-94FC-5E24C00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8927572"/>
          <a:ext cx="1371600" cy="8835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60</xdr:row>
      <xdr:rowOff>22126</xdr:rowOff>
    </xdr:from>
    <xdr:to>
      <xdr:col>0</xdr:col>
      <xdr:colOff>1400175</xdr:colOff>
      <xdr:row>60</xdr:row>
      <xdr:rowOff>806553</xdr:rowOff>
    </xdr:to>
    <xdr:pic>
      <xdr:nvPicPr>
        <xdr:cNvPr id="123" name="Рисунок 122">
          <a:extLst>
            <a:ext uri="{FF2B5EF4-FFF2-40B4-BE49-F238E27FC236}">
              <a16:creationId xmlns:a16="http://schemas.microsoft.com/office/drawing/2014/main" id="{1B5E30E1-1595-442D-8C11-DDDA2FA9D0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9858176"/>
          <a:ext cx="1371600" cy="78442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61</xdr:row>
      <xdr:rowOff>21741</xdr:rowOff>
    </xdr:from>
    <xdr:to>
      <xdr:col>0</xdr:col>
      <xdr:colOff>1400175</xdr:colOff>
      <xdr:row>61</xdr:row>
      <xdr:rowOff>940279</xdr:rowOff>
    </xdr:to>
    <xdr:pic>
      <xdr:nvPicPr>
        <xdr:cNvPr id="125" name="Рисунок 124">
          <a:extLst>
            <a:ext uri="{FF2B5EF4-FFF2-40B4-BE49-F238E27FC236}">
              <a16:creationId xmlns:a16="http://schemas.microsoft.com/office/drawing/2014/main" id="{E6717F22-21A0-4A75-B2B4-8BCBA86CE0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0686466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62</xdr:row>
      <xdr:rowOff>23813</xdr:rowOff>
    </xdr:from>
    <xdr:to>
      <xdr:col>0</xdr:col>
      <xdr:colOff>1400175</xdr:colOff>
      <xdr:row>62</xdr:row>
      <xdr:rowOff>938213</xdr:rowOff>
    </xdr:to>
    <xdr:pic>
      <xdr:nvPicPr>
        <xdr:cNvPr id="127" name="Рисунок 126">
          <a:extLst>
            <a:ext uri="{FF2B5EF4-FFF2-40B4-BE49-F238E27FC236}">
              <a16:creationId xmlns:a16="http://schemas.microsoft.com/office/drawing/2014/main" id="{65C969A2-6FF9-4AE8-BC7F-0EF895FDB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1650563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63</xdr:row>
      <xdr:rowOff>23434</xdr:rowOff>
    </xdr:from>
    <xdr:to>
      <xdr:col>0</xdr:col>
      <xdr:colOff>1400175</xdr:colOff>
      <xdr:row>63</xdr:row>
      <xdr:rowOff>881439</xdr:rowOff>
    </xdr:to>
    <xdr:pic>
      <xdr:nvPicPr>
        <xdr:cNvPr id="129" name="Рисунок 128">
          <a:extLst>
            <a:ext uri="{FF2B5EF4-FFF2-40B4-BE49-F238E27FC236}">
              <a16:creationId xmlns:a16="http://schemas.microsoft.com/office/drawing/2014/main" id="{F38A664D-99A9-4FBA-9725-550144E78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2612209"/>
          <a:ext cx="1371600" cy="85800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64</xdr:row>
      <xdr:rowOff>23949</xdr:rowOff>
    </xdr:from>
    <xdr:to>
      <xdr:col>0</xdr:col>
      <xdr:colOff>1400175</xdr:colOff>
      <xdr:row>64</xdr:row>
      <xdr:rowOff>1042852</xdr:rowOff>
    </xdr:to>
    <xdr:pic>
      <xdr:nvPicPr>
        <xdr:cNvPr id="131" name="Рисунок 130">
          <a:extLst>
            <a:ext uri="{FF2B5EF4-FFF2-40B4-BE49-F238E27FC236}">
              <a16:creationId xmlns:a16="http://schemas.microsoft.com/office/drawing/2014/main" id="{603C8B71-9F08-44E7-811E-525CF82ADA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517599"/>
          <a:ext cx="1371600" cy="10189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65</xdr:row>
      <xdr:rowOff>23608</xdr:rowOff>
    </xdr:from>
    <xdr:to>
      <xdr:col>0</xdr:col>
      <xdr:colOff>1400175</xdr:colOff>
      <xdr:row>65</xdr:row>
      <xdr:rowOff>1024147</xdr:rowOff>
    </xdr:to>
    <xdr:pic>
      <xdr:nvPicPr>
        <xdr:cNvPr id="133" name="Рисунок 132">
          <a:extLst>
            <a:ext uri="{FF2B5EF4-FFF2-40B4-BE49-F238E27FC236}">
              <a16:creationId xmlns:a16="http://schemas.microsoft.com/office/drawing/2014/main" id="{C3DD4D12-8C99-4CF7-93A2-7F5E52D13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4584058"/>
          <a:ext cx="1371600" cy="10005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66</xdr:row>
      <xdr:rowOff>22969</xdr:rowOff>
    </xdr:from>
    <xdr:to>
      <xdr:col>0</xdr:col>
      <xdr:colOff>1400175</xdr:colOff>
      <xdr:row>66</xdr:row>
      <xdr:rowOff>1139075</xdr:rowOff>
    </xdr:to>
    <xdr:pic>
      <xdr:nvPicPr>
        <xdr:cNvPr id="135" name="Рисунок 134">
          <a:extLst>
            <a:ext uri="{FF2B5EF4-FFF2-40B4-BE49-F238E27FC236}">
              <a16:creationId xmlns:a16="http://schemas.microsoft.com/office/drawing/2014/main" id="{3051570D-D67F-4B45-84A6-D48E1A3788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5631169"/>
          <a:ext cx="1371600" cy="1116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67</xdr:row>
      <xdr:rowOff>22982</xdr:rowOff>
    </xdr:from>
    <xdr:to>
      <xdr:col>0</xdr:col>
      <xdr:colOff>1400175</xdr:colOff>
      <xdr:row>67</xdr:row>
      <xdr:rowOff>977138</xdr:rowOff>
    </xdr:to>
    <xdr:pic>
      <xdr:nvPicPr>
        <xdr:cNvPr id="137" name="Рисунок 136">
          <a:extLst>
            <a:ext uri="{FF2B5EF4-FFF2-40B4-BE49-F238E27FC236}">
              <a16:creationId xmlns:a16="http://schemas.microsoft.com/office/drawing/2014/main" id="{87E9891D-1211-4630-8C93-DB2D8335D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6793232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68</xdr:row>
      <xdr:rowOff>24154</xdr:rowOff>
    </xdr:from>
    <xdr:to>
      <xdr:col>0</xdr:col>
      <xdr:colOff>1400175</xdr:colOff>
      <xdr:row>68</xdr:row>
      <xdr:rowOff>985499</xdr:rowOff>
    </xdr:to>
    <xdr:pic>
      <xdr:nvPicPr>
        <xdr:cNvPr id="139" name="Рисунок 138">
          <a:extLst>
            <a:ext uri="{FF2B5EF4-FFF2-40B4-BE49-F238E27FC236}">
              <a16:creationId xmlns:a16="http://schemas.microsoft.com/office/drawing/2014/main" id="{5512DF3D-E2A3-4218-958B-3B3FF4AA6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7794529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69</xdr:row>
      <xdr:rowOff>24383</xdr:rowOff>
    </xdr:from>
    <xdr:to>
      <xdr:col>0</xdr:col>
      <xdr:colOff>1400175</xdr:colOff>
      <xdr:row>69</xdr:row>
      <xdr:rowOff>890015</xdr:rowOff>
    </xdr:to>
    <xdr:pic>
      <xdr:nvPicPr>
        <xdr:cNvPr id="141" name="Рисунок 140">
          <a:extLst>
            <a:ext uri="{FF2B5EF4-FFF2-40B4-BE49-F238E27FC236}">
              <a16:creationId xmlns:a16="http://schemas.microsoft.com/office/drawing/2014/main" id="{A1DBAA3C-0BC9-495A-8ED1-1407CEEDD1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880440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70</xdr:row>
      <xdr:rowOff>24495</xdr:rowOff>
    </xdr:from>
    <xdr:to>
      <xdr:col>0</xdr:col>
      <xdr:colOff>1400175</xdr:colOff>
      <xdr:row>70</xdr:row>
      <xdr:rowOff>918484</xdr:rowOff>
    </xdr:to>
    <xdr:pic>
      <xdr:nvPicPr>
        <xdr:cNvPr id="143" name="Рисунок 142">
          <a:extLst>
            <a:ext uri="{FF2B5EF4-FFF2-40B4-BE49-F238E27FC236}">
              <a16:creationId xmlns:a16="http://schemas.microsoft.com/office/drawing/2014/main" id="{D04F7EB4-6FF1-476A-BB21-6DDDF0C46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71892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71</xdr:row>
      <xdr:rowOff>24495</xdr:rowOff>
    </xdr:from>
    <xdr:to>
      <xdr:col>0</xdr:col>
      <xdr:colOff>1400175</xdr:colOff>
      <xdr:row>71</xdr:row>
      <xdr:rowOff>918484</xdr:rowOff>
    </xdr:to>
    <xdr:pic>
      <xdr:nvPicPr>
        <xdr:cNvPr id="145" name="Рисунок 144">
          <a:extLst>
            <a:ext uri="{FF2B5EF4-FFF2-40B4-BE49-F238E27FC236}">
              <a16:creationId xmlns:a16="http://schemas.microsoft.com/office/drawing/2014/main" id="{6B1F5AAA-4927-4E41-A05C-E5CD1CDB2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0661895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72</xdr:row>
      <xdr:rowOff>25264</xdr:rowOff>
    </xdr:from>
    <xdr:to>
      <xdr:col>0</xdr:col>
      <xdr:colOff>1400175</xdr:colOff>
      <xdr:row>72</xdr:row>
      <xdr:rowOff>898660</xdr:rowOff>
    </xdr:to>
    <xdr:pic>
      <xdr:nvPicPr>
        <xdr:cNvPr id="147" name="Рисунок 146">
          <a:extLst>
            <a:ext uri="{FF2B5EF4-FFF2-40B4-BE49-F238E27FC236}">
              <a16:creationId xmlns:a16="http://schemas.microsoft.com/office/drawing/2014/main" id="{705558D8-520F-4854-ADCD-01693F9A0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1605639"/>
          <a:ext cx="1371600" cy="87339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73</xdr:row>
      <xdr:rowOff>21431</xdr:rowOff>
    </xdr:from>
    <xdr:to>
      <xdr:col>0</xdr:col>
      <xdr:colOff>1400175</xdr:colOff>
      <xdr:row>73</xdr:row>
      <xdr:rowOff>921544</xdr:rowOff>
    </xdr:to>
    <xdr:pic>
      <xdr:nvPicPr>
        <xdr:cNvPr id="149" name="Рисунок 148">
          <a:extLst>
            <a:ext uri="{FF2B5EF4-FFF2-40B4-BE49-F238E27FC236}">
              <a16:creationId xmlns:a16="http://schemas.microsoft.com/office/drawing/2014/main" id="{C91758AC-D2EB-4671-B3B5-B531ECC79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2525731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74</xdr:row>
      <xdr:rowOff>24154</xdr:rowOff>
    </xdr:from>
    <xdr:to>
      <xdr:col>0</xdr:col>
      <xdr:colOff>1400175</xdr:colOff>
      <xdr:row>74</xdr:row>
      <xdr:rowOff>718803</xdr:rowOff>
    </xdr:to>
    <xdr:pic>
      <xdr:nvPicPr>
        <xdr:cNvPr id="151" name="Рисунок 150">
          <a:extLst>
            <a:ext uri="{FF2B5EF4-FFF2-40B4-BE49-F238E27FC236}">
              <a16:creationId xmlns:a16="http://schemas.microsoft.com/office/drawing/2014/main" id="{C1EB2706-0D97-4E56-844A-4F34C644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3471429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75</xdr:row>
      <xdr:rowOff>24154</xdr:rowOff>
    </xdr:from>
    <xdr:to>
      <xdr:col>0</xdr:col>
      <xdr:colOff>1400175</xdr:colOff>
      <xdr:row>75</xdr:row>
      <xdr:rowOff>899774</xdr:rowOff>
    </xdr:to>
    <xdr:pic>
      <xdr:nvPicPr>
        <xdr:cNvPr id="153" name="Рисунок 152">
          <a:extLst>
            <a:ext uri="{FF2B5EF4-FFF2-40B4-BE49-F238E27FC236}">
              <a16:creationId xmlns:a16="http://schemas.microsoft.com/office/drawing/2014/main" id="{B45C2B70-F0A7-494E-AAC3-E27D7E454E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4214379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76</xdr:row>
      <xdr:rowOff>24712</xdr:rowOff>
    </xdr:from>
    <xdr:to>
      <xdr:col>0</xdr:col>
      <xdr:colOff>1400175</xdr:colOff>
      <xdr:row>76</xdr:row>
      <xdr:rowOff>889685</xdr:rowOff>
    </xdr:to>
    <xdr:pic>
      <xdr:nvPicPr>
        <xdr:cNvPr id="155" name="Рисунок 154">
          <a:extLst>
            <a:ext uri="{FF2B5EF4-FFF2-40B4-BE49-F238E27FC236}">
              <a16:creationId xmlns:a16="http://schemas.microsoft.com/office/drawing/2014/main" id="{0A5669DB-3247-4235-89EA-E5DAFE7173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5138862"/>
          <a:ext cx="1371600" cy="86497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77</xdr:row>
      <xdr:rowOff>21890</xdr:rowOff>
    </xdr:from>
    <xdr:to>
      <xdr:col>0</xdr:col>
      <xdr:colOff>1400175</xdr:colOff>
      <xdr:row>77</xdr:row>
      <xdr:rowOff>882984</xdr:rowOff>
    </xdr:to>
    <xdr:pic>
      <xdr:nvPicPr>
        <xdr:cNvPr id="157" name="Рисунок 156">
          <a:extLst>
            <a:ext uri="{FF2B5EF4-FFF2-40B4-BE49-F238E27FC236}">
              <a16:creationId xmlns:a16="http://schemas.microsoft.com/office/drawing/2014/main" id="{09E08BAA-D81A-4D4B-8E12-C3C9E11C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6050440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78</xdr:row>
      <xdr:rowOff>21592</xdr:rowOff>
    </xdr:from>
    <xdr:to>
      <xdr:col>0</xdr:col>
      <xdr:colOff>1400175</xdr:colOff>
      <xdr:row>78</xdr:row>
      <xdr:rowOff>864234</xdr:rowOff>
    </xdr:to>
    <xdr:pic>
      <xdr:nvPicPr>
        <xdr:cNvPr id="159" name="Рисунок 158">
          <a:extLst>
            <a:ext uri="{FF2B5EF4-FFF2-40B4-BE49-F238E27FC236}">
              <a16:creationId xmlns:a16="http://schemas.microsoft.com/office/drawing/2014/main" id="{252045F3-1173-45FD-B688-CFBD318F1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6955017"/>
          <a:ext cx="1371600" cy="842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79</xdr:row>
      <xdr:rowOff>24371</xdr:rowOff>
    </xdr:from>
    <xdr:to>
      <xdr:col>0</xdr:col>
      <xdr:colOff>1400175</xdr:colOff>
      <xdr:row>79</xdr:row>
      <xdr:rowOff>842410</xdr:rowOff>
    </xdr:to>
    <xdr:pic>
      <xdr:nvPicPr>
        <xdr:cNvPr id="161" name="Рисунок 160">
          <a:extLst>
            <a:ext uri="{FF2B5EF4-FFF2-40B4-BE49-F238E27FC236}">
              <a16:creationId xmlns:a16="http://schemas.microsoft.com/office/drawing/2014/main" id="{B4A716A8-5D55-4FBA-918B-437EECCF0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7843621"/>
          <a:ext cx="1371600" cy="8180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80</xdr:row>
      <xdr:rowOff>21791</xdr:rowOff>
    </xdr:from>
    <xdr:to>
      <xdr:col>0</xdr:col>
      <xdr:colOff>1400175</xdr:colOff>
      <xdr:row>80</xdr:row>
      <xdr:rowOff>873561</xdr:rowOff>
    </xdr:to>
    <xdr:pic>
      <xdr:nvPicPr>
        <xdr:cNvPr id="163" name="Рисунок 162">
          <a:extLst>
            <a:ext uri="{FF2B5EF4-FFF2-40B4-BE49-F238E27FC236}">
              <a16:creationId xmlns:a16="http://schemas.microsoft.com/office/drawing/2014/main" id="{C2D58735-CDC8-4B0B-9082-C251EC71E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707816"/>
          <a:ext cx="1371600" cy="8517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81</xdr:row>
      <xdr:rowOff>21338</xdr:rowOff>
    </xdr:from>
    <xdr:to>
      <xdr:col>0</xdr:col>
      <xdr:colOff>1400175</xdr:colOff>
      <xdr:row>81</xdr:row>
      <xdr:rowOff>893066</xdr:rowOff>
    </xdr:to>
    <xdr:pic>
      <xdr:nvPicPr>
        <xdr:cNvPr id="165" name="Рисунок 164">
          <a:extLst>
            <a:ext uri="{FF2B5EF4-FFF2-40B4-BE49-F238E27FC236}">
              <a16:creationId xmlns:a16="http://schemas.microsoft.com/office/drawing/2014/main" id="{3631A831-F955-4210-A224-32CAC6BCD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9602713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82</xdr:row>
      <xdr:rowOff>23943</xdr:rowOff>
    </xdr:from>
    <xdr:to>
      <xdr:col>0</xdr:col>
      <xdr:colOff>1400175</xdr:colOff>
      <xdr:row>82</xdr:row>
      <xdr:rowOff>833311</xdr:rowOff>
    </xdr:to>
    <xdr:pic>
      <xdr:nvPicPr>
        <xdr:cNvPr id="167" name="Рисунок 166">
          <a:extLst>
            <a:ext uri="{FF2B5EF4-FFF2-40B4-BE49-F238E27FC236}">
              <a16:creationId xmlns:a16="http://schemas.microsoft.com/office/drawing/2014/main" id="{8AF5E467-6DC8-4DE7-B483-9DF834065B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0519718"/>
          <a:ext cx="1371600" cy="8093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83</xdr:row>
      <xdr:rowOff>24495</xdr:rowOff>
    </xdr:from>
    <xdr:to>
      <xdr:col>0</xdr:col>
      <xdr:colOff>1400175</xdr:colOff>
      <xdr:row>83</xdr:row>
      <xdr:rowOff>918484</xdr:rowOff>
    </xdr:to>
    <xdr:pic>
      <xdr:nvPicPr>
        <xdr:cNvPr id="169" name="Рисунок 168">
          <a:extLst>
            <a:ext uri="{FF2B5EF4-FFF2-40B4-BE49-F238E27FC236}">
              <a16:creationId xmlns:a16="http://schemas.microsoft.com/office/drawing/2014/main" id="{D3237B1E-BE2C-4B65-A166-AA953DA806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137752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84</xdr:row>
      <xdr:rowOff>22523</xdr:rowOff>
    </xdr:from>
    <xdr:to>
      <xdr:col>0</xdr:col>
      <xdr:colOff>1400175</xdr:colOff>
      <xdr:row>84</xdr:row>
      <xdr:rowOff>844247</xdr:rowOff>
    </xdr:to>
    <xdr:pic>
      <xdr:nvPicPr>
        <xdr:cNvPr id="171" name="Рисунок 170">
          <a:extLst>
            <a:ext uri="{FF2B5EF4-FFF2-40B4-BE49-F238E27FC236}">
              <a16:creationId xmlns:a16="http://schemas.microsoft.com/office/drawing/2014/main" id="{E4D976C2-7C1A-4EC4-ADD5-595DCD38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2318523"/>
          <a:ext cx="1371600" cy="82172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85</xdr:row>
      <xdr:rowOff>24147</xdr:rowOff>
    </xdr:from>
    <xdr:to>
      <xdr:col>0</xdr:col>
      <xdr:colOff>1400175</xdr:colOff>
      <xdr:row>85</xdr:row>
      <xdr:rowOff>861673</xdr:rowOff>
    </xdr:to>
    <xdr:pic>
      <xdr:nvPicPr>
        <xdr:cNvPr id="173" name="Рисунок 172">
          <a:extLst>
            <a:ext uri="{FF2B5EF4-FFF2-40B4-BE49-F238E27FC236}">
              <a16:creationId xmlns:a16="http://schemas.microsoft.com/office/drawing/2014/main" id="{3B40E22D-B3C4-487B-A0E2-0489B08855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3186922"/>
          <a:ext cx="1371600" cy="837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86</xdr:row>
      <xdr:rowOff>23013</xdr:rowOff>
    </xdr:from>
    <xdr:to>
      <xdr:col>0</xdr:col>
      <xdr:colOff>1400175</xdr:colOff>
      <xdr:row>86</xdr:row>
      <xdr:rowOff>815191</xdr:rowOff>
    </xdr:to>
    <xdr:pic>
      <xdr:nvPicPr>
        <xdr:cNvPr id="175" name="Рисунок 174">
          <a:extLst>
            <a:ext uri="{FF2B5EF4-FFF2-40B4-BE49-F238E27FC236}">
              <a16:creationId xmlns:a16="http://schemas.microsoft.com/office/drawing/2014/main" id="{3138B340-B840-43DA-B186-3E8121CDBB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4071613"/>
          <a:ext cx="1371600" cy="7921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87</xdr:row>
      <xdr:rowOff>23409</xdr:rowOff>
    </xdr:from>
    <xdr:to>
      <xdr:col>0</xdr:col>
      <xdr:colOff>1400175</xdr:colOff>
      <xdr:row>87</xdr:row>
      <xdr:rowOff>805266</xdr:rowOff>
    </xdr:to>
    <xdr:pic>
      <xdr:nvPicPr>
        <xdr:cNvPr id="177" name="Рисунок 176">
          <a:extLst>
            <a:ext uri="{FF2B5EF4-FFF2-40B4-BE49-F238E27FC236}">
              <a16:creationId xmlns:a16="http://schemas.microsoft.com/office/drawing/2014/main" id="{9DD217B9-E772-40C6-B88F-83B22BBBF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4910209"/>
          <a:ext cx="1371600" cy="7818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88</xdr:row>
      <xdr:rowOff>22138</xdr:rowOff>
    </xdr:from>
    <xdr:to>
      <xdr:col>0</xdr:col>
      <xdr:colOff>1400175</xdr:colOff>
      <xdr:row>88</xdr:row>
      <xdr:rowOff>835106</xdr:rowOff>
    </xdr:to>
    <xdr:pic>
      <xdr:nvPicPr>
        <xdr:cNvPr id="179" name="Рисунок 178">
          <a:extLst>
            <a:ext uri="{FF2B5EF4-FFF2-40B4-BE49-F238E27FC236}">
              <a16:creationId xmlns:a16="http://schemas.microsoft.com/office/drawing/2014/main" id="{9AEDD42E-30AD-4A6B-8B8A-2162740D5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737613"/>
          <a:ext cx="1371600" cy="8129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89</xdr:row>
      <xdr:rowOff>21648</xdr:rowOff>
    </xdr:from>
    <xdr:to>
      <xdr:col>0</xdr:col>
      <xdr:colOff>1400175</xdr:colOff>
      <xdr:row>89</xdr:row>
      <xdr:rowOff>988003</xdr:rowOff>
    </xdr:to>
    <xdr:pic>
      <xdr:nvPicPr>
        <xdr:cNvPr id="181" name="Рисунок 180">
          <a:extLst>
            <a:ext uri="{FF2B5EF4-FFF2-40B4-BE49-F238E27FC236}">
              <a16:creationId xmlns:a16="http://schemas.microsoft.com/office/drawing/2014/main" id="{9D76116A-0858-441D-BC6C-5F65ACBABA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6594373"/>
          <a:ext cx="1371600" cy="96635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90</xdr:row>
      <xdr:rowOff>21772</xdr:rowOff>
    </xdr:from>
    <xdr:to>
      <xdr:col>0</xdr:col>
      <xdr:colOff>1400175</xdr:colOff>
      <xdr:row>90</xdr:row>
      <xdr:rowOff>1025979</xdr:rowOff>
    </xdr:to>
    <xdr:pic>
      <xdr:nvPicPr>
        <xdr:cNvPr id="183" name="Рисунок 182">
          <a:extLst>
            <a:ext uri="{FF2B5EF4-FFF2-40B4-BE49-F238E27FC236}">
              <a16:creationId xmlns:a16="http://schemas.microsoft.com/office/drawing/2014/main" id="{5E2624A3-3DB4-4322-BF21-773ABE972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7604147"/>
          <a:ext cx="1371600" cy="10042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308BF-DA58-4F3B-8874-E6B76D6B4B49}">
  <sheetPr codeName="Лист5"/>
  <dimension ref="A1:D825"/>
  <sheetViews>
    <sheetView topLeftCell="A628" workbookViewId="0">
      <selection activeCell="D644" sqref="D644"/>
    </sheetView>
  </sheetViews>
  <sheetFormatPr defaultRowHeight="15" x14ac:dyDescent="0.25"/>
  <cols>
    <col min="1" max="1" width="60.7109375" bestFit="1" customWidth="1"/>
    <col min="2" max="2" width="22.5703125" bestFit="1" customWidth="1"/>
    <col min="3" max="3" width="40" bestFit="1" customWidth="1"/>
    <col min="4" max="4" width="40" customWidth="1"/>
  </cols>
  <sheetData>
    <row r="1" spans="1:4" x14ac:dyDescent="0.25">
      <c r="A1" t="s">
        <v>104</v>
      </c>
      <c r="B1" t="str">
        <f>_xlfn.XLOOKUP(A1,Лист8!C:C,Лист8!C:C,"-",0)</f>
        <v>6140 DRAPER III</v>
      </c>
      <c r="C1" t="str">
        <f>IF(IFERROR(FIND(",",A1)&gt;1,FALSE),A1,"-")</f>
        <v>-</v>
      </c>
      <c r="D1" t="e">
        <f t="shared" ref="D1" si="0">IF(#REF!&lt;&gt;"-",A1,"-")</f>
        <v>#REF!</v>
      </c>
    </row>
    <row r="2" spans="1:4" x14ac:dyDescent="0.25">
      <c r="A2" t="s">
        <v>105</v>
      </c>
      <c r="B2" t="str">
        <f>_xlfn.XLOOKUP(A2,Лист8!C:C,Лист8!C:C,"-",0)</f>
        <v>-</v>
      </c>
      <c r="C2" t="str">
        <f t="shared" ref="C2:C65" si="1">IF(IFERROR(FIND(",",A2)&gt;1,FALSE),A2,"-")</f>
        <v>-</v>
      </c>
      <c r="D2" t="str">
        <f t="shared" ref="D2:D64" si="2">IF(C1&lt;&gt;"-",A2,"-")</f>
        <v>-</v>
      </c>
    </row>
    <row r="3" spans="1:4" x14ac:dyDescent="0.25">
      <c r="A3" t="s">
        <v>106</v>
      </c>
      <c r="B3" t="str">
        <f>_xlfn.XLOOKUP(A3,Лист8!C:C,Лист8!C:C,"-",0)</f>
        <v>-</v>
      </c>
      <c r="C3" t="str">
        <f t="shared" si="1"/>
        <v>-</v>
      </c>
      <c r="D3" t="str">
        <f t="shared" si="2"/>
        <v>-</v>
      </c>
    </row>
    <row r="4" spans="1:4" x14ac:dyDescent="0.25">
      <c r="A4" t="s">
        <v>96</v>
      </c>
      <c r="B4" t="str">
        <f>_xlfn.XLOOKUP(A4,Лист8!C:C,Лист8!C:C,"-",0)</f>
        <v>-</v>
      </c>
      <c r="C4" t="str">
        <f t="shared" si="1"/>
        <v>-</v>
      </c>
      <c r="D4" t="str">
        <f t="shared" si="2"/>
        <v>-</v>
      </c>
    </row>
    <row r="5" spans="1:4" x14ac:dyDescent="0.25">
      <c r="A5" t="s">
        <v>100</v>
      </c>
      <c r="B5" t="str">
        <f>_xlfn.XLOOKUP(A5,Лист8!C:C,Лист8!C:C,"-",0)</f>
        <v>-</v>
      </c>
      <c r="C5" t="str">
        <f t="shared" si="1"/>
        <v>-</v>
      </c>
      <c r="D5" t="str">
        <f t="shared" si="2"/>
        <v>-</v>
      </c>
    </row>
    <row r="6" spans="1:4" x14ac:dyDescent="0.25">
      <c r="A6" t="s">
        <v>101</v>
      </c>
      <c r="B6" t="str">
        <f>_xlfn.XLOOKUP(A6,Лист8!C:C,Лист8!C:C,"-",0)</f>
        <v>-</v>
      </c>
      <c r="C6" t="str">
        <f t="shared" si="1"/>
        <v>-</v>
      </c>
      <c r="D6" t="str">
        <f t="shared" si="2"/>
        <v>-</v>
      </c>
    </row>
    <row r="7" spans="1:4" x14ac:dyDescent="0.25">
      <c r="A7" t="s">
        <v>102</v>
      </c>
      <c r="B7" t="str">
        <f>_xlfn.XLOOKUP(A7,Лист8!C:C,Лист8!C:C,"-",0)</f>
        <v>-</v>
      </c>
      <c r="C7" t="str">
        <f t="shared" si="1"/>
        <v>-</v>
      </c>
      <c r="D7" t="str">
        <f t="shared" si="2"/>
        <v>-</v>
      </c>
    </row>
    <row r="8" spans="1:4" x14ac:dyDescent="0.25">
      <c r="A8" t="s">
        <v>94</v>
      </c>
      <c r="B8" t="str">
        <f>_xlfn.XLOOKUP(A8,Лист8!C:C,Лист8!C:C,"-",0)</f>
        <v>-</v>
      </c>
      <c r="C8" t="str">
        <f t="shared" si="1"/>
        <v>6 7/8, 7, 7 1/8, 7 1/4, 7 3/8, 7 1/2, 7 5/8</v>
      </c>
      <c r="D8" t="str">
        <f t="shared" si="2"/>
        <v>-</v>
      </c>
    </row>
    <row r="9" spans="1:4" x14ac:dyDescent="0.25">
      <c r="A9" t="s">
        <v>107</v>
      </c>
      <c r="B9" t="str">
        <f>_xlfn.XLOOKUP(A9,Лист8!C:C,Лист8!C:C,"-",0)</f>
        <v>-</v>
      </c>
      <c r="C9" t="str">
        <f t="shared" si="1"/>
        <v>-</v>
      </c>
      <c r="D9" t="str">
        <f t="shared" si="2"/>
        <v>Black Charcoal Cognac Olive</v>
      </c>
    </row>
    <row r="10" spans="1:4" x14ac:dyDescent="0.25">
      <c r="A10" t="s">
        <v>108</v>
      </c>
      <c r="B10" t="str">
        <f>_xlfn.XLOOKUP(A10,Лист8!C:C,Лист8!C:C,"-",0)</f>
        <v>61433BH CAVALIER</v>
      </c>
      <c r="C10" t="str">
        <f t="shared" si="1"/>
        <v>-</v>
      </c>
      <c r="D10" t="str">
        <f t="shared" si="2"/>
        <v>-</v>
      </c>
    </row>
    <row r="11" spans="1:4" x14ac:dyDescent="0.25">
      <c r="A11" t="s">
        <v>109</v>
      </c>
      <c r="B11" t="str">
        <f>_xlfn.XLOOKUP(A11,Лист8!C:C,Лист8!C:C,"-",0)</f>
        <v>-</v>
      </c>
      <c r="C11" t="str">
        <f t="shared" si="1"/>
        <v>-</v>
      </c>
      <c r="D11" t="str">
        <f t="shared" si="2"/>
        <v>-</v>
      </c>
    </row>
    <row r="12" spans="1:4" x14ac:dyDescent="0.25">
      <c r="A12" t="s">
        <v>110</v>
      </c>
      <c r="B12" t="str">
        <f>_xlfn.XLOOKUP(A12,Лист8!C:C,Лист8!C:C,"-",0)</f>
        <v>-</v>
      </c>
      <c r="C12" t="str">
        <f t="shared" si="1"/>
        <v>-</v>
      </c>
      <c r="D12" t="str">
        <f t="shared" si="2"/>
        <v>-</v>
      </c>
    </row>
    <row r="13" spans="1:4" x14ac:dyDescent="0.25">
      <c r="A13" t="s">
        <v>96</v>
      </c>
      <c r="B13" t="str">
        <f>_xlfn.XLOOKUP(A13,Лист8!C:C,Лист8!C:C,"-",0)</f>
        <v>-</v>
      </c>
      <c r="C13" t="str">
        <f t="shared" si="1"/>
        <v>-</v>
      </c>
      <c r="D13" t="str">
        <f t="shared" si="2"/>
        <v>-</v>
      </c>
    </row>
    <row r="14" spans="1:4" x14ac:dyDescent="0.25">
      <c r="A14" t="s">
        <v>100</v>
      </c>
      <c r="B14" t="str">
        <f>_xlfn.XLOOKUP(A14,Лист8!C:C,Лист8!C:C,"-",0)</f>
        <v>-</v>
      </c>
      <c r="C14" t="str">
        <f t="shared" si="1"/>
        <v>-</v>
      </c>
      <c r="D14" t="str">
        <f t="shared" si="2"/>
        <v>-</v>
      </c>
    </row>
    <row r="15" spans="1:4" x14ac:dyDescent="0.25">
      <c r="A15" t="s">
        <v>101</v>
      </c>
      <c r="B15" t="str">
        <f>_xlfn.XLOOKUP(A15,Лист8!C:C,Лист8!C:C,"-",0)</f>
        <v>-</v>
      </c>
      <c r="C15" t="str">
        <f t="shared" si="1"/>
        <v>-</v>
      </c>
      <c r="D15" t="str">
        <f t="shared" si="2"/>
        <v>-</v>
      </c>
    </row>
    <row r="16" spans="1:4" x14ac:dyDescent="0.25">
      <c r="A16" t="s">
        <v>102</v>
      </c>
      <c r="B16" t="str">
        <f>_xlfn.XLOOKUP(A16,Лист8!C:C,Лист8!C:C,"-",0)</f>
        <v>-</v>
      </c>
      <c r="C16" t="str">
        <f t="shared" si="1"/>
        <v>-</v>
      </c>
      <c r="D16" t="str">
        <f t="shared" si="2"/>
        <v>-</v>
      </c>
    </row>
    <row r="17" spans="1:4" x14ac:dyDescent="0.25">
      <c r="A17" t="s">
        <v>92</v>
      </c>
      <c r="B17" t="str">
        <f>_xlfn.XLOOKUP(A17,Лист8!C:C,Лист8!C:C,"-",0)</f>
        <v>-</v>
      </c>
      <c r="C17" t="str">
        <f t="shared" si="1"/>
        <v>S, M, L, XL</v>
      </c>
      <c r="D17" t="str">
        <f t="shared" si="2"/>
        <v>-</v>
      </c>
    </row>
    <row r="18" spans="1:4" x14ac:dyDescent="0.25">
      <c r="A18" t="s">
        <v>111</v>
      </c>
      <c r="B18" t="str">
        <f>_xlfn.XLOOKUP(A18,Лист8!C:C,Лист8!C:C,"-",0)</f>
        <v>-</v>
      </c>
      <c r="C18" t="str">
        <f t="shared" si="1"/>
        <v>-</v>
      </c>
      <c r="D18" t="str">
        <f t="shared" si="2"/>
        <v>Black Maple</v>
      </c>
    </row>
    <row r="19" spans="1:4" x14ac:dyDescent="0.25">
      <c r="A19" t="s">
        <v>112</v>
      </c>
      <c r="B19" t="str">
        <f>_xlfn.XLOOKUP(A19,Лист8!C:C,Лист8!C:C,"-",0)</f>
        <v>61424BH RALAT</v>
      </c>
      <c r="C19" t="str">
        <f t="shared" si="1"/>
        <v>-</v>
      </c>
      <c r="D19" t="str">
        <f t="shared" si="2"/>
        <v>-</v>
      </c>
    </row>
    <row r="20" spans="1:4" x14ac:dyDescent="0.25">
      <c r="A20" t="s">
        <v>105</v>
      </c>
      <c r="B20" t="str">
        <f>_xlfn.XLOOKUP(A20,Лист8!C:C,Лист8!C:C,"-",0)</f>
        <v>-</v>
      </c>
      <c r="C20" t="str">
        <f t="shared" si="1"/>
        <v>-</v>
      </c>
      <c r="D20" t="str">
        <f t="shared" si="2"/>
        <v>-</v>
      </c>
    </row>
    <row r="21" spans="1:4" x14ac:dyDescent="0.25">
      <c r="A21" t="s">
        <v>113</v>
      </c>
      <c r="B21" t="str">
        <f>_xlfn.XLOOKUP(A21,Лист8!C:C,Лист8!C:C,"-",0)</f>
        <v>-</v>
      </c>
      <c r="C21" t="str">
        <f t="shared" si="1"/>
        <v>-</v>
      </c>
      <c r="D21" t="str">
        <f t="shared" si="2"/>
        <v>-</v>
      </c>
    </row>
    <row r="22" spans="1:4" x14ac:dyDescent="0.25">
      <c r="A22" t="s">
        <v>96</v>
      </c>
      <c r="B22" t="str">
        <f>_xlfn.XLOOKUP(A22,Лист8!C:C,Лист8!C:C,"-",0)</f>
        <v>-</v>
      </c>
      <c r="C22" t="str">
        <f t="shared" si="1"/>
        <v>-</v>
      </c>
      <c r="D22" t="str">
        <f t="shared" si="2"/>
        <v>-</v>
      </c>
    </row>
    <row r="23" spans="1:4" x14ac:dyDescent="0.25">
      <c r="A23" t="s">
        <v>114</v>
      </c>
      <c r="B23" t="str">
        <f>_xlfn.XLOOKUP(A23,Лист8!C:C,Лист8!C:C,"-",0)</f>
        <v>-</v>
      </c>
      <c r="C23" t="str">
        <f t="shared" si="1"/>
        <v>-</v>
      </c>
      <c r="D23" t="str">
        <f t="shared" si="2"/>
        <v>-</v>
      </c>
    </row>
    <row r="24" spans="1:4" x14ac:dyDescent="0.25">
      <c r="A24" t="s">
        <v>100</v>
      </c>
      <c r="B24" t="str">
        <f>_xlfn.XLOOKUP(A24,Лист8!C:C,Лист8!C:C,"-",0)</f>
        <v>-</v>
      </c>
      <c r="C24" t="str">
        <f t="shared" si="1"/>
        <v>-</v>
      </c>
      <c r="D24" t="str">
        <f t="shared" si="2"/>
        <v>-</v>
      </c>
    </row>
    <row r="25" spans="1:4" x14ac:dyDescent="0.25">
      <c r="A25" t="s">
        <v>115</v>
      </c>
      <c r="B25" t="str">
        <f>_xlfn.XLOOKUP(A25,Лист8!C:C,Лист8!C:C,"-",0)</f>
        <v>-</v>
      </c>
      <c r="C25" t="str">
        <f t="shared" si="1"/>
        <v>-</v>
      </c>
      <c r="D25" t="str">
        <f t="shared" si="2"/>
        <v>-</v>
      </c>
    </row>
    <row r="26" spans="1:4" x14ac:dyDescent="0.25">
      <c r="A26" t="s">
        <v>102</v>
      </c>
      <c r="B26" t="str">
        <f>_xlfn.XLOOKUP(A26,Лист8!C:C,Лист8!C:C,"-",0)</f>
        <v>-</v>
      </c>
      <c r="C26" t="str">
        <f t="shared" si="1"/>
        <v>-</v>
      </c>
      <c r="D26" t="str">
        <f t="shared" si="2"/>
        <v>-</v>
      </c>
    </row>
    <row r="27" spans="1:4" x14ac:dyDescent="0.25">
      <c r="A27" t="s">
        <v>92</v>
      </c>
      <c r="B27" t="str">
        <f>_xlfn.XLOOKUP(A27,Лист8!C:C,Лист8!C:C,"-",0)</f>
        <v>-</v>
      </c>
      <c r="C27" t="str">
        <f t="shared" si="1"/>
        <v>S, M, L, XL</v>
      </c>
      <c r="D27" t="str">
        <f t="shared" si="2"/>
        <v>-</v>
      </c>
    </row>
    <row r="28" spans="1:4" x14ac:dyDescent="0.25">
      <c r="A28" t="s">
        <v>116</v>
      </c>
      <c r="B28" t="str">
        <f>_xlfn.XLOOKUP(A28,Лист8!C:C,Лист8!C:C,"-",0)</f>
        <v>-</v>
      </c>
      <c r="C28" t="str">
        <f t="shared" si="1"/>
        <v>-</v>
      </c>
      <c r="D28" t="str">
        <f t="shared" si="2"/>
        <v>Black Charcoal</v>
      </c>
    </row>
    <row r="29" spans="1:4" x14ac:dyDescent="0.25">
      <c r="A29" t="s">
        <v>93</v>
      </c>
      <c r="B29" t="str">
        <f>_xlfn.XLOOKUP(A29,Лист8!C:C,Лист8!C:C,"-",0)</f>
        <v>61432BH THE ARCHITECT</v>
      </c>
      <c r="C29" t="str">
        <f t="shared" si="1"/>
        <v>-</v>
      </c>
      <c r="D29" t="str">
        <f t="shared" si="2"/>
        <v>-</v>
      </c>
    </row>
    <row r="30" spans="1:4" x14ac:dyDescent="0.25">
      <c r="A30" t="s">
        <v>117</v>
      </c>
      <c r="B30" t="str">
        <f>_xlfn.XLOOKUP(A30,Лист8!C:C,Лист8!C:C,"-",0)</f>
        <v>-</v>
      </c>
      <c r="C30" t="str">
        <f t="shared" si="1"/>
        <v>-</v>
      </c>
      <c r="D30" t="str">
        <f t="shared" si="2"/>
        <v>-</v>
      </c>
    </row>
    <row r="31" spans="1:4" x14ac:dyDescent="0.25">
      <c r="A31" t="s">
        <v>110</v>
      </c>
      <c r="B31" t="str">
        <f>_xlfn.XLOOKUP(A31,Лист8!C:C,Лист8!C:C,"-",0)</f>
        <v>-</v>
      </c>
      <c r="C31" t="str">
        <f t="shared" si="1"/>
        <v>-</v>
      </c>
      <c r="D31" t="str">
        <f t="shared" si="2"/>
        <v>-</v>
      </c>
    </row>
    <row r="32" spans="1:4" x14ac:dyDescent="0.25">
      <c r="A32" t="s">
        <v>96</v>
      </c>
      <c r="B32" t="str">
        <f>_xlfn.XLOOKUP(A32,Лист8!C:C,Лист8!C:C,"-",0)</f>
        <v>-</v>
      </c>
      <c r="C32" t="str">
        <f t="shared" si="1"/>
        <v>-</v>
      </c>
      <c r="D32" t="str">
        <f t="shared" si="2"/>
        <v>-</v>
      </c>
    </row>
    <row r="33" spans="1:4" x14ac:dyDescent="0.25">
      <c r="A33" t="s">
        <v>100</v>
      </c>
      <c r="B33" t="str">
        <f>_xlfn.XLOOKUP(A33,Лист8!C:C,Лист8!C:C,"-",0)</f>
        <v>-</v>
      </c>
      <c r="C33" t="str">
        <f t="shared" si="1"/>
        <v>-</v>
      </c>
      <c r="D33" t="str">
        <f t="shared" si="2"/>
        <v>-</v>
      </c>
    </row>
    <row r="34" spans="1:4" x14ac:dyDescent="0.25">
      <c r="A34" t="s">
        <v>101</v>
      </c>
      <c r="B34" t="str">
        <f>_xlfn.XLOOKUP(A34,Лист8!C:C,Лист8!C:C,"-",0)</f>
        <v>-</v>
      </c>
      <c r="C34" t="str">
        <f t="shared" si="1"/>
        <v>-</v>
      </c>
      <c r="D34" t="str">
        <f t="shared" si="2"/>
        <v>-</v>
      </c>
    </row>
    <row r="35" spans="1:4" x14ac:dyDescent="0.25">
      <c r="A35" t="s">
        <v>102</v>
      </c>
      <c r="B35" t="str">
        <f>_xlfn.XLOOKUP(A35,Лист8!C:C,Лист8!C:C,"-",0)</f>
        <v>-</v>
      </c>
      <c r="C35" t="str">
        <f t="shared" si="1"/>
        <v>-</v>
      </c>
      <c r="D35" t="str">
        <f t="shared" si="2"/>
        <v>-</v>
      </c>
    </row>
    <row r="36" spans="1:4" x14ac:dyDescent="0.25">
      <c r="A36" t="s">
        <v>92</v>
      </c>
      <c r="B36" t="str">
        <f>_xlfn.XLOOKUP(A36,Лист8!C:C,Лист8!C:C,"-",0)</f>
        <v>-</v>
      </c>
      <c r="C36" t="str">
        <f t="shared" si="1"/>
        <v>S, M, L, XL</v>
      </c>
      <c r="D36" t="str">
        <f t="shared" si="2"/>
        <v>-</v>
      </c>
    </row>
    <row r="37" spans="1:4" x14ac:dyDescent="0.25">
      <c r="A37" t="s">
        <v>118</v>
      </c>
      <c r="B37" t="str">
        <f>_xlfn.XLOOKUP(A37,Лист8!C:C,Лист8!C:C,"-",0)</f>
        <v>-</v>
      </c>
      <c r="C37" t="str">
        <f t="shared" si="1"/>
        <v>-</v>
      </c>
      <c r="D37" t="str">
        <f t="shared" si="2"/>
        <v>Black Buckskin</v>
      </c>
    </row>
    <row r="38" spans="1:4" x14ac:dyDescent="0.25">
      <c r="A38" t="s">
        <v>97</v>
      </c>
      <c r="B38" t="str">
        <f>_xlfn.XLOOKUP(A38,Лист8!C:C,Лист8!C:C,"-",0)</f>
        <v>61442BH NILSON</v>
      </c>
      <c r="C38" t="str">
        <f t="shared" si="1"/>
        <v>-</v>
      </c>
      <c r="D38" t="str">
        <f t="shared" si="2"/>
        <v>-</v>
      </c>
    </row>
    <row r="39" spans="1:4" x14ac:dyDescent="0.25">
      <c r="A39" t="s">
        <v>91</v>
      </c>
      <c r="B39" t="str">
        <f>_xlfn.XLOOKUP(A39,Лист8!C:C,Лист8!C:C,"-",0)</f>
        <v>-</v>
      </c>
      <c r="C39" t="str">
        <f t="shared" si="1"/>
        <v>-</v>
      </c>
      <c r="D39" t="str">
        <f t="shared" si="2"/>
        <v>-</v>
      </c>
    </row>
    <row r="40" spans="1:4" x14ac:dyDescent="0.25">
      <c r="A40" t="s">
        <v>98</v>
      </c>
      <c r="B40" t="str">
        <f>_xlfn.XLOOKUP(A40,Лист8!C:C,Лист8!C:C,"-",0)</f>
        <v>-</v>
      </c>
      <c r="C40" t="str">
        <f t="shared" si="1"/>
        <v>-</v>
      </c>
      <c r="D40" t="str">
        <f t="shared" si="2"/>
        <v>-</v>
      </c>
    </row>
    <row r="41" spans="1:4" x14ac:dyDescent="0.25">
      <c r="A41" t="s">
        <v>96</v>
      </c>
      <c r="B41" t="str">
        <f>_xlfn.XLOOKUP(A41,Лист8!C:C,Лист8!C:C,"-",0)</f>
        <v>-</v>
      </c>
      <c r="C41" t="str">
        <f t="shared" si="1"/>
        <v>-</v>
      </c>
      <c r="D41" t="str">
        <f t="shared" si="2"/>
        <v>-</v>
      </c>
    </row>
    <row r="42" spans="1:4" x14ac:dyDescent="0.25">
      <c r="A42" t="s">
        <v>99</v>
      </c>
      <c r="B42" t="str">
        <f>_xlfn.XLOOKUP(A42,Лист8!C:C,Лист8!C:C,"-",0)</f>
        <v>-</v>
      </c>
      <c r="C42" t="str">
        <f t="shared" si="1"/>
        <v>-</v>
      </c>
      <c r="D42" t="str">
        <f t="shared" si="2"/>
        <v>-</v>
      </c>
    </row>
    <row r="43" spans="1:4" x14ac:dyDescent="0.25">
      <c r="A43" t="s">
        <v>100</v>
      </c>
      <c r="B43" t="str">
        <f>_xlfn.XLOOKUP(A43,Лист8!C:C,Лист8!C:C,"-",0)</f>
        <v>-</v>
      </c>
      <c r="C43" t="str">
        <f t="shared" si="1"/>
        <v>-</v>
      </c>
      <c r="D43" t="str">
        <f t="shared" si="2"/>
        <v>-</v>
      </c>
    </row>
    <row r="44" spans="1:4" x14ac:dyDescent="0.25">
      <c r="A44" t="s">
        <v>101</v>
      </c>
      <c r="B44" t="str">
        <f>_xlfn.XLOOKUP(A44,Лист8!C:C,Лист8!C:C,"-",0)</f>
        <v>-</v>
      </c>
      <c r="C44" t="str">
        <f t="shared" si="1"/>
        <v>-</v>
      </c>
      <c r="D44" t="str">
        <f t="shared" si="2"/>
        <v>-</v>
      </c>
    </row>
    <row r="45" spans="1:4" x14ac:dyDescent="0.25">
      <c r="A45" t="s">
        <v>102</v>
      </c>
      <c r="B45" t="str">
        <f>_xlfn.XLOOKUP(A45,Лист8!C:C,Лист8!C:C,"-",0)</f>
        <v>-</v>
      </c>
      <c r="C45" t="str">
        <f t="shared" si="1"/>
        <v>-</v>
      </c>
      <c r="D45" t="str">
        <f t="shared" si="2"/>
        <v>-</v>
      </c>
    </row>
    <row r="46" spans="1:4" x14ac:dyDescent="0.25">
      <c r="A46" t="s">
        <v>92</v>
      </c>
      <c r="B46" t="str">
        <f>_xlfn.XLOOKUP(A46,Лист8!C:C,Лист8!C:C,"-",0)</f>
        <v>-</v>
      </c>
      <c r="C46" t="str">
        <f t="shared" si="1"/>
        <v>S, M, L, XL</v>
      </c>
      <c r="D46" t="str">
        <f t="shared" si="2"/>
        <v>-</v>
      </c>
    </row>
    <row r="47" spans="1:4" x14ac:dyDescent="0.25">
      <c r="A47" t="s">
        <v>103</v>
      </c>
      <c r="B47" t="str">
        <f>_xlfn.XLOOKUP(A47,Лист8!C:C,Лист8!C:C,"-",0)</f>
        <v>-</v>
      </c>
      <c r="C47" t="str">
        <f t="shared" si="1"/>
        <v>-</v>
      </c>
      <c r="D47" t="str">
        <f t="shared" si="2"/>
        <v>Copper Slate Uniform Green</v>
      </c>
    </row>
    <row r="48" spans="1:4" x14ac:dyDescent="0.25">
      <c r="A48" t="s">
        <v>95</v>
      </c>
      <c r="B48" t="str">
        <f>_xlfn.XLOOKUP(A48,Лист8!C:C,Лист8!C:C,"-",0)</f>
        <v>61430BH TRINELL</v>
      </c>
      <c r="C48" t="str">
        <f t="shared" si="1"/>
        <v>-</v>
      </c>
      <c r="D48" t="str">
        <f t="shared" si="2"/>
        <v>-</v>
      </c>
    </row>
    <row r="49" spans="1:4" x14ac:dyDescent="0.25">
      <c r="A49" t="s">
        <v>119</v>
      </c>
      <c r="B49" t="str">
        <f>_xlfn.XLOOKUP(A49,Лист8!C:C,Лист8!C:C,"-",0)</f>
        <v>-</v>
      </c>
      <c r="C49" t="str">
        <f t="shared" si="1"/>
        <v>-</v>
      </c>
      <c r="D49" t="str">
        <f t="shared" si="2"/>
        <v>-</v>
      </c>
    </row>
    <row r="50" spans="1:4" x14ac:dyDescent="0.25">
      <c r="A50" t="s">
        <v>120</v>
      </c>
      <c r="B50" t="str">
        <f>_xlfn.XLOOKUP(A50,Лист8!C:C,Лист8!C:C,"-",0)</f>
        <v>-</v>
      </c>
      <c r="C50" t="str">
        <f t="shared" si="1"/>
        <v>-</v>
      </c>
      <c r="D50" t="str">
        <f t="shared" si="2"/>
        <v>-</v>
      </c>
    </row>
    <row r="51" spans="1:4" x14ac:dyDescent="0.25">
      <c r="A51" t="s">
        <v>96</v>
      </c>
      <c r="B51" t="str">
        <f>_xlfn.XLOOKUP(A51,Лист8!C:C,Лист8!C:C,"-",0)</f>
        <v>-</v>
      </c>
      <c r="C51" t="str">
        <f t="shared" si="1"/>
        <v>-</v>
      </c>
      <c r="D51" t="str">
        <f t="shared" si="2"/>
        <v>-</v>
      </c>
    </row>
    <row r="52" spans="1:4" x14ac:dyDescent="0.25">
      <c r="A52" t="s">
        <v>121</v>
      </c>
      <c r="B52" t="str">
        <f>_xlfn.XLOOKUP(A52,Лист8!C:C,Лист8!C:C,"-",0)</f>
        <v>-</v>
      </c>
      <c r="C52" t="str">
        <f t="shared" si="1"/>
        <v>-</v>
      </c>
      <c r="D52" t="str">
        <f t="shared" si="2"/>
        <v>-</v>
      </c>
    </row>
    <row r="53" spans="1:4" x14ac:dyDescent="0.25">
      <c r="A53" t="s">
        <v>101</v>
      </c>
      <c r="B53" t="str">
        <f>_xlfn.XLOOKUP(A53,Лист8!C:C,Лист8!C:C,"-",0)</f>
        <v>-</v>
      </c>
      <c r="C53" t="str">
        <f t="shared" si="1"/>
        <v>-</v>
      </c>
      <c r="D53" t="str">
        <f t="shared" si="2"/>
        <v>-</v>
      </c>
    </row>
    <row r="54" spans="1:4" x14ac:dyDescent="0.25">
      <c r="A54" t="s">
        <v>122</v>
      </c>
      <c r="B54" t="str">
        <f>_xlfn.XLOOKUP(A54,Лист8!C:C,Лист8!C:C,"-",0)</f>
        <v>-</v>
      </c>
      <c r="C54" t="str">
        <f t="shared" si="1"/>
        <v>-</v>
      </c>
      <c r="D54" t="str">
        <f t="shared" si="2"/>
        <v>-</v>
      </c>
    </row>
    <row r="55" spans="1:4" x14ac:dyDescent="0.25">
      <c r="A55" t="s">
        <v>102</v>
      </c>
      <c r="B55" t="str">
        <f>_xlfn.XLOOKUP(A55,Лист8!C:C,Лист8!C:C,"-",0)</f>
        <v>-</v>
      </c>
      <c r="C55" t="str">
        <f t="shared" si="1"/>
        <v>-</v>
      </c>
      <c r="D55" t="str">
        <f t="shared" si="2"/>
        <v>-</v>
      </c>
    </row>
    <row r="56" spans="1:4" x14ac:dyDescent="0.25">
      <c r="A56" t="s">
        <v>92</v>
      </c>
      <c r="B56" t="str">
        <f>_xlfn.XLOOKUP(A56,Лист8!C:C,Лист8!C:C,"-",0)</f>
        <v>-</v>
      </c>
      <c r="C56" t="str">
        <f t="shared" si="1"/>
        <v>S, M, L, XL</v>
      </c>
      <c r="D56" t="str">
        <f t="shared" si="2"/>
        <v>-</v>
      </c>
    </row>
    <row r="57" spans="1:4" x14ac:dyDescent="0.25">
      <c r="A57" t="s">
        <v>123</v>
      </c>
      <c r="B57" t="str">
        <f>_xlfn.XLOOKUP(A57,Лист8!C:C,Лист8!C:C,"-",0)</f>
        <v>-</v>
      </c>
      <c r="C57" t="str">
        <f t="shared" si="1"/>
        <v>-</v>
      </c>
      <c r="D57" t="str">
        <f t="shared" si="2"/>
        <v>Black Light Mink</v>
      </c>
    </row>
    <row r="58" spans="1:4" x14ac:dyDescent="0.25">
      <c r="A58" t="s">
        <v>124</v>
      </c>
      <c r="B58" t="str">
        <f>_xlfn.XLOOKUP(A58,Лист8!C:C,Лист8!C:C,"-",0)</f>
        <v>61428BH GIRVIN</v>
      </c>
      <c r="C58" t="str">
        <f t="shared" si="1"/>
        <v>-</v>
      </c>
      <c r="D58" t="str">
        <f t="shared" si="2"/>
        <v>-</v>
      </c>
    </row>
    <row r="59" spans="1:4" x14ac:dyDescent="0.25">
      <c r="A59" t="s">
        <v>125</v>
      </c>
      <c r="B59" t="str">
        <f>_xlfn.XLOOKUP(A59,Лист8!C:C,Лист8!C:C,"-",0)</f>
        <v>-</v>
      </c>
      <c r="C59" t="str">
        <f t="shared" si="1"/>
        <v>-</v>
      </c>
      <c r="D59" t="str">
        <f t="shared" si="2"/>
        <v>-</v>
      </c>
    </row>
    <row r="60" spans="1:4" x14ac:dyDescent="0.25">
      <c r="A60" t="s">
        <v>126</v>
      </c>
      <c r="B60" t="str">
        <f>_xlfn.XLOOKUP(A60,Лист8!C:C,Лист8!C:C,"-",0)</f>
        <v>-</v>
      </c>
      <c r="C60" t="str">
        <f t="shared" si="1"/>
        <v>-</v>
      </c>
      <c r="D60" t="str">
        <f t="shared" si="2"/>
        <v>-</v>
      </c>
    </row>
    <row r="61" spans="1:4" x14ac:dyDescent="0.25">
      <c r="A61" t="s">
        <v>96</v>
      </c>
      <c r="B61" t="str">
        <f>_xlfn.XLOOKUP(A61,Лист8!C:C,Лист8!C:C,"-",0)</f>
        <v>-</v>
      </c>
      <c r="C61" t="str">
        <f t="shared" si="1"/>
        <v>-</v>
      </c>
      <c r="D61" t="str">
        <f t="shared" si="2"/>
        <v>-</v>
      </c>
    </row>
    <row r="62" spans="1:4" x14ac:dyDescent="0.25">
      <c r="A62" t="s">
        <v>100</v>
      </c>
      <c r="B62" t="str">
        <f>_xlfn.XLOOKUP(A62,Лист8!C:C,Лист8!C:C,"-",0)</f>
        <v>-</v>
      </c>
      <c r="C62" t="str">
        <f t="shared" si="1"/>
        <v>-</v>
      </c>
      <c r="D62" t="str">
        <f t="shared" si="2"/>
        <v>-</v>
      </c>
    </row>
    <row r="63" spans="1:4" x14ac:dyDescent="0.25">
      <c r="A63" t="s">
        <v>101</v>
      </c>
      <c r="B63" t="str">
        <f>_xlfn.XLOOKUP(A63,Лист8!C:C,Лист8!C:C,"-",0)</f>
        <v>-</v>
      </c>
      <c r="C63" t="str">
        <f t="shared" si="1"/>
        <v>-</v>
      </c>
      <c r="D63" t="str">
        <f t="shared" si="2"/>
        <v>-</v>
      </c>
    </row>
    <row r="64" spans="1:4" x14ac:dyDescent="0.25">
      <c r="A64" t="s">
        <v>102</v>
      </c>
      <c r="B64" t="str">
        <f>_xlfn.XLOOKUP(A64,Лист8!C:C,Лист8!C:C,"-",0)</f>
        <v>-</v>
      </c>
      <c r="C64" t="str">
        <f t="shared" si="1"/>
        <v>-</v>
      </c>
      <c r="D64" t="str">
        <f t="shared" si="2"/>
        <v>-</v>
      </c>
    </row>
    <row r="65" spans="1:4" x14ac:dyDescent="0.25">
      <c r="A65" t="s">
        <v>122</v>
      </c>
      <c r="B65" t="str">
        <f>_xlfn.XLOOKUP(A65,Лист8!C:C,Лист8!C:C,"-",0)</f>
        <v>-</v>
      </c>
      <c r="C65" t="str">
        <f t="shared" si="1"/>
        <v>-</v>
      </c>
      <c r="D65" t="str">
        <f t="shared" ref="D65:D128" si="3">IF(C64&lt;&gt;"-",A65,"-")</f>
        <v>-</v>
      </c>
    </row>
    <row r="66" spans="1:4" x14ac:dyDescent="0.25">
      <c r="A66" t="s">
        <v>92</v>
      </c>
      <c r="B66" t="str">
        <f>_xlfn.XLOOKUP(A66,Лист8!C:C,Лист8!C:C,"-",0)</f>
        <v>-</v>
      </c>
      <c r="C66" t="str">
        <f t="shared" ref="C66:C129" si="4">IF(IFERROR(FIND(",",A66)&gt;1,FALSE),A66,"-")</f>
        <v>S, M, L, XL</v>
      </c>
      <c r="D66" t="str">
        <f t="shared" si="3"/>
        <v>-</v>
      </c>
    </row>
    <row r="67" spans="1:4" x14ac:dyDescent="0.25">
      <c r="A67" t="s">
        <v>127</v>
      </c>
      <c r="B67" t="str">
        <f>_xlfn.XLOOKUP(A67,Лист8!C:C,Лист8!C:C,"-",0)</f>
        <v>-</v>
      </c>
      <c r="C67" t="str">
        <f t="shared" si="4"/>
        <v>-</v>
      </c>
      <c r="D67" t="str">
        <f t="shared" si="3"/>
        <v>Black Chocolate</v>
      </c>
    </row>
    <row r="68" spans="1:4" x14ac:dyDescent="0.25">
      <c r="A68" t="s">
        <v>132</v>
      </c>
      <c r="B68" t="str">
        <f>_xlfn.XLOOKUP(A68,Лист8!C:C,Лист8!C:C,"-",0)</f>
        <v>-</v>
      </c>
      <c r="C68" t="str">
        <f t="shared" si="4"/>
        <v>-</v>
      </c>
      <c r="D68" t="str">
        <f t="shared" si="3"/>
        <v>-</v>
      </c>
    </row>
    <row r="69" spans="1:4" x14ac:dyDescent="0.25">
      <c r="A69">
        <v>10</v>
      </c>
      <c r="B69" t="str">
        <f>_xlfn.XLOOKUP(A69,Лист8!C:C,Лист8!C:C,"-",0)</f>
        <v>-</v>
      </c>
      <c r="C69" t="str">
        <f t="shared" si="4"/>
        <v>-</v>
      </c>
      <c r="D69" t="str">
        <f t="shared" si="3"/>
        <v>-</v>
      </c>
    </row>
    <row r="70" spans="1:4" x14ac:dyDescent="0.25">
      <c r="A70" t="s">
        <v>308</v>
      </c>
      <c r="B70" t="str">
        <f>_xlfn.XLOOKUP(A70,Лист8!C:C,Лист8!C:C,"-",0)</f>
        <v>47009BH FLUME</v>
      </c>
      <c r="C70" t="str">
        <f t="shared" si="4"/>
        <v>-</v>
      </c>
      <c r="D70" t="str">
        <f t="shared" si="3"/>
        <v>-</v>
      </c>
    </row>
    <row r="71" spans="1:4" x14ac:dyDescent="0.25">
      <c r="A71" t="s">
        <v>105</v>
      </c>
      <c r="B71" t="str">
        <f>_xlfn.XLOOKUP(A71,Лист8!C:C,Лист8!C:C,"-",0)</f>
        <v>-</v>
      </c>
      <c r="C71" t="str">
        <f t="shared" si="4"/>
        <v>-</v>
      </c>
      <c r="D71" t="str">
        <f t="shared" si="3"/>
        <v>-</v>
      </c>
    </row>
    <row r="72" spans="1:4" x14ac:dyDescent="0.25">
      <c r="A72" t="s">
        <v>106</v>
      </c>
      <c r="B72" t="str">
        <f>_xlfn.XLOOKUP(A72,Лист8!C:C,Лист8!C:C,"-",0)</f>
        <v>-</v>
      </c>
      <c r="C72" t="str">
        <f t="shared" si="4"/>
        <v>-</v>
      </c>
      <c r="D72" t="str">
        <f t="shared" si="3"/>
        <v>-</v>
      </c>
    </row>
    <row r="73" spans="1:4" x14ac:dyDescent="0.25">
      <c r="A73" t="s">
        <v>128</v>
      </c>
      <c r="B73" t="str">
        <f>_xlfn.XLOOKUP(A73,Лист8!C:C,Лист8!C:C,"-",0)</f>
        <v>-</v>
      </c>
      <c r="C73" t="str">
        <f t="shared" si="4"/>
        <v>-</v>
      </c>
      <c r="D73" t="str">
        <f t="shared" si="3"/>
        <v>-</v>
      </c>
    </row>
    <row r="74" spans="1:4" x14ac:dyDescent="0.25">
      <c r="A74" t="s">
        <v>326</v>
      </c>
      <c r="B74" t="str">
        <f>_xlfn.XLOOKUP(A74,Лист8!C:C,Лист8!C:C,"-",0)</f>
        <v>-</v>
      </c>
      <c r="C74" t="str">
        <f t="shared" si="4"/>
        <v>-</v>
      </c>
      <c r="D74" t="str">
        <f t="shared" si="3"/>
        <v>-</v>
      </c>
    </row>
    <row r="75" spans="1:4" x14ac:dyDescent="0.25">
      <c r="A75" t="s">
        <v>115</v>
      </c>
      <c r="B75" t="str">
        <f>_xlfn.XLOOKUP(A75,Лист8!C:C,Лист8!C:C,"-",0)</f>
        <v>-</v>
      </c>
      <c r="C75" t="str">
        <f t="shared" si="4"/>
        <v>-</v>
      </c>
      <c r="D75" t="str">
        <f t="shared" si="3"/>
        <v>-</v>
      </c>
    </row>
    <row r="76" spans="1:4" x14ac:dyDescent="0.25">
      <c r="A76" t="s">
        <v>102</v>
      </c>
      <c r="B76" t="str">
        <f>_xlfn.XLOOKUP(A76,Лист8!C:C,Лист8!C:C,"-",0)</f>
        <v>-</v>
      </c>
      <c r="C76" t="str">
        <f t="shared" si="4"/>
        <v>-</v>
      </c>
      <c r="D76" t="str">
        <f t="shared" si="3"/>
        <v>-</v>
      </c>
    </row>
    <row r="77" spans="1:4" x14ac:dyDescent="0.25">
      <c r="A77" t="s">
        <v>92</v>
      </c>
      <c r="B77" t="str">
        <f>_xlfn.XLOOKUP(A77,Лист8!C:C,Лист8!C:C,"-",0)</f>
        <v>-</v>
      </c>
      <c r="C77" t="str">
        <f t="shared" si="4"/>
        <v>S, M, L, XL</v>
      </c>
      <c r="D77" t="str">
        <f t="shared" si="3"/>
        <v>-</v>
      </c>
    </row>
    <row r="78" spans="1:4" x14ac:dyDescent="0.25">
      <c r="A78" t="s">
        <v>129</v>
      </c>
      <c r="B78" t="str">
        <f>_xlfn.XLOOKUP(A78,Лист8!C:C,Лист8!C:C,"-",0)</f>
        <v>-</v>
      </c>
      <c r="C78" t="str">
        <f t="shared" si="4"/>
        <v>-</v>
      </c>
      <c r="D78" t="str">
        <f t="shared" si="3"/>
        <v>Aubergine Black Mink</v>
      </c>
    </row>
    <row r="79" spans="1:4" x14ac:dyDescent="0.25">
      <c r="A79" t="s">
        <v>130</v>
      </c>
      <c r="B79" t="str">
        <f>_xlfn.XLOOKUP(A79,Лист8!C:C,Лист8!C:C,"-",0)</f>
        <v>61426BH AUMAN</v>
      </c>
      <c r="C79" t="str">
        <f t="shared" si="4"/>
        <v>-</v>
      </c>
      <c r="D79" t="str">
        <f t="shared" si="3"/>
        <v>-</v>
      </c>
    </row>
    <row r="80" spans="1:4" x14ac:dyDescent="0.25">
      <c r="A80" t="s">
        <v>119</v>
      </c>
      <c r="B80" t="str">
        <f>_xlfn.XLOOKUP(A80,Лист8!C:C,Лист8!C:C,"-",0)</f>
        <v>-</v>
      </c>
      <c r="C80" t="str">
        <f t="shared" si="4"/>
        <v>-</v>
      </c>
      <c r="D80" t="str">
        <f t="shared" si="3"/>
        <v>-</v>
      </c>
    </row>
    <row r="81" spans="1:4" x14ac:dyDescent="0.25">
      <c r="A81" t="s">
        <v>120</v>
      </c>
      <c r="B81" t="str">
        <f>_xlfn.XLOOKUP(A81,Лист8!C:C,Лист8!C:C,"-",0)</f>
        <v>-</v>
      </c>
      <c r="C81" t="str">
        <f t="shared" si="4"/>
        <v>-</v>
      </c>
      <c r="D81" t="str">
        <f t="shared" si="3"/>
        <v>-</v>
      </c>
    </row>
    <row r="82" spans="1:4" x14ac:dyDescent="0.25">
      <c r="A82" t="s">
        <v>96</v>
      </c>
      <c r="B82" t="str">
        <f>_xlfn.XLOOKUP(A82,Лист8!C:C,Лист8!C:C,"-",0)</f>
        <v>-</v>
      </c>
      <c r="C82" t="str">
        <f t="shared" si="4"/>
        <v>-</v>
      </c>
      <c r="D82" t="str">
        <f t="shared" si="3"/>
        <v>-</v>
      </c>
    </row>
    <row r="83" spans="1:4" x14ac:dyDescent="0.25">
      <c r="A83" t="s">
        <v>327</v>
      </c>
      <c r="B83" t="str">
        <f>_xlfn.XLOOKUP(A83,Лист8!C:C,Лист8!C:C,"-",0)</f>
        <v>-</v>
      </c>
      <c r="C83" t="str">
        <f t="shared" si="4"/>
        <v>-</v>
      </c>
      <c r="D83" t="str">
        <f t="shared" si="3"/>
        <v>-</v>
      </c>
    </row>
    <row r="84" spans="1:4" x14ac:dyDescent="0.25">
      <c r="A84" t="s">
        <v>100</v>
      </c>
      <c r="B84" t="str">
        <f>_xlfn.XLOOKUP(A84,Лист8!C:C,Лист8!C:C,"-",0)</f>
        <v>-</v>
      </c>
      <c r="C84" t="str">
        <f t="shared" si="4"/>
        <v>-</v>
      </c>
      <c r="D84" t="str">
        <f t="shared" si="3"/>
        <v>-</v>
      </c>
    </row>
    <row r="85" spans="1:4" x14ac:dyDescent="0.25">
      <c r="A85" t="s">
        <v>115</v>
      </c>
      <c r="B85" t="str">
        <f>_xlfn.XLOOKUP(A85,Лист8!C:C,Лист8!C:C,"-",0)</f>
        <v>-</v>
      </c>
      <c r="C85" t="str">
        <f t="shared" si="4"/>
        <v>-</v>
      </c>
      <c r="D85" t="str">
        <f t="shared" si="3"/>
        <v>-</v>
      </c>
    </row>
    <row r="86" spans="1:4" x14ac:dyDescent="0.25">
      <c r="A86" t="s">
        <v>102</v>
      </c>
      <c r="B86" t="str">
        <f>_xlfn.XLOOKUP(A86,Лист8!C:C,Лист8!C:C,"-",0)</f>
        <v>-</v>
      </c>
      <c r="C86" t="str">
        <f t="shared" si="4"/>
        <v>-</v>
      </c>
      <c r="D86" t="str">
        <f t="shared" si="3"/>
        <v>-</v>
      </c>
    </row>
    <row r="87" spans="1:4" x14ac:dyDescent="0.25">
      <c r="A87" t="s">
        <v>92</v>
      </c>
      <c r="B87" t="str">
        <f>_xlfn.XLOOKUP(A87,Лист8!C:C,Лист8!C:C,"-",0)</f>
        <v>-</v>
      </c>
      <c r="C87" t="str">
        <f t="shared" si="4"/>
        <v>S, M, L, XL</v>
      </c>
      <c r="D87" t="str">
        <f t="shared" si="3"/>
        <v>-</v>
      </c>
    </row>
    <row r="88" spans="1:4" x14ac:dyDescent="0.25">
      <c r="A88" t="s">
        <v>131</v>
      </c>
      <c r="B88" t="str">
        <f>_xlfn.XLOOKUP(A88,Лист8!C:C,Лист8!C:C,"-",0)</f>
        <v>-</v>
      </c>
      <c r="C88" t="str">
        <f t="shared" si="4"/>
        <v>-</v>
      </c>
      <c r="D88" t="str">
        <f t="shared" si="3"/>
        <v>Black</v>
      </c>
    </row>
    <row r="89" spans="1:4" x14ac:dyDescent="0.25">
      <c r="A89">
        <v>15</v>
      </c>
      <c r="B89" t="str">
        <f>_xlfn.XLOOKUP(A89,Лист8!C:C,Лист8!C:C,"-",0)</f>
        <v>-</v>
      </c>
      <c r="C89" t="str">
        <f t="shared" si="4"/>
        <v>-</v>
      </c>
      <c r="D89" t="str">
        <f t="shared" si="3"/>
        <v>-</v>
      </c>
    </row>
    <row r="90" spans="1:4" x14ac:dyDescent="0.25">
      <c r="A90" t="s">
        <v>140</v>
      </c>
      <c r="B90" t="str">
        <f>_xlfn.XLOOKUP(A90,Лист8!C:C,Лист8!C:C,"-",0)</f>
        <v>-</v>
      </c>
      <c r="C90" t="str">
        <f t="shared" si="4"/>
        <v>-</v>
      </c>
      <c r="D90" t="str">
        <f t="shared" si="3"/>
        <v>-</v>
      </c>
    </row>
    <row r="91" spans="1:4" x14ac:dyDescent="0.25">
      <c r="A91" t="s">
        <v>309</v>
      </c>
      <c r="B91" t="str">
        <f>_xlfn.XLOOKUP(A91,Лист8!C:C,Лист8!C:C,"-",0)</f>
        <v>37188BH COLBY</v>
      </c>
      <c r="C91" t="str">
        <f t="shared" si="4"/>
        <v>-</v>
      </c>
      <c r="D91" t="str">
        <f t="shared" si="3"/>
        <v>-</v>
      </c>
    </row>
    <row r="92" spans="1:4" x14ac:dyDescent="0.25">
      <c r="A92" t="s">
        <v>328</v>
      </c>
      <c r="B92" t="str">
        <f>_xlfn.XLOOKUP(A92,Лист8!C:C,Лист8!C:C,"-",0)</f>
        <v>-</v>
      </c>
      <c r="C92" t="str">
        <f t="shared" si="4"/>
        <v>-</v>
      </c>
      <c r="D92" t="str">
        <f t="shared" si="3"/>
        <v>-</v>
      </c>
    </row>
    <row r="93" spans="1:4" x14ac:dyDescent="0.25">
      <c r="A93" t="s">
        <v>329</v>
      </c>
      <c r="B93" t="str">
        <f>_xlfn.XLOOKUP(A93,Лист8!C:C,Лист8!C:C,"-",0)</f>
        <v>-</v>
      </c>
      <c r="C93" t="str">
        <f t="shared" si="4"/>
        <v>-</v>
      </c>
      <c r="D93" t="str">
        <f t="shared" si="3"/>
        <v>-</v>
      </c>
    </row>
    <row r="94" spans="1:4" x14ac:dyDescent="0.25">
      <c r="A94" t="s">
        <v>133</v>
      </c>
      <c r="B94" t="str">
        <f>_xlfn.XLOOKUP(A94,Лист8!C:C,Лист8!C:C,"-",0)</f>
        <v>-</v>
      </c>
      <c r="C94" t="str">
        <f t="shared" si="4"/>
        <v>-</v>
      </c>
      <c r="D94" t="str">
        <f t="shared" si="3"/>
        <v>-</v>
      </c>
    </row>
    <row r="95" spans="1:4" x14ac:dyDescent="0.25">
      <c r="A95" t="s">
        <v>134</v>
      </c>
      <c r="B95" t="str">
        <f>_xlfn.XLOOKUP(A95,Лист8!C:C,Лист8!C:C,"-",0)</f>
        <v>-</v>
      </c>
      <c r="C95" t="str">
        <f t="shared" si="4"/>
        <v>-</v>
      </c>
      <c r="D95" t="str">
        <f t="shared" si="3"/>
        <v>-</v>
      </c>
    </row>
    <row r="96" spans="1:4" x14ac:dyDescent="0.25">
      <c r="A96" t="s">
        <v>330</v>
      </c>
      <c r="B96" t="str">
        <f>_xlfn.XLOOKUP(A96,Лист8!C:C,Лист8!C:C,"-",0)</f>
        <v>-</v>
      </c>
      <c r="C96" t="str">
        <f t="shared" si="4"/>
        <v>-</v>
      </c>
      <c r="D96" t="str">
        <f t="shared" si="3"/>
        <v>-</v>
      </c>
    </row>
    <row r="97" spans="1:4" x14ac:dyDescent="0.25">
      <c r="A97" t="s">
        <v>101</v>
      </c>
      <c r="B97" t="str">
        <f>_xlfn.XLOOKUP(A97,Лист8!C:C,Лист8!C:C,"-",0)</f>
        <v>-</v>
      </c>
      <c r="C97" t="str">
        <f t="shared" si="4"/>
        <v>-</v>
      </c>
      <c r="D97" t="str">
        <f t="shared" si="3"/>
        <v>-</v>
      </c>
    </row>
    <row r="98" spans="1:4" x14ac:dyDescent="0.25">
      <c r="A98" t="s">
        <v>102</v>
      </c>
      <c r="B98" t="str">
        <f>_xlfn.XLOOKUP(A98,Лист8!C:C,Лист8!C:C,"-",0)</f>
        <v>-</v>
      </c>
      <c r="C98" t="str">
        <f t="shared" si="4"/>
        <v>-</v>
      </c>
      <c r="D98" t="str">
        <f t="shared" si="3"/>
        <v>-</v>
      </c>
    </row>
    <row r="99" spans="1:4" x14ac:dyDescent="0.25">
      <c r="A99" t="s">
        <v>92</v>
      </c>
      <c r="B99" t="str">
        <f>_xlfn.XLOOKUP(A99,Лист8!C:C,Лист8!C:C,"-",0)</f>
        <v>-</v>
      </c>
      <c r="C99" t="str">
        <f t="shared" si="4"/>
        <v>S, M, L, XL</v>
      </c>
      <c r="D99" t="str">
        <f t="shared" si="3"/>
        <v>-</v>
      </c>
    </row>
    <row r="100" spans="1:4" x14ac:dyDescent="0.25">
      <c r="A100" t="s">
        <v>135</v>
      </c>
      <c r="B100" t="str">
        <f>_xlfn.XLOOKUP(A100,Лист8!C:C,Лист8!C:C,"-",0)</f>
        <v>-</v>
      </c>
      <c r="C100" t="str">
        <f t="shared" si="4"/>
        <v>-</v>
      </c>
      <c r="D100" t="str">
        <f t="shared" si="3"/>
        <v>Black Nickel Soft Khaki Stucco</v>
      </c>
    </row>
    <row r="101" spans="1:4" x14ac:dyDescent="0.25">
      <c r="A101" t="s">
        <v>136</v>
      </c>
      <c r="B101" t="str">
        <f>_xlfn.XLOOKUP(A101,Лист8!C:C,Лист8!C:C,"-",0)</f>
        <v>37189BH GODWIN</v>
      </c>
      <c r="C101" t="str">
        <f t="shared" si="4"/>
        <v>-</v>
      </c>
      <c r="D101" t="str">
        <f t="shared" si="3"/>
        <v>-</v>
      </c>
    </row>
    <row r="102" spans="1:4" x14ac:dyDescent="0.25">
      <c r="A102" t="s">
        <v>125</v>
      </c>
      <c r="B102" t="str">
        <f>_xlfn.XLOOKUP(A102,Лист8!C:C,Лист8!C:C,"-",0)</f>
        <v>-</v>
      </c>
      <c r="C102" t="str">
        <f t="shared" si="4"/>
        <v>-</v>
      </c>
      <c r="D102" t="str">
        <f t="shared" si="3"/>
        <v>-</v>
      </c>
    </row>
    <row r="103" spans="1:4" x14ac:dyDescent="0.25">
      <c r="A103" t="s">
        <v>331</v>
      </c>
      <c r="B103" t="str">
        <f>_xlfn.XLOOKUP(A103,Лист8!C:C,Лист8!C:C,"-",0)</f>
        <v>-</v>
      </c>
      <c r="C103" t="str">
        <f t="shared" si="4"/>
        <v>-</v>
      </c>
      <c r="D103" t="str">
        <f t="shared" si="3"/>
        <v>-</v>
      </c>
    </row>
    <row r="104" spans="1:4" x14ac:dyDescent="0.25">
      <c r="A104" t="s">
        <v>133</v>
      </c>
      <c r="B104" t="str">
        <f>_xlfn.XLOOKUP(A104,Лист8!C:C,Лист8!C:C,"-",0)</f>
        <v>-</v>
      </c>
      <c r="C104" t="str">
        <f t="shared" si="4"/>
        <v>-</v>
      </c>
      <c r="D104" t="str">
        <f t="shared" si="3"/>
        <v>-</v>
      </c>
    </row>
    <row r="105" spans="1:4" x14ac:dyDescent="0.25">
      <c r="A105" t="s">
        <v>332</v>
      </c>
      <c r="B105" t="str">
        <f>_xlfn.XLOOKUP(A105,Лист8!C:C,Лист8!C:C,"-",0)</f>
        <v>-</v>
      </c>
      <c r="C105" t="str">
        <f t="shared" si="4"/>
        <v>-</v>
      </c>
      <c r="D105" t="str">
        <f t="shared" si="3"/>
        <v>-</v>
      </c>
    </row>
    <row r="106" spans="1:4" x14ac:dyDescent="0.25">
      <c r="A106" t="s">
        <v>99</v>
      </c>
      <c r="B106" t="str">
        <f>_xlfn.XLOOKUP(A106,Лист8!C:C,Лист8!C:C,"-",0)</f>
        <v>-</v>
      </c>
      <c r="C106" t="str">
        <f t="shared" si="4"/>
        <v>-</v>
      </c>
      <c r="D106" t="str">
        <f t="shared" si="3"/>
        <v>-</v>
      </c>
    </row>
    <row r="107" spans="1:4" x14ac:dyDescent="0.25">
      <c r="A107" t="s">
        <v>115</v>
      </c>
      <c r="B107" t="str">
        <f>_xlfn.XLOOKUP(A107,Лист8!C:C,Лист8!C:C,"-",0)</f>
        <v>-</v>
      </c>
      <c r="C107" t="str">
        <f t="shared" si="4"/>
        <v>-</v>
      </c>
      <c r="D107" t="str">
        <f t="shared" si="3"/>
        <v>-</v>
      </c>
    </row>
    <row r="108" spans="1:4" x14ac:dyDescent="0.25">
      <c r="A108" t="s">
        <v>102</v>
      </c>
      <c r="B108" t="str">
        <f>_xlfn.XLOOKUP(A108,Лист8!C:C,Лист8!C:C,"-",0)</f>
        <v>-</v>
      </c>
      <c r="C108" t="str">
        <f t="shared" si="4"/>
        <v>-</v>
      </c>
      <c r="D108" t="str">
        <f t="shared" si="3"/>
        <v>-</v>
      </c>
    </row>
    <row r="109" spans="1:4" x14ac:dyDescent="0.25">
      <c r="A109" t="s">
        <v>92</v>
      </c>
      <c r="B109" t="str">
        <f>_xlfn.XLOOKUP(A109,Лист8!C:C,Лист8!C:C,"-",0)</f>
        <v>-</v>
      </c>
      <c r="C109" t="str">
        <f t="shared" si="4"/>
        <v>S, M, L, XL</v>
      </c>
      <c r="D109" t="str">
        <f t="shared" si="3"/>
        <v>-</v>
      </c>
    </row>
    <row r="110" spans="1:4" x14ac:dyDescent="0.25">
      <c r="A110" t="s">
        <v>137</v>
      </c>
      <c r="B110" t="str">
        <f>_xlfn.XLOOKUP(A110,Лист8!C:C,Лист8!C:C,"-",0)</f>
        <v>-</v>
      </c>
      <c r="C110" t="str">
        <f t="shared" si="4"/>
        <v>-</v>
      </c>
      <c r="D110" t="str">
        <f t="shared" si="3"/>
        <v>Black Eggplant Lazuli Blue Oak Taupe</v>
      </c>
    </row>
    <row r="111" spans="1:4" x14ac:dyDescent="0.25">
      <c r="A111" t="s">
        <v>138</v>
      </c>
      <c r="B111" t="str">
        <f>_xlfn.XLOOKUP(A111,Лист8!C:C,Лист8!C:C,"-",0)</f>
        <v>37190BH TREVEL</v>
      </c>
      <c r="C111" t="str">
        <f t="shared" si="4"/>
        <v>-</v>
      </c>
      <c r="D111" t="str">
        <f t="shared" si="3"/>
        <v>-</v>
      </c>
    </row>
    <row r="112" spans="1:4" x14ac:dyDescent="0.25">
      <c r="A112" t="s">
        <v>109</v>
      </c>
      <c r="B112" t="str">
        <f>_xlfn.XLOOKUP(A112,Лист8!C:C,Лист8!C:C,"-",0)</f>
        <v>-</v>
      </c>
      <c r="C112" t="str">
        <f t="shared" si="4"/>
        <v>-</v>
      </c>
      <c r="D112" t="str">
        <f t="shared" si="3"/>
        <v>-</v>
      </c>
    </row>
    <row r="113" spans="1:4" x14ac:dyDescent="0.25">
      <c r="A113" t="s">
        <v>331</v>
      </c>
      <c r="B113" t="str">
        <f>_xlfn.XLOOKUP(A113,Лист8!C:C,Лист8!C:C,"-",0)</f>
        <v>-</v>
      </c>
      <c r="C113" t="str">
        <f t="shared" si="4"/>
        <v>-</v>
      </c>
      <c r="D113" t="str">
        <f t="shared" si="3"/>
        <v>-</v>
      </c>
    </row>
    <row r="114" spans="1:4" x14ac:dyDescent="0.25">
      <c r="A114" t="s">
        <v>133</v>
      </c>
      <c r="B114" t="str">
        <f>_xlfn.XLOOKUP(A114,Лист8!C:C,Лист8!C:C,"-",0)</f>
        <v>-</v>
      </c>
      <c r="C114" t="str">
        <f t="shared" si="4"/>
        <v>-</v>
      </c>
      <c r="D114" t="str">
        <f t="shared" si="3"/>
        <v>-</v>
      </c>
    </row>
    <row r="115" spans="1:4" x14ac:dyDescent="0.25">
      <c r="A115" t="s">
        <v>333</v>
      </c>
      <c r="B115" t="str">
        <f>_xlfn.XLOOKUP(A115,Лист8!C:C,Лист8!C:C,"-",0)</f>
        <v>-</v>
      </c>
      <c r="C115" t="str">
        <f t="shared" si="4"/>
        <v>-</v>
      </c>
      <c r="D115" t="str">
        <f t="shared" si="3"/>
        <v>-</v>
      </c>
    </row>
    <row r="116" spans="1:4" x14ac:dyDescent="0.25">
      <c r="A116" t="s">
        <v>99</v>
      </c>
      <c r="B116" t="str">
        <f>_xlfn.XLOOKUP(A116,Лист8!C:C,Лист8!C:C,"-",0)</f>
        <v>-</v>
      </c>
      <c r="C116" t="str">
        <f t="shared" si="4"/>
        <v>-</v>
      </c>
      <c r="D116" t="str">
        <f t="shared" si="3"/>
        <v>-</v>
      </c>
    </row>
    <row r="117" spans="1:4" x14ac:dyDescent="0.25">
      <c r="A117" t="s">
        <v>115</v>
      </c>
      <c r="B117" t="str">
        <f>_xlfn.XLOOKUP(A117,Лист8!C:C,Лист8!C:C,"-",0)</f>
        <v>-</v>
      </c>
      <c r="C117" t="str">
        <f t="shared" si="4"/>
        <v>-</v>
      </c>
      <c r="D117" t="str">
        <f t="shared" si="3"/>
        <v>-</v>
      </c>
    </row>
    <row r="118" spans="1:4" x14ac:dyDescent="0.25">
      <c r="A118" t="s">
        <v>102</v>
      </c>
      <c r="B118" t="str">
        <f>_xlfn.XLOOKUP(A118,Лист8!C:C,Лист8!C:C,"-",0)</f>
        <v>-</v>
      </c>
      <c r="C118" t="str">
        <f t="shared" si="4"/>
        <v>-</v>
      </c>
      <c r="D118" t="str">
        <f t="shared" si="3"/>
        <v>-</v>
      </c>
    </row>
    <row r="119" spans="1:4" x14ac:dyDescent="0.25">
      <c r="A119" t="s">
        <v>92</v>
      </c>
      <c r="B119" t="str">
        <f>_xlfn.XLOOKUP(A119,Лист8!C:C,Лист8!C:C,"-",0)</f>
        <v>-</v>
      </c>
      <c r="C119" t="str">
        <f t="shared" si="4"/>
        <v>S, M, L, XL</v>
      </c>
      <c r="D119" t="str">
        <f t="shared" si="3"/>
        <v>-</v>
      </c>
    </row>
    <row r="120" spans="1:4" x14ac:dyDescent="0.25">
      <c r="A120" t="s">
        <v>139</v>
      </c>
      <c r="B120" t="str">
        <f>_xlfn.XLOOKUP(A120,Лист8!C:C,Лист8!C:C,"-",0)</f>
        <v>-</v>
      </c>
      <c r="C120" t="str">
        <f t="shared" si="4"/>
        <v>-</v>
      </c>
      <c r="D120" t="str">
        <f t="shared" si="3"/>
        <v>Black Copper Nickel</v>
      </c>
    </row>
    <row r="121" spans="1:4" x14ac:dyDescent="0.25">
      <c r="A121" t="s">
        <v>334</v>
      </c>
      <c r="B121" t="str">
        <f>_xlfn.XLOOKUP(A121,Лист8!C:C,Лист8!C:C,"-",0)</f>
        <v>-</v>
      </c>
      <c r="C121" t="str">
        <f t="shared" si="4"/>
        <v>-</v>
      </c>
      <c r="D121" t="str">
        <f t="shared" si="3"/>
        <v>-</v>
      </c>
    </row>
    <row r="122" spans="1:4" x14ac:dyDescent="0.25">
      <c r="A122" t="s">
        <v>158</v>
      </c>
      <c r="B122" t="str">
        <f>_xlfn.XLOOKUP(A122,Лист8!C:C,Лист8!C:C,"-",0)</f>
        <v>37172BH BOGAN</v>
      </c>
      <c r="C122" t="str">
        <f t="shared" si="4"/>
        <v>-</v>
      </c>
      <c r="D122" t="str">
        <f t="shared" si="3"/>
        <v>-</v>
      </c>
    </row>
    <row r="123" spans="1:4" x14ac:dyDescent="0.25">
      <c r="A123" t="s">
        <v>335</v>
      </c>
      <c r="B123" t="str">
        <f>_xlfn.XLOOKUP(A123,Лист8!C:C,Лист8!C:C,"-",0)</f>
        <v>-</v>
      </c>
      <c r="C123" t="str">
        <f t="shared" si="4"/>
        <v>-</v>
      </c>
      <c r="D123" t="str">
        <f t="shared" si="3"/>
        <v>-</v>
      </c>
    </row>
    <row r="124" spans="1:4" x14ac:dyDescent="0.25">
      <c r="A124" t="s">
        <v>336</v>
      </c>
      <c r="B124" t="str">
        <f>_xlfn.XLOOKUP(A124,Лист8!C:C,Лист8!C:C,"-",0)</f>
        <v>-</v>
      </c>
      <c r="C124" t="str">
        <f t="shared" si="4"/>
        <v>-</v>
      </c>
      <c r="D124" t="str">
        <f t="shared" si="3"/>
        <v>-</v>
      </c>
    </row>
    <row r="125" spans="1:4" x14ac:dyDescent="0.25">
      <c r="A125" t="s">
        <v>159</v>
      </c>
      <c r="B125" t="str">
        <f>_xlfn.XLOOKUP(A125,Лист8!C:C,Лист8!C:C,"-",0)</f>
        <v>-</v>
      </c>
      <c r="C125" t="str">
        <f t="shared" si="4"/>
        <v>-</v>
      </c>
      <c r="D125" t="str">
        <f t="shared" si="3"/>
        <v>-</v>
      </c>
    </row>
    <row r="126" spans="1:4" x14ac:dyDescent="0.25">
      <c r="A126" t="s">
        <v>100</v>
      </c>
      <c r="B126" t="str">
        <f>_xlfn.XLOOKUP(A126,Лист8!C:C,Лист8!C:C,"-",0)</f>
        <v>-</v>
      </c>
      <c r="C126" t="str">
        <f t="shared" si="4"/>
        <v>-</v>
      </c>
      <c r="D126" t="str">
        <f t="shared" si="3"/>
        <v>-</v>
      </c>
    </row>
    <row r="127" spans="1:4" x14ac:dyDescent="0.25">
      <c r="A127" t="s">
        <v>115</v>
      </c>
      <c r="B127" t="str">
        <f>_xlfn.XLOOKUP(A127,Лист8!C:C,Лист8!C:C,"-",0)</f>
        <v>-</v>
      </c>
      <c r="C127" t="str">
        <f t="shared" si="4"/>
        <v>-</v>
      </c>
      <c r="D127" t="str">
        <f t="shared" si="3"/>
        <v>-</v>
      </c>
    </row>
    <row r="128" spans="1:4" x14ac:dyDescent="0.25">
      <c r="A128" t="s">
        <v>102</v>
      </c>
      <c r="B128" t="str">
        <f>_xlfn.XLOOKUP(A128,Лист8!C:C,Лист8!C:C,"-",0)</f>
        <v>-</v>
      </c>
      <c r="C128" t="str">
        <f t="shared" si="4"/>
        <v>-</v>
      </c>
      <c r="D128" t="str">
        <f t="shared" si="3"/>
        <v>-</v>
      </c>
    </row>
    <row r="129" spans="1:4" x14ac:dyDescent="0.25">
      <c r="A129" t="s">
        <v>92</v>
      </c>
      <c r="B129" t="str">
        <f>_xlfn.XLOOKUP(A129,Лист8!C:C,Лист8!C:C,"-",0)</f>
        <v>-</v>
      </c>
      <c r="C129" t="str">
        <f t="shared" si="4"/>
        <v>S, M, L, XL</v>
      </c>
      <c r="D129" t="str">
        <f t="shared" ref="D129:D192" si="5">IF(C128&lt;&gt;"-",A129,"-")</f>
        <v>-</v>
      </c>
    </row>
    <row r="130" spans="1:4" x14ac:dyDescent="0.25">
      <c r="A130" t="s">
        <v>161</v>
      </c>
      <c r="B130" t="str">
        <f>_xlfn.XLOOKUP(A130,Лист8!C:C,Лист8!C:C,"-",0)</f>
        <v>-</v>
      </c>
      <c r="C130" t="str">
        <f t="shared" ref="C130:C193" si="6">IF(IFERROR(FIND(",",A130)&gt;1,FALSE),A130,"-")</f>
        <v>-</v>
      </c>
      <c r="D130" t="str">
        <f t="shared" si="5"/>
        <v>Peacoat Plaza Taupe Saddle Steel</v>
      </c>
    </row>
    <row r="131" spans="1:4" x14ac:dyDescent="0.25">
      <c r="A131" t="s">
        <v>160</v>
      </c>
      <c r="B131" t="str">
        <f>_xlfn.XLOOKUP(A131,Лист8!C:C,Лист8!C:C,"-",0)</f>
        <v>-</v>
      </c>
      <c r="C131" t="str">
        <f t="shared" si="6"/>
        <v>-</v>
      </c>
      <c r="D131" t="str">
        <f t="shared" si="5"/>
        <v>-</v>
      </c>
    </row>
    <row r="132" spans="1:4" x14ac:dyDescent="0.25">
      <c r="A132" t="s">
        <v>162</v>
      </c>
      <c r="B132" t="str">
        <f>_xlfn.XLOOKUP(A132,Лист8!C:C,Лист8!C:C,"-",0)</f>
        <v>20007BH CLORINDON</v>
      </c>
      <c r="C132" t="str">
        <f t="shared" si="6"/>
        <v>-</v>
      </c>
      <c r="D132" t="str">
        <f t="shared" si="5"/>
        <v>-</v>
      </c>
    </row>
    <row r="133" spans="1:4" x14ac:dyDescent="0.25">
      <c r="A133" t="s">
        <v>125</v>
      </c>
      <c r="B133" t="str">
        <f>_xlfn.XLOOKUP(A133,Лист8!C:C,Лист8!C:C,"-",0)</f>
        <v>-</v>
      </c>
      <c r="C133" t="str">
        <f t="shared" si="6"/>
        <v>-</v>
      </c>
      <c r="D133" t="str">
        <f t="shared" si="5"/>
        <v>-</v>
      </c>
    </row>
    <row r="134" spans="1:4" x14ac:dyDescent="0.25">
      <c r="A134" t="s">
        <v>337</v>
      </c>
      <c r="B134" t="str">
        <f>_xlfn.XLOOKUP(A134,Лист8!C:C,Лист8!C:C,"-",0)</f>
        <v>-</v>
      </c>
      <c r="C134" t="str">
        <f t="shared" si="6"/>
        <v>-</v>
      </c>
      <c r="D134" t="str">
        <f t="shared" si="5"/>
        <v>-</v>
      </c>
    </row>
    <row r="135" spans="1:4" x14ac:dyDescent="0.25">
      <c r="A135" t="s">
        <v>155</v>
      </c>
      <c r="B135" t="str">
        <f>_xlfn.XLOOKUP(A135,Лист8!C:C,Лист8!C:C,"-",0)</f>
        <v>-</v>
      </c>
      <c r="C135" t="str">
        <f t="shared" si="6"/>
        <v>-</v>
      </c>
      <c r="D135" t="str">
        <f t="shared" si="5"/>
        <v>-</v>
      </c>
    </row>
    <row r="136" spans="1:4" x14ac:dyDescent="0.25">
      <c r="A136" t="s">
        <v>163</v>
      </c>
      <c r="B136" t="str">
        <f>_xlfn.XLOOKUP(A136,Лист8!C:C,Лист8!C:C,"-",0)</f>
        <v>-</v>
      </c>
      <c r="C136" t="str">
        <f t="shared" si="6"/>
        <v>-</v>
      </c>
      <c r="D136" t="str">
        <f t="shared" si="5"/>
        <v>-</v>
      </c>
    </row>
    <row r="137" spans="1:4" x14ac:dyDescent="0.25">
      <c r="A137" t="s">
        <v>338</v>
      </c>
      <c r="B137" t="str">
        <f>_xlfn.XLOOKUP(A137,Лист8!C:C,Лист8!C:C,"-",0)</f>
        <v>-</v>
      </c>
      <c r="C137" t="str">
        <f t="shared" si="6"/>
        <v>-</v>
      </c>
      <c r="D137" t="str">
        <f t="shared" si="5"/>
        <v>-</v>
      </c>
    </row>
    <row r="138" spans="1:4" x14ac:dyDescent="0.25">
      <c r="A138" t="s">
        <v>339</v>
      </c>
      <c r="B138" t="str">
        <f>_xlfn.XLOOKUP(A138,Лист8!C:C,Лист8!C:C,"-",0)</f>
        <v>-</v>
      </c>
      <c r="C138" t="str">
        <f t="shared" si="6"/>
        <v>-</v>
      </c>
      <c r="D138" t="str">
        <f t="shared" si="5"/>
        <v>-</v>
      </c>
    </row>
    <row r="139" spans="1:4" x14ac:dyDescent="0.25">
      <c r="A139" t="s">
        <v>102</v>
      </c>
      <c r="B139" t="str">
        <f>_xlfn.XLOOKUP(A139,Лист8!C:C,Лист8!C:C,"-",0)</f>
        <v>-</v>
      </c>
      <c r="C139" t="str">
        <f t="shared" si="6"/>
        <v>-</v>
      </c>
      <c r="D139" t="str">
        <f t="shared" si="5"/>
        <v>-</v>
      </c>
    </row>
    <row r="140" spans="1:4" x14ac:dyDescent="0.25">
      <c r="A140" t="s">
        <v>92</v>
      </c>
      <c r="B140" t="str">
        <f>_xlfn.XLOOKUP(A140,Лист8!C:C,Лист8!C:C,"-",0)</f>
        <v>-</v>
      </c>
      <c r="C140" t="str">
        <f t="shared" si="6"/>
        <v>S, M, L, XL</v>
      </c>
      <c r="D140" t="str">
        <f t="shared" si="5"/>
        <v>-</v>
      </c>
    </row>
    <row r="141" spans="1:4" x14ac:dyDescent="0.25">
      <c r="A141" t="s">
        <v>164</v>
      </c>
      <c r="B141" t="str">
        <f>_xlfn.XLOOKUP(A141,Лист8!C:C,Лист8!C:C,"-",0)</f>
        <v>-</v>
      </c>
      <c r="C141" t="str">
        <f t="shared" si="6"/>
        <v>-</v>
      </c>
      <c r="D141" t="str">
        <f t="shared" si="5"/>
        <v>Black Unbleached</v>
      </c>
    </row>
    <row r="142" spans="1:4" x14ac:dyDescent="0.25">
      <c r="A142" t="s">
        <v>311</v>
      </c>
      <c r="B142" t="str">
        <f>_xlfn.XLOOKUP(A142,Лист8!C:C,Лист8!C:C,"-",0)</f>
        <v>37193BH CONLON</v>
      </c>
      <c r="C142" t="str">
        <f t="shared" si="6"/>
        <v>-</v>
      </c>
      <c r="D142" t="str">
        <f t="shared" si="5"/>
        <v>-</v>
      </c>
    </row>
    <row r="143" spans="1:4" x14ac:dyDescent="0.25">
      <c r="A143" t="s">
        <v>119</v>
      </c>
      <c r="B143" t="str">
        <f>_xlfn.XLOOKUP(A143,Лист8!C:C,Лист8!C:C,"-",0)</f>
        <v>-</v>
      </c>
      <c r="C143" t="str">
        <f t="shared" si="6"/>
        <v>-</v>
      </c>
      <c r="D143" t="str">
        <f t="shared" si="5"/>
        <v>-</v>
      </c>
    </row>
    <row r="144" spans="1:4" x14ac:dyDescent="0.25">
      <c r="A144" t="s">
        <v>340</v>
      </c>
      <c r="B144" t="str">
        <f>_xlfn.XLOOKUP(A144,Лист8!C:C,Лист8!C:C,"-",0)</f>
        <v>-</v>
      </c>
      <c r="C144" t="str">
        <f t="shared" si="6"/>
        <v>-</v>
      </c>
      <c r="D144" t="str">
        <f t="shared" si="5"/>
        <v>-</v>
      </c>
    </row>
    <row r="145" spans="1:4" x14ac:dyDescent="0.25">
      <c r="A145" t="s">
        <v>141</v>
      </c>
      <c r="B145" t="str">
        <f>_xlfn.XLOOKUP(A145,Лист8!C:C,Лист8!C:C,"-",0)</f>
        <v>-</v>
      </c>
      <c r="C145" t="str">
        <f t="shared" si="6"/>
        <v>-</v>
      </c>
      <c r="D145" t="str">
        <f t="shared" si="5"/>
        <v>-</v>
      </c>
    </row>
    <row r="146" spans="1:4" x14ac:dyDescent="0.25">
      <c r="A146" t="s">
        <v>341</v>
      </c>
      <c r="B146" t="str">
        <f>_xlfn.XLOOKUP(A146,Лист8!C:C,Лист8!C:C,"-",0)</f>
        <v>-</v>
      </c>
      <c r="C146" t="str">
        <f t="shared" si="6"/>
        <v>-</v>
      </c>
      <c r="D146" t="str">
        <f t="shared" si="5"/>
        <v>-</v>
      </c>
    </row>
    <row r="147" spans="1:4" x14ac:dyDescent="0.25">
      <c r="A147" t="s">
        <v>115</v>
      </c>
      <c r="B147" t="str">
        <f>_xlfn.XLOOKUP(A147,Лист8!C:C,Лист8!C:C,"-",0)</f>
        <v>-</v>
      </c>
      <c r="C147" t="str">
        <f t="shared" si="6"/>
        <v>-</v>
      </c>
      <c r="D147" t="str">
        <f t="shared" si="5"/>
        <v>-</v>
      </c>
    </row>
    <row r="148" spans="1:4" x14ac:dyDescent="0.25">
      <c r="A148" t="s">
        <v>102</v>
      </c>
      <c r="B148" t="str">
        <f>_xlfn.XLOOKUP(A148,Лист8!C:C,Лист8!C:C,"-",0)</f>
        <v>-</v>
      </c>
      <c r="C148" t="str">
        <f t="shared" si="6"/>
        <v>-</v>
      </c>
      <c r="D148" t="str">
        <f t="shared" si="5"/>
        <v>-</v>
      </c>
    </row>
    <row r="149" spans="1:4" x14ac:dyDescent="0.25">
      <c r="A149" t="s">
        <v>92</v>
      </c>
      <c r="B149" t="str">
        <f>_xlfn.XLOOKUP(A149,Лист8!C:C,Лист8!C:C,"-",0)</f>
        <v>-</v>
      </c>
      <c r="C149" t="str">
        <f t="shared" si="6"/>
        <v>S, M, L, XL</v>
      </c>
      <c r="D149" t="str">
        <f t="shared" si="5"/>
        <v>-</v>
      </c>
    </row>
    <row r="150" spans="1:4" x14ac:dyDescent="0.25">
      <c r="A150" t="s">
        <v>153</v>
      </c>
      <c r="B150" t="str">
        <f>_xlfn.XLOOKUP(A150,Лист8!C:C,Лист8!C:C,"-",0)</f>
        <v>-</v>
      </c>
      <c r="C150" t="str">
        <f t="shared" si="6"/>
        <v>-</v>
      </c>
      <c r="D150" t="str">
        <f t="shared" si="5"/>
        <v>Black Lazuli Blue Uniform Green</v>
      </c>
    </row>
    <row r="151" spans="1:4" x14ac:dyDescent="0.25">
      <c r="A151" t="s">
        <v>146</v>
      </c>
      <c r="B151" t="str">
        <f>_xlfn.XLOOKUP(A151,Лист8!C:C,Лист8!C:C,"-",0)</f>
        <v>37192BH CROFT</v>
      </c>
      <c r="C151" t="str">
        <f t="shared" si="6"/>
        <v>-</v>
      </c>
      <c r="D151" t="str">
        <f t="shared" si="5"/>
        <v>-</v>
      </c>
    </row>
    <row r="152" spans="1:4" x14ac:dyDescent="0.25">
      <c r="A152" t="s">
        <v>147</v>
      </c>
      <c r="B152" t="str">
        <f>_xlfn.XLOOKUP(A152,Лист8!C:C,Лист8!C:C,"-",0)</f>
        <v>-</v>
      </c>
      <c r="C152" t="str">
        <f t="shared" si="6"/>
        <v>-</v>
      </c>
      <c r="D152" t="str">
        <f t="shared" si="5"/>
        <v>-</v>
      </c>
    </row>
    <row r="153" spans="1:4" x14ac:dyDescent="0.25">
      <c r="A153" t="s">
        <v>126</v>
      </c>
      <c r="B153" t="str">
        <f>_xlfn.XLOOKUP(A153,Лист8!C:C,Лист8!C:C,"-",0)</f>
        <v>-</v>
      </c>
      <c r="C153" t="str">
        <f t="shared" si="6"/>
        <v>-</v>
      </c>
      <c r="D153" t="str">
        <f t="shared" si="5"/>
        <v>-</v>
      </c>
    </row>
    <row r="154" spans="1:4" x14ac:dyDescent="0.25">
      <c r="A154" t="s">
        <v>141</v>
      </c>
      <c r="B154" t="str">
        <f>_xlfn.XLOOKUP(A154,Лист8!C:C,Лист8!C:C,"-",0)</f>
        <v>-</v>
      </c>
      <c r="C154" t="str">
        <f t="shared" si="6"/>
        <v>-</v>
      </c>
      <c r="D154" t="str">
        <f t="shared" si="5"/>
        <v>-</v>
      </c>
    </row>
    <row r="155" spans="1:4" x14ac:dyDescent="0.25">
      <c r="A155" t="s">
        <v>342</v>
      </c>
      <c r="B155" t="str">
        <f>_xlfn.XLOOKUP(A155,Лист8!C:C,Лист8!C:C,"-",0)</f>
        <v>-</v>
      </c>
      <c r="C155" t="str">
        <f t="shared" si="6"/>
        <v>-</v>
      </c>
      <c r="D155" t="str">
        <f t="shared" si="5"/>
        <v>-</v>
      </c>
    </row>
    <row r="156" spans="1:4" x14ac:dyDescent="0.25">
      <c r="A156" t="s">
        <v>115</v>
      </c>
      <c r="B156" t="str">
        <f>_xlfn.XLOOKUP(A156,Лист8!C:C,Лист8!C:C,"-",0)</f>
        <v>-</v>
      </c>
      <c r="C156" t="str">
        <f t="shared" si="6"/>
        <v>-</v>
      </c>
      <c r="D156" t="str">
        <f t="shared" si="5"/>
        <v>-</v>
      </c>
    </row>
    <row r="157" spans="1:4" x14ac:dyDescent="0.25">
      <c r="A157" t="s">
        <v>102</v>
      </c>
      <c r="B157" t="str">
        <f>_xlfn.XLOOKUP(A157,Лист8!C:C,Лист8!C:C,"-",0)</f>
        <v>-</v>
      </c>
      <c r="C157" t="str">
        <f t="shared" si="6"/>
        <v>-</v>
      </c>
      <c r="D157" t="str">
        <f t="shared" si="5"/>
        <v>-</v>
      </c>
    </row>
    <row r="158" spans="1:4" x14ac:dyDescent="0.25">
      <c r="A158" t="s">
        <v>92</v>
      </c>
      <c r="B158" t="str">
        <f>_xlfn.XLOOKUP(A158,Лист8!C:C,Лист8!C:C,"-",0)</f>
        <v>-</v>
      </c>
      <c r="C158" t="str">
        <f t="shared" si="6"/>
        <v>S, M, L, XL</v>
      </c>
      <c r="D158" t="str">
        <f t="shared" si="5"/>
        <v>-</v>
      </c>
    </row>
    <row r="159" spans="1:4" x14ac:dyDescent="0.25">
      <c r="A159" t="s">
        <v>148</v>
      </c>
      <c r="B159" t="str">
        <f>_xlfn.XLOOKUP(A159,Лист8!C:C,Лист8!C:C,"-",0)</f>
        <v>-</v>
      </c>
      <c r="C159" t="str">
        <f t="shared" si="6"/>
        <v>-</v>
      </c>
      <c r="D159" t="str">
        <f t="shared" si="5"/>
        <v>Black Copper Taupe</v>
      </c>
    </row>
    <row r="160" spans="1:4" x14ac:dyDescent="0.25">
      <c r="A160" t="s">
        <v>154</v>
      </c>
      <c r="B160" t="str">
        <f>_xlfn.XLOOKUP(A160,Лист8!C:C,Лист8!C:C,"-",0)</f>
        <v>20001BH COLVER</v>
      </c>
      <c r="C160" t="str">
        <f t="shared" si="6"/>
        <v>-</v>
      </c>
      <c r="D160" t="str">
        <f t="shared" si="5"/>
        <v>-</v>
      </c>
    </row>
    <row r="161" spans="1:4" x14ac:dyDescent="0.25">
      <c r="A161" t="s">
        <v>109</v>
      </c>
      <c r="B161" t="str">
        <f>_xlfn.XLOOKUP(A161,Лист8!C:C,Лист8!C:C,"-",0)</f>
        <v>-</v>
      </c>
      <c r="C161" t="str">
        <f t="shared" si="6"/>
        <v>-</v>
      </c>
      <c r="D161" t="str">
        <f t="shared" si="5"/>
        <v>-</v>
      </c>
    </row>
    <row r="162" spans="1:4" x14ac:dyDescent="0.25">
      <c r="A162" t="s">
        <v>337</v>
      </c>
      <c r="B162" t="str">
        <f>_xlfn.XLOOKUP(A162,Лист8!C:C,Лист8!C:C,"-",0)</f>
        <v>-</v>
      </c>
      <c r="C162" t="str">
        <f t="shared" si="6"/>
        <v>-</v>
      </c>
      <c r="D162" t="str">
        <f t="shared" si="5"/>
        <v>-</v>
      </c>
    </row>
    <row r="163" spans="1:4" x14ac:dyDescent="0.25">
      <c r="A163" t="s">
        <v>155</v>
      </c>
      <c r="B163" t="str">
        <f>_xlfn.XLOOKUP(A163,Лист8!C:C,Лист8!C:C,"-",0)</f>
        <v>-</v>
      </c>
      <c r="C163" t="str">
        <f t="shared" si="6"/>
        <v>-</v>
      </c>
      <c r="D163" t="str">
        <f t="shared" si="5"/>
        <v>-</v>
      </c>
    </row>
    <row r="164" spans="1:4" x14ac:dyDescent="0.25">
      <c r="A164" t="s">
        <v>343</v>
      </c>
      <c r="B164" t="str">
        <f>_xlfn.XLOOKUP(A164,Лист8!C:C,Лист8!C:C,"-",0)</f>
        <v>-</v>
      </c>
      <c r="C164" t="str">
        <f t="shared" si="6"/>
        <v>-</v>
      </c>
      <c r="D164" t="str">
        <f t="shared" si="5"/>
        <v>-</v>
      </c>
    </row>
    <row r="165" spans="1:4" x14ac:dyDescent="0.25">
      <c r="A165" t="s">
        <v>344</v>
      </c>
      <c r="B165" t="str">
        <f>_xlfn.XLOOKUP(A165,Лист8!C:C,Лист8!C:C,"-",0)</f>
        <v>-</v>
      </c>
      <c r="C165" t="str">
        <f t="shared" si="6"/>
        <v>-</v>
      </c>
      <c r="D165" t="str">
        <f t="shared" si="5"/>
        <v>-</v>
      </c>
    </row>
    <row r="166" spans="1:4" x14ac:dyDescent="0.25">
      <c r="A166" t="s">
        <v>102</v>
      </c>
      <c r="B166" t="str">
        <f>_xlfn.XLOOKUP(A166,Лист8!C:C,Лист8!C:C,"-",0)</f>
        <v>-</v>
      </c>
      <c r="C166" t="str">
        <f t="shared" si="6"/>
        <v>-</v>
      </c>
      <c r="D166" t="str">
        <f t="shared" si="5"/>
        <v>-</v>
      </c>
    </row>
    <row r="167" spans="1:4" x14ac:dyDescent="0.25">
      <c r="A167" t="s">
        <v>92</v>
      </c>
      <c r="B167" t="str">
        <f>_xlfn.XLOOKUP(A167,Лист8!C:C,Лист8!C:C,"-",0)</f>
        <v>-</v>
      </c>
      <c r="C167" t="str">
        <f t="shared" si="6"/>
        <v>S, M, L, XL</v>
      </c>
      <c r="D167" t="str">
        <f t="shared" si="5"/>
        <v>-</v>
      </c>
    </row>
    <row r="168" spans="1:4" x14ac:dyDescent="0.25">
      <c r="A168" t="s">
        <v>157</v>
      </c>
      <c r="B168" t="str">
        <f>_xlfn.XLOOKUP(A168,Лист8!C:C,Лист8!C:C,"-",0)</f>
        <v>-</v>
      </c>
      <c r="C168" t="str">
        <f t="shared" si="6"/>
        <v>-</v>
      </c>
      <c r="D168" t="str">
        <f t="shared" si="5"/>
        <v>Greige Honey Ochre Silver Lining</v>
      </c>
    </row>
    <row r="169" spans="1:4" x14ac:dyDescent="0.25">
      <c r="A169" t="s">
        <v>156</v>
      </c>
      <c r="B169" t="str">
        <f>_xlfn.XLOOKUP(A169,Лист8!C:C,Лист8!C:C,"-",0)</f>
        <v>-</v>
      </c>
      <c r="C169" t="str">
        <f t="shared" si="6"/>
        <v>-</v>
      </c>
      <c r="D169" t="str">
        <f t="shared" si="5"/>
        <v>-</v>
      </c>
    </row>
    <row r="170" spans="1:4" x14ac:dyDescent="0.25">
      <c r="A170" t="s">
        <v>310</v>
      </c>
      <c r="B170" t="str">
        <f>_xlfn.XLOOKUP(A170,Лист8!C:C,Лист8!C:C,"-",0)</f>
        <v>20009BH COLTER</v>
      </c>
      <c r="C170" t="str">
        <f t="shared" si="6"/>
        <v>-</v>
      </c>
      <c r="D170" t="str">
        <f t="shared" si="5"/>
        <v>-</v>
      </c>
    </row>
    <row r="171" spans="1:4" x14ac:dyDescent="0.25">
      <c r="A171" t="s">
        <v>345</v>
      </c>
      <c r="B171" t="str">
        <f>_xlfn.XLOOKUP(A171,Лист8!C:C,Лист8!C:C,"-",0)</f>
        <v>-</v>
      </c>
      <c r="C171" t="str">
        <f t="shared" si="6"/>
        <v>-</v>
      </c>
      <c r="D171" t="str">
        <f t="shared" si="5"/>
        <v>-</v>
      </c>
    </row>
    <row r="172" spans="1:4" x14ac:dyDescent="0.25">
      <c r="A172" t="s">
        <v>346</v>
      </c>
      <c r="B172" t="str">
        <f>_xlfn.XLOOKUP(A172,Лист8!C:C,Лист8!C:C,"-",0)</f>
        <v>-</v>
      </c>
      <c r="C172" t="str">
        <f t="shared" si="6"/>
        <v>-</v>
      </c>
      <c r="D172" t="str">
        <f t="shared" si="5"/>
        <v>-</v>
      </c>
    </row>
    <row r="173" spans="1:4" x14ac:dyDescent="0.25">
      <c r="A173" t="s">
        <v>155</v>
      </c>
      <c r="B173" t="str">
        <f>_xlfn.XLOOKUP(A173,Лист8!C:C,Лист8!C:C,"-",0)</f>
        <v>-</v>
      </c>
      <c r="C173" t="str">
        <f t="shared" si="6"/>
        <v>-</v>
      </c>
      <c r="D173" t="str">
        <f t="shared" si="5"/>
        <v>-</v>
      </c>
    </row>
    <row r="174" spans="1:4" x14ac:dyDescent="0.25">
      <c r="A174" t="s">
        <v>347</v>
      </c>
      <c r="B174" t="str">
        <f>_xlfn.XLOOKUP(A174,Лист8!C:C,Лист8!C:C,"-",0)</f>
        <v>-</v>
      </c>
      <c r="C174" t="str">
        <f t="shared" si="6"/>
        <v>-</v>
      </c>
      <c r="D174" t="str">
        <f t="shared" si="5"/>
        <v>-</v>
      </c>
    </row>
    <row r="175" spans="1:4" x14ac:dyDescent="0.25">
      <c r="A175" t="s">
        <v>115</v>
      </c>
      <c r="B175" t="str">
        <f>_xlfn.XLOOKUP(A175,Лист8!C:C,Лист8!C:C,"-",0)</f>
        <v>-</v>
      </c>
      <c r="C175" t="str">
        <f t="shared" si="6"/>
        <v>-</v>
      </c>
      <c r="D175" t="str">
        <f t="shared" si="5"/>
        <v>-</v>
      </c>
    </row>
    <row r="176" spans="1:4" x14ac:dyDescent="0.25">
      <c r="A176" t="s">
        <v>102</v>
      </c>
      <c r="B176" t="str">
        <f>_xlfn.XLOOKUP(A176,Лист8!C:C,Лист8!C:C,"-",0)</f>
        <v>-</v>
      </c>
      <c r="C176" t="str">
        <f t="shared" si="6"/>
        <v>-</v>
      </c>
      <c r="D176" t="str">
        <f t="shared" si="5"/>
        <v>-</v>
      </c>
    </row>
    <row r="177" spans="1:4" x14ac:dyDescent="0.25">
      <c r="A177" t="s">
        <v>92</v>
      </c>
      <c r="B177" t="str">
        <f>_xlfn.XLOOKUP(A177,Лист8!C:C,Лист8!C:C,"-",0)</f>
        <v>-</v>
      </c>
      <c r="C177" t="str">
        <f t="shared" si="6"/>
        <v>S, M, L, XL</v>
      </c>
      <c r="D177" t="str">
        <f t="shared" si="5"/>
        <v>-</v>
      </c>
    </row>
    <row r="178" spans="1:4" x14ac:dyDescent="0.25">
      <c r="A178" t="s">
        <v>142</v>
      </c>
      <c r="B178" t="str">
        <f>_xlfn.XLOOKUP(A178,Лист8!C:C,Лист8!C:C,"-",0)</f>
        <v>-</v>
      </c>
      <c r="C178" t="str">
        <f t="shared" si="6"/>
        <v>-</v>
      </c>
      <c r="D178" t="str">
        <f t="shared" si="5"/>
        <v>Black Nickel Oak</v>
      </c>
    </row>
    <row r="179" spans="1:4" x14ac:dyDescent="0.25">
      <c r="A179" t="s">
        <v>143</v>
      </c>
      <c r="B179" t="str">
        <f>_xlfn.XLOOKUP(A179,Лист8!C:C,Лист8!C:C,"-",0)</f>
        <v>30003BH LANG</v>
      </c>
      <c r="C179" t="str">
        <f t="shared" si="6"/>
        <v>-</v>
      </c>
      <c r="D179" t="str">
        <f t="shared" si="5"/>
        <v>-</v>
      </c>
    </row>
    <row r="180" spans="1:4" x14ac:dyDescent="0.25">
      <c r="A180" t="s">
        <v>144</v>
      </c>
      <c r="B180" t="str">
        <f>_xlfn.XLOOKUP(A180,Лист8!C:C,Лист8!C:C,"-",0)</f>
        <v>-</v>
      </c>
      <c r="C180" t="str">
        <f t="shared" si="6"/>
        <v>-</v>
      </c>
      <c r="D180" t="str">
        <f t="shared" si="5"/>
        <v>-</v>
      </c>
    </row>
    <row r="181" spans="1:4" x14ac:dyDescent="0.25">
      <c r="A181" t="s">
        <v>348</v>
      </c>
      <c r="B181" t="str">
        <f>_xlfn.XLOOKUP(A181,Лист8!C:C,Лист8!C:C,"-",0)</f>
        <v>-</v>
      </c>
      <c r="C181" t="str">
        <f t="shared" si="6"/>
        <v>-</v>
      </c>
      <c r="D181" t="str">
        <f t="shared" si="5"/>
        <v>-</v>
      </c>
    </row>
    <row r="182" spans="1:4" x14ac:dyDescent="0.25">
      <c r="A182" t="s">
        <v>170</v>
      </c>
      <c r="B182" t="str">
        <f>_xlfn.XLOOKUP(A182,Лист8!C:C,Лист8!C:C,"-",0)</f>
        <v>-</v>
      </c>
      <c r="C182" t="str">
        <f t="shared" si="6"/>
        <v>-</v>
      </c>
      <c r="D182" t="str">
        <f t="shared" si="5"/>
        <v>-</v>
      </c>
    </row>
    <row r="183" spans="1:4" x14ac:dyDescent="0.25">
      <c r="A183" t="s">
        <v>115</v>
      </c>
      <c r="B183" t="str">
        <f>_xlfn.XLOOKUP(A183,Лист8!C:C,Лист8!C:C,"-",0)</f>
        <v>-</v>
      </c>
      <c r="C183" t="str">
        <f t="shared" si="6"/>
        <v>-</v>
      </c>
      <c r="D183" t="str">
        <f t="shared" si="5"/>
        <v>-</v>
      </c>
    </row>
    <row r="184" spans="1:4" x14ac:dyDescent="0.25">
      <c r="A184" t="s">
        <v>102</v>
      </c>
      <c r="B184" t="str">
        <f>_xlfn.XLOOKUP(A184,Лист8!C:C,Лист8!C:C,"-",0)</f>
        <v>-</v>
      </c>
      <c r="C184" t="str">
        <f t="shared" si="6"/>
        <v>-</v>
      </c>
      <c r="D184" t="str">
        <f t="shared" si="5"/>
        <v>-</v>
      </c>
    </row>
    <row r="185" spans="1:4" x14ac:dyDescent="0.25">
      <c r="A185" t="s">
        <v>92</v>
      </c>
      <c r="B185" t="str">
        <f>_xlfn.XLOOKUP(A185,Лист8!C:C,Лист8!C:C,"-",0)</f>
        <v>-</v>
      </c>
      <c r="C185" t="str">
        <f t="shared" si="6"/>
        <v>S, M, L, XL</v>
      </c>
      <c r="D185" t="str">
        <f t="shared" si="5"/>
        <v>-</v>
      </c>
    </row>
    <row r="186" spans="1:4" x14ac:dyDescent="0.25">
      <c r="A186" t="s">
        <v>145</v>
      </c>
      <c r="B186" t="str">
        <f>_xlfn.XLOOKUP(A186,Лист8!C:C,Лист8!C:C,"-",0)</f>
        <v>-</v>
      </c>
      <c r="C186" t="str">
        <f t="shared" si="6"/>
        <v>-</v>
      </c>
      <c r="D186" t="str">
        <f t="shared" si="5"/>
        <v>Avion Black Uniform Green</v>
      </c>
    </row>
    <row r="187" spans="1:4" x14ac:dyDescent="0.25">
      <c r="A187" t="s">
        <v>149</v>
      </c>
      <c r="B187" t="str">
        <f>_xlfn.XLOOKUP(A187,Лист8!C:C,Лист8!C:C,"-",0)</f>
        <v>37191BH LEVON</v>
      </c>
      <c r="C187" t="str">
        <f t="shared" si="6"/>
        <v>-</v>
      </c>
      <c r="D187" t="str">
        <f t="shared" si="5"/>
        <v>-</v>
      </c>
    </row>
    <row r="188" spans="1:4" x14ac:dyDescent="0.25">
      <c r="A188" t="s">
        <v>150</v>
      </c>
      <c r="B188" t="str">
        <f>_xlfn.XLOOKUP(A188,Лист8!C:C,Лист8!C:C,"-",0)</f>
        <v>-</v>
      </c>
      <c r="C188" t="str">
        <f t="shared" si="6"/>
        <v>-</v>
      </c>
      <c r="D188" t="str">
        <f t="shared" si="5"/>
        <v>-</v>
      </c>
    </row>
    <row r="189" spans="1:4" x14ac:dyDescent="0.25">
      <c r="A189" t="s">
        <v>126</v>
      </c>
      <c r="B189" t="str">
        <f>_xlfn.XLOOKUP(A189,Лист8!C:C,Лист8!C:C,"-",0)</f>
        <v>-</v>
      </c>
      <c r="C189" t="str">
        <f t="shared" si="6"/>
        <v>-</v>
      </c>
      <c r="D189" t="str">
        <f t="shared" si="5"/>
        <v>-</v>
      </c>
    </row>
    <row r="190" spans="1:4" x14ac:dyDescent="0.25">
      <c r="A190" t="s">
        <v>151</v>
      </c>
      <c r="B190" t="str">
        <f>_xlfn.XLOOKUP(A190,Лист8!C:C,Лист8!C:C,"-",0)</f>
        <v>-</v>
      </c>
      <c r="C190" t="str">
        <f t="shared" si="6"/>
        <v>-</v>
      </c>
      <c r="D190" t="str">
        <f t="shared" si="5"/>
        <v>-</v>
      </c>
    </row>
    <row r="191" spans="1:4" x14ac:dyDescent="0.25">
      <c r="A191" t="s">
        <v>349</v>
      </c>
      <c r="B191" t="str">
        <f>_xlfn.XLOOKUP(A191,Лист8!C:C,Лист8!C:C,"-",0)</f>
        <v>-</v>
      </c>
      <c r="C191" t="str">
        <f t="shared" si="6"/>
        <v>-</v>
      </c>
      <c r="D191" t="str">
        <f t="shared" si="5"/>
        <v>-</v>
      </c>
    </row>
    <row r="192" spans="1:4" x14ac:dyDescent="0.25">
      <c r="A192" t="s">
        <v>115</v>
      </c>
      <c r="B192" t="str">
        <f>_xlfn.XLOOKUP(A192,Лист8!C:C,Лист8!C:C,"-",0)</f>
        <v>-</v>
      </c>
      <c r="C192" t="str">
        <f t="shared" si="6"/>
        <v>-</v>
      </c>
      <c r="D192" t="str">
        <f t="shared" si="5"/>
        <v>-</v>
      </c>
    </row>
    <row r="193" spans="1:4" x14ac:dyDescent="0.25">
      <c r="A193" t="s">
        <v>92</v>
      </c>
      <c r="B193" t="str">
        <f>_xlfn.XLOOKUP(A193,Лист8!C:C,Лист8!C:C,"-",0)</f>
        <v>-</v>
      </c>
      <c r="C193" t="str">
        <f t="shared" si="6"/>
        <v>S, M, L, XL</v>
      </c>
      <c r="D193" t="str">
        <f t="shared" ref="D193:D256" si="7">IF(C192&lt;&gt;"-",A193,"-")</f>
        <v>-</v>
      </c>
    </row>
    <row r="194" spans="1:4" x14ac:dyDescent="0.25">
      <c r="A194" t="s">
        <v>152</v>
      </c>
      <c r="B194" t="str">
        <f>_xlfn.XLOOKUP(A194,Лист8!C:C,Лист8!C:C,"-",0)</f>
        <v>-</v>
      </c>
      <c r="C194" t="str">
        <f t="shared" ref="C194:C257" si="8">IF(IFERROR(FIND(",",A194)&gt;1,FALSE),A194,"-")</f>
        <v>-</v>
      </c>
      <c r="D194" t="str">
        <f t="shared" si="7"/>
        <v>Black Lazuli Blue Oak</v>
      </c>
    </row>
    <row r="195" spans="1:4" x14ac:dyDescent="0.25">
      <c r="A195" t="s">
        <v>350</v>
      </c>
      <c r="B195" t="str">
        <f>_xlfn.XLOOKUP(A195,Лист8!C:C,Лист8!C:C,"-",0)</f>
        <v>-</v>
      </c>
      <c r="C195" t="str">
        <f t="shared" si="8"/>
        <v>-</v>
      </c>
      <c r="D195" t="str">
        <f t="shared" si="7"/>
        <v>-</v>
      </c>
    </row>
    <row r="196" spans="1:4" x14ac:dyDescent="0.25">
      <c r="A196" t="s">
        <v>312</v>
      </c>
      <c r="B196" t="str">
        <f>_xlfn.XLOOKUP(A196,Лист8!C:C,Лист8!C:C,"-",0)</f>
        <v>37180BH STEDMAN</v>
      </c>
      <c r="C196" t="str">
        <f t="shared" si="8"/>
        <v>-</v>
      </c>
      <c r="D196" t="str">
        <f t="shared" si="7"/>
        <v>-</v>
      </c>
    </row>
    <row r="197" spans="1:4" x14ac:dyDescent="0.25">
      <c r="A197" t="s">
        <v>147</v>
      </c>
      <c r="B197" t="str">
        <f>_xlfn.XLOOKUP(A197,Лист8!C:C,Лист8!C:C,"-",0)</f>
        <v>-</v>
      </c>
      <c r="C197" t="str">
        <f t="shared" si="8"/>
        <v>-</v>
      </c>
      <c r="D197" t="str">
        <f t="shared" si="7"/>
        <v>-</v>
      </c>
    </row>
    <row r="198" spans="1:4" x14ac:dyDescent="0.25">
      <c r="A198" t="s">
        <v>126</v>
      </c>
      <c r="B198" t="str">
        <f>_xlfn.XLOOKUP(A198,Лист8!C:C,Лист8!C:C,"-",0)</f>
        <v>-</v>
      </c>
      <c r="C198" t="str">
        <f t="shared" si="8"/>
        <v>-</v>
      </c>
      <c r="D198" t="str">
        <f t="shared" si="7"/>
        <v>-</v>
      </c>
    </row>
    <row r="199" spans="1:4" x14ac:dyDescent="0.25">
      <c r="A199" t="s">
        <v>151</v>
      </c>
      <c r="B199" t="str">
        <f>_xlfn.XLOOKUP(A199,Лист8!C:C,Лист8!C:C,"-",0)</f>
        <v>-</v>
      </c>
      <c r="C199" t="str">
        <f t="shared" si="8"/>
        <v>-</v>
      </c>
      <c r="D199" t="str">
        <f t="shared" si="7"/>
        <v>-</v>
      </c>
    </row>
    <row r="200" spans="1:4" x14ac:dyDescent="0.25">
      <c r="A200" t="s">
        <v>351</v>
      </c>
      <c r="B200" t="str">
        <f>_xlfn.XLOOKUP(A200,Лист8!C:C,Лист8!C:C,"-",0)</f>
        <v>-</v>
      </c>
      <c r="C200" t="str">
        <f t="shared" si="8"/>
        <v>-</v>
      </c>
      <c r="D200" t="str">
        <f t="shared" si="7"/>
        <v>-</v>
      </c>
    </row>
    <row r="201" spans="1:4" x14ac:dyDescent="0.25">
      <c r="A201" t="s">
        <v>344</v>
      </c>
      <c r="B201" t="str">
        <f>_xlfn.XLOOKUP(A201,Лист8!C:C,Лист8!C:C,"-",0)</f>
        <v>-</v>
      </c>
      <c r="C201" t="str">
        <f t="shared" si="8"/>
        <v>-</v>
      </c>
      <c r="D201" t="str">
        <f t="shared" si="7"/>
        <v>-</v>
      </c>
    </row>
    <row r="202" spans="1:4" x14ac:dyDescent="0.25">
      <c r="A202" t="s">
        <v>165</v>
      </c>
      <c r="B202" t="str">
        <f>_xlfn.XLOOKUP(A202,Лист8!C:C,Лист8!C:C,"-",0)</f>
        <v>-</v>
      </c>
      <c r="C202" t="str">
        <f t="shared" si="8"/>
        <v>S, M, L, XL, XXL</v>
      </c>
      <c r="D202" t="str">
        <f t="shared" si="7"/>
        <v>-</v>
      </c>
    </row>
    <row r="203" spans="1:4" x14ac:dyDescent="0.25">
      <c r="A203" t="s">
        <v>168</v>
      </c>
      <c r="B203" t="str">
        <f>_xlfn.XLOOKUP(A203,Лист8!C:C,Лист8!C:C,"-",0)</f>
        <v>-</v>
      </c>
      <c r="C203" t="str">
        <f t="shared" si="8"/>
        <v>-</v>
      </c>
      <c r="D203" t="str">
        <f t="shared" si="7"/>
        <v>Black Camel Oak Stucco</v>
      </c>
    </row>
    <row r="204" spans="1:4" x14ac:dyDescent="0.25">
      <c r="A204" t="s">
        <v>175</v>
      </c>
      <c r="B204" t="str">
        <f>_xlfn.XLOOKUP(A204,Лист8!C:C,Лист8!C:C,"-",0)</f>
        <v>30001BH WALSH</v>
      </c>
      <c r="C204" t="str">
        <f t="shared" si="8"/>
        <v>-</v>
      </c>
      <c r="D204" t="str">
        <f t="shared" si="7"/>
        <v>-</v>
      </c>
    </row>
    <row r="205" spans="1:4" x14ac:dyDescent="0.25">
      <c r="A205" t="s">
        <v>352</v>
      </c>
      <c r="B205" t="str">
        <f>_xlfn.XLOOKUP(A205,Лист8!C:C,Лист8!C:C,"-",0)</f>
        <v>-</v>
      </c>
      <c r="C205" t="str">
        <f t="shared" si="8"/>
        <v>-</v>
      </c>
      <c r="D205" t="str">
        <f t="shared" si="7"/>
        <v>-</v>
      </c>
    </row>
    <row r="206" spans="1:4" x14ac:dyDescent="0.25">
      <c r="A206" t="s">
        <v>126</v>
      </c>
      <c r="B206" t="str">
        <f>_xlfn.XLOOKUP(A206,Лист8!C:C,Лист8!C:C,"-",0)</f>
        <v>-</v>
      </c>
      <c r="C206" t="str">
        <f t="shared" si="8"/>
        <v>-</v>
      </c>
      <c r="D206" t="str">
        <f t="shared" si="7"/>
        <v>-</v>
      </c>
    </row>
    <row r="207" spans="1:4" x14ac:dyDescent="0.25">
      <c r="A207" t="s">
        <v>170</v>
      </c>
      <c r="B207" t="str">
        <f>_xlfn.XLOOKUP(A207,Лист8!C:C,Лист8!C:C,"-",0)</f>
        <v>-</v>
      </c>
      <c r="C207" t="str">
        <f t="shared" si="8"/>
        <v>-</v>
      </c>
      <c r="D207" t="str">
        <f t="shared" si="7"/>
        <v>-</v>
      </c>
    </row>
    <row r="208" spans="1:4" x14ac:dyDescent="0.25">
      <c r="A208" t="s">
        <v>100</v>
      </c>
      <c r="B208" t="str">
        <f>_xlfn.XLOOKUP(A208,Лист8!C:C,Лист8!C:C,"-",0)</f>
        <v>-</v>
      </c>
      <c r="C208" t="str">
        <f t="shared" si="8"/>
        <v>-</v>
      </c>
      <c r="D208" t="str">
        <f t="shared" si="7"/>
        <v>-</v>
      </c>
    </row>
    <row r="209" spans="1:4" x14ac:dyDescent="0.25">
      <c r="A209" t="s">
        <v>114</v>
      </c>
      <c r="B209" t="str">
        <f>_xlfn.XLOOKUP(A209,Лист8!C:C,Лист8!C:C,"-",0)</f>
        <v>-</v>
      </c>
      <c r="C209" t="str">
        <f t="shared" si="8"/>
        <v>-</v>
      </c>
      <c r="D209" t="str">
        <f t="shared" si="7"/>
        <v>-</v>
      </c>
    </row>
    <row r="210" spans="1:4" x14ac:dyDescent="0.25">
      <c r="A210" t="s">
        <v>353</v>
      </c>
      <c r="B210" t="str">
        <f>_xlfn.XLOOKUP(A210,Лист8!C:C,Лист8!C:C,"-",0)</f>
        <v>-</v>
      </c>
      <c r="C210" t="str">
        <f t="shared" si="8"/>
        <v>-</v>
      </c>
      <c r="D210" t="str">
        <f t="shared" si="7"/>
        <v>-</v>
      </c>
    </row>
    <row r="211" spans="1:4" x14ac:dyDescent="0.25">
      <c r="A211" t="s">
        <v>102</v>
      </c>
      <c r="B211" t="str">
        <f>_xlfn.XLOOKUP(A211,Лист8!C:C,Лист8!C:C,"-",0)</f>
        <v>-</v>
      </c>
      <c r="C211" t="str">
        <f t="shared" si="8"/>
        <v>-</v>
      </c>
      <c r="D211" t="str">
        <f t="shared" si="7"/>
        <v>-</v>
      </c>
    </row>
    <row r="212" spans="1:4" x14ac:dyDescent="0.25">
      <c r="A212" t="s">
        <v>92</v>
      </c>
      <c r="B212" t="str">
        <f>_xlfn.XLOOKUP(A212,Лист8!C:C,Лист8!C:C,"-",0)</f>
        <v>-</v>
      </c>
      <c r="C212" t="str">
        <f t="shared" si="8"/>
        <v>S, M, L, XL</v>
      </c>
      <c r="D212" t="str">
        <f t="shared" si="7"/>
        <v>-</v>
      </c>
    </row>
    <row r="213" spans="1:4" x14ac:dyDescent="0.25">
      <c r="A213" t="s">
        <v>176</v>
      </c>
      <c r="B213" t="str">
        <f>_xlfn.XLOOKUP(A213,Лист8!C:C,Лист8!C:C,"-",0)</f>
        <v>-</v>
      </c>
      <c r="C213" t="str">
        <f t="shared" si="8"/>
        <v>-</v>
      </c>
      <c r="D213" t="str">
        <f t="shared" si="7"/>
        <v>Black Plaza Taupe</v>
      </c>
    </row>
    <row r="214" spans="1:4" x14ac:dyDescent="0.25">
      <c r="A214" t="s">
        <v>313</v>
      </c>
      <c r="B214" t="str">
        <f>_xlfn.XLOOKUP(A214,Лист8!C:C,Лист8!C:C,"-",0)</f>
        <v>37185BH ELLETT</v>
      </c>
      <c r="C214" t="str">
        <f t="shared" si="8"/>
        <v>-</v>
      </c>
      <c r="D214" t="str">
        <f t="shared" si="7"/>
        <v>-</v>
      </c>
    </row>
    <row r="215" spans="1:4" x14ac:dyDescent="0.25">
      <c r="A215" t="s">
        <v>354</v>
      </c>
      <c r="B215" t="str">
        <f>_xlfn.XLOOKUP(A215,Лист8!C:C,Лист8!C:C,"-",0)</f>
        <v>-</v>
      </c>
      <c r="C215" t="str">
        <f t="shared" si="8"/>
        <v>-</v>
      </c>
      <c r="D215" t="str">
        <f t="shared" si="7"/>
        <v>-</v>
      </c>
    </row>
    <row r="216" spans="1:4" x14ac:dyDescent="0.25">
      <c r="A216" t="s">
        <v>355</v>
      </c>
      <c r="B216" t="str">
        <f>_xlfn.XLOOKUP(A216,Лист8!C:C,Лист8!C:C,"-",0)</f>
        <v>-</v>
      </c>
      <c r="C216" t="str">
        <f t="shared" si="8"/>
        <v>-</v>
      </c>
      <c r="D216" t="str">
        <f t="shared" si="7"/>
        <v>-</v>
      </c>
    </row>
    <row r="217" spans="1:4" x14ac:dyDescent="0.25">
      <c r="A217" t="s">
        <v>159</v>
      </c>
      <c r="B217" t="str">
        <f>_xlfn.XLOOKUP(A217,Лист8!C:C,Лист8!C:C,"-",0)</f>
        <v>-</v>
      </c>
      <c r="C217" t="str">
        <f t="shared" si="8"/>
        <v>-</v>
      </c>
      <c r="D217" t="str">
        <f t="shared" si="7"/>
        <v>-</v>
      </c>
    </row>
    <row r="218" spans="1:4" x14ac:dyDescent="0.25">
      <c r="A218" t="s">
        <v>356</v>
      </c>
      <c r="B218" t="str">
        <f>_xlfn.XLOOKUP(A218,Лист8!C:C,Лист8!C:C,"-",0)</f>
        <v>-</v>
      </c>
      <c r="C218" t="str">
        <f t="shared" si="8"/>
        <v>-</v>
      </c>
      <c r="D218" t="str">
        <f t="shared" si="7"/>
        <v>-</v>
      </c>
    </row>
    <row r="219" spans="1:4" x14ac:dyDescent="0.25">
      <c r="A219" t="s">
        <v>99</v>
      </c>
      <c r="B219" t="str">
        <f>_xlfn.XLOOKUP(A219,Лист8!C:C,Лист8!C:C,"-",0)</f>
        <v>-</v>
      </c>
      <c r="C219" t="str">
        <f t="shared" si="8"/>
        <v>-</v>
      </c>
      <c r="D219" t="str">
        <f t="shared" si="7"/>
        <v>-</v>
      </c>
    </row>
    <row r="220" spans="1:4" x14ac:dyDescent="0.25">
      <c r="A220" t="s">
        <v>115</v>
      </c>
      <c r="B220" t="str">
        <f>_xlfn.XLOOKUP(A220,Лист8!C:C,Лист8!C:C,"-",0)</f>
        <v>-</v>
      </c>
      <c r="C220" t="str">
        <f t="shared" si="8"/>
        <v>-</v>
      </c>
      <c r="D220" t="str">
        <f t="shared" si="7"/>
        <v>-</v>
      </c>
    </row>
    <row r="221" spans="1:4" x14ac:dyDescent="0.25">
      <c r="A221" t="s">
        <v>102</v>
      </c>
      <c r="B221" t="str">
        <f>_xlfn.XLOOKUP(A221,Лист8!C:C,Лист8!C:C,"-",0)</f>
        <v>-</v>
      </c>
      <c r="C221" t="str">
        <f t="shared" si="8"/>
        <v>-</v>
      </c>
      <c r="D221" t="str">
        <f t="shared" si="7"/>
        <v>-</v>
      </c>
    </row>
    <row r="222" spans="1:4" x14ac:dyDescent="0.25">
      <c r="A222" t="s">
        <v>92</v>
      </c>
      <c r="B222" t="str">
        <f>_xlfn.XLOOKUP(A222,Лист8!C:C,Лист8!C:C,"-",0)</f>
        <v>-</v>
      </c>
      <c r="C222" t="str">
        <f t="shared" si="8"/>
        <v>S, M, L, XL</v>
      </c>
      <c r="D222" t="str">
        <f t="shared" si="7"/>
        <v>-</v>
      </c>
    </row>
    <row r="223" spans="1:4" x14ac:dyDescent="0.25">
      <c r="A223" t="s">
        <v>166</v>
      </c>
      <c r="B223" t="str">
        <f>_xlfn.XLOOKUP(A223,Лист8!C:C,Лист8!C:C,"-",0)</f>
        <v>-</v>
      </c>
      <c r="C223" t="str">
        <f t="shared" si="8"/>
        <v>-</v>
      </c>
      <c r="D223" t="str">
        <f t="shared" si="7"/>
        <v>Avion Black Soft Khaki</v>
      </c>
    </row>
    <row r="224" spans="1:4" x14ac:dyDescent="0.25">
      <c r="A224" t="s">
        <v>174</v>
      </c>
      <c r="B224" t="str">
        <f>_xlfn.XLOOKUP(A224,Лист8!C:C,Лист8!C:C,"-",0)</f>
        <v>37171BH WINTERS</v>
      </c>
      <c r="C224" t="str">
        <f t="shared" si="8"/>
        <v>-</v>
      </c>
      <c r="D224" t="str">
        <f t="shared" si="7"/>
        <v>-</v>
      </c>
    </row>
    <row r="225" spans="1:4" x14ac:dyDescent="0.25">
      <c r="A225" t="s">
        <v>335</v>
      </c>
      <c r="B225" t="str">
        <f>_xlfn.XLOOKUP(A225,Лист8!C:C,Лист8!C:C,"-",0)</f>
        <v>-</v>
      </c>
      <c r="C225" t="str">
        <f t="shared" si="8"/>
        <v>-</v>
      </c>
      <c r="D225" t="str">
        <f t="shared" si="7"/>
        <v>-</v>
      </c>
    </row>
    <row r="226" spans="1:4" x14ac:dyDescent="0.25">
      <c r="A226" t="s">
        <v>106</v>
      </c>
      <c r="B226" t="str">
        <f>_xlfn.XLOOKUP(A226,Лист8!C:C,Лист8!C:C,"-",0)</f>
        <v>-</v>
      </c>
      <c r="C226" t="str">
        <f t="shared" si="8"/>
        <v>-</v>
      </c>
      <c r="D226" t="str">
        <f t="shared" si="7"/>
        <v>-</v>
      </c>
    </row>
    <row r="227" spans="1:4" x14ac:dyDescent="0.25">
      <c r="A227" t="s">
        <v>159</v>
      </c>
      <c r="B227" t="str">
        <f>_xlfn.XLOOKUP(A227,Лист8!C:C,Лист8!C:C,"-",0)</f>
        <v>-</v>
      </c>
      <c r="C227" t="str">
        <f t="shared" si="8"/>
        <v>-</v>
      </c>
      <c r="D227" t="str">
        <f t="shared" si="7"/>
        <v>-</v>
      </c>
    </row>
    <row r="228" spans="1:4" x14ac:dyDescent="0.25">
      <c r="A228" t="s">
        <v>100</v>
      </c>
      <c r="B228" t="str">
        <f>_xlfn.XLOOKUP(A228,Лист8!C:C,Лист8!C:C,"-",0)</f>
        <v>-</v>
      </c>
      <c r="C228" t="str">
        <f t="shared" si="8"/>
        <v>-</v>
      </c>
      <c r="D228" t="str">
        <f t="shared" si="7"/>
        <v>-</v>
      </c>
    </row>
    <row r="229" spans="1:4" x14ac:dyDescent="0.25">
      <c r="A229" t="s">
        <v>115</v>
      </c>
      <c r="B229" t="str">
        <f>_xlfn.XLOOKUP(A229,Лист8!C:C,Лист8!C:C,"-",0)</f>
        <v>-</v>
      </c>
      <c r="C229" t="str">
        <f t="shared" si="8"/>
        <v>-</v>
      </c>
      <c r="D229" t="str">
        <f t="shared" si="7"/>
        <v>-</v>
      </c>
    </row>
    <row r="230" spans="1:4" x14ac:dyDescent="0.25">
      <c r="A230" t="s">
        <v>102</v>
      </c>
      <c r="B230" t="str">
        <f>_xlfn.XLOOKUP(A230,Лист8!C:C,Лист8!C:C,"-",0)</f>
        <v>-</v>
      </c>
      <c r="C230" t="str">
        <f t="shared" si="8"/>
        <v>-</v>
      </c>
      <c r="D230" t="str">
        <f t="shared" si="7"/>
        <v>-</v>
      </c>
    </row>
    <row r="231" spans="1:4" x14ac:dyDescent="0.25">
      <c r="A231" t="s">
        <v>92</v>
      </c>
      <c r="B231" t="str">
        <f>_xlfn.XLOOKUP(A231,Лист8!C:C,Лист8!C:C,"-",0)</f>
        <v>-</v>
      </c>
      <c r="C231" t="str">
        <f t="shared" si="8"/>
        <v>S, M, L, XL</v>
      </c>
      <c r="D231" t="str">
        <f t="shared" si="7"/>
        <v>-</v>
      </c>
    </row>
    <row r="232" spans="1:4" x14ac:dyDescent="0.25">
      <c r="A232" t="s">
        <v>161</v>
      </c>
      <c r="B232" t="str">
        <f>_xlfn.XLOOKUP(A232,Лист8!C:C,Лист8!C:C,"-",0)</f>
        <v>-</v>
      </c>
      <c r="C232" t="str">
        <f t="shared" si="8"/>
        <v>-</v>
      </c>
      <c r="D232" t="str">
        <f t="shared" si="7"/>
        <v>Peacoat Plaza Taupe Saddle Steel</v>
      </c>
    </row>
    <row r="233" spans="1:4" x14ac:dyDescent="0.25">
      <c r="A233" t="s">
        <v>160</v>
      </c>
      <c r="B233" t="str">
        <f>_xlfn.XLOOKUP(A233,Лист8!C:C,Лист8!C:C,"-",0)</f>
        <v>-</v>
      </c>
      <c r="C233" t="str">
        <f t="shared" si="8"/>
        <v>-</v>
      </c>
      <c r="D233" t="str">
        <f t="shared" si="7"/>
        <v>-</v>
      </c>
    </row>
    <row r="234" spans="1:4" x14ac:dyDescent="0.25">
      <c r="A234" t="s">
        <v>177</v>
      </c>
      <c r="B234" t="str">
        <f>_xlfn.XLOOKUP(A234,Лист8!C:C,Лист8!C:C,"-",0)</f>
        <v>37186BH ERNEST</v>
      </c>
      <c r="C234" t="str">
        <f t="shared" si="8"/>
        <v>-</v>
      </c>
      <c r="D234" t="str">
        <f t="shared" si="7"/>
        <v>-</v>
      </c>
    </row>
    <row r="235" spans="1:4" x14ac:dyDescent="0.25">
      <c r="A235" t="s">
        <v>125</v>
      </c>
      <c r="B235" t="str">
        <f>_xlfn.XLOOKUP(A235,Лист8!C:C,Лист8!C:C,"-",0)</f>
        <v>-</v>
      </c>
      <c r="C235" t="str">
        <f t="shared" si="8"/>
        <v>-</v>
      </c>
      <c r="D235" t="str">
        <f t="shared" si="7"/>
        <v>-</v>
      </c>
    </row>
    <row r="236" spans="1:4" x14ac:dyDescent="0.25">
      <c r="A236" t="s">
        <v>329</v>
      </c>
      <c r="B236" t="str">
        <f>_xlfn.XLOOKUP(A236,Лист8!C:C,Лист8!C:C,"-",0)</f>
        <v>-</v>
      </c>
      <c r="C236" t="str">
        <f t="shared" si="8"/>
        <v>-</v>
      </c>
      <c r="D236" t="str">
        <f t="shared" si="7"/>
        <v>-</v>
      </c>
    </row>
    <row r="237" spans="1:4" x14ac:dyDescent="0.25">
      <c r="A237" t="s">
        <v>357</v>
      </c>
      <c r="B237" t="str">
        <f>_xlfn.XLOOKUP(A237,Лист8!C:C,Лист8!C:C,"-",0)</f>
        <v>-</v>
      </c>
      <c r="C237" t="str">
        <f t="shared" si="8"/>
        <v>-</v>
      </c>
      <c r="D237" t="str">
        <f t="shared" si="7"/>
        <v>-</v>
      </c>
    </row>
    <row r="238" spans="1:4" x14ac:dyDescent="0.25">
      <c r="A238" t="s">
        <v>358</v>
      </c>
      <c r="B238" t="str">
        <f>_xlfn.XLOOKUP(A238,Лист8!C:C,Лист8!C:C,"-",0)</f>
        <v>-</v>
      </c>
      <c r="C238" t="str">
        <f t="shared" si="8"/>
        <v>-</v>
      </c>
      <c r="D238" t="str">
        <f t="shared" si="7"/>
        <v>-</v>
      </c>
    </row>
    <row r="239" spans="1:4" x14ac:dyDescent="0.25">
      <c r="A239" t="s">
        <v>359</v>
      </c>
      <c r="B239" t="str">
        <f>_xlfn.XLOOKUP(A239,Лист8!C:C,Лист8!C:C,"-",0)</f>
        <v>-</v>
      </c>
      <c r="C239" t="str">
        <f t="shared" si="8"/>
        <v>-</v>
      </c>
      <c r="D239" t="str">
        <f t="shared" si="7"/>
        <v>-</v>
      </c>
    </row>
    <row r="240" spans="1:4" x14ac:dyDescent="0.25">
      <c r="A240" t="s">
        <v>115</v>
      </c>
      <c r="B240" t="str">
        <f>_xlfn.XLOOKUP(A240,Лист8!C:C,Лист8!C:C,"-",0)</f>
        <v>-</v>
      </c>
      <c r="C240" t="str">
        <f t="shared" si="8"/>
        <v>-</v>
      </c>
      <c r="D240" t="str">
        <f t="shared" si="7"/>
        <v>-</v>
      </c>
    </row>
    <row r="241" spans="1:4" x14ac:dyDescent="0.25">
      <c r="A241" t="s">
        <v>102</v>
      </c>
      <c r="B241" t="str">
        <f>_xlfn.XLOOKUP(A241,Лист8!C:C,Лист8!C:C,"-",0)</f>
        <v>-</v>
      </c>
      <c r="C241" t="str">
        <f t="shared" si="8"/>
        <v>-</v>
      </c>
      <c r="D241" t="str">
        <f t="shared" si="7"/>
        <v>-</v>
      </c>
    </row>
    <row r="242" spans="1:4" x14ac:dyDescent="0.25">
      <c r="A242" t="s">
        <v>92</v>
      </c>
      <c r="B242" t="str">
        <f>_xlfn.XLOOKUP(A242,Лист8!C:C,Лист8!C:C,"-",0)</f>
        <v>-</v>
      </c>
      <c r="C242" t="str">
        <f t="shared" si="8"/>
        <v>S, M, L, XL</v>
      </c>
      <c r="D242" t="str">
        <f t="shared" si="7"/>
        <v>-</v>
      </c>
    </row>
    <row r="243" spans="1:4" x14ac:dyDescent="0.25">
      <c r="A243" t="s">
        <v>178</v>
      </c>
      <c r="B243" t="str">
        <f>_xlfn.XLOOKUP(A243,Лист8!C:C,Лист8!C:C,"-",0)</f>
        <v>-</v>
      </c>
      <c r="C243" t="str">
        <f t="shared" si="8"/>
        <v>-</v>
      </c>
      <c r="D243" t="str">
        <f t="shared" si="7"/>
        <v>Black Midnight Brown Unbleached</v>
      </c>
    </row>
    <row r="244" spans="1:4" x14ac:dyDescent="0.25">
      <c r="A244" t="s">
        <v>172</v>
      </c>
      <c r="B244" t="str">
        <f>_xlfn.XLOOKUP(A244,Лист8!C:C,Лист8!C:C,"-",0)</f>
        <v>37173BH AMMON</v>
      </c>
      <c r="C244" t="str">
        <f t="shared" si="8"/>
        <v>-</v>
      </c>
      <c r="D244" t="str">
        <f t="shared" si="7"/>
        <v>-</v>
      </c>
    </row>
    <row r="245" spans="1:4" x14ac:dyDescent="0.25">
      <c r="A245" t="s">
        <v>193</v>
      </c>
      <c r="B245" t="str">
        <f>_xlfn.XLOOKUP(A245,Лист8!C:C,Лист8!C:C,"-",0)</f>
        <v>-</v>
      </c>
      <c r="C245" t="str">
        <f t="shared" si="8"/>
        <v>-</v>
      </c>
      <c r="D245" t="str">
        <f t="shared" si="7"/>
        <v>-</v>
      </c>
    </row>
    <row r="246" spans="1:4" x14ac:dyDescent="0.25">
      <c r="A246" t="s">
        <v>360</v>
      </c>
      <c r="B246" t="str">
        <f>_xlfn.XLOOKUP(A246,Лист8!C:C,Лист8!C:C,"-",0)</f>
        <v>-</v>
      </c>
      <c r="C246" t="str">
        <f t="shared" si="8"/>
        <v>-</v>
      </c>
      <c r="D246" t="str">
        <f t="shared" si="7"/>
        <v>-</v>
      </c>
    </row>
    <row r="247" spans="1:4" x14ac:dyDescent="0.25">
      <c r="A247" t="s">
        <v>159</v>
      </c>
      <c r="B247" t="str">
        <f>_xlfn.XLOOKUP(A247,Лист8!C:C,Лист8!C:C,"-",0)</f>
        <v>-</v>
      </c>
      <c r="C247" t="str">
        <f t="shared" si="8"/>
        <v>-</v>
      </c>
      <c r="D247" t="str">
        <f t="shared" si="7"/>
        <v>-</v>
      </c>
    </row>
    <row r="248" spans="1:4" x14ac:dyDescent="0.25">
      <c r="A248" t="s">
        <v>100</v>
      </c>
      <c r="B248" t="str">
        <f>_xlfn.XLOOKUP(A248,Лист8!C:C,Лист8!C:C,"-",0)</f>
        <v>-</v>
      </c>
      <c r="C248" t="str">
        <f t="shared" si="8"/>
        <v>-</v>
      </c>
      <c r="D248" t="str">
        <f t="shared" si="7"/>
        <v>-</v>
      </c>
    </row>
    <row r="249" spans="1:4" x14ac:dyDescent="0.25">
      <c r="A249" t="s">
        <v>115</v>
      </c>
      <c r="B249" t="str">
        <f>_xlfn.XLOOKUP(A249,Лист8!C:C,Лист8!C:C,"-",0)</f>
        <v>-</v>
      </c>
      <c r="C249" t="str">
        <f t="shared" si="8"/>
        <v>-</v>
      </c>
      <c r="D249" t="str">
        <f t="shared" si="7"/>
        <v>-</v>
      </c>
    </row>
    <row r="250" spans="1:4" x14ac:dyDescent="0.25">
      <c r="A250" t="s">
        <v>102</v>
      </c>
      <c r="B250" t="str">
        <f>_xlfn.XLOOKUP(A250,Лист8!C:C,Лист8!C:C,"-",0)</f>
        <v>-</v>
      </c>
      <c r="C250" t="str">
        <f t="shared" si="8"/>
        <v>-</v>
      </c>
      <c r="D250" t="str">
        <f t="shared" si="7"/>
        <v>-</v>
      </c>
    </row>
    <row r="251" spans="1:4" x14ac:dyDescent="0.25">
      <c r="A251" t="s">
        <v>92</v>
      </c>
      <c r="B251" t="str">
        <f>_xlfn.XLOOKUP(A251,Лист8!C:C,Лист8!C:C,"-",0)</f>
        <v>-</v>
      </c>
      <c r="C251" t="str">
        <f t="shared" si="8"/>
        <v>S, M, L, XL</v>
      </c>
      <c r="D251" t="str">
        <f t="shared" si="7"/>
        <v>-</v>
      </c>
    </row>
    <row r="252" spans="1:4" x14ac:dyDescent="0.25">
      <c r="A252" t="s">
        <v>161</v>
      </c>
      <c r="B252" t="str">
        <f>_xlfn.XLOOKUP(A252,Лист8!C:C,Лист8!C:C,"-",0)</f>
        <v>-</v>
      </c>
      <c r="C252" t="str">
        <f t="shared" si="8"/>
        <v>-</v>
      </c>
      <c r="D252" t="str">
        <f t="shared" si="7"/>
        <v>Peacoat Plaza Taupe Saddle Steel</v>
      </c>
    </row>
    <row r="253" spans="1:4" x14ac:dyDescent="0.25">
      <c r="A253" t="s">
        <v>173</v>
      </c>
      <c r="B253" t="str">
        <f>_xlfn.XLOOKUP(A253,Лист8!C:C,Лист8!C:C,"-",0)</f>
        <v>-</v>
      </c>
      <c r="C253" t="str">
        <f t="shared" si="8"/>
        <v>-</v>
      </c>
      <c r="D253" t="str">
        <f t="shared" si="7"/>
        <v>-</v>
      </c>
    </row>
    <row r="254" spans="1:4" x14ac:dyDescent="0.25">
      <c r="A254" t="s">
        <v>169</v>
      </c>
      <c r="B254" t="str">
        <f>_xlfn.XLOOKUP(A254,Лист8!C:C,Лист8!C:C,"-",0)</f>
        <v>30002BH BARKSDALE</v>
      </c>
      <c r="C254" t="str">
        <f t="shared" si="8"/>
        <v>-</v>
      </c>
      <c r="D254" t="str">
        <f t="shared" si="7"/>
        <v>-</v>
      </c>
    </row>
    <row r="255" spans="1:4" x14ac:dyDescent="0.25">
      <c r="A255" t="s">
        <v>109</v>
      </c>
      <c r="B255" t="str">
        <f>_xlfn.XLOOKUP(A255,Лист8!C:C,Лист8!C:C,"-",0)</f>
        <v>-</v>
      </c>
      <c r="C255" t="str">
        <f t="shared" si="8"/>
        <v>-</v>
      </c>
      <c r="D255" t="str">
        <f t="shared" si="7"/>
        <v>-</v>
      </c>
    </row>
    <row r="256" spans="1:4" x14ac:dyDescent="0.25">
      <c r="A256" t="s">
        <v>361</v>
      </c>
      <c r="B256" t="str">
        <f>_xlfn.XLOOKUP(A256,Лист8!C:C,Лист8!C:C,"-",0)</f>
        <v>-</v>
      </c>
      <c r="C256" t="str">
        <f t="shared" si="8"/>
        <v>-</v>
      </c>
      <c r="D256" t="str">
        <f t="shared" si="7"/>
        <v>-</v>
      </c>
    </row>
    <row r="257" spans="1:4" x14ac:dyDescent="0.25">
      <c r="A257" t="s">
        <v>170</v>
      </c>
      <c r="B257" t="str">
        <f>_xlfn.XLOOKUP(A257,Лист8!C:C,Лист8!C:C,"-",0)</f>
        <v>-</v>
      </c>
      <c r="C257" t="str">
        <f t="shared" si="8"/>
        <v>-</v>
      </c>
      <c r="D257" t="str">
        <f t="shared" ref="D257:D320" si="9">IF(C256&lt;&gt;"-",A257,"-")</f>
        <v>-</v>
      </c>
    </row>
    <row r="258" spans="1:4" x14ac:dyDescent="0.25">
      <c r="A258" t="s">
        <v>362</v>
      </c>
      <c r="B258" t="str">
        <f>_xlfn.XLOOKUP(A258,Лист8!C:C,Лист8!C:C,"-",0)</f>
        <v>-</v>
      </c>
      <c r="C258" t="str">
        <f t="shared" ref="C258:C321" si="10">IF(IFERROR(FIND(",",A258)&gt;1,FALSE),A258,"-")</f>
        <v>-</v>
      </c>
      <c r="D258" t="str">
        <f t="shared" si="9"/>
        <v>-</v>
      </c>
    </row>
    <row r="259" spans="1:4" x14ac:dyDescent="0.25">
      <c r="A259" t="s">
        <v>99</v>
      </c>
      <c r="B259" t="str">
        <f>_xlfn.XLOOKUP(A259,Лист8!C:C,Лист8!C:C,"-",0)</f>
        <v>-</v>
      </c>
      <c r="C259" t="str">
        <f t="shared" si="10"/>
        <v>-</v>
      </c>
      <c r="D259" t="str">
        <f t="shared" si="9"/>
        <v>-</v>
      </c>
    </row>
    <row r="260" spans="1:4" x14ac:dyDescent="0.25">
      <c r="A260" t="s">
        <v>115</v>
      </c>
      <c r="B260" t="str">
        <f>_xlfn.XLOOKUP(A260,Лист8!C:C,Лист8!C:C,"-",0)</f>
        <v>-</v>
      </c>
      <c r="C260" t="str">
        <f t="shared" si="10"/>
        <v>-</v>
      </c>
      <c r="D260" t="str">
        <f t="shared" si="9"/>
        <v>-</v>
      </c>
    </row>
    <row r="261" spans="1:4" x14ac:dyDescent="0.25">
      <c r="A261" t="s">
        <v>122</v>
      </c>
      <c r="B261" t="str">
        <f>_xlfn.XLOOKUP(A261,Лист8!C:C,Лист8!C:C,"-",0)</f>
        <v>-</v>
      </c>
      <c r="C261" t="str">
        <f t="shared" si="10"/>
        <v>-</v>
      </c>
      <c r="D261" t="str">
        <f t="shared" si="9"/>
        <v>-</v>
      </c>
    </row>
    <row r="262" spans="1:4" x14ac:dyDescent="0.25">
      <c r="A262" t="s">
        <v>102</v>
      </c>
      <c r="B262" t="str">
        <f>_xlfn.XLOOKUP(A262,Лист8!C:C,Лист8!C:C,"-",0)</f>
        <v>-</v>
      </c>
      <c r="C262" t="str">
        <f t="shared" si="10"/>
        <v>-</v>
      </c>
      <c r="D262" t="str">
        <f t="shared" si="9"/>
        <v>-</v>
      </c>
    </row>
    <row r="263" spans="1:4" x14ac:dyDescent="0.25">
      <c r="A263" t="s">
        <v>92</v>
      </c>
      <c r="B263" t="str">
        <f>_xlfn.XLOOKUP(A263,Лист8!C:C,Лист8!C:C,"-",0)</f>
        <v>-</v>
      </c>
      <c r="C263" t="str">
        <f t="shared" si="10"/>
        <v>S, M, L, XL</v>
      </c>
      <c r="D263" t="str">
        <f t="shared" si="9"/>
        <v>-</v>
      </c>
    </row>
    <row r="264" spans="1:4" x14ac:dyDescent="0.25">
      <c r="A264" t="s">
        <v>171</v>
      </c>
      <c r="B264" t="str">
        <f>_xlfn.XLOOKUP(A264,Лист8!C:C,Лист8!C:C,"-",0)</f>
        <v>-</v>
      </c>
      <c r="C264" t="str">
        <f t="shared" si="10"/>
        <v>-</v>
      </c>
      <c r="D264" t="str">
        <f t="shared" si="9"/>
        <v>Beech Black Whiskey</v>
      </c>
    </row>
    <row r="265" spans="1:4" x14ac:dyDescent="0.25">
      <c r="A265" t="s">
        <v>167</v>
      </c>
      <c r="B265" t="str">
        <f>_xlfn.XLOOKUP(A265,Лист8!C:C,Лист8!C:C,"-",0)</f>
        <v>20006BH DEVERS</v>
      </c>
      <c r="C265" t="str">
        <f t="shared" si="10"/>
        <v>-</v>
      </c>
      <c r="D265" t="str">
        <f t="shared" si="9"/>
        <v>-</v>
      </c>
    </row>
    <row r="266" spans="1:4" x14ac:dyDescent="0.25">
      <c r="A266" t="s">
        <v>125</v>
      </c>
      <c r="B266" t="str">
        <f>_xlfn.XLOOKUP(A266,Лист8!C:C,Лист8!C:C,"-",0)</f>
        <v>-</v>
      </c>
      <c r="C266" t="str">
        <f t="shared" si="10"/>
        <v>-</v>
      </c>
      <c r="D266" t="str">
        <f t="shared" si="9"/>
        <v>-</v>
      </c>
    </row>
    <row r="267" spans="1:4" x14ac:dyDescent="0.25">
      <c r="A267" t="s">
        <v>126</v>
      </c>
      <c r="B267" t="str">
        <f>_xlfn.XLOOKUP(A267,Лист8!C:C,Лист8!C:C,"-",0)</f>
        <v>-</v>
      </c>
      <c r="C267" t="str">
        <f t="shared" si="10"/>
        <v>-</v>
      </c>
      <c r="D267" t="str">
        <f t="shared" si="9"/>
        <v>-</v>
      </c>
    </row>
    <row r="268" spans="1:4" x14ac:dyDescent="0.25">
      <c r="A268" t="s">
        <v>155</v>
      </c>
      <c r="B268" t="str">
        <f>_xlfn.XLOOKUP(A268,Лист8!C:C,Лист8!C:C,"-",0)</f>
        <v>-</v>
      </c>
      <c r="C268" t="str">
        <f t="shared" si="10"/>
        <v>-</v>
      </c>
      <c r="D268" t="str">
        <f t="shared" si="9"/>
        <v>-</v>
      </c>
    </row>
    <row r="269" spans="1:4" x14ac:dyDescent="0.25">
      <c r="A269" t="s">
        <v>363</v>
      </c>
      <c r="B269" t="str">
        <f>_xlfn.XLOOKUP(A269,Лист8!C:C,Лист8!C:C,"-",0)</f>
        <v>-</v>
      </c>
      <c r="C269" t="str">
        <f t="shared" si="10"/>
        <v>-</v>
      </c>
      <c r="D269" t="str">
        <f t="shared" si="9"/>
        <v>-</v>
      </c>
    </row>
    <row r="270" spans="1:4" x14ac:dyDescent="0.25">
      <c r="A270" t="s">
        <v>115</v>
      </c>
      <c r="B270" t="str">
        <f>_xlfn.XLOOKUP(A270,Лист8!C:C,Лист8!C:C,"-",0)</f>
        <v>-</v>
      </c>
      <c r="C270" t="str">
        <f t="shared" si="10"/>
        <v>-</v>
      </c>
      <c r="D270" t="str">
        <f t="shared" si="9"/>
        <v>-</v>
      </c>
    </row>
    <row r="271" spans="1:4" x14ac:dyDescent="0.25">
      <c r="A271" t="s">
        <v>102</v>
      </c>
      <c r="B271" t="str">
        <f>_xlfn.XLOOKUP(A271,Лист8!C:C,Лист8!C:C,"-",0)</f>
        <v>-</v>
      </c>
      <c r="C271" t="str">
        <f t="shared" si="10"/>
        <v>-</v>
      </c>
      <c r="D271" t="str">
        <f t="shared" si="9"/>
        <v>-</v>
      </c>
    </row>
    <row r="272" spans="1:4" x14ac:dyDescent="0.25">
      <c r="A272" t="s">
        <v>92</v>
      </c>
      <c r="B272" t="str">
        <f>_xlfn.XLOOKUP(A272,Лист8!C:C,Лист8!C:C,"-",0)</f>
        <v>-</v>
      </c>
      <c r="C272" t="str">
        <f t="shared" si="10"/>
        <v>S, M, L, XL</v>
      </c>
      <c r="D272" t="str">
        <f t="shared" si="9"/>
        <v>-</v>
      </c>
    </row>
    <row r="273" spans="1:4" x14ac:dyDescent="0.25">
      <c r="A273" t="s">
        <v>305</v>
      </c>
      <c r="B273" t="str">
        <f>_xlfn.XLOOKUP(A273,Лист8!C:C,Лист8!C:C,"-",0)</f>
        <v>-</v>
      </c>
      <c r="C273" t="str">
        <f t="shared" si="10"/>
        <v>-</v>
      </c>
      <c r="D273" t="str">
        <f t="shared" si="9"/>
        <v>Ink Blue Plaza Taupe</v>
      </c>
    </row>
    <row r="274" spans="1:4" x14ac:dyDescent="0.25">
      <c r="A274" t="s">
        <v>140</v>
      </c>
      <c r="B274" t="str">
        <f>_xlfn.XLOOKUP(A274,Лист8!C:C,Лист8!C:C,"-",0)</f>
        <v>-</v>
      </c>
      <c r="C274" t="str">
        <f t="shared" si="10"/>
        <v>-</v>
      </c>
      <c r="D274" t="str">
        <f t="shared" si="9"/>
        <v>-</v>
      </c>
    </row>
    <row r="275" spans="1:4" x14ac:dyDescent="0.25">
      <c r="A275">
        <v>24</v>
      </c>
      <c r="B275" t="str">
        <f>_xlfn.XLOOKUP(A275,Лист8!C:C,Лист8!C:C,"-",0)</f>
        <v>-</v>
      </c>
      <c r="C275" t="str">
        <f t="shared" si="10"/>
        <v>-</v>
      </c>
      <c r="D275" t="str">
        <f t="shared" si="9"/>
        <v>-</v>
      </c>
    </row>
    <row r="276" spans="1:4" x14ac:dyDescent="0.25">
      <c r="A276" t="s">
        <v>180</v>
      </c>
      <c r="B276" t="str">
        <f>_xlfn.XLOOKUP(A276,Лист8!C:C,Лист8!C:C,"-",0)</f>
        <v>37158BH BRANDT</v>
      </c>
      <c r="C276" t="str">
        <f t="shared" si="10"/>
        <v>-</v>
      </c>
      <c r="D276" t="str">
        <f t="shared" si="9"/>
        <v>-</v>
      </c>
    </row>
    <row r="277" spans="1:4" x14ac:dyDescent="0.25">
      <c r="A277" t="s">
        <v>335</v>
      </c>
      <c r="B277" t="str">
        <f>_xlfn.XLOOKUP(A277,Лист8!C:C,Лист8!C:C,"-",0)</f>
        <v>-</v>
      </c>
      <c r="C277" t="str">
        <f t="shared" si="10"/>
        <v>-</v>
      </c>
      <c r="D277" t="str">
        <f t="shared" si="9"/>
        <v>-</v>
      </c>
    </row>
    <row r="278" spans="1:4" x14ac:dyDescent="0.25">
      <c r="A278" t="s">
        <v>364</v>
      </c>
      <c r="B278" t="str">
        <f>_xlfn.XLOOKUP(A278,Лист8!C:C,Лист8!C:C,"-",0)</f>
        <v>-</v>
      </c>
      <c r="C278" t="str">
        <f t="shared" si="10"/>
        <v>-</v>
      </c>
      <c r="D278" t="str">
        <f t="shared" si="9"/>
        <v>-</v>
      </c>
    </row>
    <row r="279" spans="1:4" x14ac:dyDescent="0.25">
      <c r="A279" t="s">
        <v>365</v>
      </c>
      <c r="B279" t="str">
        <f>_xlfn.XLOOKUP(A279,Лист8!C:C,Лист8!C:C,"-",0)</f>
        <v>-</v>
      </c>
      <c r="C279" t="str">
        <f t="shared" si="10"/>
        <v>-</v>
      </c>
      <c r="D279" t="str">
        <f t="shared" si="9"/>
        <v>-</v>
      </c>
    </row>
    <row r="280" spans="1:4" x14ac:dyDescent="0.25">
      <c r="A280" t="s">
        <v>366</v>
      </c>
      <c r="B280" t="str">
        <f>_xlfn.XLOOKUP(A280,Лист8!C:C,Лист8!C:C,"-",0)</f>
        <v>-</v>
      </c>
      <c r="C280" t="str">
        <f t="shared" si="10"/>
        <v>-</v>
      </c>
      <c r="D280" t="str">
        <f t="shared" si="9"/>
        <v>-</v>
      </c>
    </row>
    <row r="281" spans="1:4" x14ac:dyDescent="0.25">
      <c r="A281" t="s">
        <v>115</v>
      </c>
      <c r="B281" t="str">
        <f>_xlfn.XLOOKUP(A281,Лист8!C:C,Лист8!C:C,"-",0)</f>
        <v>-</v>
      </c>
      <c r="C281" t="str">
        <f t="shared" si="10"/>
        <v>-</v>
      </c>
      <c r="D281" t="str">
        <f t="shared" si="9"/>
        <v>-</v>
      </c>
    </row>
    <row r="282" spans="1:4" x14ac:dyDescent="0.25">
      <c r="A282" t="s">
        <v>102</v>
      </c>
      <c r="B282" t="str">
        <f>_xlfn.XLOOKUP(A282,Лист8!C:C,Лист8!C:C,"-",0)</f>
        <v>-</v>
      </c>
      <c r="C282" t="str">
        <f t="shared" si="10"/>
        <v>-</v>
      </c>
      <c r="D282" t="str">
        <f t="shared" si="9"/>
        <v>-</v>
      </c>
    </row>
    <row r="283" spans="1:4" x14ac:dyDescent="0.25">
      <c r="A283" t="s">
        <v>181</v>
      </c>
      <c r="B283" t="str">
        <f>_xlfn.XLOOKUP(A283,Лист8!C:C,Лист8!C:C,"-",0)</f>
        <v>-</v>
      </c>
      <c r="C283" t="str">
        <f t="shared" si="10"/>
        <v>S, M, L, XL, XXL, XXXL</v>
      </c>
      <c r="D283" t="str">
        <f t="shared" si="9"/>
        <v>-</v>
      </c>
    </row>
    <row r="284" spans="1:4" x14ac:dyDescent="0.25">
      <c r="A284" t="s">
        <v>367</v>
      </c>
      <c r="B284" t="str">
        <f>_xlfn.XLOOKUP(A284,Лист8!C:C,Лист8!C:C,"-",0)</f>
        <v>-</v>
      </c>
      <c r="C284" t="str">
        <f t="shared" si="10"/>
        <v>-</v>
      </c>
      <c r="D284" t="str">
        <f t="shared" si="9"/>
        <v>Black Black Mix Bluestone Walnut</v>
      </c>
    </row>
    <row r="285" spans="1:4" x14ac:dyDescent="0.25">
      <c r="A285" t="s">
        <v>314</v>
      </c>
      <c r="B285" t="str">
        <f>_xlfn.XLOOKUP(A285,Лист8!C:C,Лист8!C:C,"-",0)</f>
        <v>37161BH PERRY</v>
      </c>
      <c r="C285" t="str">
        <f t="shared" si="10"/>
        <v>-</v>
      </c>
      <c r="D285" t="str">
        <f t="shared" si="9"/>
        <v>-</v>
      </c>
    </row>
    <row r="286" spans="1:4" x14ac:dyDescent="0.25">
      <c r="A286" t="s">
        <v>335</v>
      </c>
      <c r="B286" t="str">
        <f>_xlfn.XLOOKUP(A286,Лист8!C:C,Лист8!C:C,"-",0)</f>
        <v>-</v>
      </c>
      <c r="C286" t="str">
        <f t="shared" si="10"/>
        <v>-</v>
      </c>
      <c r="D286" t="str">
        <f t="shared" si="9"/>
        <v>-</v>
      </c>
    </row>
    <row r="287" spans="1:4" x14ac:dyDescent="0.25">
      <c r="A287" t="s">
        <v>336</v>
      </c>
      <c r="B287" t="str">
        <f>_xlfn.XLOOKUP(A287,Лист8!C:C,Лист8!C:C,"-",0)</f>
        <v>-</v>
      </c>
      <c r="C287" t="str">
        <f t="shared" si="10"/>
        <v>-</v>
      </c>
      <c r="D287" t="str">
        <f t="shared" si="9"/>
        <v>-</v>
      </c>
    </row>
    <row r="288" spans="1:4" x14ac:dyDescent="0.25">
      <c r="A288" t="s">
        <v>365</v>
      </c>
      <c r="B288" t="str">
        <f>_xlfn.XLOOKUP(A288,Лист8!C:C,Лист8!C:C,"-",0)</f>
        <v>-</v>
      </c>
      <c r="C288" t="str">
        <f t="shared" si="10"/>
        <v>-</v>
      </c>
      <c r="D288" t="str">
        <f t="shared" si="9"/>
        <v>-</v>
      </c>
    </row>
    <row r="289" spans="1:4" x14ac:dyDescent="0.25">
      <c r="A289" t="s">
        <v>366</v>
      </c>
      <c r="B289" t="str">
        <f>_xlfn.XLOOKUP(A289,Лист8!C:C,Лист8!C:C,"-",0)</f>
        <v>-</v>
      </c>
      <c r="C289" t="str">
        <f t="shared" si="10"/>
        <v>-</v>
      </c>
      <c r="D289" t="str">
        <f t="shared" si="9"/>
        <v>-</v>
      </c>
    </row>
    <row r="290" spans="1:4" x14ac:dyDescent="0.25">
      <c r="A290" t="s">
        <v>115</v>
      </c>
      <c r="B290" t="str">
        <f>_xlfn.XLOOKUP(A290,Лист8!C:C,Лист8!C:C,"-",0)</f>
        <v>-</v>
      </c>
      <c r="C290" t="str">
        <f t="shared" si="10"/>
        <v>-</v>
      </c>
      <c r="D290" t="str">
        <f t="shared" si="9"/>
        <v>-</v>
      </c>
    </row>
    <row r="291" spans="1:4" x14ac:dyDescent="0.25">
      <c r="A291" t="s">
        <v>102</v>
      </c>
      <c r="B291" t="str">
        <f>_xlfn.XLOOKUP(A291,Лист8!C:C,Лист8!C:C,"-",0)</f>
        <v>-</v>
      </c>
      <c r="C291" t="str">
        <f t="shared" si="10"/>
        <v>-</v>
      </c>
      <c r="D291" t="str">
        <f t="shared" si="9"/>
        <v>-</v>
      </c>
    </row>
    <row r="292" spans="1:4" x14ac:dyDescent="0.25">
      <c r="A292" t="s">
        <v>92</v>
      </c>
      <c r="B292" t="str">
        <f>_xlfn.XLOOKUP(A292,Лист8!C:C,Лист8!C:C,"-",0)</f>
        <v>-</v>
      </c>
      <c r="C292" t="str">
        <f t="shared" si="10"/>
        <v>S, M, L, XL</v>
      </c>
      <c r="D292" t="str">
        <f t="shared" si="9"/>
        <v>-</v>
      </c>
    </row>
    <row r="293" spans="1:4" x14ac:dyDescent="0.25">
      <c r="A293" t="s">
        <v>179</v>
      </c>
      <c r="B293" t="str">
        <f>_xlfn.XLOOKUP(A293,Лист8!C:C,Лист8!C:C,"-",0)</f>
        <v>-</v>
      </c>
      <c r="C293" t="str">
        <f t="shared" si="10"/>
        <v>-</v>
      </c>
      <c r="D293" t="str">
        <f t="shared" si="9"/>
        <v>Navy Serpent Walnut</v>
      </c>
    </row>
    <row r="294" spans="1:4" x14ac:dyDescent="0.25">
      <c r="A294">
        <v>29</v>
      </c>
      <c r="B294" t="str">
        <f>_xlfn.XLOOKUP(A294,Лист8!C:C,Лист8!C:C,"-",0)</f>
        <v>-</v>
      </c>
      <c r="C294" t="str">
        <f t="shared" si="10"/>
        <v>-</v>
      </c>
      <c r="D294" t="str">
        <f t="shared" si="9"/>
        <v>-</v>
      </c>
    </row>
    <row r="295" spans="1:4" x14ac:dyDescent="0.25">
      <c r="A295" t="s">
        <v>316</v>
      </c>
      <c r="B295" t="str">
        <f>_xlfn.XLOOKUP(A295,Лист8!C:C,Лист8!C:C,"-",0)</f>
        <v>70656BH ACKER</v>
      </c>
      <c r="C295" t="str">
        <f t="shared" si="10"/>
        <v>-</v>
      </c>
      <c r="D295" t="str">
        <f t="shared" si="9"/>
        <v>-</v>
      </c>
    </row>
    <row r="296" spans="1:4" x14ac:dyDescent="0.25">
      <c r="A296" t="s">
        <v>335</v>
      </c>
      <c r="B296" t="str">
        <f>_xlfn.XLOOKUP(A296,Лист8!C:C,Лист8!C:C,"-",0)</f>
        <v>-</v>
      </c>
      <c r="C296" t="str">
        <f t="shared" si="10"/>
        <v>-</v>
      </c>
      <c r="D296" t="str">
        <f t="shared" si="9"/>
        <v>-</v>
      </c>
    </row>
    <row r="297" spans="1:4" x14ac:dyDescent="0.25">
      <c r="A297" t="s">
        <v>368</v>
      </c>
      <c r="B297" t="str">
        <f>_xlfn.XLOOKUP(A297,Лист8!C:C,Лист8!C:C,"-",0)</f>
        <v>-</v>
      </c>
      <c r="C297" t="str">
        <f t="shared" si="10"/>
        <v>-</v>
      </c>
      <c r="D297" t="str">
        <f t="shared" si="9"/>
        <v>-</v>
      </c>
    </row>
    <row r="298" spans="1:4" x14ac:dyDescent="0.25">
      <c r="A298" t="s">
        <v>189</v>
      </c>
      <c r="B298" t="str">
        <f>_xlfn.XLOOKUP(A298,Лист8!C:C,Лист8!C:C,"-",0)</f>
        <v>-</v>
      </c>
      <c r="C298" t="str">
        <f t="shared" si="10"/>
        <v>-</v>
      </c>
      <c r="D298" t="str">
        <f t="shared" si="9"/>
        <v>-</v>
      </c>
    </row>
    <row r="299" spans="1:4" x14ac:dyDescent="0.25">
      <c r="A299" t="s">
        <v>369</v>
      </c>
      <c r="B299" t="str">
        <f>_xlfn.XLOOKUP(A299,Лист8!C:C,Лист8!C:C,"-",0)</f>
        <v>-</v>
      </c>
      <c r="C299" t="str">
        <f t="shared" si="10"/>
        <v>-</v>
      </c>
      <c r="D299" t="str">
        <f t="shared" si="9"/>
        <v>-</v>
      </c>
    </row>
    <row r="300" spans="1:4" x14ac:dyDescent="0.25">
      <c r="A300" t="s">
        <v>370</v>
      </c>
      <c r="B300" t="str">
        <f>_xlfn.XLOOKUP(A300,Лист8!C:C,Лист8!C:C,"-",0)</f>
        <v>-</v>
      </c>
      <c r="C300" t="str">
        <f t="shared" si="10"/>
        <v>-</v>
      </c>
      <c r="D300" t="str">
        <f t="shared" si="9"/>
        <v>-</v>
      </c>
    </row>
    <row r="301" spans="1:4" x14ac:dyDescent="0.25">
      <c r="A301" t="s">
        <v>371</v>
      </c>
      <c r="B301" t="str">
        <f>_xlfn.XLOOKUP(A301,Лист8!C:C,Лист8!C:C,"-",0)</f>
        <v>-</v>
      </c>
      <c r="C301" t="str">
        <f t="shared" si="10"/>
        <v>-</v>
      </c>
      <c r="D301" t="str">
        <f t="shared" si="9"/>
        <v>-</v>
      </c>
    </row>
    <row r="302" spans="1:4" x14ac:dyDescent="0.25">
      <c r="A302" t="s">
        <v>92</v>
      </c>
      <c r="B302" t="str">
        <f>_xlfn.XLOOKUP(A302,Лист8!C:C,Лист8!C:C,"-",0)</f>
        <v>-</v>
      </c>
      <c r="C302" t="str">
        <f t="shared" si="10"/>
        <v>S, M, L, XL</v>
      </c>
      <c r="D302" t="str">
        <f t="shared" si="9"/>
        <v>-</v>
      </c>
    </row>
    <row r="303" spans="1:4" x14ac:dyDescent="0.25">
      <c r="A303" t="s">
        <v>178</v>
      </c>
      <c r="B303" t="str">
        <f>_xlfn.XLOOKUP(A303,Лист8!C:C,Лист8!C:C,"-",0)</f>
        <v>-</v>
      </c>
      <c r="C303" t="str">
        <f t="shared" si="10"/>
        <v>-</v>
      </c>
      <c r="D303" t="str">
        <f t="shared" si="9"/>
        <v>Black Midnight Brown Unbleached</v>
      </c>
    </row>
    <row r="304" spans="1:4" x14ac:dyDescent="0.25">
      <c r="A304" t="s">
        <v>195</v>
      </c>
      <c r="B304" t="str">
        <f>_xlfn.XLOOKUP(A304,Лист8!C:C,Лист8!C:C,"-",0)</f>
        <v>7034 BLIXEN</v>
      </c>
      <c r="C304" t="str">
        <f t="shared" si="10"/>
        <v>-</v>
      </c>
      <c r="D304" t="str">
        <f t="shared" si="9"/>
        <v>-</v>
      </c>
    </row>
    <row r="305" spans="1:4" x14ac:dyDescent="0.25">
      <c r="A305" t="s">
        <v>335</v>
      </c>
      <c r="B305" t="str">
        <f>_xlfn.XLOOKUP(A305,Лист8!C:C,Лист8!C:C,"-",0)</f>
        <v>-</v>
      </c>
      <c r="C305" t="str">
        <f t="shared" si="10"/>
        <v>-</v>
      </c>
      <c r="D305" t="str">
        <f t="shared" si="9"/>
        <v>-</v>
      </c>
    </row>
    <row r="306" spans="1:4" x14ac:dyDescent="0.25">
      <c r="A306" t="s">
        <v>355</v>
      </c>
      <c r="B306" t="str">
        <f>_xlfn.XLOOKUP(A306,Лист8!C:C,Лист8!C:C,"-",0)</f>
        <v>-</v>
      </c>
      <c r="C306" t="str">
        <f t="shared" si="10"/>
        <v>-</v>
      </c>
      <c r="D306" t="str">
        <f t="shared" si="9"/>
        <v>-</v>
      </c>
    </row>
    <row r="307" spans="1:4" x14ac:dyDescent="0.25">
      <c r="A307" t="s">
        <v>189</v>
      </c>
      <c r="B307" t="str">
        <f>_xlfn.XLOOKUP(A307,Лист8!C:C,Лист8!C:C,"-",0)</f>
        <v>-</v>
      </c>
      <c r="C307" t="str">
        <f t="shared" si="10"/>
        <v>-</v>
      </c>
      <c r="D307" t="str">
        <f t="shared" si="9"/>
        <v>-</v>
      </c>
    </row>
    <row r="308" spans="1:4" x14ac:dyDescent="0.25">
      <c r="A308" t="s">
        <v>100</v>
      </c>
      <c r="B308" t="str">
        <f>_xlfn.XLOOKUP(A308,Лист8!C:C,Лист8!C:C,"-",0)</f>
        <v>-</v>
      </c>
      <c r="C308" t="str">
        <f t="shared" si="10"/>
        <v>-</v>
      </c>
      <c r="D308" t="str">
        <f t="shared" si="9"/>
        <v>-</v>
      </c>
    </row>
    <row r="309" spans="1:4" x14ac:dyDescent="0.25">
      <c r="A309" t="s">
        <v>122</v>
      </c>
      <c r="B309" t="str">
        <f>_xlfn.XLOOKUP(A309,Лист8!C:C,Лист8!C:C,"-",0)</f>
        <v>-</v>
      </c>
      <c r="C309" t="str">
        <f t="shared" si="10"/>
        <v>-</v>
      </c>
      <c r="D309" t="str">
        <f t="shared" si="9"/>
        <v>-</v>
      </c>
    </row>
    <row r="310" spans="1:4" x14ac:dyDescent="0.25">
      <c r="A310" t="s">
        <v>371</v>
      </c>
      <c r="B310" t="str">
        <f>_xlfn.XLOOKUP(A310,Лист8!C:C,Лист8!C:C,"-",0)</f>
        <v>-</v>
      </c>
      <c r="C310" t="str">
        <f t="shared" si="10"/>
        <v>-</v>
      </c>
      <c r="D310" t="str">
        <f t="shared" si="9"/>
        <v>-</v>
      </c>
    </row>
    <row r="311" spans="1:4" x14ac:dyDescent="0.25">
      <c r="A311" t="s">
        <v>165</v>
      </c>
      <c r="B311" t="str">
        <f>_xlfn.XLOOKUP(A311,Лист8!C:C,Лист8!C:C,"-",0)</f>
        <v>-</v>
      </c>
      <c r="C311" t="str">
        <f t="shared" si="10"/>
        <v>S, M, L, XL, XXL</v>
      </c>
      <c r="D311" t="str">
        <f t="shared" si="9"/>
        <v>-</v>
      </c>
    </row>
    <row r="312" spans="1:4" x14ac:dyDescent="0.25">
      <c r="A312" t="s">
        <v>307</v>
      </c>
      <c r="B312" t="str">
        <f>_xlfn.XLOOKUP(A312,Лист8!C:C,Лист8!C:C,"-",0)</f>
        <v>-</v>
      </c>
      <c r="C312" t="str">
        <f t="shared" si="10"/>
        <v>-</v>
      </c>
      <c r="D312" t="str">
        <f t="shared" si="9"/>
        <v>Navy Nickel Satin Brass Silverbelly Vintage Blue</v>
      </c>
    </row>
    <row r="313" spans="1:4" x14ac:dyDescent="0.25">
      <c r="A313" t="s">
        <v>372</v>
      </c>
      <c r="B313" t="str">
        <f>_xlfn.XLOOKUP(A313,Лист8!C:C,Лист8!C:C,"-",0)</f>
        <v>-</v>
      </c>
      <c r="C313" t="str">
        <f t="shared" si="10"/>
        <v>-</v>
      </c>
      <c r="D313" t="str">
        <f t="shared" si="9"/>
        <v>-</v>
      </c>
    </row>
    <row r="314" spans="1:4" x14ac:dyDescent="0.25">
      <c r="A314" t="s">
        <v>196</v>
      </c>
      <c r="B314" t="str">
        <f>_xlfn.XLOOKUP(A314,Лист8!C:C,Лист8!C:C,"-",0)</f>
        <v>-</v>
      </c>
      <c r="C314" t="str">
        <f t="shared" si="10"/>
        <v>-</v>
      </c>
      <c r="D314" t="str">
        <f t="shared" si="9"/>
        <v>-</v>
      </c>
    </row>
    <row r="315" spans="1:4" x14ac:dyDescent="0.25">
      <c r="A315" t="s">
        <v>373</v>
      </c>
      <c r="B315" t="str">
        <f>_xlfn.XLOOKUP(A315,Лист8!C:C,Лист8!C:C,"-",0)</f>
        <v>-</v>
      </c>
      <c r="C315" t="str">
        <f t="shared" si="10"/>
        <v>-</v>
      </c>
      <c r="D315" t="str">
        <f t="shared" si="9"/>
        <v>-</v>
      </c>
    </row>
    <row r="316" spans="1:4" x14ac:dyDescent="0.25">
      <c r="A316" t="s">
        <v>192</v>
      </c>
      <c r="B316" t="str">
        <f>_xlfn.XLOOKUP(A316,Лист8!C:C,Лист8!C:C,"-",0)</f>
        <v>7006 BRIAR</v>
      </c>
      <c r="C316" t="str">
        <f t="shared" si="10"/>
        <v>-</v>
      </c>
      <c r="D316" t="str">
        <f t="shared" si="9"/>
        <v>-</v>
      </c>
    </row>
    <row r="317" spans="1:4" x14ac:dyDescent="0.25">
      <c r="A317" t="s">
        <v>193</v>
      </c>
      <c r="B317" t="str">
        <f>_xlfn.XLOOKUP(A317,Лист8!C:C,Лист8!C:C,"-",0)</f>
        <v>-</v>
      </c>
      <c r="C317" t="str">
        <f t="shared" si="10"/>
        <v>-</v>
      </c>
      <c r="D317" t="str">
        <f t="shared" si="9"/>
        <v>-</v>
      </c>
    </row>
    <row r="318" spans="1:4" x14ac:dyDescent="0.25">
      <c r="A318" t="s">
        <v>374</v>
      </c>
      <c r="B318" t="str">
        <f>_xlfn.XLOOKUP(A318,Лист8!C:C,Лист8!C:C,"-",0)</f>
        <v>-</v>
      </c>
      <c r="C318" t="str">
        <f t="shared" si="10"/>
        <v>-</v>
      </c>
      <c r="D318" t="str">
        <f t="shared" si="9"/>
        <v>-</v>
      </c>
    </row>
    <row r="319" spans="1:4" x14ac:dyDescent="0.25">
      <c r="A319" t="s">
        <v>189</v>
      </c>
      <c r="B319" t="str">
        <f>_xlfn.XLOOKUP(A319,Лист8!C:C,Лист8!C:C,"-",0)</f>
        <v>-</v>
      </c>
      <c r="C319" t="str">
        <f t="shared" si="10"/>
        <v>-</v>
      </c>
      <c r="D319" t="str">
        <f t="shared" si="9"/>
        <v>-</v>
      </c>
    </row>
    <row r="320" spans="1:4" x14ac:dyDescent="0.25">
      <c r="A320" t="s">
        <v>366</v>
      </c>
      <c r="B320" t="str">
        <f>_xlfn.XLOOKUP(A320,Лист8!C:C,Лист8!C:C,"-",0)</f>
        <v>-</v>
      </c>
      <c r="C320" t="str">
        <f t="shared" si="10"/>
        <v>-</v>
      </c>
      <c r="D320" t="str">
        <f t="shared" si="9"/>
        <v>-</v>
      </c>
    </row>
    <row r="321" spans="1:4" x14ac:dyDescent="0.25">
      <c r="A321" t="s">
        <v>371</v>
      </c>
      <c r="B321" t="str">
        <f>_xlfn.XLOOKUP(A321,Лист8!C:C,Лист8!C:C,"-",0)</f>
        <v>-</v>
      </c>
      <c r="C321" t="str">
        <f t="shared" si="10"/>
        <v>-</v>
      </c>
      <c r="D321" t="str">
        <f t="shared" ref="D321:D384" si="11">IF(C320&lt;&gt;"-",A321,"-")</f>
        <v>-</v>
      </c>
    </row>
    <row r="322" spans="1:4" x14ac:dyDescent="0.25">
      <c r="A322" t="s">
        <v>92</v>
      </c>
      <c r="B322" t="str">
        <f>_xlfn.XLOOKUP(A322,Лист8!C:C,Лист8!C:C,"-",0)</f>
        <v>-</v>
      </c>
      <c r="C322" t="str">
        <f t="shared" ref="C322:C385" si="12">IF(IFERROR(FIND(",",A322)&gt;1,FALSE),A322,"-")</f>
        <v>S, M, L, XL</v>
      </c>
      <c r="D322" t="str">
        <f t="shared" si="11"/>
        <v>-</v>
      </c>
    </row>
    <row r="323" spans="1:4" x14ac:dyDescent="0.25">
      <c r="A323" t="s">
        <v>194</v>
      </c>
      <c r="B323" t="str">
        <f>_xlfn.XLOOKUP(A323,Лист8!C:C,Лист8!C:C,"-",0)</f>
        <v>-</v>
      </c>
      <c r="C323" t="str">
        <f t="shared" si="12"/>
        <v>-</v>
      </c>
      <c r="D323" t="str">
        <f t="shared" si="11"/>
        <v>Black Unbleached Woodland Mix</v>
      </c>
    </row>
    <row r="324" spans="1:4" x14ac:dyDescent="0.25">
      <c r="A324" t="s">
        <v>190</v>
      </c>
      <c r="B324" t="str">
        <f>_xlfn.XLOOKUP(A324,Лист8!C:C,Лист8!C:C,"-",0)</f>
        <v>70655BH LUND</v>
      </c>
      <c r="C324" t="str">
        <f t="shared" si="12"/>
        <v>-</v>
      </c>
      <c r="D324" t="str">
        <f t="shared" si="11"/>
        <v>-</v>
      </c>
    </row>
    <row r="325" spans="1:4" x14ac:dyDescent="0.25">
      <c r="A325" t="s">
        <v>125</v>
      </c>
      <c r="B325" t="str">
        <f>_xlfn.XLOOKUP(A325,Лист8!C:C,Лист8!C:C,"-",0)</f>
        <v>-</v>
      </c>
      <c r="C325" t="str">
        <f t="shared" si="12"/>
        <v>-</v>
      </c>
      <c r="D325" t="str">
        <f t="shared" si="11"/>
        <v>-</v>
      </c>
    </row>
    <row r="326" spans="1:4" x14ac:dyDescent="0.25">
      <c r="A326" t="s">
        <v>110</v>
      </c>
      <c r="B326" t="str">
        <f>_xlfn.XLOOKUP(A326,Лист8!C:C,Лист8!C:C,"-",0)</f>
        <v>-</v>
      </c>
      <c r="C326" t="str">
        <f t="shared" si="12"/>
        <v>-</v>
      </c>
      <c r="D326" t="str">
        <f t="shared" si="11"/>
        <v>-</v>
      </c>
    </row>
    <row r="327" spans="1:4" x14ac:dyDescent="0.25">
      <c r="A327" t="s">
        <v>189</v>
      </c>
      <c r="B327" t="str">
        <f>_xlfn.XLOOKUP(A327,Лист8!C:C,Лист8!C:C,"-",0)</f>
        <v>-</v>
      </c>
      <c r="C327" t="str">
        <f t="shared" si="12"/>
        <v>-</v>
      </c>
      <c r="D327" t="str">
        <f t="shared" si="11"/>
        <v>-</v>
      </c>
    </row>
    <row r="328" spans="1:4" x14ac:dyDescent="0.25">
      <c r="A328" t="s">
        <v>375</v>
      </c>
      <c r="B328" t="str">
        <f>_xlfn.XLOOKUP(A328,Лист8!C:C,Лист8!C:C,"-",0)</f>
        <v>-</v>
      </c>
      <c r="C328" t="str">
        <f t="shared" si="12"/>
        <v>-</v>
      </c>
      <c r="D328" t="str">
        <f t="shared" si="11"/>
        <v>-</v>
      </c>
    </row>
    <row r="329" spans="1:4" x14ac:dyDescent="0.25">
      <c r="A329" t="s">
        <v>122</v>
      </c>
      <c r="B329" t="str">
        <f>_xlfn.XLOOKUP(A329,Лист8!C:C,Лист8!C:C,"-",0)</f>
        <v>-</v>
      </c>
      <c r="C329" t="str">
        <f t="shared" si="12"/>
        <v>-</v>
      </c>
      <c r="D329" t="str">
        <f t="shared" si="11"/>
        <v>-</v>
      </c>
    </row>
    <row r="330" spans="1:4" x14ac:dyDescent="0.25">
      <c r="A330" t="s">
        <v>371</v>
      </c>
      <c r="B330" t="str">
        <f>_xlfn.XLOOKUP(A330,Лист8!C:C,Лист8!C:C,"-",0)</f>
        <v>-</v>
      </c>
      <c r="C330" t="str">
        <f t="shared" si="12"/>
        <v>-</v>
      </c>
      <c r="D330" t="str">
        <f t="shared" si="11"/>
        <v>-</v>
      </c>
    </row>
    <row r="331" spans="1:4" x14ac:dyDescent="0.25">
      <c r="A331" t="s">
        <v>92</v>
      </c>
      <c r="B331" t="str">
        <f>_xlfn.XLOOKUP(A331,Лист8!C:C,Лист8!C:C,"-",0)</f>
        <v>-</v>
      </c>
      <c r="C331" t="str">
        <f t="shared" si="12"/>
        <v>S, M, L, XL</v>
      </c>
      <c r="D331" t="str">
        <f t="shared" si="11"/>
        <v>-</v>
      </c>
    </row>
    <row r="332" spans="1:4" x14ac:dyDescent="0.25">
      <c r="A332" t="s">
        <v>191</v>
      </c>
      <c r="B332" t="str">
        <f>_xlfn.XLOOKUP(A332,Лист8!C:C,Лист8!C:C,"-",0)</f>
        <v>-</v>
      </c>
      <c r="C332" t="str">
        <f t="shared" si="12"/>
        <v>-</v>
      </c>
      <c r="D332" t="str">
        <f t="shared" si="11"/>
        <v>Black Ochre</v>
      </c>
    </row>
    <row r="333" spans="1:4" x14ac:dyDescent="0.25">
      <c r="A333">
        <v>28</v>
      </c>
      <c r="B333" t="str">
        <f>_xlfn.XLOOKUP(A333,Лист8!C:C,Лист8!C:C,"-",0)</f>
        <v>-</v>
      </c>
      <c r="C333" t="str">
        <f t="shared" si="12"/>
        <v>-</v>
      </c>
      <c r="D333" t="str">
        <f t="shared" si="11"/>
        <v>-</v>
      </c>
    </row>
    <row r="334" spans="1:4" x14ac:dyDescent="0.25">
      <c r="A334" t="s">
        <v>184</v>
      </c>
      <c r="B334" t="str">
        <f>_xlfn.XLOOKUP(A334,Лист8!C:C,Лист8!C:C,"-",0)</f>
        <v>70658BH MOLIN</v>
      </c>
      <c r="C334" t="str">
        <f t="shared" si="12"/>
        <v>-</v>
      </c>
      <c r="D334" t="str">
        <f t="shared" si="11"/>
        <v>-</v>
      </c>
    </row>
    <row r="335" spans="1:4" x14ac:dyDescent="0.25">
      <c r="A335" t="s">
        <v>147</v>
      </c>
      <c r="B335" t="str">
        <f>_xlfn.XLOOKUP(A335,Лист8!C:C,Лист8!C:C,"-",0)</f>
        <v>-</v>
      </c>
      <c r="C335" t="str">
        <f t="shared" si="12"/>
        <v>-</v>
      </c>
      <c r="D335" t="str">
        <f t="shared" si="11"/>
        <v>-</v>
      </c>
    </row>
    <row r="336" spans="1:4" x14ac:dyDescent="0.25">
      <c r="A336" t="s">
        <v>376</v>
      </c>
      <c r="B336" t="str">
        <f>_xlfn.XLOOKUP(A336,Лист8!C:C,Лист8!C:C,"-",0)</f>
        <v>-</v>
      </c>
      <c r="C336" t="str">
        <f t="shared" si="12"/>
        <v>-</v>
      </c>
      <c r="D336" t="str">
        <f t="shared" si="11"/>
        <v>-</v>
      </c>
    </row>
    <row r="337" spans="1:4" x14ac:dyDescent="0.25">
      <c r="A337" t="s">
        <v>189</v>
      </c>
      <c r="B337" t="str">
        <f>_xlfn.XLOOKUP(A337,Лист8!C:C,Лист8!C:C,"-",0)</f>
        <v>-</v>
      </c>
      <c r="C337" t="str">
        <f t="shared" si="12"/>
        <v>-</v>
      </c>
      <c r="D337" t="str">
        <f t="shared" si="11"/>
        <v>-</v>
      </c>
    </row>
    <row r="338" spans="1:4" x14ac:dyDescent="0.25">
      <c r="A338" t="s">
        <v>377</v>
      </c>
      <c r="B338" t="str">
        <f>_xlfn.XLOOKUP(A338,Лист8!C:C,Лист8!C:C,"-",0)</f>
        <v>-</v>
      </c>
      <c r="C338" t="str">
        <f t="shared" si="12"/>
        <v>-</v>
      </c>
      <c r="D338" t="str">
        <f t="shared" si="11"/>
        <v>-</v>
      </c>
    </row>
    <row r="339" spans="1:4" x14ac:dyDescent="0.25">
      <c r="A339" t="s">
        <v>371</v>
      </c>
      <c r="B339" t="str">
        <f>_xlfn.XLOOKUP(A339,Лист8!C:C,Лист8!C:C,"-",0)</f>
        <v>-</v>
      </c>
      <c r="C339" t="str">
        <f t="shared" si="12"/>
        <v>-</v>
      </c>
      <c r="D339" t="str">
        <f t="shared" si="11"/>
        <v>-</v>
      </c>
    </row>
    <row r="340" spans="1:4" x14ac:dyDescent="0.25">
      <c r="A340" t="s">
        <v>92</v>
      </c>
      <c r="B340" t="str">
        <f>_xlfn.XLOOKUP(A340,Лист8!C:C,Лист8!C:C,"-",0)</f>
        <v>-</v>
      </c>
      <c r="C340" t="str">
        <f t="shared" si="12"/>
        <v>S, M, L, XL</v>
      </c>
      <c r="D340" t="str">
        <f t="shared" si="11"/>
        <v>-</v>
      </c>
    </row>
    <row r="341" spans="1:4" x14ac:dyDescent="0.25">
      <c r="A341" t="s">
        <v>185</v>
      </c>
      <c r="B341" t="str">
        <f>_xlfn.XLOOKUP(A341,Лист8!C:C,Лист8!C:C,"-",0)</f>
        <v>-</v>
      </c>
      <c r="C341" t="str">
        <f t="shared" si="12"/>
        <v>-</v>
      </c>
      <c r="D341" t="str">
        <f t="shared" si="11"/>
        <v>Black Oak</v>
      </c>
    </row>
    <row r="342" spans="1:4" x14ac:dyDescent="0.25">
      <c r="A342" t="s">
        <v>315</v>
      </c>
      <c r="B342" t="str">
        <f>_xlfn.XLOOKUP(A342,Лист8!C:C,Лист8!C:C,"-",0)</f>
        <v>70657BH FALCON</v>
      </c>
      <c r="C342" t="str">
        <f t="shared" si="12"/>
        <v>-</v>
      </c>
      <c r="D342" t="str">
        <f t="shared" si="11"/>
        <v>-</v>
      </c>
    </row>
    <row r="343" spans="1:4" x14ac:dyDescent="0.25">
      <c r="A343" t="s">
        <v>182</v>
      </c>
      <c r="B343" t="str">
        <f>_xlfn.XLOOKUP(A343,Лист8!C:C,Лист8!C:C,"-",0)</f>
        <v>-</v>
      </c>
      <c r="C343" t="str">
        <f t="shared" si="12"/>
        <v>-</v>
      </c>
      <c r="D343" t="str">
        <f t="shared" si="11"/>
        <v>-</v>
      </c>
    </row>
    <row r="344" spans="1:4" x14ac:dyDescent="0.25">
      <c r="A344" t="s">
        <v>98</v>
      </c>
      <c r="B344" t="str">
        <f>_xlfn.XLOOKUP(A344,Лист8!C:C,Лист8!C:C,"-",0)</f>
        <v>-</v>
      </c>
      <c r="C344" t="str">
        <f t="shared" si="12"/>
        <v>-</v>
      </c>
      <c r="D344" t="str">
        <f t="shared" si="11"/>
        <v>-</v>
      </c>
    </row>
    <row r="345" spans="1:4" x14ac:dyDescent="0.25">
      <c r="A345" t="s">
        <v>189</v>
      </c>
      <c r="B345" t="str">
        <f>_xlfn.XLOOKUP(A345,Лист8!C:C,Лист8!C:C,"-",0)</f>
        <v>-</v>
      </c>
      <c r="C345" t="str">
        <f t="shared" si="12"/>
        <v>-</v>
      </c>
      <c r="D345" t="str">
        <f t="shared" si="11"/>
        <v>-</v>
      </c>
    </row>
    <row r="346" spans="1:4" x14ac:dyDescent="0.25">
      <c r="A346" t="s">
        <v>378</v>
      </c>
      <c r="B346" t="str">
        <f>_xlfn.XLOOKUP(A346,Лист8!C:C,Лист8!C:C,"-",0)</f>
        <v>-</v>
      </c>
      <c r="C346" t="str">
        <f t="shared" si="12"/>
        <v>-</v>
      </c>
      <c r="D346" t="str">
        <f t="shared" si="11"/>
        <v>-</v>
      </c>
    </row>
    <row r="347" spans="1:4" x14ac:dyDescent="0.25">
      <c r="A347" t="s">
        <v>99</v>
      </c>
      <c r="B347" t="str">
        <f>_xlfn.XLOOKUP(A347,Лист8!C:C,Лист8!C:C,"-",0)</f>
        <v>-</v>
      </c>
      <c r="C347" t="str">
        <f t="shared" si="12"/>
        <v>-</v>
      </c>
      <c r="D347" t="str">
        <f t="shared" si="11"/>
        <v>-</v>
      </c>
    </row>
    <row r="348" spans="1:4" x14ac:dyDescent="0.25">
      <c r="A348" t="s">
        <v>371</v>
      </c>
      <c r="B348" t="str">
        <f>_xlfn.XLOOKUP(A348,Лист8!C:C,Лист8!C:C,"-",0)</f>
        <v>-</v>
      </c>
      <c r="C348" t="str">
        <f t="shared" si="12"/>
        <v>-</v>
      </c>
      <c r="D348" t="str">
        <f t="shared" si="11"/>
        <v>-</v>
      </c>
    </row>
    <row r="349" spans="1:4" x14ac:dyDescent="0.25">
      <c r="A349" t="s">
        <v>92</v>
      </c>
      <c r="B349" t="str">
        <f>_xlfn.XLOOKUP(A349,Лист8!C:C,Лист8!C:C,"-",0)</f>
        <v>-</v>
      </c>
      <c r="C349" t="str">
        <f t="shared" si="12"/>
        <v>S, M, L, XL</v>
      </c>
      <c r="D349" t="str">
        <f t="shared" si="11"/>
        <v>-</v>
      </c>
    </row>
    <row r="350" spans="1:4" x14ac:dyDescent="0.25">
      <c r="A350" t="s">
        <v>183</v>
      </c>
      <c r="B350" t="str">
        <f>_xlfn.XLOOKUP(A350,Лист8!C:C,Лист8!C:C,"-",0)</f>
        <v>-</v>
      </c>
      <c r="C350" t="str">
        <f t="shared" si="12"/>
        <v>-</v>
      </c>
      <c r="D350" t="str">
        <f t="shared" si="11"/>
        <v>Avion Black</v>
      </c>
    </row>
    <row r="351" spans="1:4" x14ac:dyDescent="0.25">
      <c r="A351" t="s">
        <v>186</v>
      </c>
      <c r="B351" t="str">
        <f>_xlfn.XLOOKUP(A351,Лист8!C:C,Лист8!C:C,"-",0)</f>
        <v>70659BH COLVIN</v>
      </c>
      <c r="C351" t="str">
        <f t="shared" si="12"/>
        <v>-</v>
      </c>
      <c r="D351" t="str">
        <f t="shared" si="11"/>
        <v>-</v>
      </c>
    </row>
    <row r="352" spans="1:4" x14ac:dyDescent="0.25">
      <c r="A352" t="s">
        <v>119</v>
      </c>
      <c r="B352" t="str">
        <f>_xlfn.XLOOKUP(A352,Лист8!C:C,Лист8!C:C,"-",0)</f>
        <v>-</v>
      </c>
      <c r="C352" t="str">
        <f t="shared" si="12"/>
        <v>-</v>
      </c>
      <c r="D352" t="str">
        <f t="shared" si="11"/>
        <v>-</v>
      </c>
    </row>
    <row r="353" spans="1:4" x14ac:dyDescent="0.25">
      <c r="A353" t="s">
        <v>340</v>
      </c>
      <c r="B353" t="str">
        <f>_xlfn.XLOOKUP(A353,Лист8!C:C,Лист8!C:C,"-",0)</f>
        <v>-</v>
      </c>
      <c r="C353" t="str">
        <f t="shared" si="12"/>
        <v>-</v>
      </c>
      <c r="D353" t="str">
        <f t="shared" si="11"/>
        <v>-</v>
      </c>
    </row>
    <row r="354" spans="1:4" x14ac:dyDescent="0.25">
      <c r="A354" t="s">
        <v>189</v>
      </c>
      <c r="B354" t="str">
        <f>_xlfn.XLOOKUP(A354,Лист8!C:C,Лист8!C:C,"-",0)</f>
        <v>-</v>
      </c>
      <c r="C354" t="str">
        <f t="shared" si="12"/>
        <v>-</v>
      </c>
      <c r="D354" t="str">
        <f t="shared" si="11"/>
        <v>-</v>
      </c>
    </row>
    <row r="355" spans="1:4" x14ac:dyDescent="0.25">
      <c r="A355" t="s">
        <v>379</v>
      </c>
      <c r="B355" t="str">
        <f>_xlfn.XLOOKUP(A355,Лист8!C:C,Лист8!C:C,"-",0)</f>
        <v>-</v>
      </c>
      <c r="C355" t="str">
        <f t="shared" si="12"/>
        <v>-</v>
      </c>
      <c r="D355" t="str">
        <f t="shared" si="11"/>
        <v>-</v>
      </c>
    </row>
    <row r="356" spans="1:4" x14ac:dyDescent="0.25">
      <c r="A356" t="s">
        <v>371</v>
      </c>
      <c r="B356" t="str">
        <f>_xlfn.XLOOKUP(A356,Лист8!C:C,Лист8!C:C,"-",0)</f>
        <v>-</v>
      </c>
      <c r="C356" t="str">
        <f t="shared" si="12"/>
        <v>-</v>
      </c>
      <c r="D356" t="str">
        <f t="shared" si="11"/>
        <v>-</v>
      </c>
    </row>
    <row r="357" spans="1:4" x14ac:dyDescent="0.25">
      <c r="A357" t="s">
        <v>92</v>
      </c>
      <c r="B357" t="str">
        <f>_xlfn.XLOOKUP(A357,Лист8!C:C,Лист8!C:C,"-",0)</f>
        <v>-</v>
      </c>
      <c r="C357" t="str">
        <f t="shared" si="12"/>
        <v>S, M, L, XL</v>
      </c>
      <c r="D357" t="str">
        <f t="shared" si="11"/>
        <v>-</v>
      </c>
    </row>
    <row r="358" spans="1:4" x14ac:dyDescent="0.25">
      <c r="A358" t="s">
        <v>187</v>
      </c>
      <c r="B358" t="str">
        <f>_xlfn.XLOOKUP(A358,Лист8!C:C,Лист8!C:C,"-",0)</f>
        <v>-</v>
      </c>
      <c r="C358" t="str">
        <f t="shared" si="12"/>
        <v>-</v>
      </c>
      <c r="D358" t="str">
        <f t="shared" si="11"/>
        <v>Black Honey Uniform Green</v>
      </c>
    </row>
    <row r="359" spans="1:4" x14ac:dyDescent="0.25">
      <c r="A359" t="s">
        <v>188</v>
      </c>
      <c r="B359" t="str">
        <f>_xlfn.XLOOKUP(A359,Лист8!C:C,Лист8!C:C,"-",0)</f>
        <v>70660BH ERLER</v>
      </c>
      <c r="C359" t="str">
        <f t="shared" si="12"/>
        <v>-</v>
      </c>
      <c r="D359" t="str">
        <f t="shared" si="11"/>
        <v>-</v>
      </c>
    </row>
    <row r="360" spans="1:4" x14ac:dyDescent="0.25">
      <c r="A360" t="s">
        <v>380</v>
      </c>
      <c r="B360" t="str">
        <f>_xlfn.XLOOKUP(A360,Лист8!C:C,Лист8!C:C,"-",0)</f>
        <v>-</v>
      </c>
      <c r="C360" t="str">
        <f t="shared" si="12"/>
        <v>-</v>
      </c>
      <c r="D360" t="str">
        <f t="shared" si="11"/>
        <v>-</v>
      </c>
    </row>
    <row r="361" spans="1:4" x14ac:dyDescent="0.25">
      <c r="A361" t="s">
        <v>368</v>
      </c>
      <c r="B361" t="str">
        <f>_xlfn.XLOOKUP(A361,Лист8!C:C,Лист8!C:C,"-",0)</f>
        <v>-</v>
      </c>
      <c r="C361" t="str">
        <f t="shared" si="12"/>
        <v>-</v>
      </c>
      <c r="D361" t="str">
        <f t="shared" si="11"/>
        <v>-</v>
      </c>
    </row>
    <row r="362" spans="1:4" x14ac:dyDescent="0.25">
      <c r="A362" t="s">
        <v>189</v>
      </c>
      <c r="B362" t="str">
        <f>_xlfn.XLOOKUP(A362,Лист8!C:C,Лист8!C:C,"-",0)</f>
        <v>-</v>
      </c>
      <c r="C362" t="str">
        <f t="shared" si="12"/>
        <v>-</v>
      </c>
      <c r="D362" t="str">
        <f t="shared" si="11"/>
        <v>-</v>
      </c>
    </row>
    <row r="363" spans="1:4" x14ac:dyDescent="0.25">
      <c r="A363" t="s">
        <v>381</v>
      </c>
      <c r="B363" t="str">
        <f>_xlfn.XLOOKUP(A363,Лист8!C:C,Лист8!C:C,"-",0)</f>
        <v>-</v>
      </c>
      <c r="C363" t="str">
        <f t="shared" si="12"/>
        <v>-</v>
      </c>
      <c r="D363" t="str">
        <f t="shared" si="11"/>
        <v>-</v>
      </c>
    </row>
    <row r="364" spans="1:4" x14ac:dyDescent="0.25">
      <c r="A364" t="s">
        <v>99</v>
      </c>
      <c r="B364" t="str">
        <f>_xlfn.XLOOKUP(A364,Лист8!C:C,Лист8!C:C,"-",0)</f>
        <v>-</v>
      </c>
      <c r="C364" t="str">
        <f t="shared" si="12"/>
        <v>-</v>
      </c>
      <c r="D364" t="str">
        <f t="shared" si="11"/>
        <v>-</v>
      </c>
    </row>
    <row r="365" spans="1:4" x14ac:dyDescent="0.25">
      <c r="A365" t="s">
        <v>382</v>
      </c>
      <c r="B365" t="str">
        <f>_xlfn.XLOOKUP(A365,Лист8!C:C,Лист8!C:C,"-",0)</f>
        <v>-</v>
      </c>
      <c r="C365" t="str">
        <f t="shared" si="12"/>
        <v>-</v>
      </c>
      <c r="D365" t="str">
        <f t="shared" si="11"/>
        <v>-</v>
      </c>
    </row>
    <row r="366" spans="1:4" x14ac:dyDescent="0.25">
      <c r="A366" t="s">
        <v>371</v>
      </c>
      <c r="B366" t="str">
        <f>_xlfn.XLOOKUP(A366,Лист8!C:C,Лист8!C:C,"-",0)</f>
        <v>-</v>
      </c>
      <c r="C366" t="str">
        <f t="shared" si="12"/>
        <v>-</v>
      </c>
      <c r="D366" t="str">
        <f t="shared" si="11"/>
        <v>-</v>
      </c>
    </row>
    <row r="367" spans="1:4" x14ac:dyDescent="0.25">
      <c r="A367" t="s">
        <v>92</v>
      </c>
      <c r="B367" t="str">
        <f>_xlfn.XLOOKUP(A367,Лист8!C:C,Лист8!C:C,"-",0)</f>
        <v>-</v>
      </c>
      <c r="C367" t="str">
        <f t="shared" si="12"/>
        <v>S, M, L, XL</v>
      </c>
      <c r="D367" t="str">
        <f t="shared" si="11"/>
        <v>-</v>
      </c>
    </row>
    <row r="368" spans="1:4" x14ac:dyDescent="0.25">
      <c r="A368" t="s">
        <v>306</v>
      </c>
      <c r="B368" t="str">
        <f>_xlfn.XLOOKUP(A368,Лист8!C:C,Лист8!C:C,"-",0)</f>
        <v>-</v>
      </c>
      <c r="C368" t="str">
        <f t="shared" si="12"/>
        <v>-</v>
      </c>
      <c r="D368" t="str">
        <f t="shared" si="11"/>
        <v>Black Nickel Satin Brass Uniform Green</v>
      </c>
    </row>
    <row r="369" spans="1:4" x14ac:dyDescent="0.25">
      <c r="A369" t="s">
        <v>202</v>
      </c>
      <c r="B369" t="str">
        <f>_xlfn.XLOOKUP(A369,Лист8!C:C,Лист8!C:C,"-",0)</f>
        <v>7021 DARRON</v>
      </c>
      <c r="C369" t="str">
        <f t="shared" si="12"/>
        <v>-</v>
      </c>
      <c r="D369" t="str">
        <f t="shared" si="11"/>
        <v>-</v>
      </c>
    </row>
    <row r="370" spans="1:4" x14ac:dyDescent="0.25">
      <c r="A370" t="s">
        <v>383</v>
      </c>
      <c r="B370" t="str">
        <f>_xlfn.XLOOKUP(A370,Лист8!C:C,Лист8!C:C,"-",0)</f>
        <v>-</v>
      </c>
      <c r="C370" t="str">
        <f t="shared" si="12"/>
        <v>-</v>
      </c>
      <c r="D370" t="str">
        <f t="shared" si="11"/>
        <v>-</v>
      </c>
    </row>
    <row r="371" spans="1:4" x14ac:dyDescent="0.25">
      <c r="A371" t="s">
        <v>384</v>
      </c>
      <c r="B371" t="str">
        <f>_xlfn.XLOOKUP(A371,Лист8!C:C,Лист8!C:C,"-",0)</f>
        <v>-</v>
      </c>
      <c r="C371" t="str">
        <f t="shared" si="12"/>
        <v>-</v>
      </c>
      <c r="D371" t="str">
        <f t="shared" si="11"/>
        <v>-</v>
      </c>
    </row>
    <row r="372" spans="1:4" x14ac:dyDescent="0.25">
      <c r="A372" t="s">
        <v>189</v>
      </c>
      <c r="B372" t="str">
        <f>_xlfn.XLOOKUP(A372,Лист8!C:C,Лист8!C:C,"-",0)</f>
        <v>-</v>
      </c>
      <c r="C372" t="str">
        <f t="shared" si="12"/>
        <v>-</v>
      </c>
      <c r="D372" t="str">
        <f t="shared" si="11"/>
        <v>-</v>
      </c>
    </row>
    <row r="373" spans="1:4" x14ac:dyDescent="0.25">
      <c r="A373" t="s">
        <v>100</v>
      </c>
      <c r="B373" t="str">
        <f>_xlfn.XLOOKUP(A373,Лист8!C:C,Лист8!C:C,"-",0)</f>
        <v>-</v>
      </c>
      <c r="C373" t="str">
        <f t="shared" si="12"/>
        <v>-</v>
      </c>
      <c r="D373" t="str">
        <f t="shared" si="11"/>
        <v>-</v>
      </c>
    </row>
    <row r="374" spans="1:4" x14ac:dyDescent="0.25">
      <c r="A374" t="s">
        <v>371</v>
      </c>
      <c r="B374" t="str">
        <f>_xlfn.XLOOKUP(A374,Лист8!C:C,Лист8!C:C,"-",0)</f>
        <v>-</v>
      </c>
      <c r="C374" t="str">
        <f t="shared" si="12"/>
        <v>-</v>
      </c>
      <c r="D374" t="str">
        <f t="shared" si="11"/>
        <v>-</v>
      </c>
    </row>
    <row r="375" spans="1:4" x14ac:dyDescent="0.25">
      <c r="A375" t="s">
        <v>165</v>
      </c>
      <c r="B375" t="str">
        <f>_xlfn.XLOOKUP(A375,Лист8!C:C,Лист8!C:C,"-",0)</f>
        <v>-</v>
      </c>
      <c r="C375" t="str">
        <f t="shared" si="12"/>
        <v>S, M, L, XL, XXL</v>
      </c>
      <c r="D375" t="str">
        <f t="shared" si="11"/>
        <v>-</v>
      </c>
    </row>
    <row r="376" spans="1:4" x14ac:dyDescent="0.25">
      <c r="A376" t="s">
        <v>203</v>
      </c>
      <c r="B376" t="str">
        <f>_xlfn.XLOOKUP(A376,Лист8!C:C,Лист8!C:C,"-",0)</f>
        <v>-</v>
      </c>
      <c r="C376" t="str">
        <f t="shared" si="12"/>
        <v>-</v>
      </c>
      <c r="D376" t="str">
        <f t="shared" si="11"/>
        <v>Black Caramel Gun Metal Satin Brass Soft Khaki</v>
      </c>
    </row>
    <row r="377" spans="1:4" x14ac:dyDescent="0.25">
      <c r="A377">
        <v>30</v>
      </c>
      <c r="B377" t="str">
        <f>_xlfn.XLOOKUP(A377,Лист8!C:C,Лист8!C:C,"-",0)</f>
        <v>-</v>
      </c>
      <c r="C377" t="str">
        <f t="shared" si="12"/>
        <v>-</v>
      </c>
      <c r="D377" t="str">
        <f t="shared" si="11"/>
        <v>-</v>
      </c>
    </row>
    <row r="378" spans="1:4" x14ac:dyDescent="0.25">
      <c r="A378" t="s">
        <v>199</v>
      </c>
      <c r="B378" t="str">
        <f>_xlfn.XLOOKUP(A378,Лист8!C:C,Лист8!C:C,"-",0)</f>
        <v>7005 CURTIS</v>
      </c>
      <c r="C378" t="str">
        <f t="shared" si="12"/>
        <v>-</v>
      </c>
      <c r="D378" t="str">
        <f t="shared" si="11"/>
        <v>-</v>
      </c>
    </row>
    <row r="379" spans="1:4" x14ac:dyDescent="0.25">
      <c r="A379" t="s">
        <v>385</v>
      </c>
      <c r="B379" t="str">
        <f>_xlfn.XLOOKUP(A379,Лист8!C:C,Лист8!C:C,"-",0)</f>
        <v>-</v>
      </c>
      <c r="C379" t="str">
        <f t="shared" si="12"/>
        <v>-</v>
      </c>
      <c r="D379" t="str">
        <f t="shared" si="11"/>
        <v>-</v>
      </c>
    </row>
    <row r="380" spans="1:4" x14ac:dyDescent="0.25">
      <c r="A380" t="s">
        <v>386</v>
      </c>
      <c r="B380" t="str">
        <f>_xlfn.XLOOKUP(A380,Лист8!C:C,Лист8!C:C,"-",0)</f>
        <v>-</v>
      </c>
      <c r="C380" t="str">
        <f t="shared" si="12"/>
        <v>-</v>
      </c>
      <c r="D380" t="str">
        <f t="shared" si="11"/>
        <v>-</v>
      </c>
    </row>
    <row r="381" spans="1:4" x14ac:dyDescent="0.25">
      <c r="A381" t="s">
        <v>189</v>
      </c>
      <c r="B381" t="str">
        <f>_xlfn.XLOOKUP(A381,Лист8!C:C,Лист8!C:C,"-",0)</f>
        <v>-</v>
      </c>
      <c r="C381" t="str">
        <f t="shared" si="12"/>
        <v>-</v>
      </c>
      <c r="D381" t="str">
        <f t="shared" si="11"/>
        <v>-</v>
      </c>
    </row>
    <row r="382" spans="1:4" x14ac:dyDescent="0.25">
      <c r="A382" t="s">
        <v>100</v>
      </c>
      <c r="B382" t="str">
        <f>_xlfn.XLOOKUP(A382,Лист8!C:C,Лист8!C:C,"-",0)</f>
        <v>-</v>
      </c>
      <c r="C382" t="str">
        <f t="shared" si="12"/>
        <v>-</v>
      </c>
      <c r="D382" t="str">
        <f t="shared" si="11"/>
        <v>-</v>
      </c>
    </row>
    <row r="383" spans="1:4" x14ac:dyDescent="0.25">
      <c r="A383" t="s">
        <v>371</v>
      </c>
      <c r="B383" t="str">
        <f>_xlfn.XLOOKUP(A383,Лист8!C:C,Лист8!C:C,"-",0)</f>
        <v>-</v>
      </c>
      <c r="C383" t="str">
        <f t="shared" si="12"/>
        <v>-</v>
      </c>
      <c r="D383" t="str">
        <f t="shared" si="11"/>
        <v>-</v>
      </c>
    </row>
    <row r="384" spans="1:4" x14ac:dyDescent="0.25">
      <c r="A384" t="s">
        <v>165</v>
      </c>
      <c r="B384" t="str">
        <f>_xlfn.XLOOKUP(A384,Лист8!C:C,Лист8!C:C,"-",0)</f>
        <v>-</v>
      </c>
      <c r="C384" t="str">
        <f t="shared" si="12"/>
        <v>S, M, L, XL, XXL</v>
      </c>
      <c r="D384" t="str">
        <f t="shared" si="11"/>
        <v>-</v>
      </c>
    </row>
    <row r="385" spans="1:4" x14ac:dyDescent="0.25">
      <c r="A385" t="s">
        <v>201</v>
      </c>
      <c r="B385" t="str">
        <f>_xlfn.XLOOKUP(A385,Лист8!C:C,Лист8!C:C,"-",0)</f>
        <v>-</v>
      </c>
      <c r="C385" t="str">
        <f t="shared" si="12"/>
        <v>-</v>
      </c>
      <c r="D385" t="str">
        <f t="shared" ref="D385:D448" si="13">IF(C384&lt;&gt;"-",A385,"-")</f>
        <v>Sea Breeze Serpent Speckled Egg Mix Uniform Green Vintage Blue</v>
      </c>
    </row>
    <row r="386" spans="1:4" x14ac:dyDescent="0.25">
      <c r="A386" t="s">
        <v>200</v>
      </c>
      <c r="B386" t="str">
        <f>_xlfn.XLOOKUP(A386,Лист8!C:C,Лист8!C:C,"-",0)</f>
        <v>-</v>
      </c>
      <c r="C386" t="str">
        <f t="shared" ref="C386:C449" si="14">IF(IFERROR(FIND(",",A386)&gt;1,FALSE),A386,"-")</f>
        <v>-</v>
      </c>
      <c r="D386" t="str">
        <f t="shared" si="13"/>
        <v>-</v>
      </c>
    </row>
    <row r="387" spans="1:4" x14ac:dyDescent="0.25">
      <c r="A387" t="s">
        <v>212</v>
      </c>
      <c r="B387" t="str">
        <f>_xlfn.XLOOKUP(A387,Лист8!C:C,Лист8!C:C,"-",0)</f>
        <v>70652BH MARACK</v>
      </c>
      <c r="C387" t="str">
        <f t="shared" si="14"/>
        <v>-</v>
      </c>
      <c r="D387" t="str">
        <f t="shared" si="13"/>
        <v>-</v>
      </c>
    </row>
    <row r="388" spans="1:4" x14ac:dyDescent="0.25">
      <c r="A388" t="s">
        <v>125</v>
      </c>
      <c r="B388" t="str">
        <f>_xlfn.XLOOKUP(A388,Лист8!C:C,Лист8!C:C,"-",0)</f>
        <v>-</v>
      </c>
      <c r="C388" t="str">
        <f t="shared" si="14"/>
        <v>-</v>
      </c>
      <c r="D388" t="str">
        <f t="shared" si="13"/>
        <v>-</v>
      </c>
    </row>
    <row r="389" spans="1:4" x14ac:dyDescent="0.25">
      <c r="A389" t="s">
        <v>329</v>
      </c>
      <c r="B389" t="str">
        <f>_xlfn.XLOOKUP(A389,Лист8!C:C,Лист8!C:C,"-",0)</f>
        <v>-</v>
      </c>
      <c r="C389" t="str">
        <f t="shared" si="14"/>
        <v>-</v>
      </c>
      <c r="D389" t="str">
        <f t="shared" si="13"/>
        <v>-</v>
      </c>
    </row>
    <row r="390" spans="1:4" x14ac:dyDescent="0.25">
      <c r="A390" t="s">
        <v>189</v>
      </c>
      <c r="B390" t="str">
        <f>_xlfn.XLOOKUP(A390,Лист8!C:C,Лист8!C:C,"-",0)</f>
        <v>-</v>
      </c>
      <c r="C390" t="str">
        <f t="shared" si="14"/>
        <v>-</v>
      </c>
      <c r="D390" t="str">
        <f t="shared" si="13"/>
        <v>-</v>
      </c>
    </row>
    <row r="391" spans="1:4" x14ac:dyDescent="0.25">
      <c r="A391" t="s">
        <v>387</v>
      </c>
      <c r="B391" t="str">
        <f>_xlfn.XLOOKUP(A391,Лист8!C:C,Лист8!C:C,"-",0)</f>
        <v>-</v>
      </c>
      <c r="C391" t="str">
        <f t="shared" si="14"/>
        <v>-</v>
      </c>
      <c r="D391" t="str">
        <f t="shared" si="13"/>
        <v>-</v>
      </c>
    </row>
    <row r="392" spans="1:4" x14ac:dyDescent="0.25">
      <c r="A392" t="s">
        <v>122</v>
      </c>
      <c r="B392" t="str">
        <f>_xlfn.XLOOKUP(A392,Лист8!C:C,Лист8!C:C,"-",0)</f>
        <v>-</v>
      </c>
      <c r="C392" t="str">
        <f t="shared" si="14"/>
        <v>-</v>
      </c>
      <c r="D392" t="str">
        <f t="shared" si="13"/>
        <v>-</v>
      </c>
    </row>
    <row r="393" spans="1:4" x14ac:dyDescent="0.25">
      <c r="A393" t="s">
        <v>371</v>
      </c>
      <c r="B393" t="str">
        <f>_xlfn.XLOOKUP(A393,Лист8!C:C,Лист8!C:C,"-",0)</f>
        <v>-</v>
      </c>
      <c r="C393" t="str">
        <f t="shared" si="14"/>
        <v>-</v>
      </c>
      <c r="D393" t="str">
        <f t="shared" si="13"/>
        <v>-</v>
      </c>
    </row>
    <row r="394" spans="1:4" x14ac:dyDescent="0.25">
      <c r="A394" t="s">
        <v>92</v>
      </c>
      <c r="B394" t="str">
        <f>_xlfn.XLOOKUP(A394,Лист8!C:C,Лист8!C:C,"-",0)</f>
        <v>-</v>
      </c>
      <c r="C394" t="str">
        <f t="shared" si="14"/>
        <v>S, M, L, XL</v>
      </c>
      <c r="D394" t="str">
        <f t="shared" si="13"/>
        <v>-</v>
      </c>
    </row>
    <row r="395" spans="1:4" x14ac:dyDescent="0.25">
      <c r="A395" t="s">
        <v>213</v>
      </c>
      <c r="B395" t="str">
        <f>_xlfn.XLOOKUP(A395,Лист8!C:C,Лист8!C:C,"-",0)</f>
        <v>-</v>
      </c>
      <c r="C395" t="str">
        <f t="shared" si="14"/>
        <v>-</v>
      </c>
      <c r="D395" t="str">
        <f t="shared" si="13"/>
        <v>Black Oxford Mix</v>
      </c>
    </row>
    <row r="396" spans="1:4" x14ac:dyDescent="0.25">
      <c r="A396">
        <v>31</v>
      </c>
      <c r="B396" t="str">
        <f>_xlfn.XLOOKUP(A396,Лист8!C:C,Лист8!C:C,"-",0)</f>
        <v>-</v>
      </c>
      <c r="C396" t="str">
        <f t="shared" si="14"/>
        <v>-</v>
      </c>
      <c r="D396" t="str">
        <f t="shared" si="13"/>
        <v>-</v>
      </c>
    </row>
    <row r="397" spans="1:4" x14ac:dyDescent="0.25">
      <c r="A397" t="s">
        <v>210</v>
      </c>
      <c r="B397" t="str">
        <f>_xlfn.XLOOKUP(A397,Лист8!C:C,Лист8!C:C,"-",0)</f>
        <v>70646BH NELLES</v>
      </c>
      <c r="C397" t="str">
        <f t="shared" si="14"/>
        <v>-</v>
      </c>
      <c r="D397" t="str">
        <f t="shared" si="13"/>
        <v>-</v>
      </c>
    </row>
    <row r="398" spans="1:4" x14ac:dyDescent="0.25">
      <c r="A398" t="s">
        <v>388</v>
      </c>
      <c r="B398" t="str">
        <f>_xlfn.XLOOKUP(A398,Лист8!C:C,Лист8!C:C,"-",0)</f>
        <v>-</v>
      </c>
      <c r="C398" t="str">
        <f t="shared" si="14"/>
        <v>-</v>
      </c>
      <c r="D398" t="str">
        <f t="shared" si="13"/>
        <v>-</v>
      </c>
    </row>
    <row r="399" spans="1:4" x14ac:dyDescent="0.25">
      <c r="A399" t="s">
        <v>386</v>
      </c>
      <c r="B399" t="str">
        <f>_xlfn.XLOOKUP(A399,Лист8!C:C,Лист8!C:C,"-",0)</f>
        <v>-</v>
      </c>
      <c r="C399" t="str">
        <f t="shared" si="14"/>
        <v>-</v>
      </c>
      <c r="D399" t="str">
        <f t="shared" si="13"/>
        <v>-</v>
      </c>
    </row>
    <row r="400" spans="1:4" x14ac:dyDescent="0.25">
      <c r="A400" t="s">
        <v>189</v>
      </c>
      <c r="B400" t="str">
        <f>_xlfn.XLOOKUP(A400,Лист8!C:C,Лист8!C:C,"-",0)</f>
        <v>-</v>
      </c>
      <c r="C400" t="str">
        <f t="shared" si="14"/>
        <v>-</v>
      </c>
      <c r="D400" t="str">
        <f t="shared" si="13"/>
        <v>-</v>
      </c>
    </row>
    <row r="401" spans="1:4" x14ac:dyDescent="0.25">
      <c r="A401" t="s">
        <v>389</v>
      </c>
      <c r="B401" t="str">
        <f>_xlfn.XLOOKUP(A401,Лист8!C:C,Лист8!C:C,"-",0)</f>
        <v>-</v>
      </c>
      <c r="C401" t="str">
        <f t="shared" si="14"/>
        <v>-</v>
      </c>
      <c r="D401" t="str">
        <f t="shared" si="13"/>
        <v>-</v>
      </c>
    </row>
    <row r="402" spans="1:4" x14ac:dyDescent="0.25">
      <c r="A402" t="s">
        <v>390</v>
      </c>
      <c r="B402" t="str">
        <f>_xlfn.XLOOKUP(A402,Лист8!C:C,Лист8!C:C,"-",0)</f>
        <v>-</v>
      </c>
      <c r="C402" t="str">
        <f t="shared" si="14"/>
        <v>-</v>
      </c>
      <c r="D402" t="str">
        <f t="shared" si="13"/>
        <v>-</v>
      </c>
    </row>
    <row r="403" spans="1:4" x14ac:dyDescent="0.25">
      <c r="A403" t="s">
        <v>92</v>
      </c>
      <c r="B403" t="str">
        <f>_xlfn.XLOOKUP(A403,Лист8!C:C,Лист8!C:C,"-",0)</f>
        <v>-</v>
      </c>
      <c r="C403" t="str">
        <f t="shared" si="14"/>
        <v>S, M, L, XL</v>
      </c>
      <c r="D403" t="str">
        <f t="shared" si="13"/>
        <v>-</v>
      </c>
    </row>
    <row r="404" spans="1:4" x14ac:dyDescent="0.25">
      <c r="A404" t="s">
        <v>211</v>
      </c>
      <c r="B404" t="str">
        <f>_xlfn.XLOOKUP(A404,Лист8!C:C,Лист8!C:C,"-",0)</f>
        <v>-</v>
      </c>
      <c r="C404" t="str">
        <f t="shared" si="14"/>
        <v>-</v>
      </c>
      <c r="D404" t="str">
        <f t="shared" si="13"/>
        <v>Black Camel Pale Olive Whiskey</v>
      </c>
    </row>
    <row r="405" spans="1:4" x14ac:dyDescent="0.25">
      <c r="A405" t="s">
        <v>208</v>
      </c>
      <c r="B405" t="str">
        <f>_xlfn.XLOOKUP(A405,Лист8!C:C,Лист8!C:C,"-",0)</f>
        <v>70654BH TREPORT</v>
      </c>
      <c r="C405" t="str">
        <f t="shared" si="14"/>
        <v>-</v>
      </c>
      <c r="D405" t="str">
        <f t="shared" si="13"/>
        <v>-</v>
      </c>
    </row>
    <row r="406" spans="1:4" x14ac:dyDescent="0.25">
      <c r="A406" t="s">
        <v>328</v>
      </c>
      <c r="B406" t="str">
        <f>_xlfn.XLOOKUP(A406,Лист8!C:C,Лист8!C:C,"-",0)</f>
        <v>-</v>
      </c>
      <c r="C406" t="str">
        <f t="shared" si="14"/>
        <v>-</v>
      </c>
      <c r="D406" t="str">
        <f t="shared" si="13"/>
        <v>-</v>
      </c>
    </row>
    <row r="407" spans="1:4" x14ac:dyDescent="0.25">
      <c r="A407" t="s">
        <v>329</v>
      </c>
      <c r="B407" t="str">
        <f>_xlfn.XLOOKUP(A407,Лист8!C:C,Лист8!C:C,"-",0)</f>
        <v>-</v>
      </c>
      <c r="C407" t="str">
        <f t="shared" si="14"/>
        <v>-</v>
      </c>
      <c r="D407" t="str">
        <f t="shared" si="13"/>
        <v>-</v>
      </c>
    </row>
    <row r="408" spans="1:4" x14ac:dyDescent="0.25">
      <c r="A408" t="s">
        <v>189</v>
      </c>
      <c r="B408" t="str">
        <f>_xlfn.XLOOKUP(A408,Лист8!C:C,Лист8!C:C,"-",0)</f>
        <v>-</v>
      </c>
      <c r="C408" t="str">
        <f t="shared" si="14"/>
        <v>-</v>
      </c>
      <c r="D408" t="str">
        <f t="shared" si="13"/>
        <v>-</v>
      </c>
    </row>
    <row r="409" spans="1:4" x14ac:dyDescent="0.25">
      <c r="A409" t="s">
        <v>391</v>
      </c>
      <c r="B409" t="str">
        <f>_xlfn.XLOOKUP(A409,Лист8!C:C,Лист8!C:C,"-",0)</f>
        <v>-</v>
      </c>
      <c r="C409" t="str">
        <f t="shared" si="14"/>
        <v>-</v>
      </c>
      <c r="D409" t="str">
        <f t="shared" si="13"/>
        <v>-</v>
      </c>
    </row>
    <row r="410" spans="1:4" x14ac:dyDescent="0.25">
      <c r="A410" t="s">
        <v>371</v>
      </c>
      <c r="B410" t="str">
        <f>_xlfn.XLOOKUP(A410,Лист8!C:C,Лист8!C:C,"-",0)</f>
        <v>-</v>
      </c>
      <c r="C410" t="str">
        <f t="shared" si="14"/>
        <v>-</v>
      </c>
      <c r="D410" t="str">
        <f t="shared" si="13"/>
        <v>-</v>
      </c>
    </row>
    <row r="411" spans="1:4" x14ac:dyDescent="0.25">
      <c r="A411" t="s">
        <v>92</v>
      </c>
      <c r="B411" t="str">
        <f>_xlfn.XLOOKUP(A411,Лист8!C:C,Лист8!C:C,"-",0)</f>
        <v>-</v>
      </c>
      <c r="C411" t="str">
        <f t="shared" si="14"/>
        <v>S, M, L, XL</v>
      </c>
      <c r="D411" t="str">
        <f t="shared" si="13"/>
        <v>-</v>
      </c>
    </row>
    <row r="412" spans="1:4" x14ac:dyDescent="0.25">
      <c r="A412" t="s">
        <v>209</v>
      </c>
      <c r="B412" t="str">
        <f>_xlfn.XLOOKUP(A412,Лист8!C:C,Лист8!C:C,"-",0)</f>
        <v>-</v>
      </c>
      <c r="C412" t="str">
        <f t="shared" si="14"/>
        <v>-</v>
      </c>
      <c r="D412" t="str">
        <f t="shared" si="13"/>
        <v>Ink Blue Olive Mix Rust</v>
      </c>
    </row>
    <row r="413" spans="1:4" x14ac:dyDescent="0.25">
      <c r="A413" t="s">
        <v>206</v>
      </c>
      <c r="B413" t="str">
        <f>_xlfn.XLOOKUP(A413,Лист8!C:C,Лист8!C:C,"-",0)</f>
        <v>7002 FEDORA</v>
      </c>
      <c r="C413" t="str">
        <f t="shared" si="14"/>
        <v>-</v>
      </c>
      <c r="D413" t="str">
        <f t="shared" si="13"/>
        <v>-</v>
      </c>
    </row>
    <row r="414" spans="1:4" x14ac:dyDescent="0.25">
      <c r="A414" t="s">
        <v>328</v>
      </c>
      <c r="B414" t="str">
        <f>_xlfn.XLOOKUP(A414,Лист8!C:C,Лист8!C:C,"-",0)</f>
        <v>-</v>
      </c>
      <c r="C414" t="str">
        <f t="shared" si="14"/>
        <v>-</v>
      </c>
      <c r="D414" t="str">
        <f t="shared" si="13"/>
        <v>-</v>
      </c>
    </row>
    <row r="415" spans="1:4" x14ac:dyDescent="0.25">
      <c r="A415" t="s">
        <v>329</v>
      </c>
      <c r="B415" t="str">
        <f>_xlfn.XLOOKUP(A415,Лист8!C:C,Лист8!C:C,"-",0)</f>
        <v>-</v>
      </c>
      <c r="C415" t="str">
        <f t="shared" si="14"/>
        <v>-</v>
      </c>
      <c r="D415" t="str">
        <f t="shared" si="13"/>
        <v>-</v>
      </c>
    </row>
    <row r="416" spans="1:4" x14ac:dyDescent="0.25">
      <c r="A416" t="s">
        <v>189</v>
      </c>
      <c r="B416" t="str">
        <f>_xlfn.XLOOKUP(A416,Лист8!C:C,Лист8!C:C,"-",0)</f>
        <v>-</v>
      </c>
      <c r="C416" t="str">
        <f t="shared" si="14"/>
        <v>-</v>
      </c>
      <c r="D416" t="str">
        <f t="shared" si="13"/>
        <v>-</v>
      </c>
    </row>
    <row r="417" spans="1:4" x14ac:dyDescent="0.25">
      <c r="A417" t="s">
        <v>100</v>
      </c>
      <c r="B417" t="str">
        <f>_xlfn.XLOOKUP(A417,Лист8!C:C,Лист8!C:C,"-",0)</f>
        <v>-</v>
      </c>
      <c r="C417" t="str">
        <f t="shared" si="14"/>
        <v>-</v>
      </c>
      <c r="D417" t="str">
        <f t="shared" si="13"/>
        <v>-</v>
      </c>
    </row>
    <row r="418" spans="1:4" x14ac:dyDescent="0.25">
      <c r="A418" t="s">
        <v>122</v>
      </c>
      <c r="B418" t="str">
        <f>_xlfn.XLOOKUP(A418,Лист8!C:C,Лист8!C:C,"-",0)</f>
        <v>-</v>
      </c>
      <c r="C418" t="str">
        <f t="shared" si="14"/>
        <v>-</v>
      </c>
      <c r="D418" t="str">
        <f t="shared" si="13"/>
        <v>-</v>
      </c>
    </row>
    <row r="419" spans="1:4" x14ac:dyDescent="0.25">
      <c r="A419" t="s">
        <v>371</v>
      </c>
      <c r="B419" t="str">
        <f>_xlfn.XLOOKUP(A419,Лист8!C:C,Лист8!C:C,"-",0)</f>
        <v>-</v>
      </c>
      <c r="C419" t="str">
        <f t="shared" si="14"/>
        <v>-</v>
      </c>
      <c r="D419" t="str">
        <f t="shared" si="13"/>
        <v>-</v>
      </c>
    </row>
    <row r="420" spans="1:4" x14ac:dyDescent="0.25">
      <c r="A420" t="s">
        <v>92</v>
      </c>
      <c r="B420" t="str">
        <f>_xlfn.XLOOKUP(A420,Лист8!C:C,Лист8!C:C,"-",0)</f>
        <v>-</v>
      </c>
      <c r="C420" t="str">
        <f t="shared" si="14"/>
        <v>S, M, L, XL</v>
      </c>
      <c r="D420" t="str">
        <f t="shared" si="13"/>
        <v>-</v>
      </c>
    </row>
    <row r="421" spans="1:4" x14ac:dyDescent="0.25">
      <c r="A421" t="s">
        <v>207</v>
      </c>
      <c r="B421" t="str">
        <f>_xlfn.XLOOKUP(A421,Лист8!C:C,Лист8!C:C,"-",0)</f>
        <v>-</v>
      </c>
      <c r="C421" t="str">
        <f t="shared" si="14"/>
        <v>-</v>
      </c>
      <c r="D421" t="str">
        <f t="shared" si="13"/>
        <v>Black Graphite Nickel Red</v>
      </c>
    </row>
    <row r="422" spans="1:4" x14ac:dyDescent="0.25">
      <c r="A422" t="s">
        <v>197</v>
      </c>
      <c r="B422" t="str">
        <f>_xlfn.XLOOKUP(A422,Лист8!C:C,Лист8!C:C,"-",0)</f>
        <v>70613BH SPERLING</v>
      </c>
      <c r="C422" t="str">
        <f t="shared" si="14"/>
        <v>-</v>
      </c>
      <c r="D422" t="str">
        <f t="shared" si="13"/>
        <v>-</v>
      </c>
    </row>
    <row r="423" spans="1:4" x14ac:dyDescent="0.25">
      <c r="A423" t="s">
        <v>385</v>
      </c>
      <c r="B423" t="str">
        <f>_xlfn.XLOOKUP(A423,Лист8!C:C,Лист8!C:C,"-",0)</f>
        <v>-</v>
      </c>
      <c r="C423" t="str">
        <f t="shared" si="14"/>
        <v>-</v>
      </c>
      <c r="D423" t="str">
        <f t="shared" si="13"/>
        <v>-</v>
      </c>
    </row>
    <row r="424" spans="1:4" x14ac:dyDescent="0.25">
      <c r="A424" t="s">
        <v>386</v>
      </c>
      <c r="B424" t="str">
        <f>_xlfn.XLOOKUP(A424,Лист8!C:C,Лист8!C:C,"-",0)</f>
        <v>-</v>
      </c>
      <c r="C424" t="str">
        <f t="shared" si="14"/>
        <v>-</v>
      </c>
      <c r="D424" t="str">
        <f t="shared" si="13"/>
        <v>-</v>
      </c>
    </row>
    <row r="425" spans="1:4" x14ac:dyDescent="0.25">
      <c r="A425" t="s">
        <v>189</v>
      </c>
      <c r="B425" t="str">
        <f>_xlfn.XLOOKUP(A425,Лист8!C:C,Лист8!C:C,"-",0)</f>
        <v>-</v>
      </c>
      <c r="C425" t="str">
        <f t="shared" si="14"/>
        <v>-</v>
      </c>
      <c r="D425" t="str">
        <f t="shared" si="13"/>
        <v>-</v>
      </c>
    </row>
    <row r="426" spans="1:4" x14ac:dyDescent="0.25">
      <c r="A426" t="s">
        <v>366</v>
      </c>
      <c r="B426" t="str">
        <f>_xlfn.XLOOKUP(A426,Лист8!C:C,Лист8!C:C,"-",0)</f>
        <v>-</v>
      </c>
      <c r="C426" t="str">
        <f t="shared" si="14"/>
        <v>-</v>
      </c>
      <c r="D426" t="str">
        <f t="shared" si="13"/>
        <v>-</v>
      </c>
    </row>
    <row r="427" spans="1:4" x14ac:dyDescent="0.25">
      <c r="A427" t="s">
        <v>390</v>
      </c>
      <c r="B427" t="str">
        <f>_xlfn.XLOOKUP(A427,Лист8!C:C,Лист8!C:C,"-",0)</f>
        <v>-</v>
      </c>
      <c r="C427" t="str">
        <f t="shared" si="14"/>
        <v>-</v>
      </c>
      <c r="D427" t="str">
        <f t="shared" si="13"/>
        <v>-</v>
      </c>
    </row>
    <row r="428" spans="1:4" x14ac:dyDescent="0.25">
      <c r="A428" t="s">
        <v>92</v>
      </c>
      <c r="B428" t="str">
        <f>_xlfn.XLOOKUP(A428,Лист8!C:C,Лист8!C:C,"-",0)</f>
        <v>-</v>
      </c>
      <c r="C428" t="str">
        <f t="shared" si="14"/>
        <v>S, M, L, XL</v>
      </c>
      <c r="D428" t="str">
        <f t="shared" si="13"/>
        <v>-</v>
      </c>
    </row>
    <row r="429" spans="1:4" x14ac:dyDescent="0.25">
      <c r="A429" t="s">
        <v>198</v>
      </c>
      <c r="B429" t="str">
        <f>_xlfn.XLOOKUP(A429,Лист8!C:C,Лист8!C:C,"-",0)</f>
        <v>-</v>
      </c>
      <c r="C429" t="str">
        <f t="shared" si="14"/>
        <v>-</v>
      </c>
      <c r="D429" t="str">
        <f t="shared" si="13"/>
        <v>Bluestone Serpent Woodland Mix</v>
      </c>
    </row>
    <row r="430" spans="1:4" x14ac:dyDescent="0.25">
      <c r="A430" t="s">
        <v>204</v>
      </c>
      <c r="B430" t="str">
        <f>_xlfn.XLOOKUP(A430,Лист8!C:C,Лист8!C:C,"-",0)</f>
        <v>70653BH BURNELL</v>
      </c>
      <c r="C430" t="str">
        <f t="shared" si="14"/>
        <v>-</v>
      </c>
      <c r="D430" t="str">
        <f t="shared" si="13"/>
        <v>-</v>
      </c>
    </row>
    <row r="431" spans="1:4" x14ac:dyDescent="0.25">
      <c r="A431" t="s">
        <v>335</v>
      </c>
      <c r="B431" t="str">
        <f>_xlfn.XLOOKUP(A431,Лист8!C:C,Лист8!C:C,"-",0)</f>
        <v>-</v>
      </c>
      <c r="C431" t="str">
        <f t="shared" si="14"/>
        <v>-</v>
      </c>
      <c r="D431" t="str">
        <f t="shared" si="13"/>
        <v>-</v>
      </c>
    </row>
    <row r="432" spans="1:4" x14ac:dyDescent="0.25">
      <c r="A432" t="s">
        <v>113</v>
      </c>
      <c r="B432" t="str">
        <f>_xlfn.XLOOKUP(A432,Лист8!C:C,Лист8!C:C,"-",0)</f>
        <v>-</v>
      </c>
      <c r="C432" t="str">
        <f t="shared" si="14"/>
        <v>-</v>
      </c>
      <c r="D432" t="str">
        <f t="shared" si="13"/>
        <v>-</v>
      </c>
    </row>
    <row r="433" spans="1:4" x14ac:dyDescent="0.25">
      <c r="A433" t="s">
        <v>189</v>
      </c>
      <c r="B433" t="str">
        <f>_xlfn.XLOOKUP(A433,Лист8!C:C,Лист8!C:C,"-",0)</f>
        <v>-</v>
      </c>
      <c r="C433" t="str">
        <f t="shared" si="14"/>
        <v>-</v>
      </c>
      <c r="D433" t="str">
        <f t="shared" si="13"/>
        <v>-</v>
      </c>
    </row>
    <row r="434" spans="1:4" x14ac:dyDescent="0.25">
      <c r="A434" t="s">
        <v>392</v>
      </c>
      <c r="B434" t="str">
        <f>_xlfn.XLOOKUP(A434,Лист8!C:C,Лист8!C:C,"-",0)</f>
        <v>-</v>
      </c>
      <c r="C434" t="str">
        <f t="shared" si="14"/>
        <v>-</v>
      </c>
      <c r="D434" t="str">
        <f t="shared" si="13"/>
        <v>-</v>
      </c>
    </row>
    <row r="435" spans="1:4" x14ac:dyDescent="0.25">
      <c r="A435" t="s">
        <v>99</v>
      </c>
      <c r="B435" t="str">
        <f>_xlfn.XLOOKUP(A435,Лист8!C:C,Лист8!C:C,"-",0)</f>
        <v>-</v>
      </c>
      <c r="C435" t="str">
        <f t="shared" si="14"/>
        <v>-</v>
      </c>
      <c r="D435" t="str">
        <f t="shared" si="13"/>
        <v>-</v>
      </c>
    </row>
    <row r="436" spans="1:4" x14ac:dyDescent="0.25">
      <c r="A436" t="s">
        <v>393</v>
      </c>
      <c r="B436" t="str">
        <f>_xlfn.XLOOKUP(A436,Лист8!C:C,Лист8!C:C,"-",0)</f>
        <v>-</v>
      </c>
      <c r="C436" t="str">
        <f t="shared" si="14"/>
        <v>-</v>
      </c>
      <c r="D436" t="str">
        <f t="shared" si="13"/>
        <v>-</v>
      </c>
    </row>
    <row r="437" spans="1:4" x14ac:dyDescent="0.25">
      <c r="A437" t="s">
        <v>371</v>
      </c>
      <c r="B437" t="str">
        <f>_xlfn.XLOOKUP(A437,Лист8!C:C,Лист8!C:C,"-",0)</f>
        <v>-</v>
      </c>
      <c r="C437" t="str">
        <f t="shared" si="14"/>
        <v>-</v>
      </c>
      <c r="D437" t="str">
        <f t="shared" si="13"/>
        <v>-</v>
      </c>
    </row>
    <row r="438" spans="1:4" x14ac:dyDescent="0.25">
      <c r="A438" t="s">
        <v>92</v>
      </c>
      <c r="B438" t="str">
        <f>_xlfn.XLOOKUP(A438,Лист8!C:C,Лист8!C:C,"-",0)</f>
        <v>-</v>
      </c>
      <c r="C438" t="str">
        <f t="shared" si="14"/>
        <v>S, M, L, XL</v>
      </c>
      <c r="D438" t="str">
        <f t="shared" si="13"/>
        <v>-</v>
      </c>
    </row>
    <row r="439" spans="1:4" x14ac:dyDescent="0.25">
      <c r="A439" t="s">
        <v>205</v>
      </c>
      <c r="B439" t="str">
        <f>_xlfn.XLOOKUP(A439,Лист8!C:C,Лист8!C:C,"-",0)</f>
        <v>-</v>
      </c>
      <c r="C439" t="str">
        <f t="shared" si="14"/>
        <v>-</v>
      </c>
      <c r="D439" t="str">
        <f t="shared" si="13"/>
        <v>Natural Mix Ochre</v>
      </c>
    </row>
    <row r="440" spans="1:4" x14ac:dyDescent="0.25">
      <c r="A440">
        <v>33</v>
      </c>
      <c r="B440" t="str">
        <f>_xlfn.XLOOKUP(A440,Лист8!C:C,Лист8!C:C,"-",0)</f>
        <v>-</v>
      </c>
      <c r="C440" t="str">
        <f t="shared" si="14"/>
        <v>-</v>
      </c>
      <c r="D440" t="str">
        <f t="shared" si="13"/>
        <v>-</v>
      </c>
    </row>
    <row r="441" spans="1:4" x14ac:dyDescent="0.25">
      <c r="A441" t="s">
        <v>214</v>
      </c>
      <c r="B441" t="str">
        <f>_xlfn.XLOOKUP(A441,Лист8!C:C,Лист8!C:C,"-",0)</f>
        <v>7016 WYNN</v>
      </c>
      <c r="C441" t="str">
        <f t="shared" si="14"/>
        <v>-</v>
      </c>
      <c r="D441" t="str">
        <f t="shared" si="13"/>
        <v>-</v>
      </c>
    </row>
    <row r="442" spans="1:4" x14ac:dyDescent="0.25">
      <c r="A442" t="s">
        <v>193</v>
      </c>
      <c r="B442" t="str">
        <f>_xlfn.XLOOKUP(A442,Лист8!C:C,Лист8!C:C,"-",0)</f>
        <v>-</v>
      </c>
      <c r="C442" t="str">
        <f t="shared" si="14"/>
        <v>-</v>
      </c>
      <c r="D442" t="str">
        <f t="shared" si="13"/>
        <v>-</v>
      </c>
    </row>
    <row r="443" spans="1:4" x14ac:dyDescent="0.25">
      <c r="A443" t="s">
        <v>394</v>
      </c>
      <c r="B443" t="str">
        <f>_xlfn.XLOOKUP(A443,Лист8!C:C,Лист8!C:C,"-",0)</f>
        <v>-</v>
      </c>
      <c r="C443" t="str">
        <f t="shared" si="14"/>
        <v>-</v>
      </c>
      <c r="D443" t="str">
        <f t="shared" si="13"/>
        <v>-</v>
      </c>
    </row>
    <row r="444" spans="1:4" x14ac:dyDescent="0.25">
      <c r="A444" t="s">
        <v>189</v>
      </c>
      <c r="B444" t="str">
        <f>_xlfn.XLOOKUP(A444,Лист8!C:C,Лист8!C:C,"-",0)</f>
        <v>-</v>
      </c>
      <c r="C444" t="str">
        <f t="shared" si="14"/>
        <v>-</v>
      </c>
      <c r="D444" t="str">
        <f t="shared" si="13"/>
        <v>-</v>
      </c>
    </row>
    <row r="445" spans="1:4" x14ac:dyDescent="0.25">
      <c r="A445" t="s">
        <v>100</v>
      </c>
      <c r="B445" t="str">
        <f>_xlfn.XLOOKUP(A445,Лист8!C:C,Лист8!C:C,"-",0)</f>
        <v>-</v>
      </c>
      <c r="C445" t="str">
        <f t="shared" si="14"/>
        <v>-</v>
      </c>
      <c r="D445" t="str">
        <f t="shared" si="13"/>
        <v>-</v>
      </c>
    </row>
    <row r="446" spans="1:4" x14ac:dyDescent="0.25">
      <c r="A446" t="s">
        <v>371</v>
      </c>
      <c r="B446" t="str">
        <f>_xlfn.XLOOKUP(A446,Лист8!C:C,Лист8!C:C,"-",0)</f>
        <v>-</v>
      </c>
      <c r="C446" t="str">
        <f t="shared" si="14"/>
        <v>-</v>
      </c>
      <c r="D446" t="str">
        <f t="shared" si="13"/>
        <v>-</v>
      </c>
    </row>
    <row r="447" spans="1:4" x14ac:dyDescent="0.25">
      <c r="A447" t="s">
        <v>92</v>
      </c>
      <c r="B447" t="str">
        <f>_xlfn.XLOOKUP(A447,Лист8!C:C,Лист8!C:C,"-",0)</f>
        <v>-</v>
      </c>
      <c r="C447" t="str">
        <f t="shared" si="14"/>
        <v>S, M, L, XL</v>
      </c>
      <c r="D447" t="str">
        <f t="shared" si="13"/>
        <v>-</v>
      </c>
    </row>
    <row r="448" spans="1:4" x14ac:dyDescent="0.25">
      <c r="A448" t="s">
        <v>216</v>
      </c>
      <c r="B448" t="str">
        <f>_xlfn.XLOOKUP(A448,Лист8!C:C,Лист8!C:C,"-",0)</f>
        <v>-</v>
      </c>
      <c r="C448" t="str">
        <f t="shared" si="14"/>
        <v>-</v>
      </c>
      <c r="D448" t="str">
        <f t="shared" si="13"/>
        <v>Oxblood Pewter Serpent Silverbelly</v>
      </c>
    </row>
    <row r="449" spans="1:4" x14ac:dyDescent="0.25">
      <c r="A449" t="s">
        <v>215</v>
      </c>
      <c r="B449" t="str">
        <f>_xlfn.XLOOKUP(A449,Лист8!C:C,Лист8!C:C,"-",0)</f>
        <v>-</v>
      </c>
      <c r="C449" t="str">
        <f t="shared" si="14"/>
        <v>-</v>
      </c>
      <c r="D449" t="str">
        <f t="shared" ref="D449:D512" si="15">IF(C448&lt;&gt;"-",A449,"-")</f>
        <v>-</v>
      </c>
    </row>
    <row r="450" spans="1:4" x14ac:dyDescent="0.25">
      <c r="A450" t="s">
        <v>217</v>
      </c>
      <c r="B450" t="str">
        <f>_xlfn.XLOOKUP(A450,Лист8!C:C,Лист8!C:C,"-",0)</f>
        <v>7055 ATMORE</v>
      </c>
      <c r="C450" t="str">
        <f t="shared" ref="C450:C513" si="16">IF(IFERROR(FIND(",",A450)&gt;1,FALSE),A450,"-")</f>
        <v>-</v>
      </c>
      <c r="D450" t="str">
        <f t="shared" si="15"/>
        <v>-</v>
      </c>
    </row>
    <row r="451" spans="1:4" x14ac:dyDescent="0.25">
      <c r="A451" t="s">
        <v>125</v>
      </c>
      <c r="B451" t="str">
        <f>_xlfn.XLOOKUP(A451,Лист8!C:C,Лист8!C:C,"-",0)</f>
        <v>-</v>
      </c>
      <c r="C451" t="str">
        <f t="shared" si="16"/>
        <v>-</v>
      </c>
      <c r="D451" t="str">
        <f t="shared" si="15"/>
        <v>-</v>
      </c>
    </row>
    <row r="452" spans="1:4" x14ac:dyDescent="0.25">
      <c r="A452" t="s">
        <v>395</v>
      </c>
      <c r="B452" t="str">
        <f>_xlfn.XLOOKUP(A452,Лист8!C:C,Лист8!C:C,"-",0)</f>
        <v>-</v>
      </c>
      <c r="C452" t="str">
        <f t="shared" si="16"/>
        <v>-</v>
      </c>
      <c r="D452" t="str">
        <f t="shared" si="15"/>
        <v>-</v>
      </c>
    </row>
    <row r="453" spans="1:4" x14ac:dyDescent="0.25">
      <c r="A453" t="s">
        <v>396</v>
      </c>
      <c r="B453" t="str">
        <f>_xlfn.XLOOKUP(A453,Лист8!C:C,Лист8!C:C,"-",0)</f>
        <v>-</v>
      </c>
      <c r="C453" t="str">
        <f t="shared" si="16"/>
        <v>-</v>
      </c>
      <c r="D453" t="str">
        <f t="shared" si="15"/>
        <v>-</v>
      </c>
    </row>
    <row r="454" spans="1:4" x14ac:dyDescent="0.25">
      <c r="A454" t="s">
        <v>114</v>
      </c>
      <c r="B454" t="str">
        <f>_xlfn.XLOOKUP(A454,Лист8!C:C,Лист8!C:C,"-",0)</f>
        <v>-</v>
      </c>
      <c r="C454" t="str">
        <f t="shared" si="16"/>
        <v>-</v>
      </c>
      <c r="D454" t="str">
        <f t="shared" si="15"/>
        <v>-</v>
      </c>
    </row>
    <row r="455" spans="1:4" x14ac:dyDescent="0.25">
      <c r="A455" t="s">
        <v>371</v>
      </c>
      <c r="B455" t="str">
        <f>_xlfn.XLOOKUP(A455,Лист8!C:C,Лист8!C:C,"-",0)</f>
        <v>-</v>
      </c>
      <c r="C455" t="str">
        <f t="shared" si="16"/>
        <v>-</v>
      </c>
      <c r="D455" t="str">
        <f t="shared" si="15"/>
        <v>-</v>
      </c>
    </row>
    <row r="456" spans="1:4" x14ac:dyDescent="0.25">
      <c r="A456" t="s">
        <v>92</v>
      </c>
      <c r="B456" t="str">
        <f>_xlfn.XLOOKUP(A456,Лист8!C:C,Лист8!C:C,"-",0)</f>
        <v>-</v>
      </c>
      <c r="C456" t="str">
        <f t="shared" si="16"/>
        <v>S, M, L, XL</v>
      </c>
      <c r="D456" t="str">
        <f t="shared" si="15"/>
        <v>-</v>
      </c>
    </row>
    <row r="457" spans="1:4" x14ac:dyDescent="0.25">
      <c r="A457" t="s">
        <v>218</v>
      </c>
      <c r="B457" t="str">
        <f>_xlfn.XLOOKUP(A457,Лист8!C:C,Лист8!C:C,"-",0)</f>
        <v>-</v>
      </c>
      <c r="C457" t="str">
        <f t="shared" si="16"/>
        <v>-</v>
      </c>
      <c r="D457" t="str">
        <f t="shared" si="15"/>
        <v>Medium Brown Mix</v>
      </c>
    </row>
    <row r="458" spans="1:4" x14ac:dyDescent="0.25">
      <c r="A458" t="s">
        <v>219</v>
      </c>
      <c r="B458" t="str">
        <f>_xlfn.XLOOKUP(A458,Лист8!C:C,Лист8!C:C,"-",0)</f>
        <v>7001 TINO</v>
      </c>
      <c r="C458" t="str">
        <f t="shared" si="16"/>
        <v>-</v>
      </c>
      <c r="D458" t="str">
        <f t="shared" si="15"/>
        <v>-</v>
      </c>
    </row>
    <row r="459" spans="1:4" x14ac:dyDescent="0.25">
      <c r="A459" t="s">
        <v>335</v>
      </c>
      <c r="B459" t="str">
        <f>_xlfn.XLOOKUP(A459,Лист8!C:C,Лист8!C:C,"-",0)</f>
        <v>-</v>
      </c>
      <c r="C459" t="str">
        <f t="shared" si="16"/>
        <v>-</v>
      </c>
      <c r="D459" t="str">
        <f t="shared" si="15"/>
        <v>-</v>
      </c>
    </row>
    <row r="460" spans="1:4" x14ac:dyDescent="0.25">
      <c r="A460" t="s">
        <v>336</v>
      </c>
      <c r="B460" t="str">
        <f>_xlfn.XLOOKUP(A460,Лист8!C:C,Лист8!C:C,"-",0)</f>
        <v>-</v>
      </c>
      <c r="C460" t="str">
        <f t="shared" si="16"/>
        <v>-</v>
      </c>
      <c r="D460" t="str">
        <f t="shared" si="15"/>
        <v>-</v>
      </c>
    </row>
    <row r="461" spans="1:4" x14ac:dyDescent="0.25">
      <c r="A461" t="s">
        <v>189</v>
      </c>
      <c r="B461" t="str">
        <f>_xlfn.XLOOKUP(A461,Лист8!C:C,Лист8!C:C,"-",0)</f>
        <v>-</v>
      </c>
      <c r="C461" t="str">
        <f t="shared" si="16"/>
        <v>-</v>
      </c>
      <c r="D461" t="str">
        <f t="shared" si="15"/>
        <v>-</v>
      </c>
    </row>
    <row r="462" spans="1:4" x14ac:dyDescent="0.25">
      <c r="A462" t="s">
        <v>100</v>
      </c>
      <c r="B462" t="str">
        <f>_xlfn.XLOOKUP(A462,Лист8!C:C,Лист8!C:C,"-",0)</f>
        <v>-</v>
      </c>
      <c r="C462" t="str">
        <f t="shared" si="16"/>
        <v>-</v>
      </c>
      <c r="D462" t="str">
        <f t="shared" si="15"/>
        <v>-</v>
      </c>
    </row>
    <row r="463" spans="1:4" x14ac:dyDescent="0.25">
      <c r="A463" t="s">
        <v>122</v>
      </c>
      <c r="B463" t="str">
        <f>_xlfn.XLOOKUP(A463,Лист8!C:C,Лист8!C:C,"-",0)</f>
        <v>-</v>
      </c>
      <c r="C463" t="str">
        <f t="shared" si="16"/>
        <v>-</v>
      </c>
      <c r="D463" t="str">
        <f t="shared" si="15"/>
        <v>-</v>
      </c>
    </row>
    <row r="464" spans="1:4" x14ac:dyDescent="0.25">
      <c r="A464" t="s">
        <v>371</v>
      </c>
      <c r="B464" t="str">
        <f>_xlfn.XLOOKUP(A464,Лист8!C:C,Лист8!C:C,"-",0)</f>
        <v>-</v>
      </c>
      <c r="C464" t="str">
        <f t="shared" si="16"/>
        <v>-</v>
      </c>
      <c r="D464" t="str">
        <f t="shared" si="15"/>
        <v>-</v>
      </c>
    </row>
    <row r="465" spans="1:4" x14ac:dyDescent="0.25">
      <c r="A465" t="s">
        <v>165</v>
      </c>
      <c r="B465" t="str">
        <f>_xlfn.XLOOKUP(A465,Лист8!C:C,Лист8!C:C,"-",0)</f>
        <v>-</v>
      </c>
      <c r="C465" t="str">
        <f t="shared" si="16"/>
        <v>S, M, L, XL, XXL</v>
      </c>
      <c r="D465" t="str">
        <f t="shared" si="15"/>
        <v>-</v>
      </c>
    </row>
    <row r="466" spans="1:4" x14ac:dyDescent="0.25">
      <c r="A466" t="s">
        <v>221</v>
      </c>
      <c r="B466" t="str">
        <f>_xlfn.XLOOKUP(A466,Лист8!C:C,Лист8!C:C,"-",0)</f>
        <v>-</v>
      </c>
      <c r="C466" t="str">
        <f t="shared" si="16"/>
        <v>-</v>
      </c>
      <c r="D466" t="str">
        <f t="shared" si="15"/>
        <v>Contrapposto Copper Natural Mix Navy Port</v>
      </c>
    </row>
    <row r="467" spans="1:4" x14ac:dyDescent="0.25">
      <c r="A467" t="s">
        <v>222</v>
      </c>
      <c r="B467" t="str">
        <f>_xlfn.XLOOKUP(A467,Лист8!C:C,Лист8!C:C,"-",0)</f>
        <v>-</v>
      </c>
      <c r="C467" t="str">
        <f t="shared" si="16"/>
        <v>-</v>
      </c>
      <c r="D467" t="str">
        <f t="shared" si="15"/>
        <v>-</v>
      </c>
    </row>
    <row r="468" spans="1:4" x14ac:dyDescent="0.25">
      <c r="A468" t="s">
        <v>220</v>
      </c>
      <c r="B468" t="str">
        <f>_xlfn.XLOOKUP(A468,Лист8!C:C,Лист8!C:C,"-",0)</f>
        <v>-</v>
      </c>
      <c r="C468" t="str">
        <f t="shared" si="16"/>
        <v>-</v>
      </c>
      <c r="D468" t="str">
        <f t="shared" si="15"/>
        <v>-</v>
      </c>
    </row>
    <row r="469" spans="1:4" x14ac:dyDescent="0.25">
      <c r="A469" t="s">
        <v>132</v>
      </c>
      <c r="B469" t="str">
        <f>_xlfn.XLOOKUP(A469,Лист8!C:C,Лист8!C:C,"-",0)</f>
        <v>-</v>
      </c>
      <c r="C469" t="str">
        <f t="shared" si="16"/>
        <v>-</v>
      </c>
      <c r="D469" t="str">
        <f t="shared" si="15"/>
        <v>-</v>
      </c>
    </row>
    <row r="470" spans="1:4" x14ac:dyDescent="0.25">
      <c r="A470" t="s">
        <v>397</v>
      </c>
      <c r="B470" t="str">
        <f>_xlfn.XLOOKUP(A470,Лист8!C:C,Лист8!C:C,"-",0)</f>
        <v>-</v>
      </c>
      <c r="C470" t="str">
        <f t="shared" si="16"/>
        <v>-</v>
      </c>
      <c r="D470" t="str">
        <f t="shared" si="15"/>
        <v>-</v>
      </c>
    </row>
    <row r="471" spans="1:4" x14ac:dyDescent="0.25">
      <c r="A471" t="s">
        <v>317</v>
      </c>
      <c r="B471" t="str">
        <f>_xlfn.XLOOKUP(A471,Лист8!C:C,Лист8!C:C,"-",0)</f>
        <v>38367BH NIALL</v>
      </c>
      <c r="C471" t="str">
        <f t="shared" si="16"/>
        <v>-</v>
      </c>
      <c r="D471" t="str">
        <f t="shared" si="15"/>
        <v>-</v>
      </c>
    </row>
    <row r="472" spans="1:4" x14ac:dyDescent="0.25">
      <c r="A472" t="s">
        <v>117</v>
      </c>
      <c r="B472" t="str">
        <f>_xlfn.XLOOKUP(A472,Лист8!C:C,Лист8!C:C,"-",0)</f>
        <v>-</v>
      </c>
      <c r="C472" t="str">
        <f t="shared" si="16"/>
        <v>-</v>
      </c>
      <c r="D472" t="str">
        <f t="shared" si="15"/>
        <v>-</v>
      </c>
    </row>
    <row r="473" spans="1:4" x14ac:dyDescent="0.25">
      <c r="A473" t="s">
        <v>398</v>
      </c>
      <c r="B473" t="str">
        <f>_xlfn.XLOOKUP(A473,Лист8!C:C,Лист8!C:C,"-",0)</f>
        <v>-</v>
      </c>
      <c r="C473" t="str">
        <f t="shared" si="16"/>
        <v>-</v>
      </c>
      <c r="D473" t="str">
        <f t="shared" si="15"/>
        <v>-</v>
      </c>
    </row>
    <row r="474" spans="1:4" x14ac:dyDescent="0.25">
      <c r="A474" t="s">
        <v>223</v>
      </c>
      <c r="B474" t="str">
        <f>_xlfn.XLOOKUP(A474,Лист8!C:C,Лист8!C:C,"-",0)</f>
        <v>-</v>
      </c>
      <c r="C474" t="str">
        <f t="shared" si="16"/>
        <v>-</v>
      </c>
      <c r="D474" t="str">
        <f t="shared" si="15"/>
        <v>-</v>
      </c>
    </row>
    <row r="475" spans="1:4" x14ac:dyDescent="0.25">
      <c r="A475" t="s">
        <v>399</v>
      </c>
      <c r="B475" t="str">
        <f>_xlfn.XLOOKUP(A475,Лист8!C:C,Лист8!C:C,"-",0)</f>
        <v>-</v>
      </c>
      <c r="C475" t="str">
        <f t="shared" si="16"/>
        <v>-</v>
      </c>
      <c r="D475" t="str">
        <f t="shared" si="15"/>
        <v>-</v>
      </c>
    </row>
    <row r="476" spans="1:4" x14ac:dyDescent="0.25">
      <c r="A476" t="s">
        <v>115</v>
      </c>
      <c r="B476" t="str">
        <f>_xlfn.XLOOKUP(A476,Лист8!C:C,Лист8!C:C,"-",0)</f>
        <v>-</v>
      </c>
      <c r="C476" t="str">
        <f t="shared" si="16"/>
        <v>-</v>
      </c>
      <c r="D476" t="str">
        <f t="shared" si="15"/>
        <v>-</v>
      </c>
    </row>
    <row r="477" spans="1:4" x14ac:dyDescent="0.25">
      <c r="A477" t="s">
        <v>92</v>
      </c>
      <c r="B477" t="str">
        <f>_xlfn.XLOOKUP(A477,Лист8!C:C,Лист8!C:C,"-",0)</f>
        <v>-</v>
      </c>
      <c r="C477" t="str">
        <f t="shared" si="16"/>
        <v>S, M, L, XL</v>
      </c>
      <c r="D477" t="str">
        <f t="shared" si="15"/>
        <v>-</v>
      </c>
    </row>
    <row r="478" spans="1:4" x14ac:dyDescent="0.25">
      <c r="A478" t="s">
        <v>224</v>
      </c>
      <c r="B478" t="str">
        <f>_xlfn.XLOOKUP(A478,Лист8!C:C,Лист8!C:C,"-",0)</f>
        <v>-</v>
      </c>
      <c r="C478" t="str">
        <f t="shared" si="16"/>
        <v>-</v>
      </c>
      <c r="D478" t="str">
        <f t="shared" si="15"/>
        <v>Black Cognac Fawn</v>
      </c>
    </row>
    <row r="479" spans="1:4" x14ac:dyDescent="0.25">
      <c r="A479" t="s">
        <v>225</v>
      </c>
      <c r="B479" t="str">
        <f>_xlfn.XLOOKUP(A479,Лист8!C:C,Лист8!C:C,"-",0)</f>
        <v>38359BH TROPE</v>
      </c>
      <c r="C479" t="str">
        <f t="shared" si="16"/>
        <v>-</v>
      </c>
      <c r="D479" t="str">
        <f t="shared" si="15"/>
        <v>-</v>
      </c>
    </row>
    <row r="480" spans="1:4" x14ac:dyDescent="0.25">
      <c r="A480" t="s">
        <v>335</v>
      </c>
      <c r="B480" t="str">
        <f>_xlfn.XLOOKUP(A480,Лист8!C:C,Лист8!C:C,"-",0)</f>
        <v>-</v>
      </c>
      <c r="C480" t="str">
        <f t="shared" si="16"/>
        <v>-</v>
      </c>
      <c r="D480" t="str">
        <f t="shared" si="15"/>
        <v>-</v>
      </c>
    </row>
    <row r="481" spans="1:4" x14ac:dyDescent="0.25">
      <c r="A481" t="s">
        <v>400</v>
      </c>
      <c r="B481" t="str">
        <f>_xlfn.XLOOKUP(A481,Лист8!C:C,Лист8!C:C,"-",0)</f>
        <v>-</v>
      </c>
      <c r="C481" t="str">
        <f t="shared" si="16"/>
        <v>-</v>
      </c>
      <c r="D481" t="str">
        <f t="shared" si="15"/>
        <v>-</v>
      </c>
    </row>
    <row r="482" spans="1:4" x14ac:dyDescent="0.25">
      <c r="A482" t="s">
        <v>223</v>
      </c>
      <c r="B482" t="str">
        <f>_xlfn.XLOOKUP(A482,Лист8!C:C,Лист8!C:C,"-",0)</f>
        <v>-</v>
      </c>
      <c r="C482" t="str">
        <f t="shared" si="16"/>
        <v>-</v>
      </c>
      <c r="D482" t="str">
        <f t="shared" si="15"/>
        <v>-</v>
      </c>
    </row>
    <row r="483" spans="1:4" x14ac:dyDescent="0.25">
      <c r="A483" t="s">
        <v>401</v>
      </c>
      <c r="B483" t="str">
        <f>_xlfn.XLOOKUP(A483,Лист8!C:C,Лист8!C:C,"-",0)</f>
        <v>-</v>
      </c>
      <c r="C483" t="str">
        <f t="shared" si="16"/>
        <v>-</v>
      </c>
      <c r="D483" t="str">
        <f t="shared" si="15"/>
        <v>-</v>
      </c>
    </row>
    <row r="484" spans="1:4" x14ac:dyDescent="0.25">
      <c r="A484" t="s">
        <v>402</v>
      </c>
      <c r="B484" t="str">
        <f>_xlfn.XLOOKUP(A484,Лист8!C:C,Лист8!C:C,"-",0)</f>
        <v>-</v>
      </c>
      <c r="C484" t="str">
        <f t="shared" si="16"/>
        <v>-</v>
      </c>
      <c r="D484" t="str">
        <f t="shared" si="15"/>
        <v>-</v>
      </c>
    </row>
    <row r="485" spans="1:4" x14ac:dyDescent="0.25">
      <c r="A485" t="s">
        <v>115</v>
      </c>
      <c r="B485" t="str">
        <f>_xlfn.XLOOKUP(A485,Лист8!C:C,Лист8!C:C,"-",0)</f>
        <v>-</v>
      </c>
      <c r="C485" t="str">
        <f t="shared" si="16"/>
        <v>-</v>
      </c>
      <c r="D485" t="str">
        <f t="shared" si="15"/>
        <v>-</v>
      </c>
    </row>
    <row r="486" spans="1:4" x14ac:dyDescent="0.25">
      <c r="A486" t="s">
        <v>92</v>
      </c>
      <c r="B486" t="str">
        <f>_xlfn.XLOOKUP(A486,Лист8!C:C,Лист8!C:C,"-",0)</f>
        <v>-</v>
      </c>
      <c r="C486" t="str">
        <f t="shared" si="16"/>
        <v>S, M, L, XL</v>
      </c>
      <c r="D486" t="str">
        <f t="shared" si="15"/>
        <v>-</v>
      </c>
    </row>
    <row r="487" spans="1:4" x14ac:dyDescent="0.25">
      <c r="A487" t="s">
        <v>226</v>
      </c>
      <c r="B487" t="str">
        <f>_xlfn.XLOOKUP(A487,Лист8!C:C,Лист8!C:C,"-",0)</f>
        <v>-</v>
      </c>
      <c r="C487" t="str">
        <f t="shared" si="16"/>
        <v>-</v>
      </c>
      <c r="D487" t="str">
        <f t="shared" si="15"/>
        <v>Black Uniform Green</v>
      </c>
    </row>
    <row r="488" spans="1:4" x14ac:dyDescent="0.25">
      <c r="A488" t="s">
        <v>227</v>
      </c>
      <c r="B488" t="str">
        <f>_xlfn.XLOOKUP(A488,Лист8!C:C,Лист8!C:C,"-",0)</f>
        <v>38368BH CYD</v>
      </c>
      <c r="C488" t="str">
        <f t="shared" si="16"/>
        <v>-</v>
      </c>
      <c r="D488" t="str">
        <f t="shared" si="15"/>
        <v>-</v>
      </c>
    </row>
    <row r="489" spans="1:4" x14ac:dyDescent="0.25">
      <c r="A489" t="s">
        <v>119</v>
      </c>
      <c r="B489" t="str">
        <f>_xlfn.XLOOKUP(A489,Лист8!C:C,Лист8!C:C,"-",0)</f>
        <v>-</v>
      </c>
      <c r="C489" t="str">
        <f t="shared" si="16"/>
        <v>-</v>
      </c>
      <c r="D489" t="str">
        <f t="shared" si="15"/>
        <v>-</v>
      </c>
    </row>
    <row r="490" spans="1:4" x14ac:dyDescent="0.25">
      <c r="A490" t="s">
        <v>126</v>
      </c>
      <c r="B490" t="str">
        <f>_xlfn.XLOOKUP(A490,Лист8!C:C,Лист8!C:C,"-",0)</f>
        <v>-</v>
      </c>
      <c r="C490" t="str">
        <f t="shared" si="16"/>
        <v>-</v>
      </c>
      <c r="D490" t="str">
        <f t="shared" si="15"/>
        <v>-</v>
      </c>
    </row>
    <row r="491" spans="1:4" x14ac:dyDescent="0.25">
      <c r="A491" t="s">
        <v>223</v>
      </c>
      <c r="B491" t="str">
        <f>_xlfn.XLOOKUP(A491,Лист8!C:C,Лист8!C:C,"-",0)</f>
        <v>-</v>
      </c>
      <c r="C491" t="str">
        <f t="shared" si="16"/>
        <v>-</v>
      </c>
      <c r="D491" t="str">
        <f t="shared" si="15"/>
        <v>-</v>
      </c>
    </row>
    <row r="492" spans="1:4" x14ac:dyDescent="0.25">
      <c r="A492" t="s">
        <v>100</v>
      </c>
      <c r="B492" t="str">
        <f>_xlfn.XLOOKUP(A492,Лист8!C:C,Лист8!C:C,"-",0)</f>
        <v>-</v>
      </c>
      <c r="C492" t="str">
        <f t="shared" si="16"/>
        <v>-</v>
      </c>
      <c r="D492" t="str">
        <f t="shared" si="15"/>
        <v>-</v>
      </c>
    </row>
    <row r="493" spans="1:4" x14ac:dyDescent="0.25">
      <c r="A493" t="s">
        <v>115</v>
      </c>
      <c r="B493" t="str">
        <f>_xlfn.XLOOKUP(A493,Лист8!C:C,Лист8!C:C,"-",0)</f>
        <v>-</v>
      </c>
      <c r="C493" t="str">
        <f t="shared" si="16"/>
        <v>-</v>
      </c>
      <c r="D493" t="str">
        <f t="shared" si="15"/>
        <v>-</v>
      </c>
    </row>
    <row r="494" spans="1:4" x14ac:dyDescent="0.25">
      <c r="A494" t="s">
        <v>92</v>
      </c>
      <c r="B494" t="str">
        <f>_xlfn.XLOOKUP(A494,Лист8!C:C,Лист8!C:C,"-",0)</f>
        <v>-</v>
      </c>
      <c r="C494" t="str">
        <f t="shared" si="16"/>
        <v>S, M, L, XL</v>
      </c>
      <c r="D494" t="str">
        <f t="shared" si="15"/>
        <v>-</v>
      </c>
    </row>
    <row r="495" spans="1:4" x14ac:dyDescent="0.25">
      <c r="A495" t="s">
        <v>228</v>
      </c>
      <c r="B495" t="str">
        <f>_xlfn.XLOOKUP(A495,Лист8!C:C,Лист8!C:C,"-",0)</f>
        <v>-</v>
      </c>
      <c r="C495" t="str">
        <f t="shared" si="16"/>
        <v>-</v>
      </c>
      <c r="D495" t="str">
        <f t="shared" si="15"/>
        <v>Avion Black Whiskey</v>
      </c>
    </row>
    <row r="496" spans="1:4" x14ac:dyDescent="0.25">
      <c r="A496" t="s">
        <v>229</v>
      </c>
      <c r="B496" t="str">
        <f>_xlfn.XLOOKUP(A496,Лист8!C:C,Лист8!C:C,"-",0)</f>
        <v>38366BH THALER</v>
      </c>
      <c r="C496" t="str">
        <f t="shared" si="16"/>
        <v>-</v>
      </c>
      <c r="D496" t="str">
        <f t="shared" si="15"/>
        <v>-</v>
      </c>
    </row>
    <row r="497" spans="1:4" x14ac:dyDescent="0.25">
      <c r="A497" t="s">
        <v>388</v>
      </c>
      <c r="B497" t="str">
        <f>_xlfn.XLOOKUP(A497,Лист8!C:C,Лист8!C:C,"-",0)</f>
        <v>-</v>
      </c>
      <c r="C497" t="str">
        <f t="shared" si="16"/>
        <v>-</v>
      </c>
      <c r="D497" t="str">
        <f t="shared" si="15"/>
        <v>-</v>
      </c>
    </row>
    <row r="498" spans="1:4" x14ac:dyDescent="0.25">
      <c r="A498" t="s">
        <v>126</v>
      </c>
      <c r="B498" t="str">
        <f>_xlfn.XLOOKUP(A498,Лист8!C:C,Лист8!C:C,"-",0)</f>
        <v>-</v>
      </c>
      <c r="C498" t="str">
        <f t="shared" si="16"/>
        <v>-</v>
      </c>
      <c r="D498" t="str">
        <f t="shared" si="15"/>
        <v>-</v>
      </c>
    </row>
    <row r="499" spans="1:4" x14ac:dyDescent="0.25">
      <c r="A499" t="s">
        <v>223</v>
      </c>
      <c r="B499" t="str">
        <f>_xlfn.XLOOKUP(A499,Лист8!C:C,Лист8!C:C,"-",0)</f>
        <v>-</v>
      </c>
      <c r="C499" t="str">
        <f t="shared" si="16"/>
        <v>-</v>
      </c>
      <c r="D499" t="str">
        <f t="shared" si="15"/>
        <v>-</v>
      </c>
    </row>
    <row r="500" spans="1:4" x14ac:dyDescent="0.25">
      <c r="A500" t="s">
        <v>403</v>
      </c>
      <c r="B500" t="str">
        <f>_xlfn.XLOOKUP(A500,Лист8!C:C,Лист8!C:C,"-",0)</f>
        <v>-</v>
      </c>
      <c r="C500" t="str">
        <f t="shared" si="16"/>
        <v>-</v>
      </c>
      <c r="D500" t="str">
        <f t="shared" si="15"/>
        <v>-</v>
      </c>
    </row>
    <row r="501" spans="1:4" x14ac:dyDescent="0.25">
      <c r="A501" t="s">
        <v>115</v>
      </c>
      <c r="B501" t="str">
        <f>_xlfn.XLOOKUP(A501,Лист8!C:C,Лист8!C:C,"-",0)</f>
        <v>-</v>
      </c>
      <c r="C501" t="str">
        <f t="shared" si="16"/>
        <v>-</v>
      </c>
      <c r="D501" t="str">
        <f t="shared" si="15"/>
        <v>-</v>
      </c>
    </row>
    <row r="502" spans="1:4" x14ac:dyDescent="0.25">
      <c r="A502" t="s">
        <v>92</v>
      </c>
      <c r="B502" t="str">
        <f>_xlfn.XLOOKUP(A502,Лист8!C:C,Лист8!C:C,"-",0)</f>
        <v>-</v>
      </c>
      <c r="C502" t="str">
        <f t="shared" si="16"/>
        <v>S, M, L, XL</v>
      </c>
      <c r="D502" t="str">
        <f t="shared" si="15"/>
        <v>-</v>
      </c>
    </row>
    <row r="503" spans="1:4" x14ac:dyDescent="0.25">
      <c r="A503" t="s">
        <v>230</v>
      </c>
      <c r="B503" t="str">
        <f>_xlfn.XLOOKUP(A503,Лист8!C:C,Лист8!C:C,"-",0)</f>
        <v>-</v>
      </c>
      <c r="C503" t="str">
        <f t="shared" si="16"/>
        <v>-</v>
      </c>
      <c r="D503" t="str">
        <f t="shared" si="15"/>
        <v>Black Nickel Uniform Green</v>
      </c>
    </row>
    <row r="504" spans="1:4" x14ac:dyDescent="0.25">
      <c r="A504">
        <v>36</v>
      </c>
      <c r="B504" t="str">
        <f>_xlfn.XLOOKUP(A504,Лист8!C:C,Лист8!C:C,"-",0)</f>
        <v>-</v>
      </c>
      <c r="C504" t="str">
        <f t="shared" si="16"/>
        <v>-</v>
      </c>
      <c r="D504" t="str">
        <f t="shared" si="15"/>
        <v>-</v>
      </c>
    </row>
    <row r="505" spans="1:4" x14ac:dyDescent="0.25">
      <c r="A505" t="s">
        <v>235</v>
      </c>
      <c r="B505" t="str">
        <f>_xlfn.XLOOKUP(A505,Лист8!C:C,Лист8!C:C,"-",0)</f>
        <v>3817 GODFATHER</v>
      </c>
      <c r="C505" t="str">
        <f t="shared" si="16"/>
        <v>-</v>
      </c>
      <c r="D505" t="str">
        <f t="shared" si="15"/>
        <v>-</v>
      </c>
    </row>
    <row r="506" spans="1:4" x14ac:dyDescent="0.25">
      <c r="A506" t="s">
        <v>236</v>
      </c>
      <c r="B506" t="str">
        <f>_xlfn.XLOOKUP(A506,Лист8!C:C,Лист8!C:C,"-",0)</f>
        <v>-</v>
      </c>
      <c r="C506" t="str">
        <f t="shared" si="16"/>
        <v>-</v>
      </c>
      <c r="D506" t="str">
        <f t="shared" si="15"/>
        <v>-</v>
      </c>
    </row>
    <row r="507" spans="1:4" x14ac:dyDescent="0.25">
      <c r="A507" t="s">
        <v>404</v>
      </c>
      <c r="B507" t="str">
        <f>_xlfn.XLOOKUP(A507,Лист8!C:C,Лист8!C:C,"-",0)</f>
        <v>-</v>
      </c>
      <c r="C507" t="str">
        <f t="shared" si="16"/>
        <v>-</v>
      </c>
      <c r="D507" t="str">
        <f t="shared" si="15"/>
        <v>-</v>
      </c>
    </row>
    <row r="508" spans="1:4" x14ac:dyDescent="0.25">
      <c r="A508" t="s">
        <v>223</v>
      </c>
      <c r="B508" t="str">
        <f>_xlfn.XLOOKUP(A508,Лист8!C:C,Лист8!C:C,"-",0)</f>
        <v>-</v>
      </c>
      <c r="C508" t="str">
        <f t="shared" si="16"/>
        <v>-</v>
      </c>
      <c r="D508" t="str">
        <f t="shared" si="15"/>
        <v>-</v>
      </c>
    </row>
    <row r="509" spans="1:4" x14ac:dyDescent="0.25">
      <c r="A509" t="s">
        <v>371</v>
      </c>
      <c r="B509" t="str">
        <f>_xlfn.XLOOKUP(A509,Лист8!C:C,Лист8!C:C,"-",0)</f>
        <v>-</v>
      </c>
      <c r="C509" t="str">
        <f t="shared" si="16"/>
        <v>-</v>
      </c>
      <c r="D509" t="str">
        <f t="shared" si="15"/>
        <v>-</v>
      </c>
    </row>
    <row r="510" spans="1:4" x14ac:dyDescent="0.25">
      <c r="A510" t="s">
        <v>122</v>
      </c>
      <c r="B510" t="str">
        <f>_xlfn.XLOOKUP(A510,Лист8!C:C,Лист8!C:C,"-",0)</f>
        <v>-</v>
      </c>
      <c r="C510" t="str">
        <f t="shared" si="16"/>
        <v>-</v>
      </c>
      <c r="D510" t="str">
        <f t="shared" si="15"/>
        <v>-</v>
      </c>
    </row>
    <row r="511" spans="1:4" x14ac:dyDescent="0.25">
      <c r="A511" t="s">
        <v>102</v>
      </c>
      <c r="B511" t="str">
        <f>_xlfn.XLOOKUP(A511,Лист8!C:C,Лист8!C:C,"-",0)</f>
        <v>-</v>
      </c>
      <c r="C511" t="str">
        <f t="shared" si="16"/>
        <v>-</v>
      </c>
      <c r="D511" t="str">
        <f t="shared" si="15"/>
        <v>-</v>
      </c>
    </row>
    <row r="512" spans="1:4" x14ac:dyDescent="0.25">
      <c r="A512" t="s">
        <v>165</v>
      </c>
      <c r="B512" t="str">
        <f>_xlfn.XLOOKUP(A512,Лист8!C:C,Лист8!C:C,"-",0)</f>
        <v>-</v>
      </c>
      <c r="C512" t="str">
        <f t="shared" si="16"/>
        <v>S, M, L, XL, XXL</v>
      </c>
      <c r="D512" t="str">
        <f t="shared" si="15"/>
        <v>-</v>
      </c>
    </row>
    <row r="513" spans="1:4" x14ac:dyDescent="0.25">
      <c r="A513" t="s">
        <v>131</v>
      </c>
      <c r="B513" t="str">
        <f>_xlfn.XLOOKUP(A513,Лист8!C:C,Лист8!C:C,"-",0)</f>
        <v>-</v>
      </c>
      <c r="C513" t="str">
        <f t="shared" si="16"/>
        <v>-</v>
      </c>
      <c r="D513" t="str">
        <f t="shared" ref="D513:D576" si="17">IF(C512&lt;&gt;"-",A513,"-")</f>
        <v>Black</v>
      </c>
    </row>
    <row r="514" spans="1:4" x14ac:dyDescent="0.25">
      <c r="A514" t="s">
        <v>232</v>
      </c>
      <c r="B514" t="str">
        <f>_xlfn.XLOOKUP(A514,Лист8!C:C,Лист8!C:C,"-",0)</f>
        <v>3814 GANGSTER</v>
      </c>
      <c r="C514" t="str">
        <f t="shared" ref="C514:C577" si="18">IF(IFERROR(FIND(",",A514)&gt;1,FALSE),A514,"-")</f>
        <v>-</v>
      </c>
      <c r="D514" t="str">
        <f t="shared" si="17"/>
        <v>-</v>
      </c>
    </row>
    <row r="515" spans="1:4" x14ac:dyDescent="0.25">
      <c r="A515" t="s">
        <v>335</v>
      </c>
      <c r="B515" t="str">
        <f>_xlfn.XLOOKUP(A515,Лист8!C:C,Лист8!C:C,"-",0)</f>
        <v>-</v>
      </c>
      <c r="C515" t="str">
        <f t="shared" si="18"/>
        <v>-</v>
      </c>
      <c r="D515" t="str">
        <f t="shared" si="17"/>
        <v>-</v>
      </c>
    </row>
    <row r="516" spans="1:4" x14ac:dyDescent="0.25">
      <c r="A516" t="s">
        <v>368</v>
      </c>
      <c r="B516" t="str">
        <f>_xlfn.XLOOKUP(A516,Лист8!C:C,Лист8!C:C,"-",0)</f>
        <v>-</v>
      </c>
      <c r="C516" t="str">
        <f t="shared" si="18"/>
        <v>-</v>
      </c>
      <c r="D516" t="str">
        <f t="shared" si="17"/>
        <v>-</v>
      </c>
    </row>
    <row r="517" spans="1:4" x14ac:dyDescent="0.25">
      <c r="A517" t="s">
        <v>223</v>
      </c>
      <c r="B517" t="str">
        <f>_xlfn.XLOOKUP(A517,Лист8!C:C,Лист8!C:C,"-",0)</f>
        <v>-</v>
      </c>
      <c r="C517" t="str">
        <f t="shared" si="18"/>
        <v>-</v>
      </c>
      <c r="D517" t="str">
        <f t="shared" si="17"/>
        <v>-</v>
      </c>
    </row>
    <row r="518" spans="1:4" x14ac:dyDescent="0.25">
      <c r="A518" t="s">
        <v>371</v>
      </c>
      <c r="B518" t="str">
        <f>_xlfn.XLOOKUP(A518,Лист8!C:C,Лист8!C:C,"-",0)</f>
        <v>-</v>
      </c>
      <c r="C518" t="str">
        <f t="shared" si="18"/>
        <v>-</v>
      </c>
      <c r="D518" t="str">
        <f t="shared" si="17"/>
        <v>-</v>
      </c>
    </row>
    <row r="519" spans="1:4" x14ac:dyDescent="0.25">
      <c r="A519" t="s">
        <v>122</v>
      </c>
      <c r="B519" t="str">
        <f>_xlfn.XLOOKUP(A519,Лист8!C:C,Лист8!C:C,"-",0)</f>
        <v>-</v>
      </c>
      <c r="C519" t="str">
        <f t="shared" si="18"/>
        <v>-</v>
      </c>
      <c r="D519" t="str">
        <f t="shared" si="17"/>
        <v>-</v>
      </c>
    </row>
    <row r="520" spans="1:4" x14ac:dyDescent="0.25">
      <c r="A520" t="s">
        <v>102</v>
      </c>
      <c r="B520" t="str">
        <f>_xlfn.XLOOKUP(A520,Лист8!C:C,Лист8!C:C,"-",0)</f>
        <v>-</v>
      </c>
      <c r="C520" t="str">
        <f t="shared" si="18"/>
        <v>-</v>
      </c>
      <c r="D520" t="str">
        <f t="shared" si="17"/>
        <v>-</v>
      </c>
    </row>
    <row r="521" spans="1:4" x14ac:dyDescent="0.25">
      <c r="A521" t="s">
        <v>165</v>
      </c>
      <c r="B521" t="str">
        <f>_xlfn.XLOOKUP(A521,Лист8!C:C,Лист8!C:C,"-",0)</f>
        <v>-</v>
      </c>
      <c r="C521" t="str">
        <f t="shared" si="18"/>
        <v>S, M, L, XL, XXL</v>
      </c>
      <c r="D521" t="str">
        <f t="shared" si="17"/>
        <v>-</v>
      </c>
    </row>
    <row r="522" spans="1:4" x14ac:dyDescent="0.25">
      <c r="A522" t="s">
        <v>131</v>
      </c>
      <c r="B522" t="str">
        <f>_xlfn.XLOOKUP(A522,Лист8!C:C,Лист8!C:C,"-",0)</f>
        <v>-</v>
      </c>
      <c r="C522" t="str">
        <f t="shared" si="18"/>
        <v>-</v>
      </c>
      <c r="D522" t="str">
        <f t="shared" si="17"/>
        <v>Black</v>
      </c>
    </row>
    <row r="523" spans="1:4" x14ac:dyDescent="0.25">
      <c r="A523" t="s">
        <v>233</v>
      </c>
      <c r="B523" t="str">
        <f>_xlfn.XLOOKUP(A523,Лист8!C:C,Лист8!C:C,"-",0)</f>
        <v>38345BH MAGLOR</v>
      </c>
      <c r="C523" t="str">
        <f t="shared" si="18"/>
        <v>-</v>
      </c>
      <c r="D523" t="str">
        <f t="shared" si="17"/>
        <v>-</v>
      </c>
    </row>
    <row r="524" spans="1:4" x14ac:dyDescent="0.25">
      <c r="A524" t="s">
        <v>193</v>
      </c>
      <c r="B524" t="str">
        <f>_xlfn.XLOOKUP(A524,Лист8!C:C,Лист8!C:C,"-",0)</f>
        <v>-</v>
      </c>
      <c r="C524" t="str">
        <f t="shared" si="18"/>
        <v>-</v>
      </c>
      <c r="D524" t="str">
        <f t="shared" si="17"/>
        <v>-</v>
      </c>
    </row>
    <row r="525" spans="1:4" x14ac:dyDescent="0.25">
      <c r="A525" t="s">
        <v>405</v>
      </c>
      <c r="B525" t="str">
        <f>_xlfn.XLOOKUP(A525,Лист8!C:C,Лист8!C:C,"-",0)</f>
        <v>-</v>
      </c>
      <c r="C525" t="str">
        <f t="shared" si="18"/>
        <v>-</v>
      </c>
      <c r="D525" t="str">
        <f t="shared" si="17"/>
        <v>-</v>
      </c>
    </row>
    <row r="526" spans="1:4" x14ac:dyDescent="0.25">
      <c r="A526" t="s">
        <v>223</v>
      </c>
      <c r="B526" t="str">
        <f>_xlfn.XLOOKUP(A526,Лист8!C:C,Лист8!C:C,"-",0)</f>
        <v>-</v>
      </c>
      <c r="C526" t="str">
        <f t="shared" si="18"/>
        <v>-</v>
      </c>
      <c r="D526" t="str">
        <f t="shared" si="17"/>
        <v>-</v>
      </c>
    </row>
    <row r="527" spans="1:4" x14ac:dyDescent="0.25">
      <c r="A527" t="s">
        <v>406</v>
      </c>
      <c r="B527" t="str">
        <f>_xlfn.XLOOKUP(A527,Лист8!C:C,Лист8!C:C,"-",0)</f>
        <v>-</v>
      </c>
      <c r="C527" t="str">
        <f t="shared" si="18"/>
        <v>-</v>
      </c>
      <c r="D527" t="str">
        <f t="shared" si="17"/>
        <v>-</v>
      </c>
    </row>
    <row r="528" spans="1:4" x14ac:dyDescent="0.25">
      <c r="A528" t="s">
        <v>371</v>
      </c>
      <c r="B528" t="str">
        <f>_xlfn.XLOOKUP(A528,Лист8!C:C,Лист8!C:C,"-",0)</f>
        <v>-</v>
      </c>
      <c r="C528" t="str">
        <f t="shared" si="18"/>
        <v>-</v>
      </c>
      <c r="D528" t="str">
        <f t="shared" si="17"/>
        <v>-</v>
      </c>
    </row>
    <row r="529" spans="1:4" x14ac:dyDescent="0.25">
      <c r="A529" t="s">
        <v>102</v>
      </c>
      <c r="B529" t="str">
        <f>_xlfn.XLOOKUP(A529,Лист8!C:C,Лист8!C:C,"-",0)</f>
        <v>-</v>
      </c>
      <c r="C529" t="str">
        <f t="shared" si="18"/>
        <v>-</v>
      </c>
      <c r="D529" t="str">
        <f t="shared" si="17"/>
        <v>-</v>
      </c>
    </row>
    <row r="530" spans="1:4" x14ac:dyDescent="0.25">
      <c r="A530" t="s">
        <v>92</v>
      </c>
      <c r="B530" t="str">
        <f>_xlfn.XLOOKUP(A530,Лист8!C:C,Лист8!C:C,"-",0)</f>
        <v>-</v>
      </c>
      <c r="C530" t="str">
        <f t="shared" si="18"/>
        <v>S, M, L, XL</v>
      </c>
      <c r="D530" t="str">
        <f t="shared" si="17"/>
        <v>-</v>
      </c>
    </row>
    <row r="531" spans="1:4" x14ac:dyDescent="0.25">
      <c r="A531" t="s">
        <v>234</v>
      </c>
      <c r="B531" t="str">
        <f>_xlfn.XLOOKUP(A531,Лист8!C:C,Лист8!C:C,"-",0)</f>
        <v>-</v>
      </c>
      <c r="C531" t="str">
        <f t="shared" si="18"/>
        <v>-</v>
      </c>
      <c r="D531" t="str">
        <f t="shared" si="17"/>
        <v>Black Chocolate Forest Navy</v>
      </c>
    </row>
    <row r="532" spans="1:4" x14ac:dyDescent="0.25">
      <c r="A532" t="s">
        <v>318</v>
      </c>
      <c r="B532" t="str">
        <f>_xlfn.XLOOKUP(A532,Лист8!C:C,Лист8!C:C,"-",0)</f>
        <v>7100 RIFF</v>
      </c>
      <c r="C532" t="str">
        <f t="shared" si="18"/>
        <v>-</v>
      </c>
      <c r="D532" t="str">
        <f t="shared" si="17"/>
        <v>-</v>
      </c>
    </row>
    <row r="533" spans="1:4" x14ac:dyDescent="0.25">
      <c r="A533" t="s">
        <v>335</v>
      </c>
      <c r="B533" t="str">
        <f>_xlfn.XLOOKUP(A533,Лист8!C:C,Лист8!C:C,"-",0)</f>
        <v>-</v>
      </c>
      <c r="C533" t="str">
        <f t="shared" si="18"/>
        <v>-</v>
      </c>
      <c r="D533" t="str">
        <f t="shared" si="17"/>
        <v>-</v>
      </c>
    </row>
    <row r="534" spans="1:4" x14ac:dyDescent="0.25">
      <c r="A534" t="s">
        <v>336</v>
      </c>
      <c r="B534" t="str">
        <f>_xlfn.XLOOKUP(A534,Лист8!C:C,Лист8!C:C,"-",0)</f>
        <v>-</v>
      </c>
      <c r="C534" t="str">
        <f t="shared" si="18"/>
        <v>-</v>
      </c>
      <c r="D534" t="str">
        <f t="shared" si="17"/>
        <v>-</v>
      </c>
    </row>
    <row r="535" spans="1:4" x14ac:dyDescent="0.25">
      <c r="A535" t="s">
        <v>407</v>
      </c>
      <c r="B535" t="str">
        <f>_xlfn.XLOOKUP(A535,Лист8!C:C,Лист8!C:C,"-",0)</f>
        <v>-</v>
      </c>
      <c r="C535" t="str">
        <f t="shared" si="18"/>
        <v>-</v>
      </c>
      <c r="D535" t="str">
        <f t="shared" si="17"/>
        <v>-</v>
      </c>
    </row>
    <row r="536" spans="1:4" x14ac:dyDescent="0.25">
      <c r="A536" t="s">
        <v>100</v>
      </c>
      <c r="B536" t="str">
        <f>_xlfn.XLOOKUP(A536,Лист8!C:C,Лист8!C:C,"-",0)</f>
        <v>-</v>
      </c>
      <c r="C536" t="str">
        <f t="shared" si="18"/>
        <v>-</v>
      </c>
      <c r="D536" t="str">
        <f t="shared" si="17"/>
        <v>-</v>
      </c>
    </row>
    <row r="537" spans="1:4" x14ac:dyDescent="0.25">
      <c r="A537" t="s">
        <v>115</v>
      </c>
      <c r="B537" t="str">
        <f>_xlfn.XLOOKUP(A537,Лист8!C:C,Лист8!C:C,"-",0)</f>
        <v>-</v>
      </c>
      <c r="C537" t="str">
        <f t="shared" si="18"/>
        <v>-</v>
      </c>
      <c r="D537" t="str">
        <f t="shared" si="17"/>
        <v>-</v>
      </c>
    </row>
    <row r="538" spans="1:4" x14ac:dyDescent="0.25">
      <c r="A538" t="s">
        <v>102</v>
      </c>
      <c r="B538" t="str">
        <f>_xlfn.XLOOKUP(A538,Лист8!C:C,Лист8!C:C,"-",0)</f>
        <v>-</v>
      </c>
      <c r="C538" t="str">
        <f t="shared" si="18"/>
        <v>-</v>
      </c>
      <c r="D538" t="str">
        <f t="shared" si="17"/>
        <v>-</v>
      </c>
    </row>
    <row r="539" spans="1:4" x14ac:dyDescent="0.25">
      <c r="A539" t="s">
        <v>165</v>
      </c>
      <c r="B539" t="str">
        <f>_xlfn.XLOOKUP(A539,Лист8!C:C,Лист8!C:C,"-",0)</f>
        <v>-</v>
      </c>
      <c r="C539" t="str">
        <f t="shared" si="18"/>
        <v>S, M, L, XL, XXL</v>
      </c>
      <c r="D539" t="str">
        <f t="shared" si="17"/>
        <v>-</v>
      </c>
    </row>
    <row r="540" spans="1:4" x14ac:dyDescent="0.25">
      <c r="A540" t="s">
        <v>231</v>
      </c>
      <c r="B540" t="str">
        <f>_xlfn.XLOOKUP(A540,Лист8!C:C,Лист8!C:C,"-",0)</f>
        <v>-</v>
      </c>
      <c r="C540" t="str">
        <f t="shared" si="18"/>
        <v>-</v>
      </c>
      <c r="D540" t="str">
        <f t="shared" si="17"/>
        <v>Black Lazuli Blue Mink Ochre</v>
      </c>
    </row>
    <row r="541" spans="1:4" x14ac:dyDescent="0.25">
      <c r="A541">
        <v>37</v>
      </c>
      <c r="B541" t="str">
        <f>_xlfn.XLOOKUP(A541,Лист8!C:C,Лист8!C:C,"-",0)</f>
        <v>-</v>
      </c>
      <c r="C541" t="str">
        <f t="shared" si="18"/>
        <v>-</v>
      </c>
      <c r="D541" t="str">
        <f t="shared" si="17"/>
        <v>-</v>
      </c>
    </row>
    <row r="542" spans="1:4" x14ac:dyDescent="0.25">
      <c r="A542" t="s">
        <v>241</v>
      </c>
      <c r="B542" t="str">
        <f>_xlfn.XLOOKUP(A542,Лист8!C:C,Лист8!C:C,"-",0)</f>
        <v>38350BH PISTON</v>
      </c>
      <c r="C542" t="str">
        <f t="shared" si="18"/>
        <v>-</v>
      </c>
      <c r="D542" t="str">
        <f t="shared" si="17"/>
        <v>-</v>
      </c>
    </row>
    <row r="543" spans="1:4" x14ac:dyDescent="0.25">
      <c r="A543" t="s">
        <v>193</v>
      </c>
      <c r="B543" t="str">
        <f>_xlfn.XLOOKUP(A543,Лист8!C:C,Лист8!C:C,"-",0)</f>
        <v>-</v>
      </c>
      <c r="C543" t="str">
        <f t="shared" si="18"/>
        <v>-</v>
      </c>
      <c r="D543" t="str">
        <f t="shared" si="17"/>
        <v>-</v>
      </c>
    </row>
    <row r="544" spans="1:4" x14ac:dyDescent="0.25">
      <c r="A544" t="s">
        <v>408</v>
      </c>
      <c r="B544" t="str">
        <f>_xlfn.XLOOKUP(A544,Лист8!C:C,Лист8!C:C,"-",0)</f>
        <v>-</v>
      </c>
      <c r="C544" t="str">
        <f t="shared" si="18"/>
        <v>-</v>
      </c>
      <c r="D544" t="str">
        <f t="shared" si="17"/>
        <v>-</v>
      </c>
    </row>
    <row r="545" spans="1:4" x14ac:dyDescent="0.25">
      <c r="A545" t="s">
        <v>223</v>
      </c>
      <c r="B545" t="str">
        <f>_xlfn.XLOOKUP(A545,Лист8!C:C,Лист8!C:C,"-",0)</f>
        <v>-</v>
      </c>
      <c r="C545" t="str">
        <f t="shared" si="18"/>
        <v>-</v>
      </c>
      <c r="D545" t="str">
        <f t="shared" si="17"/>
        <v>-</v>
      </c>
    </row>
    <row r="546" spans="1:4" x14ac:dyDescent="0.25">
      <c r="A546" t="s">
        <v>409</v>
      </c>
      <c r="B546" t="str">
        <f>_xlfn.XLOOKUP(A546,Лист8!C:C,Лист8!C:C,"-",0)</f>
        <v>-</v>
      </c>
      <c r="C546" t="str">
        <f t="shared" si="18"/>
        <v>-</v>
      </c>
      <c r="D546" t="str">
        <f t="shared" si="17"/>
        <v>-</v>
      </c>
    </row>
    <row r="547" spans="1:4" x14ac:dyDescent="0.25">
      <c r="A547" t="s">
        <v>371</v>
      </c>
      <c r="B547" t="str">
        <f>_xlfn.XLOOKUP(A547,Лист8!C:C,Лист8!C:C,"-",0)</f>
        <v>-</v>
      </c>
      <c r="C547" t="str">
        <f t="shared" si="18"/>
        <v>-</v>
      </c>
      <c r="D547" t="str">
        <f t="shared" si="17"/>
        <v>-</v>
      </c>
    </row>
    <row r="548" spans="1:4" x14ac:dyDescent="0.25">
      <c r="A548" t="s">
        <v>102</v>
      </c>
      <c r="B548" t="str">
        <f>_xlfn.XLOOKUP(A548,Лист8!C:C,Лист8!C:C,"-",0)</f>
        <v>-</v>
      </c>
      <c r="C548" t="str">
        <f t="shared" si="18"/>
        <v>-</v>
      </c>
      <c r="D548" t="str">
        <f t="shared" si="17"/>
        <v>-</v>
      </c>
    </row>
    <row r="549" spans="1:4" x14ac:dyDescent="0.25">
      <c r="A549" t="s">
        <v>92</v>
      </c>
      <c r="B549" t="str">
        <f>_xlfn.XLOOKUP(A549,Лист8!C:C,Лист8!C:C,"-",0)</f>
        <v>-</v>
      </c>
      <c r="C549" t="str">
        <f t="shared" si="18"/>
        <v>S, M, L, XL</v>
      </c>
      <c r="D549" t="str">
        <f t="shared" si="17"/>
        <v>-</v>
      </c>
    </row>
    <row r="550" spans="1:4" x14ac:dyDescent="0.25">
      <c r="A550" t="s">
        <v>242</v>
      </c>
      <c r="B550" t="str">
        <f>_xlfn.XLOOKUP(A550,Лист8!C:C,Лист8!C:C,"-",0)</f>
        <v>-</v>
      </c>
      <c r="C550" t="str">
        <f t="shared" si="18"/>
        <v>-</v>
      </c>
      <c r="D550" t="str">
        <f t="shared" si="17"/>
        <v>Black Caramel Navy Olive</v>
      </c>
    </row>
    <row r="551" spans="1:4" x14ac:dyDescent="0.25">
      <c r="A551" t="s">
        <v>238</v>
      </c>
      <c r="B551" t="str">
        <f>_xlfn.XLOOKUP(A551,Лист8!C:C,Лист8!C:C,"-",0)</f>
        <v>38357BH KISNER</v>
      </c>
      <c r="C551" t="str">
        <f t="shared" si="18"/>
        <v>-</v>
      </c>
      <c r="D551" t="str">
        <f t="shared" si="17"/>
        <v>-</v>
      </c>
    </row>
    <row r="552" spans="1:4" x14ac:dyDescent="0.25">
      <c r="A552" t="s">
        <v>410</v>
      </c>
      <c r="B552" t="str">
        <f>_xlfn.XLOOKUP(A552,Лист8!C:C,Лист8!C:C,"-",0)</f>
        <v>-</v>
      </c>
      <c r="C552" t="str">
        <f t="shared" si="18"/>
        <v>-</v>
      </c>
      <c r="D552" t="str">
        <f t="shared" si="17"/>
        <v>-</v>
      </c>
    </row>
    <row r="553" spans="1:4" x14ac:dyDescent="0.25">
      <c r="A553" t="s">
        <v>398</v>
      </c>
      <c r="B553" t="str">
        <f>_xlfn.XLOOKUP(A553,Лист8!C:C,Лист8!C:C,"-",0)</f>
        <v>-</v>
      </c>
      <c r="C553" t="str">
        <f t="shared" si="18"/>
        <v>-</v>
      </c>
      <c r="D553" t="str">
        <f t="shared" si="17"/>
        <v>-</v>
      </c>
    </row>
    <row r="554" spans="1:4" x14ac:dyDescent="0.25">
      <c r="A554" t="s">
        <v>239</v>
      </c>
      <c r="B554" t="str">
        <f>_xlfn.XLOOKUP(A554,Лист8!C:C,Лист8!C:C,"-",0)</f>
        <v>-</v>
      </c>
      <c r="C554" t="str">
        <f t="shared" si="18"/>
        <v>-</v>
      </c>
      <c r="D554" t="str">
        <f t="shared" si="17"/>
        <v>-</v>
      </c>
    </row>
    <row r="555" spans="1:4" x14ac:dyDescent="0.25">
      <c r="A555" t="s">
        <v>411</v>
      </c>
      <c r="B555" t="str">
        <f>_xlfn.XLOOKUP(A555,Лист8!C:C,Лист8!C:C,"-",0)</f>
        <v>-</v>
      </c>
      <c r="C555" t="str">
        <f t="shared" si="18"/>
        <v>-</v>
      </c>
      <c r="D555" t="str">
        <f t="shared" si="17"/>
        <v>-</v>
      </c>
    </row>
    <row r="556" spans="1:4" x14ac:dyDescent="0.25">
      <c r="A556" t="s">
        <v>412</v>
      </c>
      <c r="B556" t="str">
        <f>_xlfn.XLOOKUP(A556,Лист8!C:C,Лист8!C:C,"-",0)</f>
        <v>-</v>
      </c>
      <c r="C556" t="str">
        <f t="shared" si="18"/>
        <v>-</v>
      </c>
      <c r="D556" t="str">
        <f t="shared" si="17"/>
        <v>-</v>
      </c>
    </row>
    <row r="557" spans="1:4" x14ac:dyDescent="0.25">
      <c r="A557" t="s">
        <v>115</v>
      </c>
      <c r="B557" t="str">
        <f>_xlfn.XLOOKUP(A557,Лист8!C:C,Лист8!C:C,"-",0)</f>
        <v>-</v>
      </c>
      <c r="C557" t="str">
        <f t="shared" si="18"/>
        <v>-</v>
      </c>
      <c r="D557" t="str">
        <f t="shared" si="17"/>
        <v>-</v>
      </c>
    </row>
    <row r="558" spans="1:4" x14ac:dyDescent="0.25">
      <c r="A558" t="s">
        <v>102</v>
      </c>
      <c r="B558" t="str">
        <f>_xlfn.XLOOKUP(A558,Лист8!C:C,Лист8!C:C,"-",0)</f>
        <v>-</v>
      </c>
      <c r="C558" t="str">
        <f t="shared" si="18"/>
        <v>-</v>
      </c>
      <c r="D558" t="str">
        <f t="shared" si="17"/>
        <v>-</v>
      </c>
    </row>
    <row r="559" spans="1:4" x14ac:dyDescent="0.25">
      <c r="A559" t="s">
        <v>92</v>
      </c>
      <c r="B559" t="str">
        <f>_xlfn.XLOOKUP(A559,Лист8!C:C,Лист8!C:C,"-",0)</f>
        <v>-</v>
      </c>
      <c r="C559" t="str">
        <f t="shared" si="18"/>
        <v>S, M, L, XL</v>
      </c>
      <c r="D559" t="str">
        <f t="shared" si="17"/>
        <v>-</v>
      </c>
    </row>
    <row r="560" spans="1:4" x14ac:dyDescent="0.25">
      <c r="A560" t="s">
        <v>240</v>
      </c>
      <c r="B560" t="str">
        <f>_xlfn.XLOOKUP(A560,Лист8!C:C,Лист8!C:C,"-",0)</f>
        <v>-</v>
      </c>
      <c r="C560" t="str">
        <f t="shared" si="18"/>
        <v>-</v>
      </c>
      <c r="D560" t="str">
        <f t="shared" si="17"/>
        <v>Black Silver Sand</v>
      </c>
    </row>
    <row r="561" spans="1:4" x14ac:dyDescent="0.25">
      <c r="A561" t="s">
        <v>319</v>
      </c>
      <c r="B561" t="str">
        <f>_xlfn.XLOOKUP(A561,Лист8!C:C,Лист8!C:C,"-",0)</f>
        <v>71001BH CRISS</v>
      </c>
      <c r="C561" t="str">
        <f t="shared" si="18"/>
        <v>-</v>
      </c>
      <c r="D561" t="str">
        <f t="shared" si="17"/>
        <v>-</v>
      </c>
    </row>
    <row r="562" spans="1:4" x14ac:dyDescent="0.25">
      <c r="A562" t="s">
        <v>125</v>
      </c>
      <c r="B562" t="str">
        <f>_xlfn.XLOOKUP(A562,Лист8!C:C,Лист8!C:C,"-",0)</f>
        <v>-</v>
      </c>
      <c r="C562" t="str">
        <f t="shared" si="18"/>
        <v>-</v>
      </c>
      <c r="D562" t="str">
        <f t="shared" si="17"/>
        <v>-</v>
      </c>
    </row>
    <row r="563" spans="1:4" x14ac:dyDescent="0.25">
      <c r="A563" t="s">
        <v>329</v>
      </c>
      <c r="B563" t="str">
        <f>_xlfn.XLOOKUP(A563,Лист8!C:C,Лист8!C:C,"-",0)</f>
        <v>-</v>
      </c>
      <c r="C563" t="str">
        <f t="shared" si="18"/>
        <v>-</v>
      </c>
      <c r="D563" t="str">
        <f t="shared" si="17"/>
        <v>-</v>
      </c>
    </row>
    <row r="564" spans="1:4" x14ac:dyDescent="0.25">
      <c r="A564" t="s">
        <v>407</v>
      </c>
      <c r="B564" t="str">
        <f>_xlfn.XLOOKUP(A564,Лист8!C:C,Лист8!C:C,"-",0)</f>
        <v>-</v>
      </c>
      <c r="C564" t="str">
        <f t="shared" si="18"/>
        <v>-</v>
      </c>
      <c r="D564" t="str">
        <f t="shared" si="17"/>
        <v>-</v>
      </c>
    </row>
    <row r="565" spans="1:4" x14ac:dyDescent="0.25">
      <c r="A565" t="s">
        <v>100</v>
      </c>
      <c r="B565" t="str">
        <f>_xlfn.XLOOKUP(A565,Лист8!C:C,Лист8!C:C,"-",0)</f>
        <v>-</v>
      </c>
      <c r="C565" t="str">
        <f t="shared" si="18"/>
        <v>-</v>
      </c>
      <c r="D565" t="str">
        <f t="shared" si="17"/>
        <v>-</v>
      </c>
    </row>
    <row r="566" spans="1:4" x14ac:dyDescent="0.25">
      <c r="A566" t="s">
        <v>115</v>
      </c>
      <c r="B566" t="str">
        <f>_xlfn.XLOOKUP(A566,Лист8!C:C,Лист8!C:C,"-",0)</f>
        <v>-</v>
      </c>
      <c r="C566" t="str">
        <f t="shared" si="18"/>
        <v>-</v>
      </c>
      <c r="D566" t="str">
        <f t="shared" si="17"/>
        <v>-</v>
      </c>
    </row>
    <row r="567" spans="1:4" x14ac:dyDescent="0.25">
      <c r="A567" t="s">
        <v>102</v>
      </c>
      <c r="B567" t="str">
        <f>_xlfn.XLOOKUP(A567,Лист8!C:C,Лист8!C:C,"-",0)</f>
        <v>-</v>
      </c>
      <c r="C567" t="str">
        <f t="shared" si="18"/>
        <v>-</v>
      </c>
      <c r="D567" t="str">
        <f t="shared" si="17"/>
        <v>-</v>
      </c>
    </row>
    <row r="568" spans="1:4" x14ac:dyDescent="0.25">
      <c r="A568" t="s">
        <v>92</v>
      </c>
      <c r="B568" t="str">
        <f>_xlfn.XLOOKUP(A568,Лист8!C:C,Лист8!C:C,"-",0)</f>
        <v>-</v>
      </c>
      <c r="C568" t="str">
        <f t="shared" si="18"/>
        <v>S, M, L, XL</v>
      </c>
      <c r="D568" t="str">
        <f t="shared" si="17"/>
        <v>-</v>
      </c>
    </row>
    <row r="569" spans="1:4" x14ac:dyDescent="0.25">
      <c r="A569" t="s">
        <v>237</v>
      </c>
      <c r="B569" t="str">
        <f>_xlfn.XLOOKUP(A569,Лист8!C:C,Лист8!C:C,"-",0)</f>
        <v>-</v>
      </c>
      <c r="C569" t="str">
        <f t="shared" si="18"/>
        <v>-</v>
      </c>
      <c r="D569" t="str">
        <f t="shared" si="17"/>
        <v>Bitter Chocolate Black Mink Night Shade Navy</v>
      </c>
    </row>
    <row r="570" spans="1:4" x14ac:dyDescent="0.25">
      <c r="A570" t="s">
        <v>243</v>
      </c>
      <c r="B570" t="str">
        <f>_xlfn.XLOOKUP(A570,Лист8!C:C,Лист8!C:C,"-",0)</f>
        <v>10001BH BRODNAX</v>
      </c>
      <c r="C570" t="str">
        <f t="shared" si="18"/>
        <v>-</v>
      </c>
      <c r="D570" t="str">
        <f t="shared" si="17"/>
        <v>-</v>
      </c>
    </row>
    <row r="571" spans="1:4" x14ac:dyDescent="0.25">
      <c r="A571" t="s">
        <v>413</v>
      </c>
      <c r="B571" t="str">
        <f>_xlfn.XLOOKUP(A571,Лист8!C:C,Лист8!C:C,"-",0)</f>
        <v>-</v>
      </c>
      <c r="C571" t="str">
        <f t="shared" si="18"/>
        <v>-</v>
      </c>
      <c r="D571" t="str">
        <f t="shared" si="17"/>
        <v>-</v>
      </c>
    </row>
    <row r="572" spans="1:4" x14ac:dyDescent="0.25">
      <c r="A572" t="s">
        <v>414</v>
      </c>
      <c r="B572" t="str">
        <f>_xlfn.XLOOKUP(A572,Лист8!C:C,Лист8!C:C,"-",0)</f>
        <v>-</v>
      </c>
      <c r="C572" t="str">
        <f t="shared" si="18"/>
        <v>-</v>
      </c>
      <c r="D572" t="str">
        <f t="shared" si="17"/>
        <v>-</v>
      </c>
    </row>
    <row r="573" spans="1:4" x14ac:dyDescent="0.25">
      <c r="A573" t="s">
        <v>415</v>
      </c>
      <c r="B573" t="str">
        <f>_xlfn.XLOOKUP(A573,Лист8!C:C,Лист8!C:C,"-",0)</f>
        <v>-</v>
      </c>
      <c r="C573" t="str">
        <f t="shared" si="18"/>
        <v>-</v>
      </c>
      <c r="D573" t="str">
        <f t="shared" si="17"/>
        <v>-</v>
      </c>
    </row>
    <row r="574" spans="1:4" x14ac:dyDescent="0.25">
      <c r="A574" t="s">
        <v>416</v>
      </c>
      <c r="B574" t="str">
        <f>_xlfn.XLOOKUP(A574,Лист8!C:C,Лист8!C:C,"-",0)</f>
        <v>-</v>
      </c>
      <c r="C574" t="str">
        <f t="shared" si="18"/>
        <v>-</v>
      </c>
      <c r="D574" t="str">
        <f t="shared" si="17"/>
        <v>-</v>
      </c>
    </row>
    <row r="575" spans="1:4" x14ac:dyDescent="0.25">
      <c r="A575" t="s">
        <v>417</v>
      </c>
      <c r="B575" t="str">
        <f>_xlfn.XLOOKUP(A575,Лист8!C:C,Лист8!C:C,"-",0)</f>
        <v>-</v>
      </c>
      <c r="C575" t="str">
        <f t="shared" si="18"/>
        <v>-</v>
      </c>
      <c r="D575" t="str">
        <f t="shared" si="17"/>
        <v>-</v>
      </c>
    </row>
    <row r="576" spans="1:4" x14ac:dyDescent="0.25">
      <c r="A576" t="s">
        <v>99</v>
      </c>
      <c r="B576" t="str">
        <f>_xlfn.XLOOKUP(A576,Лист8!C:C,Лист8!C:C,"-",0)</f>
        <v>-</v>
      </c>
      <c r="C576" t="str">
        <f t="shared" si="18"/>
        <v>-</v>
      </c>
      <c r="D576" t="str">
        <f t="shared" si="17"/>
        <v>-</v>
      </c>
    </row>
    <row r="577" spans="1:4" x14ac:dyDescent="0.25">
      <c r="A577" t="s">
        <v>371</v>
      </c>
      <c r="B577" t="str">
        <f>_xlfn.XLOOKUP(A577,Лист8!C:C,Лист8!C:C,"-",0)</f>
        <v>-</v>
      </c>
      <c r="C577" t="str">
        <f t="shared" si="18"/>
        <v>-</v>
      </c>
      <c r="D577" t="str">
        <f t="shared" ref="D577:D640" si="19">IF(C576&lt;&gt;"-",A577,"-")</f>
        <v>-</v>
      </c>
    </row>
    <row r="578" spans="1:4" x14ac:dyDescent="0.25">
      <c r="A578" t="s">
        <v>92</v>
      </c>
      <c r="B578" t="str">
        <f>_xlfn.XLOOKUP(A578,Лист8!C:C,Лист8!C:C,"-",0)</f>
        <v>-</v>
      </c>
      <c r="C578" t="str">
        <f t="shared" ref="C578:C641" si="20">IF(IFERROR(FIND(",",A578)&gt;1,FALSE),A578,"-")</f>
        <v>S, M, L, XL</v>
      </c>
      <c r="D578" t="str">
        <f t="shared" si="19"/>
        <v>-</v>
      </c>
    </row>
    <row r="579" spans="1:4" x14ac:dyDescent="0.25">
      <c r="A579" t="s">
        <v>244</v>
      </c>
      <c r="B579" t="str">
        <f>_xlfn.XLOOKUP(A579,Лист8!C:C,Лист8!C:C,"-",0)</f>
        <v>-</v>
      </c>
      <c r="C579" t="str">
        <f t="shared" si="20"/>
        <v>-</v>
      </c>
      <c r="D579" t="str">
        <f t="shared" si="19"/>
        <v>Black Olive Oil Plaza Taupe</v>
      </c>
    </row>
    <row r="580" spans="1:4" x14ac:dyDescent="0.25">
      <c r="A580">
        <v>38</v>
      </c>
      <c r="B580" t="str">
        <f>_xlfn.XLOOKUP(A580,Лист8!C:C,Лист8!C:C,"-",0)</f>
        <v>-</v>
      </c>
      <c r="C580" t="str">
        <f t="shared" si="20"/>
        <v>-</v>
      </c>
      <c r="D580" t="str">
        <f t="shared" si="19"/>
        <v>-</v>
      </c>
    </row>
    <row r="581" spans="1:4" x14ac:dyDescent="0.25">
      <c r="A581" t="s">
        <v>320</v>
      </c>
      <c r="B581" t="str">
        <f>_xlfn.XLOOKUP(A581,Лист8!C:C,Лист8!C:C,"-",0)</f>
        <v>38358BH STERNE</v>
      </c>
      <c r="C581" t="str">
        <f t="shared" si="20"/>
        <v>-</v>
      </c>
      <c r="D581" t="str">
        <f t="shared" si="19"/>
        <v>-</v>
      </c>
    </row>
    <row r="582" spans="1:4" x14ac:dyDescent="0.25">
      <c r="A582" t="s">
        <v>105</v>
      </c>
      <c r="B582" t="str">
        <f>_xlfn.XLOOKUP(A582,Лист8!C:C,Лист8!C:C,"-",0)</f>
        <v>-</v>
      </c>
      <c r="C582" t="str">
        <f t="shared" si="20"/>
        <v>-</v>
      </c>
      <c r="D582" t="str">
        <f t="shared" si="19"/>
        <v>-</v>
      </c>
    </row>
    <row r="583" spans="1:4" x14ac:dyDescent="0.25">
      <c r="A583" t="s">
        <v>331</v>
      </c>
      <c r="B583" t="str">
        <f>_xlfn.XLOOKUP(A583,Лист8!C:C,Лист8!C:C,"-",0)</f>
        <v>-</v>
      </c>
      <c r="C583" t="str">
        <f t="shared" si="20"/>
        <v>-</v>
      </c>
      <c r="D583" t="str">
        <f t="shared" si="19"/>
        <v>-</v>
      </c>
    </row>
    <row r="584" spans="1:4" x14ac:dyDescent="0.25">
      <c r="A584" t="s">
        <v>223</v>
      </c>
      <c r="B584" t="str">
        <f>_xlfn.XLOOKUP(A584,Лист8!C:C,Лист8!C:C,"-",0)</f>
        <v>-</v>
      </c>
      <c r="C584" t="str">
        <f t="shared" si="20"/>
        <v>-</v>
      </c>
      <c r="D584" t="str">
        <f t="shared" si="19"/>
        <v>-</v>
      </c>
    </row>
    <row r="585" spans="1:4" x14ac:dyDescent="0.25">
      <c r="A585" t="s">
        <v>418</v>
      </c>
      <c r="B585" t="str">
        <f>_xlfn.XLOOKUP(A585,Лист8!C:C,Лист8!C:C,"-",0)</f>
        <v>-</v>
      </c>
      <c r="C585" t="str">
        <f t="shared" si="20"/>
        <v>-</v>
      </c>
      <c r="D585" t="str">
        <f t="shared" si="19"/>
        <v>-</v>
      </c>
    </row>
    <row r="586" spans="1:4" x14ac:dyDescent="0.25">
      <c r="A586" t="s">
        <v>419</v>
      </c>
      <c r="B586" t="str">
        <f>_xlfn.XLOOKUP(A586,Лист8!C:C,Лист8!C:C,"-",0)</f>
        <v>-</v>
      </c>
      <c r="C586" t="str">
        <f t="shared" si="20"/>
        <v>-</v>
      </c>
      <c r="D586" t="str">
        <f t="shared" si="19"/>
        <v>-</v>
      </c>
    </row>
    <row r="587" spans="1:4" x14ac:dyDescent="0.25">
      <c r="A587" t="s">
        <v>101</v>
      </c>
      <c r="B587" t="str">
        <f>_xlfn.XLOOKUP(A587,Лист8!C:C,Лист8!C:C,"-",0)</f>
        <v>-</v>
      </c>
      <c r="C587" t="str">
        <f t="shared" si="20"/>
        <v>-</v>
      </c>
      <c r="D587" t="str">
        <f t="shared" si="19"/>
        <v>-</v>
      </c>
    </row>
    <row r="588" spans="1:4" x14ac:dyDescent="0.25">
      <c r="A588" t="s">
        <v>102</v>
      </c>
      <c r="B588" t="str">
        <f>_xlfn.XLOOKUP(A588,Лист8!C:C,Лист8!C:C,"-",0)</f>
        <v>-</v>
      </c>
      <c r="C588" t="str">
        <f t="shared" si="20"/>
        <v>-</v>
      </c>
      <c r="D588" t="str">
        <f t="shared" si="19"/>
        <v>-</v>
      </c>
    </row>
    <row r="589" spans="1:4" x14ac:dyDescent="0.25">
      <c r="A589" t="s">
        <v>92</v>
      </c>
      <c r="B589" t="str">
        <f>_xlfn.XLOOKUP(A589,Лист8!C:C,Лист8!C:C,"-",0)</f>
        <v>-</v>
      </c>
      <c r="C589" t="str">
        <f t="shared" si="20"/>
        <v>S, M, L, XL</v>
      </c>
      <c r="D589" t="str">
        <f t="shared" si="19"/>
        <v>-</v>
      </c>
    </row>
    <row r="590" spans="1:4" x14ac:dyDescent="0.25">
      <c r="A590" t="s">
        <v>245</v>
      </c>
      <c r="B590" t="str">
        <f>_xlfn.XLOOKUP(A590,Лист8!C:C,Лист8!C:C,"-",0)</f>
        <v>-</v>
      </c>
      <c r="C590" t="str">
        <f t="shared" si="20"/>
        <v>-</v>
      </c>
      <c r="D590" t="str">
        <f t="shared" si="19"/>
        <v>Ochre Soft Khaki</v>
      </c>
    </row>
    <row r="591" spans="1:4" x14ac:dyDescent="0.25">
      <c r="A591" t="s">
        <v>246</v>
      </c>
      <c r="B591" t="str">
        <f>_xlfn.XLOOKUP(A591,Лист8!C:C,Лист8!C:C,"-",0)</f>
        <v>38349BH KLAXON</v>
      </c>
      <c r="C591" t="str">
        <f t="shared" si="20"/>
        <v>-</v>
      </c>
      <c r="D591" t="str">
        <f t="shared" si="19"/>
        <v>-</v>
      </c>
    </row>
    <row r="592" spans="1:4" x14ac:dyDescent="0.25">
      <c r="A592" t="s">
        <v>150</v>
      </c>
      <c r="B592" t="str">
        <f>_xlfn.XLOOKUP(A592,Лист8!C:C,Лист8!C:C,"-",0)</f>
        <v>-</v>
      </c>
      <c r="C592" t="str">
        <f t="shared" si="20"/>
        <v>-</v>
      </c>
      <c r="D592" t="str">
        <f t="shared" si="19"/>
        <v>-</v>
      </c>
    </row>
    <row r="593" spans="1:4" x14ac:dyDescent="0.25">
      <c r="A593" t="s">
        <v>420</v>
      </c>
      <c r="B593" t="str">
        <f>_xlfn.XLOOKUP(A593,Лист8!C:C,Лист8!C:C,"-",0)</f>
        <v>-</v>
      </c>
      <c r="C593" t="str">
        <f t="shared" si="20"/>
        <v>-</v>
      </c>
      <c r="D593" t="str">
        <f t="shared" si="19"/>
        <v>-</v>
      </c>
    </row>
    <row r="594" spans="1:4" x14ac:dyDescent="0.25">
      <c r="A594" t="s">
        <v>223</v>
      </c>
      <c r="B594" t="str">
        <f>_xlfn.XLOOKUP(A594,Лист8!C:C,Лист8!C:C,"-",0)</f>
        <v>-</v>
      </c>
      <c r="C594" t="str">
        <f t="shared" si="20"/>
        <v>-</v>
      </c>
      <c r="D594" t="str">
        <f t="shared" si="19"/>
        <v>-</v>
      </c>
    </row>
    <row r="595" spans="1:4" x14ac:dyDescent="0.25">
      <c r="A595" t="s">
        <v>406</v>
      </c>
      <c r="B595" t="str">
        <f>_xlfn.XLOOKUP(A595,Лист8!C:C,Лист8!C:C,"-",0)</f>
        <v>-</v>
      </c>
      <c r="C595" t="str">
        <f t="shared" si="20"/>
        <v>-</v>
      </c>
      <c r="D595" t="str">
        <f t="shared" si="19"/>
        <v>-</v>
      </c>
    </row>
    <row r="596" spans="1:4" x14ac:dyDescent="0.25">
      <c r="A596" t="s">
        <v>371</v>
      </c>
      <c r="B596" t="str">
        <f>_xlfn.XLOOKUP(A596,Лист8!C:C,Лист8!C:C,"-",0)</f>
        <v>-</v>
      </c>
      <c r="C596" t="str">
        <f t="shared" si="20"/>
        <v>-</v>
      </c>
      <c r="D596" t="str">
        <f t="shared" si="19"/>
        <v>-</v>
      </c>
    </row>
    <row r="597" spans="1:4" x14ac:dyDescent="0.25">
      <c r="A597" t="s">
        <v>102</v>
      </c>
      <c r="B597" t="str">
        <f>_xlfn.XLOOKUP(A597,Лист8!C:C,Лист8!C:C,"-",0)</f>
        <v>-</v>
      </c>
      <c r="C597" t="str">
        <f t="shared" si="20"/>
        <v>-</v>
      </c>
      <c r="D597" t="str">
        <f t="shared" si="19"/>
        <v>-</v>
      </c>
    </row>
    <row r="598" spans="1:4" x14ac:dyDescent="0.25">
      <c r="A598" t="s">
        <v>92</v>
      </c>
      <c r="B598" t="str">
        <f>_xlfn.XLOOKUP(A598,Лист8!C:C,Лист8!C:C,"-",0)</f>
        <v>-</v>
      </c>
      <c r="C598" t="str">
        <f t="shared" si="20"/>
        <v>S, M, L, XL</v>
      </c>
      <c r="D598" t="str">
        <f t="shared" si="19"/>
        <v>-</v>
      </c>
    </row>
    <row r="599" spans="1:4" x14ac:dyDescent="0.25">
      <c r="A599" t="s">
        <v>247</v>
      </c>
      <c r="B599" t="str">
        <f>_xlfn.XLOOKUP(A599,Лист8!C:C,Лист8!C:C,"-",0)</f>
        <v>-</v>
      </c>
      <c r="C599" t="str">
        <f t="shared" si="20"/>
        <v>-</v>
      </c>
      <c r="D599" t="str">
        <f t="shared" si="19"/>
        <v>Black Navy</v>
      </c>
    </row>
    <row r="600" spans="1:4" x14ac:dyDescent="0.25">
      <c r="A600" t="s">
        <v>248</v>
      </c>
      <c r="B600" t="str">
        <f>_xlfn.XLOOKUP(A600,Лист8!C:C,Лист8!C:C,"-",0)</f>
        <v>1451 JETT</v>
      </c>
      <c r="C600" t="str">
        <f t="shared" si="20"/>
        <v>-</v>
      </c>
      <c r="D600" t="str">
        <f t="shared" si="19"/>
        <v>-</v>
      </c>
    </row>
    <row r="601" spans="1:4" x14ac:dyDescent="0.25">
      <c r="A601" t="s">
        <v>249</v>
      </c>
      <c r="B601" t="str">
        <f>_xlfn.XLOOKUP(A601,Лист8!C:C,Лист8!C:C,"-",0)</f>
        <v>-</v>
      </c>
      <c r="C601" t="str">
        <f t="shared" si="20"/>
        <v>-</v>
      </c>
      <c r="D601" t="str">
        <f t="shared" si="19"/>
        <v>-</v>
      </c>
    </row>
    <row r="602" spans="1:4" x14ac:dyDescent="0.25">
      <c r="A602" t="s">
        <v>336</v>
      </c>
      <c r="B602" t="str">
        <f>_xlfn.XLOOKUP(A602,Лист8!C:C,Лист8!C:C,"-",0)</f>
        <v>-</v>
      </c>
      <c r="C602" t="str">
        <f t="shared" si="20"/>
        <v>-</v>
      </c>
      <c r="D602" t="str">
        <f t="shared" si="19"/>
        <v>-</v>
      </c>
    </row>
    <row r="603" spans="1:4" x14ac:dyDescent="0.25">
      <c r="A603" t="s">
        <v>407</v>
      </c>
      <c r="B603" t="str">
        <f>_xlfn.XLOOKUP(A603,Лист8!C:C,Лист8!C:C,"-",0)</f>
        <v>-</v>
      </c>
      <c r="C603" t="str">
        <f t="shared" si="20"/>
        <v>-</v>
      </c>
      <c r="D603" t="str">
        <f t="shared" si="19"/>
        <v>-</v>
      </c>
    </row>
    <row r="604" spans="1:4" x14ac:dyDescent="0.25">
      <c r="A604" t="s">
        <v>371</v>
      </c>
      <c r="B604" t="str">
        <f>_xlfn.XLOOKUP(A604,Лист8!C:C,Лист8!C:C,"-",0)</f>
        <v>-</v>
      </c>
      <c r="C604" t="str">
        <f t="shared" si="20"/>
        <v>-</v>
      </c>
      <c r="D604" t="str">
        <f t="shared" si="19"/>
        <v>-</v>
      </c>
    </row>
    <row r="605" spans="1:4" x14ac:dyDescent="0.25">
      <c r="A605" t="s">
        <v>122</v>
      </c>
      <c r="B605" t="str">
        <f>_xlfn.XLOOKUP(A605,Лист8!C:C,Лист8!C:C,"-",0)</f>
        <v>-</v>
      </c>
      <c r="C605" t="str">
        <f t="shared" si="20"/>
        <v>-</v>
      </c>
      <c r="D605" t="str">
        <f t="shared" si="19"/>
        <v>-</v>
      </c>
    </row>
    <row r="606" spans="1:4" x14ac:dyDescent="0.25">
      <c r="A606" t="s">
        <v>102</v>
      </c>
      <c r="B606" t="str">
        <f>_xlfn.XLOOKUP(A606,Лист8!C:C,Лист8!C:C,"-",0)</f>
        <v>-</v>
      </c>
      <c r="C606" t="str">
        <f t="shared" si="20"/>
        <v>-</v>
      </c>
      <c r="D606" t="str">
        <f t="shared" si="19"/>
        <v>-</v>
      </c>
    </row>
    <row r="607" spans="1:4" x14ac:dyDescent="0.25">
      <c r="A607" t="s">
        <v>250</v>
      </c>
      <c r="B607" t="str">
        <f>_xlfn.XLOOKUP(A607,Лист8!C:C,Лист8!C:C,"-",0)</f>
        <v>-</v>
      </c>
      <c r="C607" t="str">
        <f t="shared" si="20"/>
        <v>6 3/4, 6 7/8, 7, 7 1/8, 7 1/4, 7 3/8, 7 1/2, 7 5/8</v>
      </c>
      <c r="D607" t="str">
        <f t="shared" si="19"/>
        <v>-</v>
      </c>
    </row>
    <row r="608" spans="1:4" x14ac:dyDescent="0.25">
      <c r="A608" t="s">
        <v>131</v>
      </c>
      <c r="B608" t="str">
        <f>_xlfn.XLOOKUP(A608,Лист8!C:C,Лист8!C:C,"-",0)</f>
        <v>-</v>
      </c>
      <c r="C608" t="str">
        <f t="shared" si="20"/>
        <v>-</v>
      </c>
      <c r="D608" t="str">
        <f t="shared" si="19"/>
        <v>Black</v>
      </c>
    </row>
    <row r="609" spans="1:4" x14ac:dyDescent="0.25">
      <c r="A609">
        <v>39</v>
      </c>
      <c r="B609" t="str">
        <f>_xlfn.XLOOKUP(A609,Лист8!C:C,Лист8!C:C,"-",0)</f>
        <v>-</v>
      </c>
      <c r="C609" t="str">
        <f t="shared" si="20"/>
        <v>-</v>
      </c>
      <c r="D609" t="str">
        <f t="shared" si="19"/>
        <v>-</v>
      </c>
    </row>
    <row r="610" spans="1:4" x14ac:dyDescent="0.25">
      <c r="A610" t="s">
        <v>253</v>
      </c>
      <c r="B610" t="str">
        <f>_xlfn.XLOOKUP(A610,Лист8!C:C,Лист8!C:C,"-",0)</f>
        <v>1452 HARKER</v>
      </c>
      <c r="C610" t="str">
        <f t="shared" si="20"/>
        <v>-</v>
      </c>
      <c r="D610" t="str">
        <f t="shared" si="19"/>
        <v>-</v>
      </c>
    </row>
    <row r="611" spans="1:4" x14ac:dyDescent="0.25">
      <c r="A611" t="s">
        <v>251</v>
      </c>
      <c r="B611" t="str">
        <f>_xlfn.XLOOKUP(A611,Лист8!C:C,Лист8!C:C,"-",0)</f>
        <v>-</v>
      </c>
      <c r="C611" t="str">
        <f t="shared" si="20"/>
        <v>-</v>
      </c>
      <c r="D611" t="str">
        <f t="shared" si="19"/>
        <v>-</v>
      </c>
    </row>
    <row r="612" spans="1:4" x14ac:dyDescent="0.25">
      <c r="A612" t="s">
        <v>421</v>
      </c>
      <c r="B612" t="str">
        <f>_xlfn.XLOOKUP(A612,Лист8!C:C,Лист8!C:C,"-",0)</f>
        <v>-</v>
      </c>
      <c r="C612" t="str">
        <f t="shared" si="20"/>
        <v>-</v>
      </c>
      <c r="D612" t="str">
        <f t="shared" si="19"/>
        <v>-</v>
      </c>
    </row>
    <row r="613" spans="1:4" x14ac:dyDescent="0.25">
      <c r="A613" t="s">
        <v>407</v>
      </c>
      <c r="B613" t="str">
        <f>_xlfn.XLOOKUP(A613,Лист8!C:C,Лист8!C:C,"-",0)</f>
        <v>-</v>
      </c>
      <c r="C613" t="str">
        <f t="shared" si="20"/>
        <v>-</v>
      </c>
      <c r="D613" t="str">
        <f t="shared" si="19"/>
        <v>-</v>
      </c>
    </row>
    <row r="614" spans="1:4" x14ac:dyDescent="0.25">
      <c r="A614" t="s">
        <v>371</v>
      </c>
      <c r="B614" t="str">
        <f>_xlfn.XLOOKUP(A614,Лист8!C:C,Лист8!C:C,"-",0)</f>
        <v>-</v>
      </c>
      <c r="C614" t="str">
        <f t="shared" si="20"/>
        <v>-</v>
      </c>
      <c r="D614" t="str">
        <f t="shared" si="19"/>
        <v>-</v>
      </c>
    </row>
    <row r="615" spans="1:4" x14ac:dyDescent="0.25">
      <c r="A615" t="s">
        <v>122</v>
      </c>
      <c r="B615" t="str">
        <f>_xlfn.XLOOKUP(A615,Лист8!C:C,Лист8!C:C,"-",0)</f>
        <v>-</v>
      </c>
      <c r="C615" t="str">
        <f t="shared" si="20"/>
        <v>-</v>
      </c>
      <c r="D615" t="str">
        <f t="shared" si="19"/>
        <v>-</v>
      </c>
    </row>
    <row r="616" spans="1:4" x14ac:dyDescent="0.25">
      <c r="A616" t="s">
        <v>102</v>
      </c>
      <c r="B616" t="str">
        <f>_xlfn.XLOOKUP(A616,Лист8!C:C,Лист8!C:C,"-",0)</f>
        <v>-</v>
      </c>
      <c r="C616" t="str">
        <f t="shared" si="20"/>
        <v>-</v>
      </c>
      <c r="D616" t="str">
        <f t="shared" si="19"/>
        <v>-</v>
      </c>
    </row>
    <row r="617" spans="1:4" x14ac:dyDescent="0.25">
      <c r="A617" t="s">
        <v>250</v>
      </c>
      <c r="B617" t="str">
        <f>_xlfn.XLOOKUP(A617,Лист8!C:C,Лист8!C:C,"-",0)</f>
        <v>-</v>
      </c>
      <c r="C617" t="str">
        <f t="shared" si="20"/>
        <v>6 3/4, 6 7/8, 7, 7 1/8, 7 1/4, 7 3/8, 7 1/2, 7 5/8</v>
      </c>
      <c r="D617" t="str">
        <f t="shared" si="19"/>
        <v>-</v>
      </c>
    </row>
    <row r="618" spans="1:4" x14ac:dyDescent="0.25">
      <c r="A618" t="s">
        <v>254</v>
      </c>
      <c r="B618" t="str">
        <f>_xlfn.XLOOKUP(A618,Лист8!C:C,Лист8!C:C,"-",0)</f>
        <v>-</v>
      </c>
      <c r="C618" t="str">
        <f t="shared" si="20"/>
        <v>-</v>
      </c>
      <c r="D618" t="str">
        <f t="shared" si="19"/>
        <v>Black Hemlock</v>
      </c>
    </row>
    <row r="619" spans="1:4" x14ac:dyDescent="0.25">
      <c r="A619" t="s">
        <v>255</v>
      </c>
      <c r="B619" t="str">
        <f>_xlfn.XLOOKUP(A619,Лист8!C:C,Лист8!C:C,"-",0)</f>
        <v>3813 ICE</v>
      </c>
      <c r="C619" t="str">
        <f t="shared" si="20"/>
        <v>-</v>
      </c>
      <c r="D619" t="str">
        <f t="shared" si="19"/>
        <v>-</v>
      </c>
    </row>
    <row r="620" spans="1:4" x14ac:dyDescent="0.25">
      <c r="A620" t="s">
        <v>256</v>
      </c>
      <c r="B620" t="str">
        <f>_xlfn.XLOOKUP(A620,Лист8!C:C,Лист8!C:C,"-",0)</f>
        <v>-</v>
      </c>
      <c r="C620" t="str">
        <f t="shared" si="20"/>
        <v>-</v>
      </c>
      <c r="D620" t="str">
        <f t="shared" si="19"/>
        <v>-</v>
      </c>
    </row>
    <row r="621" spans="1:4" x14ac:dyDescent="0.25">
      <c r="A621" t="s">
        <v>422</v>
      </c>
      <c r="B621" t="str">
        <f>_xlfn.XLOOKUP(A621,Лист8!C:C,Лист8!C:C,"-",0)</f>
        <v>-</v>
      </c>
      <c r="C621" t="str">
        <f t="shared" si="20"/>
        <v>-</v>
      </c>
      <c r="D621" t="str">
        <f t="shared" si="19"/>
        <v>-</v>
      </c>
    </row>
    <row r="622" spans="1:4" x14ac:dyDescent="0.25">
      <c r="A622" t="s">
        <v>223</v>
      </c>
      <c r="B622" t="str">
        <f>_xlfn.XLOOKUP(A622,Лист8!C:C,Лист8!C:C,"-",0)</f>
        <v>-</v>
      </c>
      <c r="C622" t="str">
        <f t="shared" si="20"/>
        <v>-</v>
      </c>
      <c r="D622" t="str">
        <f t="shared" si="19"/>
        <v>-</v>
      </c>
    </row>
    <row r="623" spans="1:4" x14ac:dyDescent="0.25">
      <c r="A623" t="s">
        <v>371</v>
      </c>
      <c r="B623" t="str">
        <f>_xlfn.XLOOKUP(A623,Лист8!C:C,Лист8!C:C,"-",0)</f>
        <v>-</v>
      </c>
      <c r="C623" t="str">
        <f t="shared" si="20"/>
        <v>-</v>
      </c>
      <c r="D623" t="str">
        <f t="shared" si="19"/>
        <v>-</v>
      </c>
    </row>
    <row r="624" spans="1:4" x14ac:dyDescent="0.25">
      <c r="A624" t="s">
        <v>122</v>
      </c>
      <c r="B624" t="str">
        <f>_xlfn.XLOOKUP(A624,Лист8!C:C,Лист8!C:C,"-",0)</f>
        <v>-</v>
      </c>
      <c r="C624" t="str">
        <f t="shared" si="20"/>
        <v>-</v>
      </c>
      <c r="D624" t="str">
        <f t="shared" si="19"/>
        <v>-</v>
      </c>
    </row>
    <row r="625" spans="1:4" x14ac:dyDescent="0.25">
      <c r="A625" t="s">
        <v>102</v>
      </c>
      <c r="B625" t="str">
        <f>_xlfn.XLOOKUP(A625,Лист8!C:C,Лист8!C:C,"-",0)</f>
        <v>-</v>
      </c>
      <c r="C625" t="str">
        <f t="shared" si="20"/>
        <v>-</v>
      </c>
      <c r="D625" t="str">
        <f t="shared" si="19"/>
        <v>-</v>
      </c>
    </row>
    <row r="626" spans="1:4" x14ac:dyDescent="0.25">
      <c r="A626" t="s">
        <v>92</v>
      </c>
      <c r="B626" t="str">
        <f>_xlfn.XLOOKUP(A626,Лист8!C:C,Лист8!C:C,"-",0)</f>
        <v>-</v>
      </c>
      <c r="C626" t="str">
        <f t="shared" si="20"/>
        <v>S, M, L, XL</v>
      </c>
      <c r="D626" t="str">
        <f t="shared" si="19"/>
        <v>-</v>
      </c>
    </row>
    <row r="627" spans="1:4" x14ac:dyDescent="0.25">
      <c r="A627" t="s">
        <v>131</v>
      </c>
      <c r="B627" t="str">
        <f>_xlfn.XLOOKUP(A627,Лист8!C:C,Лист8!C:C,"-",0)</f>
        <v>-</v>
      </c>
      <c r="C627" t="str">
        <f t="shared" si="20"/>
        <v>-</v>
      </c>
      <c r="D627" t="str">
        <f t="shared" si="19"/>
        <v>Black</v>
      </c>
    </row>
    <row r="628" spans="1:4" x14ac:dyDescent="0.25">
      <c r="A628" t="s">
        <v>321</v>
      </c>
      <c r="B628" t="str">
        <f>_xlfn.XLOOKUP(A628,Лист8!C:C,Лист8!C:C,"-",0)</f>
        <v>3816 DERBY</v>
      </c>
      <c r="C628" t="str">
        <f t="shared" si="20"/>
        <v>-</v>
      </c>
      <c r="D628" t="str">
        <f t="shared" si="19"/>
        <v>-</v>
      </c>
    </row>
    <row r="629" spans="1:4" x14ac:dyDescent="0.25">
      <c r="A629" t="s">
        <v>251</v>
      </c>
      <c r="B629" t="str">
        <f>_xlfn.XLOOKUP(A629,Лист8!C:C,Лист8!C:C,"-",0)</f>
        <v>-</v>
      </c>
      <c r="C629" t="str">
        <f t="shared" si="20"/>
        <v>-</v>
      </c>
      <c r="D629" t="str">
        <f t="shared" si="19"/>
        <v>-</v>
      </c>
    </row>
    <row r="630" spans="1:4" x14ac:dyDescent="0.25">
      <c r="A630" t="s">
        <v>422</v>
      </c>
      <c r="B630" t="str">
        <f>_xlfn.XLOOKUP(A630,Лист8!C:C,Лист8!C:C,"-",0)</f>
        <v>-</v>
      </c>
      <c r="C630" t="str">
        <f t="shared" si="20"/>
        <v>-</v>
      </c>
      <c r="D630" t="str">
        <f t="shared" si="19"/>
        <v>-</v>
      </c>
    </row>
    <row r="631" spans="1:4" x14ac:dyDescent="0.25">
      <c r="A631" t="s">
        <v>223</v>
      </c>
      <c r="B631" t="str">
        <f>_xlfn.XLOOKUP(A631,Лист8!C:C,Лист8!C:C,"-",0)</f>
        <v>-</v>
      </c>
      <c r="C631" t="str">
        <f t="shared" si="20"/>
        <v>-</v>
      </c>
      <c r="D631" t="str">
        <f t="shared" si="19"/>
        <v>-</v>
      </c>
    </row>
    <row r="632" spans="1:4" x14ac:dyDescent="0.25">
      <c r="A632" t="s">
        <v>371</v>
      </c>
      <c r="B632" t="str">
        <f>_xlfn.XLOOKUP(A632,Лист8!C:C,Лист8!C:C,"-",0)</f>
        <v>-</v>
      </c>
      <c r="C632" t="str">
        <f t="shared" si="20"/>
        <v>-</v>
      </c>
      <c r="D632" t="str">
        <f t="shared" si="19"/>
        <v>-</v>
      </c>
    </row>
    <row r="633" spans="1:4" x14ac:dyDescent="0.25">
      <c r="A633" t="s">
        <v>122</v>
      </c>
      <c r="B633" t="str">
        <f>_xlfn.XLOOKUP(A633,Лист8!C:C,Лист8!C:C,"-",0)</f>
        <v>-</v>
      </c>
      <c r="C633" t="str">
        <f t="shared" si="20"/>
        <v>-</v>
      </c>
      <c r="D633" t="str">
        <f t="shared" si="19"/>
        <v>-</v>
      </c>
    </row>
    <row r="634" spans="1:4" x14ac:dyDescent="0.25">
      <c r="A634" t="s">
        <v>102</v>
      </c>
      <c r="B634" t="str">
        <f>_xlfn.XLOOKUP(A634,Лист8!C:C,Лист8!C:C,"-",0)</f>
        <v>-</v>
      </c>
      <c r="C634" t="str">
        <f t="shared" si="20"/>
        <v>-</v>
      </c>
      <c r="D634" t="str">
        <f t="shared" si="19"/>
        <v>-</v>
      </c>
    </row>
    <row r="635" spans="1:4" x14ac:dyDescent="0.25">
      <c r="A635" t="s">
        <v>165</v>
      </c>
      <c r="B635" t="str">
        <f>_xlfn.XLOOKUP(A635,Лист8!C:C,Лист8!C:C,"-",0)</f>
        <v>-</v>
      </c>
      <c r="C635" t="str">
        <f t="shared" si="20"/>
        <v>S, M, L, XL, XXL</v>
      </c>
      <c r="D635" t="str">
        <f t="shared" si="19"/>
        <v>-</v>
      </c>
    </row>
    <row r="636" spans="1:4" x14ac:dyDescent="0.25">
      <c r="A636" t="s">
        <v>252</v>
      </c>
      <c r="B636" t="str">
        <f>_xlfn.XLOOKUP(A636,Лист8!C:C,Лист8!C:C,"-",0)</f>
        <v>-</v>
      </c>
      <c r="C636" t="str">
        <f t="shared" si="20"/>
        <v>-</v>
      </c>
      <c r="D636" t="str">
        <f t="shared" si="19"/>
        <v>Black Brown White</v>
      </c>
    </row>
    <row r="637" spans="1:4" x14ac:dyDescent="0.25">
      <c r="A637">
        <v>41</v>
      </c>
      <c r="B637" t="str">
        <f>_xlfn.XLOOKUP(A637,Лист8!C:C,Лист8!C:C,"-",0)</f>
        <v>-</v>
      </c>
      <c r="C637" t="str">
        <f t="shared" si="20"/>
        <v>-</v>
      </c>
      <c r="D637" t="str">
        <f t="shared" si="19"/>
        <v>-</v>
      </c>
    </row>
    <row r="638" spans="1:4" x14ac:dyDescent="0.25">
      <c r="A638" t="s">
        <v>322</v>
      </c>
      <c r="B638" t="str">
        <f>_xlfn.XLOOKUP(A638,Лист8!C:C,Лист8!C:C,"-",0)</f>
        <v>81670 BILLY</v>
      </c>
      <c r="C638" t="str">
        <f t="shared" si="20"/>
        <v>-</v>
      </c>
      <c r="D638" t="str">
        <f t="shared" si="19"/>
        <v>-</v>
      </c>
    </row>
    <row r="639" spans="1:4" x14ac:dyDescent="0.25">
      <c r="A639" t="s">
        <v>423</v>
      </c>
      <c r="B639" t="str">
        <f>_xlfn.XLOOKUP(A639,Лист8!C:C,Лист8!C:C,"-",0)</f>
        <v>-</v>
      </c>
      <c r="C639" t="str">
        <f t="shared" si="20"/>
        <v>-</v>
      </c>
      <c r="D639" t="str">
        <f t="shared" si="19"/>
        <v>-</v>
      </c>
    </row>
    <row r="640" spans="1:4" x14ac:dyDescent="0.25">
      <c r="A640" t="s">
        <v>424</v>
      </c>
      <c r="B640" t="str">
        <f>_xlfn.XLOOKUP(A640,Лист8!C:C,Лист8!C:C,"-",0)</f>
        <v>-</v>
      </c>
      <c r="C640" t="str">
        <f t="shared" si="20"/>
        <v>-</v>
      </c>
      <c r="D640" t="str">
        <f t="shared" si="19"/>
        <v>-</v>
      </c>
    </row>
    <row r="641" spans="1:4" x14ac:dyDescent="0.25">
      <c r="A641" t="s">
        <v>258</v>
      </c>
      <c r="B641" t="str">
        <f>_xlfn.XLOOKUP(A641,Лист8!C:C,Лист8!C:C,"-",0)</f>
        <v>-</v>
      </c>
      <c r="C641" t="str">
        <f t="shared" si="20"/>
        <v>-</v>
      </c>
      <c r="D641" t="str">
        <f t="shared" ref="D641:D704" si="21">IF(C640&lt;&gt;"-",A641,"-")</f>
        <v>-</v>
      </c>
    </row>
    <row r="642" spans="1:4" x14ac:dyDescent="0.25">
      <c r="A642" t="s">
        <v>371</v>
      </c>
      <c r="B642" t="str">
        <f>_xlfn.XLOOKUP(A642,Лист8!C:C,Лист8!C:C,"-",0)</f>
        <v>-</v>
      </c>
      <c r="C642" t="str">
        <f t="shared" ref="C642:C705" si="22">IF(IFERROR(FIND(",",A642)&gt;1,FALSE),A642,"-")</f>
        <v>-</v>
      </c>
      <c r="D642" t="str">
        <f t="shared" si="21"/>
        <v>-</v>
      </c>
    </row>
    <row r="643" spans="1:4" x14ac:dyDescent="0.25">
      <c r="A643" t="s">
        <v>165</v>
      </c>
      <c r="B643" t="str">
        <f>_xlfn.XLOOKUP(A643,Лист8!C:C,Лист8!C:C,"-",0)</f>
        <v>-</v>
      </c>
      <c r="C643" t="str">
        <f t="shared" si="22"/>
        <v>S, M, L, XL, XXL</v>
      </c>
      <c r="D643" t="str">
        <f t="shared" si="21"/>
        <v>-</v>
      </c>
    </row>
    <row r="644" spans="1:4" x14ac:dyDescent="0.25">
      <c r="A644" t="s">
        <v>260</v>
      </c>
      <c r="B644" t="str">
        <f>_xlfn.XLOOKUP(A644,Лист8!C:C,Лист8!C:C,"-",0)</f>
        <v>-</v>
      </c>
      <c r="C644" t="str">
        <f t="shared" si="22"/>
        <v>-</v>
      </c>
      <c r="D644" t="str">
        <f t="shared" si="21"/>
        <v>Fog Latte Navy Static Tan</v>
      </c>
    </row>
    <row r="645" spans="1:4" x14ac:dyDescent="0.25">
      <c r="A645" t="s">
        <v>259</v>
      </c>
      <c r="B645" t="str">
        <f>_xlfn.XLOOKUP(A645,Лист8!C:C,Лист8!C:C,"-",0)</f>
        <v>-</v>
      </c>
      <c r="C645" t="str">
        <f t="shared" si="22"/>
        <v>-</v>
      </c>
      <c r="D645" t="str">
        <f t="shared" si="21"/>
        <v>-</v>
      </c>
    </row>
    <row r="646" spans="1:4" x14ac:dyDescent="0.25">
      <c r="A646" t="s">
        <v>261</v>
      </c>
      <c r="B646" t="str">
        <f>_xlfn.XLOOKUP(A646,Лист8!C:C,Лист8!C:C,"-",0)</f>
        <v>81690 MANNES</v>
      </c>
      <c r="C646" t="str">
        <f t="shared" si="22"/>
        <v>-</v>
      </c>
      <c r="D646" t="str">
        <f t="shared" si="21"/>
        <v>-</v>
      </c>
    </row>
    <row r="647" spans="1:4" x14ac:dyDescent="0.25">
      <c r="A647" t="s">
        <v>423</v>
      </c>
      <c r="B647" t="str">
        <f>_xlfn.XLOOKUP(A647,Лист8!C:C,Лист8!C:C,"-",0)</f>
        <v>-</v>
      </c>
      <c r="C647" t="str">
        <f t="shared" si="22"/>
        <v>-</v>
      </c>
      <c r="D647" t="str">
        <f t="shared" si="21"/>
        <v>-</v>
      </c>
    </row>
    <row r="648" spans="1:4" x14ac:dyDescent="0.25">
      <c r="A648" t="s">
        <v>424</v>
      </c>
      <c r="B648" t="str">
        <f>_xlfn.XLOOKUP(A648,Лист8!C:C,Лист8!C:C,"-",0)</f>
        <v>-</v>
      </c>
      <c r="C648" t="str">
        <f t="shared" si="22"/>
        <v>-</v>
      </c>
      <c r="D648" t="str">
        <f t="shared" si="21"/>
        <v>-</v>
      </c>
    </row>
    <row r="649" spans="1:4" x14ac:dyDescent="0.25">
      <c r="A649" t="s">
        <v>425</v>
      </c>
      <c r="B649" t="str">
        <f>_xlfn.XLOOKUP(A649,Лист8!C:C,Лист8!C:C,"-",0)</f>
        <v>-</v>
      </c>
      <c r="C649" t="str">
        <f t="shared" si="22"/>
        <v>-</v>
      </c>
      <c r="D649" t="str">
        <f t="shared" si="21"/>
        <v>-</v>
      </c>
    </row>
    <row r="650" spans="1:4" x14ac:dyDescent="0.25">
      <c r="A650" t="s">
        <v>371</v>
      </c>
      <c r="B650" t="str">
        <f>_xlfn.XLOOKUP(A650,Лист8!C:C,Лист8!C:C,"-",0)</f>
        <v>-</v>
      </c>
      <c r="C650" t="str">
        <f t="shared" si="22"/>
        <v>-</v>
      </c>
      <c r="D650" t="str">
        <f t="shared" si="21"/>
        <v>-</v>
      </c>
    </row>
    <row r="651" spans="1:4" x14ac:dyDescent="0.25">
      <c r="A651" t="s">
        <v>165</v>
      </c>
      <c r="B651" t="str">
        <f>_xlfn.XLOOKUP(A651,Лист8!C:C,Лист8!C:C,"-",0)</f>
        <v>-</v>
      </c>
      <c r="C651" t="str">
        <f t="shared" si="22"/>
        <v>S, M, L, XL, XXL</v>
      </c>
      <c r="D651" t="str">
        <f t="shared" si="21"/>
        <v>-</v>
      </c>
    </row>
    <row r="652" spans="1:4" x14ac:dyDescent="0.25">
      <c r="A652" t="s">
        <v>263</v>
      </c>
      <c r="B652" t="str">
        <f>_xlfn.XLOOKUP(A652,Лист8!C:C,Лист8!C:C,"-",0)</f>
        <v>-</v>
      </c>
      <c r="C652" t="str">
        <f t="shared" si="22"/>
        <v>-</v>
      </c>
      <c r="D652" t="str">
        <f t="shared" si="21"/>
        <v>Navy Multi Nordic Multi Overcast Skydiver Woods Multi</v>
      </c>
    </row>
    <row r="653" spans="1:4" x14ac:dyDescent="0.25">
      <c r="A653" t="s">
        <v>426</v>
      </c>
      <c r="B653" t="str">
        <f>_xlfn.XLOOKUP(A653,Лист8!C:C,Лист8!C:C,"-",0)</f>
        <v>-</v>
      </c>
      <c r="C653" t="str">
        <f t="shared" si="22"/>
        <v>-</v>
      </c>
      <c r="D653" t="str">
        <f t="shared" si="21"/>
        <v>-</v>
      </c>
    </row>
    <row r="654" spans="1:4" x14ac:dyDescent="0.25">
      <c r="A654" t="s">
        <v>262</v>
      </c>
      <c r="B654" t="str">
        <f>_xlfn.XLOOKUP(A654,Лист8!C:C,Лист8!C:C,"-",0)</f>
        <v>-</v>
      </c>
      <c r="C654" t="str">
        <f t="shared" si="22"/>
        <v>-</v>
      </c>
      <c r="D654" t="str">
        <f t="shared" si="21"/>
        <v>-</v>
      </c>
    </row>
    <row r="655" spans="1:4" x14ac:dyDescent="0.25">
      <c r="A655" t="s">
        <v>427</v>
      </c>
      <c r="B655" t="str">
        <f>_xlfn.XLOOKUP(A655,Лист8!C:C,Лист8!C:C,"-",0)</f>
        <v>-</v>
      </c>
      <c r="C655" t="str">
        <f t="shared" si="22"/>
        <v>-</v>
      </c>
      <c r="D655" t="str">
        <f t="shared" si="21"/>
        <v>-</v>
      </c>
    </row>
    <row r="656" spans="1:4" x14ac:dyDescent="0.25">
      <c r="A656" t="s">
        <v>257</v>
      </c>
      <c r="B656" t="str">
        <f>_xlfn.XLOOKUP(A656,Лист8!C:C,Лист8!C:C,"-",0)</f>
        <v>-</v>
      </c>
      <c r="C656" t="str">
        <f t="shared" si="22"/>
        <v>-</v>
      </c>
      <c r="D656" t="str">
        <f t="shared" si="21"/>
        <v>-</v>
      </c>
    </row>
    <row r="657" spans="1:4" x14ac:dyDescent="0.25">
      <c r="A657">
        <v>43</v>
      </c>
      <c r="B657" t="str">
        <f>_xlfn.XLOOKUP(A657,Лист8!C:C,Лист8!C:C,"-",0)</f>
        <v>-</v>
      </c>
      <c r="C657" t="str">
        <f t="shared" si="22"/>
        <v>-</v>
      </c>
      <c r="D657" t="str">
        <f t="shared" si="21"/>
        <v>-</v>
      </c>
    </row>
    <row r="658" spans="1:4" x14ac:dyDescent="0.25">
      <c r="A658" t="s">
        <v>265</v>
      </c>
      <c r="B658" t="str">
        <f>_xlfn.XLOOKUP(A658,Лист8!C:C,Лист8!C:C,"-",0)</f>
        <v>25550BH DERIN</v>
      </c>
      <c r="C658" t="str">
        <f t="shared" si="22"/>
        <v>-</v>
      </c>
      <c r="D658" t="str">
        <f t="shared" si="21"/>
        <v>-</v>
      </c>
    </row>
    <row r="659" spans="1:4" x14ac:dyDescent="0.25">
      <c r="A659" t="s">
        <v>428</v>
      </c>
      <c r="B659" t="str">
        <f>_xlfn.XLOOKUP(A659,Лист8!C:C,Лист8!C:C,"-",0)</f>
        <v>-</v>
      </c>
      <c r="C659" t="str">
        <f t="shared" si="22"/>
        <v>-</v>
      </c>
      <c r="D659" t="str">
        <f t="shared" si="21"/>
        <v>-</v>
      </c>
    </row>
    <row r="660" spans="1:4" x14ac:dyDescent="0.25">
      <c r="A660" t="s">
        <v>371</v>
      </c>
      <c r="B660" t="str">
        <f>_xlfn.XLOOKUP(A660,Лист8!C:C,Лист8!C:C,"-",0)</f>
        <v>-</v>
      </c>
      <c r="C660" t="str">
        <f t="shared" si="22"/>
        <v>-</v>
      </c>
      <c r="D660" t="str">
        <f t="shared" si="21"/>
        <v>-</v>
      </c>
    </row>
    <row r="661" spans="1:4" x14ac:dyDescent="0.25">
      <c r="A661" t="s">
        <v>102</v>
      </c>
      <c r="B661" t="str">
        <f>_xlfn.XLOOKUP(A661,Лист8!C:C,Лист8!C:C,"-",0)</f>
        <v>-</v>
      </c>
      <c r="C661" t="str">
        <f t="shared" si="22"/>
        <v>-</v>
      </c>
      <c r="D661" t="str">
        <f t="shared" si="21"/>
        <v>-</v>
      </c>
    </row>
    <row r="662" spans="1:4" x14ac:dyDescent="0.25">
      <c r="A662" t="s">
        <v>92</v>
      </c>
      <c r="B662" t="str">
        <f>_xlfn.XLOOKUP(A662,Лист8!C:C,Лист8!C:C,"-",0)</f>
        <v>-</v>
      </c>
      <c r="C662" t="str">
        <f t="shared" si="22"/>
        <v>S, M, L, XL</v>
      </c>
      <c r="D662" t="str">
        <f t="shared" si="21"/>
        <v>-</v>
      </c>
    </row>
    <row r="663" spans="1:4" x14ac:dyDescent="0.25">
      <c r="A663" t="s">
        <v>266</v>
      </c>
      <c r="B663" t="str">
        <f>_xlfn.XLOOKUP(A663,Лист8!C:C,Лист8!C:C,"-",0)</f>
        <v>-</v>
      </c>
      <c r="C663" t="str">
        <f t="shared" si="22"/>
        <v>-</v>
      </c>
      <c r="D663" t="str">
        <f t="shared" si="21"/>
        <v>Black Blue Bronze</v>
      </c>
    </row>
    <row r="664" spans="1:4" x14ac:dyDescent="0.25">
      <c r="A664" t="s">
        <v>268</v>
      </c>
      <c r="B664" t="str">
        <f>_xlfn.XLOOKUP(A664,Лист8!C:C,Лист8!C:C,"-",0)</f>
        <v>25553BH ABEL</v>
      </c>
      <c r="C664" t="str">
        <f t="shared" si="22"/>
        <v>-</v>
      </c>
      <c r="D664" t="str">
        <f t="shared" si="21"/>
        <v>-</v>
      </c>
    </row>
    <row r="665" spans="1:4" x14ac:dyDescent="0.25">
      <c r="A665" t="s">
        <v>269</v>
      </c>
      <c r="B665" t="str">
        <f>_xlfn.XLOOKUP(A665,Лист8!C:C,Лист8!C:C,"-",0)</f>
        <v>-</v>
      </c>
      <c r="C665" t="str">
        <f t="shared" si="22"/>
        <v>-</v>
      </c>
      <c r="D665" t="str">
        <f t="shared" si="21"/>
        <v>-</v>
      </c>
    </row>
    <row r="666" spans="1:4" x14ac:dyDescent="0.25">
      <c r="A666" t="s">
        <v>429</v>
      </c>
      <c r="B666" t="str">
        <f>_xlfn.XLOOKUP(A666,Лист8!C:C,Лист8!C:C,"-",0)</f>
        <v>-</v>
      </c>
      <c r="C666" t="str">
        <f t="shared" si="22"/>
        <v>-</v>
      </c>
      <c r="D666" t="str">
        <f t="shared" si="21"/>
        <v>-</v>
      </c>
    </row>
    <row r="667" spans="1:4" x14ac:dyDescent="0.25">
      <c r="A667" t="s">
        <v>430</v>
      </c>
      <c r="B667" t="str">
        <f>_xlfn.XLOOKUP(A667,Лист8!C:C,Лист8!C:C,"-",0)</f>
        <v>-</v>
      </c>
      <c r="C667" t="str">
        <f t="shared" si="22"/>
        <v>-</v>
      </c>
      <c r="D667" t="str">
        <f t="shared" si="21"/>
        <v>-</v>
      </c>
    </row>
    <row r="668" spans="1:4" x14ac:dyDescent="0.25">
      <c r="A668" t="s">
        <v>371</v>
      </c>
      <c r="B668" t="str">
        <f>_xlfn.XLOOKUP(A668,Лист8!C:C,Лист8!C:C,"-",0)</f>
        <v>-</v>
      </c>
      <c r="C668" t="str">
        <f t="shared" si="22"/>
        <v>-</v>
      </c>
      <c r="D668" t="str">
        <f t="shared" si="21"/>
        <v>-</v>
      </c>
    </row>
    <row r="669" spans="1:4" x14ac:dyDescent="0.25">
      <c r="A669" t="s">
        <v>102</v>
      </c>
      <c r="B669" t="str">
        <f>_xlfn.XLOOKUP(A669,Лист8!C:C,Лист8!C:C,"-",0)</f>
        <v>-</v>
      </c>
      <c r="C669" t="str">
        <f t="shared" si="22"/>
        <v>-</v>
      </c>
      <c r="D669" t="str">
        <f t="shared" si="21"/>
        <v>-</v>
      </c>
    </row>
    <row r="670" spans="1:4" x14ac:dyDescent="0.25">
      <c r="A670" t="s">
        <v>92</v>
      </c>
      <c r="B670" t="str">
        <f>_xlfn.XLOOKUP(A670,Лист8!C:C,Лист8!C:C,"-",0)</f>
        <v>-</v>
      </c>
      <c r="C670" t="str">
        <f t="shared" si="22"/>
        <v>S, M, L, XL</v>
      </c>
      <c r="D670" t="str">
        <f t="shared" si="21"/>
        <v>-</v>
      </c>
    </row>
    <row r="671" spans="1:4" x14ac:dyDescent="0.25">
      <c r="A671" t="s">
        <v>270</v>
      </c>
      <c r="B671" t="str">
        <f>_xlfn.XLOOKUP(A671,Лист8!C:C,Лист8!C:C,"-",0)</f>
        <v>-</v>
      </c>
      <c r="C671" t="str">
        <f t="shared" si="22"/>
        <v>-</v>
      </c>
      <c r="D671" t="str">
        <f t="shared" si="21"/>
        <v>Copper Green Grey</v>
      </c>
    </row>
    <row r="672" spans="1:4" x14ac:dyDescent="0.25">
      <c r="A672" t="s">
        <v>267</v>
      </c>
      <c r="B672" t="str">
        <f>_xlfn.XLOOKUP(A672,Лист8!C:C,Лист8!C:C,"-",0)</f>
        <v>25552BH CLAUD</v>
      </c>
      <c r="C672" t="str">
        <f t="shared" si="22"/>
        <v>-</v>
      </c>
      <c r="D672" t="str">
        <f t="shared" si="21"/>
        <v>-</v>
      </c>
    </row>
    <row r="673" spans="1:4" x14ac:dyDescent="0.25">
      <c r="A673" t="s">
        <v>431</v>
      </c>
      <c r="B673" t="str">
        <f>_xlfn.XLOOKUP(A673,Лист8!C:C,Лист8!C:C,"-",0)</f>
        <v>-</v>
      </c>
      <c r="C673" t="str">
        <f t="shared" si="22"/>
        <v>-</v>
      </c>
      <c r="D673" t="str">
        <f t="shared" si="21"/>
        <v>-</v>
      </c>
    </row>
    <row r="674" spans="1:4" x14ac:dyDescent="0.25">
      <c r="A674" t="s">
        <v>430</v>
      </c>
      <c r="B674" t="str">
        <f>_xlfn.XLOOKUP(A674,Лист8!C:C,Лист8!C:C,"-",0)</f>
        <v>-</v>
      </c>
      <c r="C674" t="str">
        <f t="shared" si="22"/>
        <v>-</v>
      </c>
      <c r="D674" t="str">
        <f t="shared" si="21"/>
        <v>-</v>
      </c>
    </row>
    <row r="675" spans="1:4" x14ac:dyDescent="0.25">
      <c r="A675" t="s">
        <v>371</v>
      </c>
      <c r="B675" t="str">
        <f>_xlfn.XLOOKUP(A675,Лист8!C:C,Лист8!C:C,"-",0)</f>
        <v>-</v>
      </c>
      <c r="C675" t="str">
        <f t="shared" si="22"/>
        <v>-</v>
      </c>
      <c r="D675" t="str">
        <f t="shared" si="21"/>
        <v>-</v>
      </c>
    </row>
    <row r="676" spans="1:4" x14ac:dyDescent="0.25">
      <c r="A676" t="s">
        <v>102</v>
      </c>
      <c r="B676" t="str">
        <f>_xlfn.XLOOKUP(A676,Лист8!C:C,Лист8!C:C,"-",0)</f>
        <v>-</v>
      </c>
      <c r="C676" t="str">
        <f t="shared" si="22"/>
        <v>-</v>
      </c>
      <c r="D676" t="str">
        <f t="shared" si="21"/>
        <v>-</v>
      </c>
    </row>
    <row r="677" spans="1:4" x14ac:dyDescent="0.25">
      <c r="A677" t="s">
        <v>92</v>
      </c>
      <c r="B677" t="str">
        <f>_xlfn.XLOOKUP(A677,Лист8!C:C,Лист8!C:C,"-",0)</f>
        <v>-</v>
      </c>
      <c r="C677" t="str">
        <f t="shared" si="22"/>
        <v>S, M, L, XL</v>
      </c>
      <c r="D677" t="str">
        <f t="shared" si="21"/>
        <v>-</v>
      </c>
    </row>
    <row r="678" spans="1:4" x14ac:dyDescent="0.25">
      <c r="A678" t="s">
        <v>266</v>
      </c>
      <c r="B678" t="str">
        <f>_xlfn.XLOOKUP(A678,Лист8!C:C,Лист8!C:C,"-",0)</f>
        <v>-</v>
      </c>
      <c r="C678" t="str">
        <f t="shared" si="22"/>
        <v>-</v>
      </c>
      <c r="D678" t="str">
        <f t="shared" si="21"/>
        <v>Black Blue Bronze</v>
      </c>
    </row>
    <row r="679" spans="1:4" x14ac:dyDescent="0.25">
      <c r="A679" t="s">
        <v>264</v>
      </c>
      <c r="B679" t="str">
        <f>_xlfn.XLOOKUP(A679,Лист8!C:C,Лист8!C:C,"-",0)</f>
        <v>-</v>
      </c>
      <c r="C679" t="str">
        <f t="shared" si="22"/>
        <v>-</v>
      </c>
      <c r="D679" t="str">
        <f t="shared" si="21"/>
        <v>-</v>
      </c>
    </row>
    <row r="680" spans="1:4" x14ac:dyDescent="0.25">
      <c r="A680">
        <v>44</v>
      </c>
      <c r="B680" t="str">
        <f>_xlfn.XLOOKUP(A680,Лист8!C:C,Лист8!C:C,"-",0)</f>
        <v>-</v>
      </c>
      <c r="C680" t="str">
        <f t="shared" si="22"/>
        <v>-</v>
      </c>
      <c r="D680" t="str">
        <f t="shared" si="21"/>
        <v>-</v>
      </c>
    </row>
    <row r="681" spans="1:4" x14ac:dyDescent="0.25">
      <c r="A681" t="s">
        <v>276</v>
      </c>
      <c r="B681" t="str">
        <f>_xlfn.XLOOKUP(A681,Лист8!C:C,Лист8!C:C,"-",0)</f>
        <v>-</v>
      </c>
      <c r="C681" t="str">
        <f t="shared" si="22"/>
        <v>-</v>
      </c>
      <c r="D681" t="str">
        <f t="shared" si="21"/>
        <v>-</v>
      </c>
    </row>
    <row r="682" spans="1:4" x14ac:dyDescent="0.25">
      <c r="A682" t="s">
        <v>274</v>
      </c>
      <c r="B682" t="str">
        <f>_xlfn.XLOOKUP(A682,Лист8!C:C,Лист8!C:C,"-",0)</f>
        <v>25551BH FOSTER</v>
      </c>
      <c r="C682" t="str">
        <f t="shared" si="22"/>
        <v>-</v>
      </c>
      <c r="D682" t="str">
        <f t="shared" si="21"/>
        <v>-</v>
      </c>
    </row>
    <row r="683" spans="1:4" x14ac:dyDescent="0.25">
      <c r="A683" t="s">
        <v>431</v>
      </c>
      <c r="B683" t="str">
        <f>_xlfn.XLOOKUP(A683,Лист8!C:C,Лист8!C:C,"-",0)</f>
        <v>-</v>
      </c>
      <c r="C683" t="str">
        <f t="shared" si="22"/>
        <v>-</v>
      </c>
      <c r="D683" t="str">
        <f t="shared" si="21"/>
        <v>-</v>
      </c>
    </row>
    <row r="684" spans="1:4" x14ac:dyDescent="0.25">
      <c r="A684" t="s">
        <v>430</v>
      </c>
      <c r="B684" t="str">
        <f>_xlfn.XLOOKUP(A684,Лист8!C:C,Лист8!C:C,"-",0)</f>
        <v>-</v>
      </c>
      <c r="C684" t="str">
        <f t="shared" si="22"/>
        <v>-</v>
      </c>
      <c r="D684" t="str">
        <f t="shared" si="21"/>
        <v>-</v>
      </c>
    </row>
    <row r="685" spans="1:4" x14ac:dyDescent="0.25">
      <c r="A685" t="s">
        <v>432</v>
      </c>
      <c r="B685" t="str">
        <f>_xlfn.XLOOKUP(A685,Лист8!C:C,Лист8!C:C,"-",0)</f>
        <v>-</v>
      </c>
      <c r="C685" t="str">
        <f t="shared" si="22"/>
        <v>-</v>
      </c>
      <c r="D685" t="str">
        <f t="shared" si="21"/>
        <v>-</v>
      </c>
    </row>
    <row r="686" spans="1:4" x14ac:dyDescent="0.25">
      <c r="A686" t="s">
        <v>371</v>
      </c>
      <c r="B686" t="str">
        <f>_xlfn.XLOOKUP(A686,Лист8!C:C,Лист8!C:C,"-",0)</f>
        <v>-</v>
      </c>
      <c r="C686" t="str">
        <f t="shared" si="22"/>
        <v>-</v>
      </c>
      <c r="D686" t="str">
        <f t="shared" si="21"/>
        <v>-</v>
      </c>
    </row>
    <row r="687" spans="1:4" x14ac:dyDescent="0.25">
      <c r="A687" t="s">
        <v>102</v>
      </c>
      <c r="B687" t="str">
        <f>_xlfn.XLOOKUP(A687,Лист8!C:C,Лист8!C:C,"-",0)</f>
        <v>-</v>
      </c>
      <c r="C687" t="str">
        <f t="shared" si="22"/>
        <v>-</v>
      </c>
      <c r="D687" t="str">
        <f t="shared" si="21"/>
        <v>-</v>
      </c>
    </row>
    <row r="688" spans="1:4" x14ac:dyDescent="0.25">
      <c r="A688" t="s">
        <v>92</v>
      </c>
      <c r="B688" t="str">
        <f>_xlfn.XLOOKUP(A688,Лист8!C:C,Лист8!C:C,"-",0)</f>
        <v>-</v>
      </c>
      <c r="C688" t="str">
        <f t="shared" si="22"/>
        <v>S, M, L, XL</v>
      </c>
      <c r="D688" t="str">
        <f t="shared" si="21"/>
        <v>-</v>
      </c>
    </row>
    <row r="689" spans="1:4" x14ac:dyDescent="0.25">
      <c r="A689" t="s">
        <v>275</v>
      </c>
      <c r="B689" t="str">
        <f>_xlfn.XLOOKUP(A689,Лист8!C:C,Лист8!C:C,"-",0)</f>
        <v>-</v>
      </c>
      <c r="C689" t="str">
        <f t="shared" si="22"/>
        <v>-</v>
      </c>
      <c r="D689" t="str">
        <f t="shared" si="21"/>
        <v>Avion Black Oak</v>
      </c>
    </row>
    <row r="690" spans="1:4" x14ac:dyDescent="0.25">
      <c r="A690" t="s">
        <v>272</v>
      </c>
      <c r="B690" t="str">
        <f>_xlfn.XLOOKUP(A690,Лист8!C:C,Лист8!C:C,"-",0)</f>
        <v>25555BH APOSTO</v>
      </c>
      <c r="C690" t="str">
        <f t="shared" si="22"/>
        <v>-</v>
      </c>
      <c r="D690" t="str">
        <f t="shared" si="21"/>
        <v>-</v>
      </c>
    </row>
    <row r="691" spans="1:4" x14ac:dyDescent="0.25">
      <c r="A691" t="s">
        <v>269</v>
      </c>
      <c r="B691" t="str">
        <f>_xlfn.XLOOKUP(A691,Лист8!C:C,Лист8!C:C,"-",0)</f>
        <v>-</v>
      </c>
      <c r="C691" t="str">
        <f t="shared" si="22"/>
        <v>-</v>
      </c>
      <c r="D691" t="str">
        <f t="shared" si="21"/>
        <v>-</v>
      </c>
    </row>
    <row r="692" spans="1:4" x14ac:dyDescent="0.25">
      <c r="A692" t="s">
        <v>430</v>
      </c>
      <c r="B692" t="str">
        <f>_xlfn.XLOOKUP(A692,Лист8!C:C,Лист8!C:C,"-",0)</f>
        <v>-</v>
      </c>
      <c r="C692" t="str">
        <f t="shared" si="22"/>
        <v>-</v>
      </c>
      <c r="D692" t="str">
        <f t="shared" si="21"/>
        <v>-</v>
      </c>
    </row>
    <row r="693" spans="1:4" x14ac:dyDescent="0.25">
      <c r="A693" t="s">
        <v>371</v>
      </c>
      <c r="B693" t="str">
        <f>_xlfn.XLOOKUP(A693,Лист8!C:C,Лист8!C:C,"-",0)</f>
        <v>-</v>
      </c>
      <c r="C693" t="str">
        <f t="shared" si="22"/>
        <v>-</v>
      </c>
      <c r="D693" t="str">
        <f t="shared" si="21"/>
        <v>-</v>
      </c>
    </row>
    <row r="694" spans="1:4" x14ac:dyDescent="0.25">
      <c r="A694" t="s">
        <v>102</v>
      </c>
      <c r="B694" t="str">
        <f>_xlfn.XLOOKUP(A694,Лист8!C:C,Лист8!C:C,"-",0)</f>
        <v>-</v>
      </c>
      <c r="C694" t="str">
        <f t="shared" si="22"/>
        <v>-</v>
      </c>
      <c r="D694" t="str">
        <f t="shared" si="21"/>
        <v>-</v>
      </c>
    </row>
    <row r="695" spans="1:4" x14ac:dyDescent="0.25">
      <c r="A695" t="s">
        <v>92</v>
      </c>
      <c r="B695" t="str">
        <f>_xlfn.XLOOKUP(A695,Лист8!C:C,Лист8!C:C,"-",0)</f>
        <v>-</v>
      </c>
      <c r="C695" t="str">
        <f t="shared" si="22"/>
        <v>S, M, L, XL</v>
      </c>
      <c r="D695" t="str">
        <f t="shared" si="21"/>
        <v>-</v>
      </c>
    </row>
    <row r="696" spans="1:4" x14ac:dyDescent="0.25">
      <c r="A696" t="s">
        <v>273</v>
      </c>
      <c r="B696" t="str">
        <f>_xlfn.XLOOKUP(A696,Лист8!C:C,Лист8!C:C,"-",0)</f>
        <v>-</v>
      </c>
      <c r="C696" t="str">
        <f t="shared" si="22"/>
        <v>-</v>
      </c>
      <c r="D696" t="str">
        <f t="shared" si="21"/>
        <v>Beige Stripe Black Stripe Avion Stripe</v>
      </c>
    </row>
    <row r="697" spans="1:4" x14ac:dyDescent="0.25">
      <c r="A697" t="s">
        <v>323</v>
      </c>
      <c r="B697" t="str">
        <f>_xlfn.XLOOKUP(A697,Лист8!C:C,Лист8!C:C,"-",0)</f>
        <v>25554BH LOU</v>
      </c>
      <c r="C697" t="str">
        <f t="shared" si="22"/>
        <v>-</v>
      </c>
      <c r="D697" t="str">
        <f t="shared" si="21"/>
        <v>-</v>
      </c>
    </row>
    <row r="698" spans="1:4" x14ac:dyDescent="0.25">
      <c r="A698" t="s">
        <v>433</v>
      </c>
      <c r="B698" t="str">
        <f>_xlfn.XLOOKUP(A698,Лист8!C:C,Лист8!C:C,"-",0)</f>
        <v>-</v>
      </c>
      <c r="C698" t="str">
        <f t="shared" si="22"/>
        <v>-</v>
      </c>
      <c r="D698" t="str">
        <f t="shared" si="21"/>
        <v>-</v>
      </c>
    </row>
    <row r="699" spans="1:4" x14ac:dyDescent="0.25">
      <c r="A699" t="s">
        <v>430</v>
      </c>
      <c r="B699" t="str">
        <f>_xlfn.XLOOKUP(A699,Лист8!C:C,Лист8!C:C,"-",0)</f>
        <v>-</v>
      </c>
      <c r="C699" t="str">
        <f t="shared" si="22"/>
        <v>-</v>
      </c>
      <c r="D699" t="str">
        <f t="shared" si="21"/>
        <v>-</v>
      </c>
    </row>
    <row r="700" spans="1:4" x14ac:dyDescent="0.25">
      <c r="A700" t="s">
        <v>371</v>
      </c>
      <c r="B700" t="str">
        <f>_xlfn.XLOOKUP(A700,Лист8!C:C,Лист8!C:C,"-",0)</f>
        <v>-</v>
      </c>
      <c r="C700" t="str">
        <f t="shared" si="22"/>
        <v>-</v>
      </c>
      <c r="D700" t="str">
        <f t="shared" si="21"/>
        <v>-</v>
      </c>
    </row>
    <row r="701" spans="1:4" x14ac:dyDescent="0.25">
      <c r="A701" t="s">
        <v>102</v>
      </c>
      <c r="B701" t="str">
        <f>_xlfn.XLOOKUP(A701,Лист8!C:C,Лист8!C:C,"-",0)</f>
        <v>-</v>
      </c>
      <c r="C701" t="str">
        <f t="shared" si="22"/>
        <v>-</v>
      </c>
      <c r="D701" t="str">
        <f t="shared" si="21"/>
        <v>-</v>
      </c>
    </row>
    <row r="702" spans="1:4" x14ac:dyDescent="0.25">
      <c r="A702" t="s">
        <v>92</v>
      </c>
      <c r="B702" t="str">
        <f>_xlfn.XLOOKUP(A702,Лист8!C:C,Лист8!C:C,"-",0)</f>
        <v>-</v>
      </c>
      <c r="C702" t="str">
        <f t="shared" si="22"/>
        <v>S, M, L, XL</v>
      </c>
      <c r="D702" t="str">
        <f t="shared" si="21"/>
        <v>-</v>
      </c>
    </row>
    <row r="703" spans="1:4" x14ac:dyDescent="0.25">
      <c r="A703" t="s">
        <v>271</v>
      </c>
      <c r="B703" t="str">
        <f>_xlfn.XLOOKUP(A703,Лист8!C:C,Лист8!C:C,"-",0)</f>
        <v>-</v>
      </c>
      <c r="C703" t="str">
        <f t="shared" si="22"/>
        <v>-</v>
      </c>
      <c r="D703" t="str">
        <f t="shared" si="21"/>
        <v>Oak Plaid</v>
      </c>
    </row>
    <row r="704" spans="1:4" x14ac:dyDescent="0.25">
      <c r="A704">
        <v>47</v>
      </c>
      <c r="B704" t="str">
        <f>_xlfn.XLOOKUP(A704,Лист8!C:C,Лист8!C:C,"-",0)</f>
        <v>-</v>
      </c>
      <c r="C704" t="str">
        <f t="shared" si="22"/>
        <v>-</v>
      </c>
      <c r="D704" t="str">
        <f t="shared" si="21"/>
        <v>-</v>
      </c>
    </row>
    <row r="705" spans="1:4" x14ac:dyDescent="0.25">
      <c r="A705" t="s">
        <v>280</v>
      </c>
      <c r="B705" t="str">
        <f>_xlfn.XLOOKUP(A705,Лист8!C:C,Лист8!C:C,"-",0)</f>
        <v>25558BH FURMAN</v>
      </c>
      <c r="C705" t="str">
        <f t="shared" si="22"/>
        <v>-</v>
      </c>
      <c r="D705" t="str">
        <f t="shared" ref="D705:D768" si="23">IF(C704&lt;&gt;"-",A705,"-")</f>
        <v>-</v>
      </c>
    </row>
    <row r="706" spans="1:4" x14ac:dyDescent="0.25">
      <c r="A706" t="s">
        <v>434</v>
      </c>
      <c r="B706" t="str">
        <f>_xlfn.XLOOKUP(A706,Лист8!C:C,Лист8!C:C,"-",0)</f>
        <v>-</v>
      </c>
      <c r="C706" t="str">
        <f t="shared" ref="C706:C769" si="24">IF(IFERROR(FIND(",",A706)&gt;1,FALSE),A706,"-")</f>
        <v>-</v>
      </c>
      <c r="D706" t="str">
        <f t="shared" si="23"/>
        <v>-</v>
      </c>
    </row>
    <row r="707" spans="1:4" x14ac:dyDescent="0.25">
      <c r="A707" t="s">
        <v>430</v>
      </c>
      <c r="B707" t="str">
        <f>_xlfn.XLOOKUP(A707,Лист8!C:C,Лист8!C:C,"-",0)</f>
        <v>-</v>
      </c>
      <c r="C707" t="str">
        <f t="shared" si="24"/>
        <v>-</v>
      </c>
      <c r="D707" t="str">
        <f t="shared" si="23"/>
        <v>-</v>
      </c>
    </row>
    <row r="708" spans="1:4" x14ac:dyDescent="0.25">
      <c r="A708" t="s">
        <v>371</v>
      </c>
      <c r="B708" t="str">
        <f>_xlfn.XLOOKUP(A708,Лист8!C:C,Лист8!C:C,"-",0)</f>
        <v>-</v>
      </c>
      <c r="C708" t="str">
        <f t="shared" si="24"/>
        <v>-</v>
      </c>
      <c r="D708" t="str">
        <f t="shared" si="23"/>
        <v>-</v>
      </c>
    </row>
    <row r="709" spans="1:4" x14ac:dyDescent="0.25">
      <c r="A709" t="s">
        <v>102</v>
      </c>
      <c r="B709" t="str">
        <f>_xlfn.XLOOKUP(A709,Лист8!C:C,Лист8!C:C,"-",0)</f>
        <v>-</v>
      </c>
      <c r="C709" t="str">
        <f t="shared" si="24"/>
        <v>-</v>
      </c>
      <c r="D709" t="str">
        <f t="shared" si="23"/>
        <v>-</v>
      </c>
    </row>
    <row r="710" spans="1:4" x14ac:dyDescent="0.25">
      <c r="A710" t="s">
        <v>92</v>
      </c>
      <c r="B710" t="str">
        <f>_xlfn.XLOOKUP(A710,Лист8!C:C,Лист8!C:C,"-",0)</f>
        <v>-</v>
      </c>
      <c r="C710" t="str">
        <f t="shared" si="24"/>
        <v>S, M, L, XL</v>
      </c>
      <c r="D710" t="str">
        <f t="shared" si="23"/>
        <v>-</v>
      </c>
    </row>
    <row r="711" spans="1:4" x14ac:dyDescent="0.25">
      <c r="A711" t="s">
        <v>281</v>
      </c>
      <c r="B711" t="str">
        <f>_xlfn.XLOOKUP(A711,Лист8!C:C,Лист8!C:C,"-",0)</f>
        <v>-</v>
      </c>
      <c r="C711" t="str">
        <f t="shared" si="24"/>
        <v>-</v>
      </c>
      <c r="D711" t="str">
        <f t="shared" si="23"/>
        <v>Blue Plaid Copper Plaid Uniform Green Plaid</v>
      </c>
    </row>
    <row r="712" spans="1:4" x14ac:dyDescent="0.25">
      <c r="A712" t="s">
        <v>287</v>
      </c>
      <c r="B712" t="str">
        <f>_xlfn.XLOOKUP(A712,Лист8!C:C,Лист8!C:C,"-",0)</f>
        <v>25440 ORMOND</v>
      </c>
      <c r="C712" t="str">
        <f t="shared" si="24"/>
        <v>-</v>
      </c>
      <c r="D712" t="str">
        <f t="shared" si="23"/>
        <v>-</v>
      </c>
    </row>
    <row r="713" spans="1:4" x14ac:dyDescent="0.25">
      <c r="A713" t="s">
        <v>433</v>
      </c>
      <c r="B713" t="str">
        <f>_xlfn.XLOOKUP(A713,Лист8!C:C,Лист8!C:C,"-",0)</f>
        <v>-</v>
      </c>
      <c r="C713" t="str">
        <f t="shared" si="24"/>
        <v>-</v>
      </c>
      <c r="D713" t="str">
        <f t="shared" si="23"/>
        <v>-</v>
      </c>
    </row>
    <row r="714" spans="1:4" x14ac:dyDescent="0.25">
      <c r="A714" t="s">
        <v>430</v>
      </c>
      <c r="B714" t="str">
        <f>_xlfn.XLOOKUP(A714,Лист8!C:C,Лист8!C:C,"-",0)</f>
        <v>-</v>
      </c>
      <c r="C714" t="str">
        <f t="shared" si="24"/>
        <v>-</v>
      </c>
      <c r="D714" t="str">
        <f t="shared" si="23"/>
        <v>-</v>
      </c>
    </row>
    <row r="715" spans="1:4" x14ac:dyDescent="0.25">
      <c r="A715" t="s">
        <v>371</v>
      </c>
      <c r="B715" t="str">
        <f>_xlfn.XLOOKUP(A715,Лист8!C:C,Лист8!C:C,"-",0)</f>
        <v>-</v>
      </c>
      <c r="C715" t="str">
        <f t="shared" si="24"/>
        <v>-</v>
      </c>
      <c r="D715" t="str">
        <f t="shared" si="23"/>
        <v>-</v>
      </c>
    </row>
    <row r="716" spans="1:4" x14ac:dyDescent="0.25">
      <c r="A716" t="s">
        <v>102</v>
      </c>
      <c r="B716" t="str">
        <f>_xlfn.XLOOKUP(A716,Лист8!C:C,Лист8!C:C,"-",0)</f>
        <v>-</v>
      </c>
      <c r="C716" t="str">
        <f t="shared" si="24"/>
        <v>-</v>
      </c>
      <c r="D716" t="str">
        <f t="shared" si="23"/>
        <v>-</v>
      </c>
    </row>
    <row r="717" spans="1:4" x14ac:dyDescent="0.25">
      <c r="A717" t="s">
        <v>165</v>
      </c>
      <c r="B717" t="str">
        <f>_xlfn.XLOOKUP(A717,Лист8!C:C,Лист8!C:C,"-",0)</f>
        <v>-</v>
      </c>
      <c r="C717" t="str">
        <f t="shared" si="24"/>
        <v>S, M, L, XL, XXL</v>
      </c>
      <c r="D717" t="str">
        <f t="shared" si="23"/>
        <v>-</v>
      </c>
    </row>
    <row r="718" spans="1:4" x14ac:dyDescent="0.25">
      <c r="A718" t="s">
        <v>288</v>
      </c>
      <c r="B718" t="str">
        <f>_xlfn.XLOOKUP(A718,Лист8!C:C,Лист8!C:C,"-",0)</f>
        <v>-</v>
      </c>
      <c r="C718" t="str">
        <f t="shared" si="24"/>
        <v>-</v>
      </c>
      <c r="D718" t="str">
        <f t="shared" si="23"/>
        <v>Black Paid Brown Herringbone</v>
      </c>
    </row>
    <row r="719" spans="1:4" x14ac:dyDescent="0.25">
      <c r="A719" t="s">
        <v>325</v>
      </c>
      <c r="B719" t="str">
        <f>_xlfn.XLOOKUP(A719,Лист8!C:C,Лист8!C:C,"-",0)</f>
        <v>25548BH FINNEGAN</v>
      </c>
      <c r="C719" t="str">
        <f t="shared" si="24"/>
        <v>-</v>
      </c>
      <c r="D719" t="str">
        <f t="shared" si="23"/>
        <v>-</v>
      </c>
    </row>
    <row r="720" spans="1:4" x14ac:dyDescent="0.25">
      <c r="A720" t="s">
        <v>434</v>
      </c>
      <c r="B720" t="str">
        <f>_xlfn.XLOOKUP(A720,Лист8!C:C,Лист8!C:C,"-",0)</f>
        <v>-</v>
      </c>
      <c r="C720" t="str">
        <f t="shared" si="24"/>
        <v>-</v>
      </c>
      <c r="D720" t="str">
        <f t="shared" si="23"/>
        <v>-</v>
      </c>
    </row>
    <row r="721" spans="1:4" x14ac:dyDescent="0.25">
      <c r="A721" t="s">
        <v>430</v>
      </c>
      <c r="B721" t="str">
        <f>_xlfn.XLOOKUP(A721,Лист8!C:C,Лист8!C:C,"-",0)</f>
        <v>-</v>
      </c>
      <c r="C721" t="str">
        <f t="shared" si="24"/>
        <v>-</v>
      </c>
      <c r="D721" t="str">
        <f t="shared" si="23"/>
        <v>-</v>
      </c>
    </row>
    <row r="722" spans="1:4" x14ac:dyDescent="0.25">
      <c r="A722" t="s">
        <v>371</v>
      </c>
      <c r="B722" t="str">
        <f>_xlfn.XLOOKUP(A722,Лист8!C:C,Лист8!C:C,"-",0)</f>
        <v>-</v>
      </c>
      <c r="C722" t="str">
        <f t="shared" si="24"/>
        <v>-</v>
      </c>
      <c r="D722" t="str">
        <f t="shared" si="23"/>
        <v>-</v>
      </c>
    </row>
    <row r="723" spans="1:4" x14ac:dyDescent="0.25">
      <c r="A723" t="s">
        <v>102</v>
      </c>
      <c r="B723" t="str">
        <f>_xlfn.XLOOKUP(A723,Лист8!C:C,Лист8!C:C,"-",0)</f>
        <v>-</v>
      </c>
      <c r="C723" t="str">
        <f t="shared" si="24"/>
        <v>-</v>
      </c>
      <c r="D723" t="str">
        <f t="shared" si="23"/>
        <v>-</v>
      </c>
    </row>
    <row r="724" spans="1:4" x14ac:dyDescent="0.25">
      <c r="A724" t="s">
        <v>92</v>
      </c>
      <c r="B724" t="str">
        <f>_xlfn.XLOOKUP(A724,Лист8!C:C,Лист8!C:C,"-",0)</f>
        <v>-</v>
      </c>
      <c r="C724" t="str">
        <f t="shared" si="24"/>
        <v>S, M, L, XL</v>
      </c>
      <c r="D724" t="str">
        <f t="shared" si="23"/>
        <v>-</v>
      </c>
    </row>
    <row r="725" spans="1:4" x14ac:dyDescent="0.25">
      <c r="A725" t="s">
        <v>191</v>
      </c>
      <c r="B725" t="str">
        <f>_xlfn.XLOOKUP(A725,Лист8!C:C,Лист8!C:C,"-",0)</f>
        <v>-</v>
      </c>
      <c r="C725" t="str">
        <f t="shared" si="24"/>
        <v>-</v>
      </c>
      <c r="D725" t="str">
        <f t="shared" si="23"/>
        <v>Black Ochre</v>
      </c>
    </row>
    <row r="726" spans="1:4" x14ac:dyDescent="0.25">
      <c r="A726">
        <v>46</v>
      </c>
      <c r="B726" t="str">
        <f>_xlfn.XLOOKUP(A726,Лист8!C:C,Лист8!C:C,"-",0)</f>
        <v>-</v>
      </c>
      <c r="C726" t="str">
        <f t="shared" si="24"/>
        <v>-</v>
      </c>
      <c r="D726" t="str">
        <f t="shared" si="23"/>
        <v>-</v>
      </c>
    </row>
    <row r="727" spans="1:4" x14ac:dyDescent="0.25">
      <c r="A727" t="s">
        <v>278</v>
      </c>
      <c r="B727" t="str">
        <f>_xlfn.XLOOKUP(A727,Лист8!C:C,Лист8!C:C,"-",0)</f>
        <v>25557BH BRUNE</v>
      </c>
      <c r="C727" t="str">
        <f t="shared" si="24"/>
        <v>-</v>
      </c>
      <c r="D727" t="str">
        <f t="shared" si="23"/>
        <v>-</v>
      </c>
    </row>
    <row r="728" spans="1:4" x14ac:dyDescent="0.25">
      <c r="A728" t="s">
        <v>434</v>
      </c>
      <c r="B728" t="str">
        <f>_xlfn.XLOOKUP(A728,Лист8!C:C,Лист8!C:C,"-",0)</f>
        <v>-</v>
      </c>
      <c r="C728" t="str">
        <f t="shared" si="24"/>
        <v>-</v>
      </c>
      <c r="D728" t="str">
        <f t="shared" si="23"/>
        <v>-</v>
      </c>
    </row>
    <row r="729" spans="1:4" x14ac:dyDescent="0.25">
      <c r="A729" t="s">
        <v>430</v>
      </c>
      <c r="B729" t="str">
        <f>_xlfn.XLOOKUP(A729,Лист8!C:C,Лист8!C:C,"-",0)</f>
        <v>-</v>
      </c>
      <c r="C729" t="str">
        <f t="shared" si="24"/>
        <v>-</v>
      </c>
      <c r="D729" t="str">
        <f t="shared" si="23"/>
        <v>-</v>
      </c>
    </row>
    <row r="730" spans="1:4" x14ac:dyDescent="0.25">
      <c r="A730" t="s">
        <v>371</v>
      </c>
      <c r="B730" t="str">
        <f>_xlfn.XLOOKUP(A730,Лист8!C:C,Лист8!C:C,"-",0)</f>
        <v>-</v>
      </c>
      <c r="C730" t="str">
        <f t="shared" si="24"/>
        <v>-</v>
      </c>
      <c r="D730" t="str">
        <f t="shared" si="23"/>
        <v>-</v>
      </c>
    </row>
    <row r="731" spans="1:4" x14ac:dyDescent="0.25">
      <c r="A731" t="s">
        <v>102</v>
      </c>
      <c r="B731" t="str">
        <f>_xlfn.XLOOKUP(A731,Лист8!C:C,Лист8!C:C,"-",0)</f>
        <v>-</v>
      </c>
      <c r="C731" t="str">
        <f t="shared" si="24"/>
        <v>-</v>
      </c>
      <c r="D731" t="str">
        <f t="shared" si="23"/>
        <v>-</v>
      </c>
    </row>
    <row r="732" spans="1:4" x14ac:dyDescent="0.25">
      <c r="A732" t="s">
        <v>92</v>
      </c>
      <c r="B732" t="str">
        <f>_xlfn.XLOOKUP(A732,Лист8!C:C,Лист8!C:C,"-",0)</f>
        <v>-</v>
      </c>
      <c r="C732" t="str">
        <f t="shared" si="24"/>
        <v>S, M, L, XL</v>
      </c>
      <c r="D732" t="str">
        <f t="shared" si="23"/>
        <v>-</v>
      </c>
    </row>
    <row r="733" spans="1:4" x14ac:dyDescent="0.25">
      <c r="A733" t="s">
        <v>279</v>
      </c>
      <c r="B733" t="str">
        <f>_xlfn.XLOOKUP(A733,Лист8!C:C,Лист8!C:C,"-",0)</f>
        <v>-</v>
      </c>
      <c r="C733" t="str">
        <f t="shared" si="24"/>
        <v>-</v>
      </c>
      <c r="D733" t="str">
        <f t="shared" si="23"/>
        <v>Avion Grey</v>
      </c>
    </row>
    <row r="734" spans="1:4" x14ac:dyDescent="0.25">
      <c r="A734" t="s">
        <v>324</v>
      </c>
      <c r="B734" t="str">
        <f>_xlfn.XLOOKUP(A734,Лист8!C:C,Лист8!C:C,"-",0)</f>
        <v>25556BH GRIFF</v>
      </c>
      <c r="C734" t="str">
        <f t="shared" si="24"/>
        <v>-</v>
      </c>
      <c r="D734" t="str">
        <f t="shared" si="23"/>
        <v>-</v>
      </c>
    </row>
    <row r="735" spans="1:4" x14ac:dyDescent="0.25">
      <c r="A735" t="s">
        <v>433</v>
      </c>
      <c r="B735" t="str">
        <f>_xlfn.XLOOKUP(A735,Лист8!C:C,Лист8!C:C,"-",0)</f>
        <v>-</v>
      </c>
      <c r="C735" t="str">
        <f t="shared" si="24"/>
        <v>-</v>
      </c>
      <c r="D735" t="str">
        <f t="shared" si="23"/>
        <v>-</v>
      </c>
    </row>
    <row r="736" spans="1:4" x14ac:dyDescent="0.25">
      <c r="A736" t="s">
        <v>430</v>
      </c>
      <c r="B736" t="str">
        <f>_xlfn.XLOOKUP(A736,Лист8!C:C,Лист8!C:C,"-",0)</f>
        <v>-</v>
      </c>
      <c r="C736" t="str">
        <f t="shared" si="24"/>
        <v>-</v>
      </c>
      <c r="D736" t="str">
        <f t="shared" si="23"/>
        <v>-</v>
      </c>
    </row>
    <row r="737" spans="1:4" x14ac:dyDescent="0.25">
      <c r="A737" t="s">
        <v>371</v>
      </c>
      <c r="B737" t="str">
        <f>_xlfn.XLOOKUP(A737,Лист8!C:C,Лист8!C:C,"-",0)</f>
        <v>-</v>
      </c>
      <c r="C737" t="str">
        <f t="shared" si="24"/>
        <v>-</v>
      </c>
      <c r="D737" t="str">
        <f t="shared" si="23"/>
        <v>-</v>
      </c>
    </row>
    <row r="738" spans="1:4" x14ac:dyDescent="0.25">
      <c r="A738" t="s">
        <v>102</v>
      </c>
      <c r="B738" t="str">
        <f>_xlfn.XLOOKUP(A738,Лист8!C:C,Лист8!C:C,"-",0)</f>
        <v>-</v>
      </c>
      <c r="C738" t="str">
        <f t="shared" si="24"/>
        <v>-</v>
      </c>
      <c r="D738" t="str">
        <f t="shared" si="23"/>
        <v>-</v>
      </c>
    </row>
    <row r="739" spans="1:4" x14ac:dyDescent="0.25">
      <c r="A739" t="s">
        <v>92</v>
      </c>
      <c r="B739" t="str">
        <f>_xlfn.XLOOKUP(A739,Лист8!C:C,Лист8!C:C,"-",0)</f>
        <v>-</v>
      </c>
      <c r="C739" t="str">
        <f t="shared" si="24"/>
        <v>S, M, L, XL</v>
      </c>
      <c r="D739" t="str">
        <f t="shared" si="23"/>
        <v>-</v>
      </c>
    </row>
    <row r="740" spans="1:4" x14ac:dyDescent="0.25">
      <c r="A740" t="s">
        <v>277</v>
      </c>
      <c r="B740" t="str">
        <f>_xlfn.XLOOKUP(A740,Лист8!C:C,Лист8!C:C,"-",0)</f>
        <v>-</v>
      </c>
      <c r="C740" t="str">
        <f t="shared" si="24"/>
        <v>-</v>
      </c>
      <c r="D740" t="str">
        <f t="shared" si="23"/>
        <v>Avion Plaid Oak Twill Uniform Green Plaid</v>
      </c>
    </row>
    <row r="741" spans="1:4" x14ac:dyDescent="0.25">
      <c r="A741" t="s">
        <v>284</v>
      </c>
      <c r="B741" t="str">
        <f>_xlfn.XLOOKUP(A741,Лист8!C:C,Лист8!C:C,"-",0)</f>
        <v>1365 GRAHAM</v>
      </c>
      <c r="C741" t="str">
        <f t="shared" si="24"/>
        <v>-</v>
      </c>
      <c r="D741" t="str">
        <f t="shared" si="23"/>
        <v>-</v>
      </c>
    </row>
    <row r="742" spans="1:4" x14ac:dyDescent="0.25">
      <c r="A742" t="s">
        <v>285</v>
      </c>
      <c r="B742" t="str">
        <f>_xlfn.XLOOKUP(A742,Лист8!C:C,Лист8!C:C,"-",0)</f>
        <v>-</v>
      </c>
      <c r="C742" t="str">
        <f t="shared" si="24"/>
        <v>-</v>
      </c>
      <c r="D742" t="str">
        <f t="shared" si="23"/>
        <v>-</v>
      </c>
    </row>
    <row r="743" spans="1:4" x14ac:dyDescent="0.25">
      <c r="A743" t="s">
        <v>435</v>
      </c>
      <c r="B743" t="str">
        <f>_xlfn.XLOOKUP(A743,Лист8!C:C,Лист8!C:C,"-",0)</f>
        <v>-</v>
      </c>
      <c r="C743" t="str">
        <f t="shared" si="24"/>
        <v>-</v>
      </c>
      <c r="D743" t="str">
        <f t="shared" si="23"/>
        <v>-</v>
      </c>
    </row>
    <row r="744" spans="1:4" x14ac:dyDescent="0.25">
      <c r="A744" t="s">
        <v>371</v>
      </c>
      <c r="B744" t="str">
        <f>_xlfn.XLOOKUP(A744,Лист8!C:C,Лист8!C:C,"-",0)</f>
        <v>-</v>
      </c>
      <c r="C744" t="str">
        <f t="shared" si="24"/>
        <v>-</v>
      </c>
      <c r="D744" t="str">
        <f t="shared" si="23"/>
        <v>-</v>
      </c>
    </row>
    <row r="745" spans="1:4" x14ac:dyDescent="0.25">
      <c r="A745" t="s">
        <v>102</v>
      </c>
      <c r="B745" t="str">
        <f>_xlfn.XLOOKUP(A745,Лист8!C:C,Лист8!C:C,"-",0)</f>
        <v>-</v>
      </c>
      <c r="C745" t="str">
        <f t="shared" si="24"/>
        <v>-</v>
      </c>
      <c r="D745" t="str">
        <f t="shared" si="23"/>
        <v>-</v>
      </c>
    </row>
    <row r="746" spans="1:4" x14ac:dyDescent="0.25">
      <c r="A746" t="s">
        <v>165</v>
      </c>
      <c r="B746" t="str">
        <f>_xlfn.XLOOKUP(A746,Лист8!C:C,Лист8!C:C,"-",0)</f>
        <v>-</v>
      </c>
      <c r="C746" t="str">
        <f t="shared" si="24"/>
        <v>S, M, L, XL, XXL</v>
      </c>
      <c r="D746" t="str">
        <f t="shared" si="23"/>
        <v>-</v>
      </c>
    </row>
    <row r="747" spans="1:4" x14ac:dyDescent="0.25">
      <c r="A747" t="s">
        <v>286</v>
      </c>
      <c r="B747" t="str">
        <f>_xlfn.XLOOKUP(A747,Лист8!C:C,Лист8!C:C,"-",0)</f>
        <v>-</v>
      </c>
      <c r="C747" t="str">
        <f t="shared" si="24"/>
        <v>-</v>
      </c>
      <c r="D747" t="str">
        <f t="shared" si="23"/>
        <v>Black Chino Navy Tan</v>
      </c>
    </row>
    <row r="748" spans="1:4" x14ac:dyDescent="0.25">
      <c r="A748" t="s">
        <v>282</v>
      </c>
      <c r="B748" t="str">
        <f>_xlfn.XLOOKUP(A748,Лист8!C:C,Лист8!C:C,"-",0)</f>
        <v>25150BH REFFELL</v>
      </c>
      <c r="C748" t="str">
        <f t="shared" si="24"/>
        <v>-</v>
      </c>
      <c r="D748" t="str">
        <f t="shared" si="23"/>
        <v>-</v>
      </c>
    </row>
    <row r="749" spans="1:4" x14ac:dyDescent="0.25">
      <c r="A749" t="s">
        <v>285</v>
      </c>
      <c r="B749" t="str">
        <f>_xlfn.XLOOKUP(A749,Лист8!C:C,Лист8!C:C,"-",0)</f>
        <v>-</v>
      </c>
      <c r="C749" t="str">
        <f t="shared" si="24"/>
        <v>-</v>
      </c>
      <c r="D749" t="str">
        <f t="shared" si="23"/>
        <v>-</v>
      </c>
    </row>
    <row r="750" spans="1:4" x14ac:dyDescent="0.25">
      <c r="A750" t="s">
        <v>436</v>
      </c>
      <c r="B750" t="str">
        <f>_xlfn.XLOOKUP(A750,Лист8!C:C,Лист8!C:C,"-",0)</f>
        <v>-</v>
      </c>
      <c r="C750" t="str">
        <f t="shared" si="24"/>
        <v>-</v>
      </c>
      <c r="D750" t="str">
        <f t="shared" si="23"/>
        <v>-</v>
      </c>
    </row>
    <row r="751" spans="1:4" x14ac:dyDescent="0.25">
      <c r="A751" t="s">
        <v>371</v>
      </c>
      <c r="B751" t="str">
        <f>_xlfn.XLOOKUP(A751,Лист8!C:C,Лист8!C:C,"-",0)</f>
        <v>-</v>
      </c>
      <c r="C751" t="str">
        <f t="shared" si="24"/>
        <v>-</v>
      </c>
      <c r="D751" t="str">
        <f t="shared" si="23"/>
        <v>-</v>
      </c>
    </row>
    <row r="752" spans="1:4" x14ac:dyDescent="0.25">
      <c r="A752" t="s">
        <v>102</v>
      </c>
      <c r="B752" t="str">
        <f>_xlfn.XLOOKUP(A752,Лист8!C:C,Лист8!C:C,"-",0)</f>
        <v>-</v>
      </c>
      <c r="C752" t="str">
        <f t="shared" si="24"/>
        <v>-</v>
      </c>
      <c r="D752" t="str">
        <f t="shared" si="23"/>
        <v>-</v>
      </c>
    </row>
    <row r="753" spans="1:4" x14ac:dyDescent="0.25">
      <c r="A753" t="s">
        <v>92</v>
      </c>
      <c r="B753" t="str">
        <f>_xlfn.XLOOKUP(A753,Лист8!C:C,Лист8!C:C,"-",0)</f>
        <v>-</v>
      </c>
      <c r="C753" t="str">
        <f t="shared" si="24"/>
        <v>S, M, L, XL</v>
      </c>
      <c r="D753" t="str">
        <f t="shared" si="23"/>
        <v>-</v>
      </c>
    </row>
    <row r="754" spans="1:4" x14ac:dyDescent="0.25">
      <c r="A754" t="s">
        <v>283</v>
      </c>
      <c r="B754" t="str">
        <f>_xlfn.XLOOKUP(A754,Лист8!C:C,Лист8!C:C,"-",0)</f>
        <v>-</v>
      </c>
      <c r="C754" t="str">
        <f t="shared" si="24"/>
        <v>-</v>
      </c>
      <c r="D754" t="str">
        <f t="shared" si="23"/>
        <v>Black Copper</v>
      </c>
    </row>
    <row r="755" spans="1:4" x14ac:dyDescent="0.25">
      <c r="A755">
        <v>49</v>
      </c>
      <c r="B755" t="str">
        <f>_xlfn.XLOOKUP(A755,Лист8!C:C,Лист8!C:C,"-",0)</f>
        <v>-</v>
      </c>
      <c r="C755" t="str">
        <f t="shared" si="24"/>
        <v>-</v>
      </c>
      <c r="D755" t="str">
        <f t="shared" si="23"/>
        <v>-</v>
      </c>
    </row>
    <row r="756" spans="1:4" x14ac:dyDescent="0.25">
      <c r="A756" t="s">
        <v>293</v>
      </c>
      <c r="B756" t="str">
        <f>_xlfn.XLOOKUP(A756,Лист8!C:C,Лист8!C:C,"-",0)</f>
        <v>25102 TAXTEN</v>
      </c>
      <c r="C756" t="str">
        <f t="shared" si="24"/>
        <v>-</v>
      </c>
      <c r="D756" t="str">
        <f t="shared" si="23"/>
        <v>-</v>
      </c>
    </row>
    <row r="757" spans="1:4" x14ac:dyDescent="0.25">
      <c r="A757" t="s">
        <v>285</v>
      </c>
      <c r="B757" t="str">
        <f>_xlfn.XLOOKUP(A757,Лист8!C:C,Лист8!C:C,"-",0)</f>
        <v>-</v>
      </c>
      <c r="C757" t="str">
        <f t="shared" si="24"/>
        <v>-</v>
      </c>
      <c r="D757" t="str">
        <f t="shared" si="23"/>
        <v>-</v>
      </c>
    </row>
    <row r="758" spans="1:4" x14ac:dyDescent="0.25">
      <c r="A758" t="s">
        <v>437</v>
      </c>
      <c r="B758" t="str">
        <f>_xlfn.XLOOKUP(A758,Лист8!C:C,Лист8!C:C,"-",0)</f>
        <v>-</v>
      </c>
      <c r="C758" t="str">
        <f t="shared" si="24"/>
        <v>-</v>
      </c>
      <c r="D758" t="str">
        <f t="shared" si="23"/>
        <v>-</v>
      </c>
    </row>
    <row r="759" spans="1:4" x14ac:dyDescent="0.25">
      <c r="A759" t="s">
        <v>371</v>
      </c>
      <c r="B759" t="str">
        <f>_xlfn.XLOOKUP(A759,Лист8!C:C,Лист8!C:C,"-",0)</f>
        <v>-</v>
      </c>
      <c r="C759" t="str">
        <f t="shared" si="24"/>
        <v>-</v>
      </c>
      <c r="D759" t="str">
        <f t="shared" si="23"/>
        <v>-</v>
      </c>
    </row>
    <row r="760" spans="1:4" x14ac:dyDescent="0.25">
      <c r="A760" t="s">
        <v>102</v>
      </c>
      <c r="B760" t="str">
        <f>_xlfn.XLOOKUP(A760,Лист8!C:C,Лист8!C:C,"-",0)</f>
        <v>-</v>
      </c>
      <c r="C760" t="str">
        <f t="shared" si="24"/>
        <v>-</v>
      </c>
      <c r="D760" t="str">
        <f t="shared" si="23"/>
        <v>-</v>
      </c>
    </row>
    <row r="761" spans="1:4" x14ac:dyDescent="0.25">
      <c r="A761" t="s">
        <v>92</v>
      </c>
      <c r="B761" t="str">
        <f>_xlfn.XLOOKUP(A761,Лист8!C:C,Лист8!C:C,"-",0)</f>
        <v>-</v>
      </c>
      <c r="C761" t="str">
        <f t="shared" si="24"/>
        <v>S, M, L, XL</v>
      </c>
      <c r="D761" t="str">
        <f t="shared" si="23"/>
        <v>-</v>
      </c>
    </row>
    <row r="762" spans="1:4" x14ac:dyDescent="0.25">
      <c r="A762" t="s">
        <v>294</v>
      </c>
      <c r="B762" t="str">
        <f>_xlfn.XLOOKUP(A762,Лист8!C:C,Лист8!C:C,"-",0)</f>
        <v>-</v>
      </c>
      <c r="C762" t="str">
        <f t="shared" si="24"/>
        <v>-</v>
      </c>
      <c r="D762" t="str">
        <f t="shared" si="23"/>
        <v>Brown</v>
      </c>
    </row>
    <row r="763" spans="1:4" x14ac:dyDescent="0.25">
      <c r="A763" t="s">
        <v>291</v>
      </c>
      <c r="B763" t="str">
        <f>_xlfn.XLOOKUP(A763,Лист8!C:C,Лист8!C:C,"-",0)</f>
        <v>25101 STOCKTON</v>
      </c>
      <c r="C763" t="str">
        <f t="shared" si="24"/>
        <v>-</v>
      </c>
      <c r="D763" t="str">
        <f t="shared" si="23"/>
        <v>-</v>
      </c>
    </row>
    <row r="764" spans="1:4" x14ac:dyDescent="0.25">
      <c r="A764" t="s">
        <v>292</v>
      </c>
      <c r="B764" t="str">
        <f>_xlfn.XLOOKUP(A764,Лист8!C:C,Лист8!C:C,"-",0)</f>
        <v>-</v>
      </c>
      <c r="C764" t="str">
        <f t="shared" si="24"/>
        <v>-</v>
      </c>
      <c r="D764" t="str">
        <f t="shared" si="23"/>
        <v>-</v>
      </c>
    </row>
    <row r="765" spans="1:4" x14ac:dyDescent="0.25">
      <c r="A765" t="s">
        <v>438</v>
      </c>
      <c r="B765" t="str">
        <f>_xlfn.XLOOKUP(A765,Лист8!C:C,Лист8!C:C,"-",0)</f>
        <v>-</v>
      </c>
      <c r="C765" t="str">
        <f t="shared" si="24"/>
        <v>-</v>
      </c>
      <c r="D765" t="str">
        <f t="shared" si="23"/>
        <v>-</v>
      </c>
    </row>
    <row r="766" spans="1:4" x14ac:dyDescent="0.25">
      <c r="A766" t="s">
        <v>439</v>
      </c>
      <c r="B766" t="str">
        <f>_xlfn.XLOOKUP(A766,Лист8!C:C,Лист8!C:C,"-",0)</f>
        <v>-</v>
      </c>
      <c r="C766" t="str">
        <f t="shared" si="24"/>
        <v>-</v>
      </c>
      <c r="D766" t="str">
        <f t="shared" si="23"/>
        <v>-</v>
      </c>
    </row>
    <row r="767" spans="1:4" x14ac:dyDescent="0.25">
      <c r="A767" t="s">
        <v>102</v>
      </c>
      <c r="B767" t="str">
        <f>_xlfn.XLOOKUP(A767,Лист8!C:C,Лист8!C:C,"-",0)</f>
        <v>-</v>
      </c>
      <c r="C767" t="str">
        <f t="shared" si="24"/>
        <v>-</v>
      </c>
      <c r="D767" t="str">
        <f t="shared" si="23"/>
        <v>-</v>
      </c>
    </row>
    <row r="768" spans="1:4" x14ac:dyDescent="0.25">
      <c r="A768" t="s">
        <v>92</v>
      </c>
      <c r="B768" t="str">
        <f>_xlfn.XLOOKUP(A768,Лист8!C:C,Лист8!C:C,"-",0)</f>
        <v>-</v>
      </c>
      <c r="C768" t="str">
        <f t="shared" si="24"/>
        <v>S, M, L, XL</v>
      </c>
      <c r="D768" t="str">
        <f t="shared" si="23"/>
        <v>-</v>
      </c>
    </row>
    <row r="769" spans="1:4" x14ac:dyDescent="0.25">
      <c r="A769" t="s">
        <v>131</v>
      </c>
      <c r="B769" t="str">
        <f>_xlfn.XLOOKUP(A769,Лист8!C:C,Лист8!C:C,"-",0)</f>
        <v>-</v>
      </c>
      <c r="C769" t="str">
        <f t="shared" si="24"/>
        <v>-</v>
      </c>
      <c r="D769" t="str">
        <f t="shared" ref="D769:D825" si="25">IF(C768&lt;&gt;"-",A769,"-")</f>
        <v>Black</v>
      </c>
    </row>
    <row r="770" spans="1:4" x14ac:dyDescent="0.25">
      <c r="A770" t="s">
        <v>132</v>
      </c>
      <c r="B770" t="str">
        <f>_xlfn.XLOOKUP(A770,Лист8!C:C,Лист8!C:C,"-",0)</f>
        <v>-</v>
      </c>
      <c r="C770" t="str">
        <f t="shared" ref="C770:C825" si="26">IF(IFERROR(FIND(",",A770)&gt;1,FALSE),A770,"-")</f>
        <v>-</v>
      </c>
      <c r="D770" t="str">
        <f t="shared" si="25"/>
        <v>-</v>
      </c>
    </row>
    <row r="771" spans="1:4" x14ac:dyDescent="0.25">
      <c r="A771" t="s">
        <v>289</v>
      </c>
      <c r="B771" t="str">
        <f>_xlfn.XLOOKUP(A771,Лист8!C:C,Лист8!C:C,"-",0)</f>
        <v>25111 LAZAR</v>
      </c>
      <c r="C771" t="str">
        <f t="shared" si="26"/>
        <v>-</v>
      </c>
      <c r="D771" t="str">
        <f t="shared" si="25"/>
        <v>-</v>
      </c>
    </row>
    <row r="772" spans="1:4" x14ac:dyDescent="0.25">
      <c r="A772" t="s">
        <v>285</v>
      </c>
      <c r="B772" t="str">
        <f>_xlfn.XLOOKUP(A772,Лист8!C:C,Лист8!C:C,"-",0)</f>
        <v>-</v>
      </c>
      <c r="C772" t="str">
        <f t="shared" si="26"/>
        <v>-</v>
      </c>
      <c r="D772" t="str">
        <f t="shared" si="25"/>
        <v>-</v>
      </c>
    </row>
    <row r="773" spans="1:4" x14ac:dyDescent="0.25">
      <c r="A773" t="s">
        <v>437</v>
      </c>
      <c r="B773" t="str">
        <f>_xlfn.XLOOKUP(A773,Лист8!C:C,Лист8!C:C,"-",0)</f>
        <v>-</v>
      </c>
      <c r="C773" t="str">
        <f t="shared" si="26"/>
        <v>-</v>
      </c>
      <c r="D773" t="str">
        <f t="shared" si="25"/>
        <v>-</v>
      </c>
    </row>
    <row r="774" spans="1:4" x14ac:dyDescent="0.25">
      <c r="A774" t="s">
        <v>371</v>
      </c>
      <c r="B774" t="str">
        <f>_xlfn.XLOOKUP(A774,Лист8!C:C,Лист8!C:C,"-",0)</f>
        <v>-</v>
      </c>
      <c r="C774" t="str">
        <f t="shared" si="26"/>
        <v>-</v>
      </c>
      <c r="D774" t="str">
        <f t="shared" si="25"/>
        <v>-</v>
      </c>
    </row>
    <row r="775" spans="1:4" x14ac:dyDescent="0.25">
      <c r="A775" t="s">
        <v>102</v>
      </c>
      <c r="B775" t="str">
        <f>_xlfn.XLOOKUP(A775,Лист8!C:C,Лист8!C:C,"-",0)</f>
        <v>-</v>
      </c>
      <c r="C775" t="str">
        <f t="shared" si="26"/>
        <v>-</v>
      </c>
      <c r="D775" t="str">
        <f t="shared" si="25"/>
        <v>-</v>
      </c>
    </row>
    <row r="776" spans="1:4" x14ac:dyDescent="0.25">
      <c r="A776" t="s">
        <v>92</v>
      </c>
      <c r="B776" t="str">
        <f>_xlfn.XLOOKUP(A776,Лист8!C:C,Лист8!C:C,"-",0)</f>
        <v>-</v>
      </c>
      <c r="C776" t="str">
        <f t="shared" si="26"/>
        <v>S, M, L, XL</v>
      </c>
      <c r="D776" t="str">
        <f t="shared" si="25"/>
        <v>-</v>
      </c>
    </row>
    <row r="777" spans="1:4" x14ac:dyDescent="0.25">
      <c r="A777" t="s">
        <v>290</v>
      </c>
      <c r="B777" t="str">
        <f>_xlfn.XLOOKUP(A777,Лист8!C:C,Лист8!C:C,"-",0)</f>
        <v>-</v>
      </c>
      <c r="C777" t="str">
        <f t="shared" si="26"/>
        <v>-</v>
      </c>
      <c r="D777" t="str">
        <f t="shared" si="25"/>
        <v>Dark Coffee</v>
      </c>
    </row>
    <row r="778" spans="1:4" x14ac:dyDescent="0.25">
      <c r="A778" t="s">
        <v>295</v>
      </c>
      <c r="B778" t="str">
        <f>_xlfn.XLOOKUP(A778,Лист8!C:C,Лист8!C:C,"-",0)</f>
        <v>25100 NOCLIN</v>
      </c>
      <c r="C778" t="str">
        <f t="shared" si="26"/>
        <v>-</v>
      </c>
      <c r="D778" t="str">
        <f t="shared" si="25"/>
        <v>-</v>
      </c>
    </row>
    <row r="779" spans="1:4" x14ac:dyDescent="0.25">
      <c r="A779" t="s">
        <v>431</v>
      </c>
      <c r="B779" t="str">
        <f>_xlfn.XLOOKUP(A779,Лист8!C:C,Лист8!C:C,"-",0)</f>
        <v>-</v>
      </c>
      <c r="C779" t="str">
        <f t="shared" si="26"/>
        <v>-</v>
      </c>
      <c r="D779" t="str">
        <f t="shared" si="25"/>
        <v>-</v>
      </c>
    </row>
    <row r="780" spans="1:4" x14ac:dyDescent="0.25">
      <c r="A780" t="s">
        <v>438</v>
      </c>
      <c r="B780" t="str">
        <f>_xlfn.XLOOKUP(A780,Лист8!C:C,Лист8!C:C,"-",0)</f>
        <v>-</v>
      </c>
      <c r="C780" t="str">
        <f t="shared" si="26"/>
        <v>-</v>
      </c>
      <c r="D780" t="str">
        <f t="shared" si="25"/>
        <v>-</v>
      </c>
    </row>
    <row r="781" spans="1:4" x14ac:dyDescent="0.25">
      <c r="A781" t="s">
        <v>439</v>
      </c>
      <c r="B781" t="str">
        <f>_xlfn.XLOOKUP(A781,Лист8!C:C,Лист8!C:C,"-",0)</f>
        <v>-</v>
      </c>
      <c r="C781" t="str">
        <f t="shared" si="26"/>
        <v>-</v>
      </c>
      <c r="D781" t="str">
        <f t="shared" si="25"/>
        <v>-</v>
      </c>
    </row>
    <row r="782" spans="1:4" x14ac:dyDescent="0.25">
      <c r="A782" t="s">
        <v>102</v>
      </c>
      <c r="B782" t="str">
        <f>_xlfn.XLOOKUP(A782,Лист8!C:C,Лист8!C:C,"-",0)</f>
        <v>-</v>
      </c>
      <c r="C782" t="str">
        <f t="shared" si="26"/>
        <v>-</v>
      </c>
      <c r="D782" t="str">
        <f t="shared" si="25"/>
        <v>-</v>
      </c>
    </row>
    <row r="783" spans="1:4" x14ac:dyDescent="0.25">
      <c r="A783" t="s">
        <v>92</v>
      </c>
      <c r="B783" t="str">
        <f>_xlfn.XLOOKUP(A783,Лист8!C:C,Лист8!C:C,"-",0)</f>
        <v>-</v>
      </c>
      <c r="C783" t="str">
        <f t="shared" si="26"/>
        <v>S, M, L, XL</v>
      </c>
      <c r="D783" t="str">
        <f t="shared" si="25"/>
        <v>-</v>
      </c>
    </row>
    <row r="784" spans="1:4" x14ac:dyDescent="0.25">
      <c r="A784" t="s">
        <v>131</v>
      </c>
      <c r="B784" t="str">
        <f>_xlfn.XLOOKUP(A784,Лист8!C:C,Лист8!C:C,"-",0)</f>
        <v>-</v>
      </c>
      <c r="C784" t="str">
        <f t="shared" si="26"/>
        <v>-</v>
      </c>
      <c r="D784" t="str">
        <f t="shared" si="25"/>
        <v>Black</v>
      </c>
    </row>
    <row r="785" spans="1:4" x14ac:dyDescent="0.25">
      <c r="A785" t="s">
        <v>440</v>
      </c>
      <c r="B785" t="str">
        <f>_xlfn.XLOOKUP(A785,Лист8!C:C,Лист8!C:C,"-",0)</f>
        <v>-</v>
      </c>
      <c r="C785" t="str">
        <f t="shared" si="26"/>
        <v>-</v>
      </c>
      <c r="D785" t="str">
        <f t="shared" si="25"/>
        <v>-</v>
      </c>
    </row>
    <row r="786" spans="1:4" x14ac:dyDescent="0.25">
      <c r="A786" t="s">
        <v>301</v>
      </c>
      <c r="B786" t="str">
        <f>_xlfn.XLOOKUP(A786,Лист8!C:C,Лист8!C:C,"-",0)</f>
        <v>25105 VEGA</v>
      </c>
      <c r="C786" t="str">
        <f t="shared" si="26"/>
        <v>-</v>
      </c>
      <c r="D786" t="str">
        <f t="shared" si="25"/>
        <v>-</v>
      </c>
    </row>
    <row r="787" spans="1:4" x14ac:dyDescent="0.25">
      <c r="A787" t="s">
        <v>297</v>
      </c>
      <c r="B787" t="str">
        <f>_xlfn.XLOOKUP(A787,Лист8!C:C,Лист8!C:C,"-",0)</f>
        <v>-</v>
      </c>
      <c r="C787" t="str">
        <f t="shared" si="26"/>
        <v>-</v>
      </c>
      <c r="D787" t="str">
        <f t="shared" si="25"/>
        <v>-</v>
      </c>
    </row>
    <row r="788" spans="1:4" x14ac:dyDescent="0.25">
      <c r="A788" t="s">
        <v>441</v>
      </c>
      <c r="B788" t="str">
        <f>_xlfn.XLOOKUP(A788,Лист8!C:C,Лист8!C:C,"-",0)</f>
        <v>-</v>
      </c>
      <c r="C788" t="str">
        <f t="shared" si="26"/>
        <v>-</v>
      </c>
      <c r="D788" t="str">
        <f t="shared" si="25"/>
        <v>-</v>
      </c>
    </row>
    <row r="789" spans="1:4" x14ac:dyDescent="0.25">
      <c r="A789" t="s">
        <v>102</v>
      </c>
      <c r="B789" t="str">
        <f>_xlfn.XLOOKUP(A789,Лист8!C:C,Лист8!C:C,"-",0)</f>
        <v>-</v>
      </c>
      <c r="C789" t="str">
        <f t="shared" si="26"/>
        <v>-</v>
      </c>
      <c r="D789" t="str">
        <f t="shared" si="25"/>
        <v>-</v>
      </c>
    </row>
    <row r="790" spans="1:4" x14ac:dyDescent="0.25">
      <c r="A790" t="s">
        <v>92</v>
      </c>
      <c r="B790" t="str">
        <f>_xlfn.XLOOKUP(A790,Лист8!C:C,Лист8!C:C,"-",0)</f>
        <v>-</v>
      </c>
      <c r="C790" t="str">
        <f t="shared" si="26"/>
        <v>S, M, L, XL</v>
      </c>
      <c r="D790" t="str">
        <f t="shared" si="25"/>
        <v>-</v>
      </c>
    </row>
    <row r="791" spans="1:4" x14ac:dyDescent="0.25">
      <c r="A791" t="s">
        <v>131</v>
      </c>
      <c r="B791" t="str">
        <f>_xlfn.XLOOKUP(A791,Лист8!C:C,Лист8!C:C,"-",0)</f>
        <v>-</v>
      </c>
      <c r="C791" t="str">
        <f t="shared" si="26"/>
        <v>-</v>
      </c>
      <c r="D791" t="str">
        <f t="shared" si="25"/>
        <v>Black</v>
      </c>
    </row>
    <row r="792" spans="1:4" x14ac:dyDescent="0.25">
      <c r="A792" t="s">
        <v>296</v>
      </c>
      <c r="B792" t="str">
        <f>_xlfn.XLOOKUP(A792,Лист8!C:C,Лист8!C:C,"-",0)</f>
        <v>25141BH BRODIE</v>
      </c>
      <c r="C792" t="str">
        <f t="shared" si="26"/>
        <v>-</v>
      </c>
      <c r="D792" t="str">
        <f t="shared" si="25"/>
        <v>-</v>
      </c>
    </row>
    <row r="793" spans="1:4" x14ac:dyDescent="0.25">
      <c r="A793" t="s">
        <v>297</v>
      </c>
      <c r="B793" t="str">
        <f>_xlfn.XLOOKUP(A793,Лист8!C:C,Лист8!C:C,"-",0)</f>
        <v>-</v>
      </c>
      <c r="C793" t="str">
        <f t="shared" si="26"/>
        <v>-</v>
      </c>
      <c r="D793" t="str">
        <f t="shared" si="25"/>
        <v>-</v>
      </c>
    </row>
    <row r="794" spans="1:4" x14ac:dyDescent="0.25">
      <c r="A794" t="s">
        <v>442</v>
      </c>
      <c r="B794" t="str">
        <f>_xlfn.XLOOKUP(A794,Лист8!C:C,Лист8!C:C,"-",0)</f>
        <v>-</v>
      </c>
      <c r="C794" t="str">
        <f t="shared" si="26"/>
        <v>-</v>
      </c>
      <c r="D794" t="str">
        <f t="shared" si="25"/>
        <v>-</v>
      </c>
    </row>
    <row r="795" spans="1:4" x14ac:dyDescent="0.25">
      <c r="A795" t="s">
        <v>102</v>
      </c>
      <c r="B795" t="str">
        <f>_xlfn.XLOOKUP(A795,Лист8!C:C,Лист8!C:C,"-",0)</f>
        <v>-</v>
      </c>
      <c r="C795" t="str">
        <f t="shared" si="26"/>
        <v>-</v>
      </c>
      <c r="D795" t="str">
        <f t="shared" si="25"/>
        <v>-</v>
      </c>
    </row>
    <row r="796" spans="1:4" x14ac:dyDescent="0.25">
      <c r="A796" t="s">
        <v>92</v>
      </c>
      <c r="B796" t="str">
        <f>_xlfn.XLOOKUP(A796,Лист8!C:C,Лист8!C:C,"-",0)</f>
        <v>-</v>
      </c>
      <c r="C796" t="str">
        <f t="shared" si="26"/>
        <v>S, M, L, XL</v>
      </c>
      <c r="D796" t="str">
        <f t="shared" si="25"/>
        <v>-</v>
      </c>
    </row>
    <row r="797" spans="1:4" x14ac:dyDescent="0.25">
      <c r="A797" t="s">
        <v>298</v>
      </c>
      <c r="B797" t="str">
        <f>_xlfn.XLOOKUP(A797,Лист8!C:C,Лист8!C:C,"-",0)</f>
        <v>-</v>
      </c>
      <c r="C797" t="str">
        <f t="shared" si="26"/>
        <v>-</v>
      </c>
      <c r="D797" t="str">
        <f t="shared" si="25"/>
        <v>Marl Black Navy Plaid</v>
      </c>
    </row>
    <row r="798" spans="1:4" x14ac:dyDescent="0.25">
      <c r="A798" t="s">
        <v>299</v>
      </c>
      <c r="B798" t="str">
        <f>_xlfn.XLOOKUP(A798,Лист8!C:C,Лист8!C:C,"-",0)</f>
        <v>25119 VERNON</v>
      </c>
      <c r="C798" t="str">
        <f t="shared" si="26"/>
        <v>-</v>
      </c>
      <c r="D798" t="str">
        <f t="shared" si="25"/>
        <v>-</v>
      </c>
    </row>
    <row r="799" spans="1:4" x14ac:dyDescent="0.25">
      <c r="A799" t="s">
        <v>297</v>
      </c>
      <c r="B799" t="str">
        <f>_xlfn.XLOOKUP(A799,Лист8!C:C,Лист8!C:C,"-",0)</f>
        <v>-</v>
      </c>
      <c r="C799" t="str">
        <f t="shared" si="26"/>
        <v>-</v>
      </c>
      <c r="D799" t="str">
        <f t="shared" si="25"/>
        <v>-</v>
      </c>
    </row>
    <row r="800" spans="1:4" x14ac:dyDescent="0.25">
      <c r="A800" t="s">
        <v>443</v>
      </c>
      <c r="B800" t="str">
        <f>_xlfn.XLOOKUP(A800,Лист8!C:C,Лист8!C:C,"-",0)</f>
        <v>-</v>
      </c>
      <c r="C800" t="str">
        <f t="shared" si="26"/>
        <v>-</v>
      </c>
      <c r="D800" t="str">
        <f t="shared" si="25"/>
        <v>-</v>
      </c>
    </row>
    <row r="801" spans="1:4" x14ac:dyDescent="0.25">
      <c r="A801" t="s">
        <v>444</v>
      </c>
      <c r="B801" t="str">
        <f>_xlfn.XLOOKUP(A801,Лист8!C:C,Лист8!C:C,"-",0)</f>
        <v>-</v>
      </c>
      <c r="C801" t="str">
        <f t="shared" si="26"/>
        <v>-</v>
      </c>
      <c r="D801" t="str">
        <f t="shared" si="25"/>
        <v>-</v>
      </c>
    </row>
    <row r="802" spans="1:4" x14ac:dyDescent="0.25">
      <c r="A802" t="s">
        <v>102</v>
      </c>
      <c r="B802" t="str">
        <f>_xlfn.XLOOKUP(A802,Лист8!C:C,Лист8!C:C,"-",0)</f>
        <v>-</v>
      </c>
      <c r="C802" t="str">
        <f t="shared" si="26"/>
        <v>-</v>
      </c>
      <c r="D802" t="str">
        <f t="shared" si="25"/>
        <v>-</v>
      </c>
    </row>
    <row r="803" spans="1:4" x14ac:dyDescent="0.25">
      <c r="A803" t="s">
        <v>92</v>
      </c>
      <c r="B803" t="str">
        <f>_xlfn.XLOOKUP(A803,Лист8!C:C,Лист8!C:C,"-",0)</f>
        <v>-</v>
      </c>
      <c r="C803" t="str">
        <f t="shared" si="26"/>
        <v>S, M, L, XL</v>
      </c>
      <c r="D803" t="str">
        <f t="shared" si="25"/>
        <v>-</v>
      </c>
    </row>
    <row r="804" spans="1:4" x14ac:dyDescent="0.25">
      <c r="A804" t="s">
        <v>300</v>
      </c>
      <c r="B804" t="str">
        <f>_xlfn.XLOOKUP(A804,Лист8!C:C,Лист8!C:C,"-",0)</f>
        <v>-</v>
      </c>
      <c r="C804" t="str">
        <f t="shared" si="26"/>
        <v>-</v>
      </c>
      <c r="D804" t="str">
        <f t="shared" si="25"/>
        <v>Black Brown</v>
      </c>
    </row>
    <row r="805" spans="1:4" x14ac:dyDescent="0.25">
      <c r="A805">
        <v>53</v>
      </c>
      <c r="B805" t="str">
        <f>_xlfn.XLOOKUP(A805,Лист8!C:C,Лист8!C:C,"-",0)</f>
        <v>-</v>
      </c>
      <c r="C805" t="str">
        <f t="shared" si="26"/>
        <v>-</v>
      </c>
      <c r="D805" t="str">
        <f t="shared" si="25"/>
        <v>-</v>
      </c>
    </row>
    <row r="806" spans="1:4" x14ac:dyDescent="0.25">
      <c r="A806" t="s">
        <v>304</v>
      </c>
      <c r="B806" t="str">
        <f>_xlfn.XLOOKUP(A806,Лист8!C:C,Лист8!C:C,"-",0)</f>
        <v>1362 DALTON</v>
      </c>
      <c r="C806" t="str">
        <f t="shared" si="26"/>
        <v>-</v>
      </c>
      <c r="D806" t="str">
        <f t="shared" si="25"/>
        <v>-</v>
      </c>
    </row>
    <row r="807" spans="1:4" x14ac:dyDescent="0.25">
      <c r="A807" t="s">
        <v>445</v>
      </c>
      <c r="B807" t="str">
        <f>_xlfn.XLOOKUP(A807,Лист8!C:C,Лист8!C:C,"-",0)</f>
        <v>-</v>
      </c>
      <c r="C807" t="str">
        <f t="shared" si="26"/>
        <v>-</v>
      </c>
      <c r="D807" t="str">
        <f t="shared" si="25"/>
        <v>-</v>
      </c>
    </row>
    <row r="808" spans="1:4" x14ac:dyDescent="0.25">
      <c r="A808" t="s">
        <v>446</v>
      </c>
      <c r="B808" t="str">
        <f>_xlfn.XLOOKUP(A808,Лист8!C:C,Лист8!C:C,"-",0)</f>
        <v>-</v>
      </c>
      <c r="C808" t="str">
        <f t="shared" si="26"/>
        <v>-</v>
      </c>
      <c r="D808" t="str">
        <f t="shared" si="25"/>
        <v>-</v>
      </c>
    </row>
    <row r="809" spans="1:4" x14ac:dyDescent="0.25">
      <c r="A809" t="s">
        <v>435</v>
      </c>
      <c r="B809" t="str">
        <f>_xlfn.XLOOKUP(A809,Лист8!C:C,Лист8!C:C,"-",0)</f>
        <v>-</v>
      </c>
      <c r="C809" t="str">
        <f t="shared" si="26"/>
        <v>-</v>
      </c>
      <c r="D809" t="str">
        <f t="shared" si="25"/>
        <v>-</v>
      </c>
    </row>
    <row r="810" spans="1:4" x14ac:dyDescent="0.25">
      <c r="A810" t="s">
        <v>371</v>
      </c>
      <c r="B810" t="str">
        <f>_xlfn.XLOOKUP(A810,Лист8!C:C,Лист8!C:C,"-",0)</f>
        <v>-</v>
      </c>
      <c r="C810" t="str">
        <f t="shared" si="26"/>
        <v>-</v>
      </c>
      <c r="D810" t="str">
        <f t="shared" si="25"/>
        <v>-</v>
      </c>
    </row>
    <row r="811" spans="1:4" x14ac:dyDescent="0.25">
      <c r="A811" t="s">
        <v>165</v>
      </c>
      <c r="B811" t="str">
        <f>_xlfn.XLOOKUP(A811,Лист8!C:C,Лист8!C:C,"-",0)</f>
        <v>-</v>
      </c>
      <c r="C811" t="str">
        <f t="shared" si="26"/>
        <v>S, M, L, XL, XXL</v>
      </c>
      <c r="D811" t="str">
        <f t="shared" si="25"/>
        <v>-</v>
      </c>
    </row>
    <row r="812" spans="1:4" x14ac:dyDescent="0.25">
      <c r="A812" t="s">
        <v>286</v>
      </c>
      <c r="B812" t="str">
        <f>_xlfn.XLOOKUP(A812,Лист8!C:C,Лист8!C:C,"-",0)</f>
        <v>-</v>
      </c>
      <c r="C812" t="str">
        <f t="shared" si="26"/>
        <v>-</v>
      </c>
      <c r="D812" t="str">
        <f t="shared" si="25"/>
        <v>Black Chino Navy Tan</v>
      </c>
    </row>
    <row r="813" spans="1:4" x14ac:dyDescent="0.25">
      <c r="A813" t="s">
        <v>302</v>
      </c>
      <c r="B813" t="str">
        <f>_xlfn.XLOOKUP(A813,Лист8!C:C,Лист8!C:C,"-",0)</f>
        <v>1369 JACKMAN</v>
      </c>
      <c r="C813" t="str">
        <f t="shared" si="26"/>
        <v>-</v>
      </c>
      <c r="D813" t="str">
        <f t="shared" si="25"/>
        <v>-</v>
      </c>
    </row>
    <row r="814" spans="1:4" x14ac:dyDescent="0.25">
      <c r="A814" t="s">
        <v>447</v>
      </c>
      <c r="B814" t="str">
        <f>_xlfn.XLOOKUP(A814,Лист8!C:C,Лист8!C:C,"-",0)</f>
        <v>-</v>
      </c>
      <c r="C814" t="str">
        <f t="shared" si="26"/>
        <v>-</v>
      </c>
      <c r="D814" t="str">
        <f t="shared" si="25"/>
        <v>-</v>
      </c>
    </row>
    <row r="815" spans="1:4" x14ac:dyDescent="0.25">
      <c r="A815" t="s">
        <v>448</v>
      </c>
      <c r="B815" t="str">
        <f>_xlfn.XLOOKUP(A815,Лист8!C:C,Лист8!C:C,"-",0)</f>
        <v>-</v>
      </c>
      <c r="C815" t="str">
        <f t="shared" si="26"/>
        <v>-</v>
      </c>
      <c r="D815" t="str">
        <f t="shared" si="25"/>
        <v>-</v>
      </c>
    </row>
    <row r="816" spans="1:4" x14ac:dyDescent="0.25">
      <c r="A816" t="s">
        <v>449</v>
      </c>
      <c r="B816" t="str">
        <f>_xlfn.XLOOKUP(A816,Лист8!C:C,Лист8!C:C,"-",0)</f>
        <v>-</v>
      </c>
      <c r="C816" t="str">
        <f t="shared" si="26"/>
        <v>-</v>
      </c>
      <c r="D816" t="str">
        <f t="shared" si="25"/>
        <v>-</v>
      </c>
    </row>
    <row r="817" spans="1:4" x14ac:dyDescent="0.25">
      <c r="A817" t="s">
        <v>450</v>
      </c>
      <c r="B817" t="str">
        <f>_xlfn.XLOOKUP(A817,Лист8!C:C,Лист8!C:C,"-",0)</f>
        <v>-</v>
      </c>
      <c r="C817" t="str">
        <f t="shared" si="26"/>
        <v>-</v>
      </c>
      <c r="D817" t="str">
        <f t="shared" si="25"/>
        <v>-</v>
      </c>
    </row>
    <row r="818" spans="1:4" x14ac:dyDescent="0.25">
      <c r="A818" t="s">
        <v>451</v>
      </c>
      <c r="B818" t="str">
        <f>_xlfn.XLOOKUP(A818,Лист8!C:C,Лист8!C:C,"-",0)</f>
        <v>-</v>
      </c>
      <c r="C818" t="str">
        <f t="shared" si="26"/>
        <v>-</v>
      </c>
      <c r="D818" t="str">
        <f t="shared" si="25"/>
        <v>-</v>
      </c>
    </row>
    <row r="819" spans="1:4" x14ac:dyDescent="0.25">
      <c r="A819" t="s">
        <v>115</v>
      </c>
      <c r="B819" t="str">
        <f>_xlfn.XLOOKUP(A819,Лист8!C:C,Лист8!C:C,"-",0)</f>
        <v>-</v>
      </c>
      <c r="C819" t="str">
        <f t="shared" si="26"/>
        <v>-</v>
      </c>
      <c r="D819" t="str">
        <f t="shared" si="25"/>
        <v>-</v>
      </c>
    </row>
    <row r="820" spans="1:4" x14ac:dyDescent="0.25">
      <c r="A820" t="s">
        <v>452</v>
      </c>
      <c r="B820" t="str">
        <f>_xlfn.XLOOKUP(A820,Лист8!C:C,Лист8!C:C,"-",0)</f>
        <v>-</v>
      </c>
      <c r="C820" t="str">
        <f t="shared" si="26"/>
        <v>-</v>
      </c>
      <c r="D820" t="str">
        <f t="shared" si="25"/>
        <v>-</v>
      </c>
    </row>
    <row r="821" spans="1:4" x14ac:dyDescent="0.25">
      <c r="A821" t="s">
        <v>165</v>
      </c>
      <c r="B821" t="str">
        <f>_xlfn.XLOOKUP(A821,Лист8!C:C,Лист8!C:C,"-",0)</f>
        <v>-</v>
      </c>
      <c r="C821" t="str">
        <f t="shared" si="26"/>
        <v>S, M, L, XL, XXL</v>
      </c>
      <c r="D821" t="str">
        <f t="shared" si="25"/>
        <v>-</v>
      </c>
    </row>
    <row r="822" spans="1:4" x14ac:dyDescent="0.25">
      <c r="A822" t="s">
        <v>453</v>
      </c>
      <c r="B822" t="str">
        <f>_xlfn.XLOOKUP(A822,Лист8!C:C,Лист8!C:C,"-",0)</f>
        <v>-</v>
      </c>
      <c r="C822" t="str">
        <f t="shared" si="26"/>
        <v>-</v>
      </c>
      <c r="D822" t="str">
        <f t="shared" si="25"/>
        <v>Charcoal Dk. Brown Navy</v>
      </c>
    </row>
    <row r="823" spans="1:4" x14ac:dyDescent="0.25">
      <c r="A823" t="s">
        <v>303</v>
      </c>
      <c r="B823" t="str">
        <f>_xlfn.XLOOKUP(A823,Лист8!C:C,Лист8!C:C,"-",0)</f>
        <v>-</v>
      </c>
      <c r="C823" t="str">
        <f t="shared" si="26"/>
        <v>-</v>
      </c>
      <c r="D823" t="str">
        <f t="shared" si="25"/>
        <v>-</v>
      </c>
    </row>
    <row r="824" spans="1:4" x14ac:dyDescent="0.25">
      <c r="A824" t="s">
        <v>454</v>
      </c>
      <c r="B824" t="str">
        <f>_xlfn.XLOOKUP(A824,Лист8!C:C,Лист8!C:C,"-",0)</f>
        <v>-</v>
      </c>
      <c r="C824" t="str">
        <f t="shared" si="26"/>
        <v>-</v>
      </c>
      <c r="D824" t="str">
        <f t="shared" si="25"/>
        <v>-</v>
      </c>
    </row>
    <row r="825" spans="1:4" x14ac:dyDescent="0.25">
      <c r="A825" t="s">
        <v>140</v>
      </c>
      <c r="B825" t="str">
        <f>_xlfn.XLOOKUP(A825,Лист8!C:C,Лист8!C:C,"-",0)</f>
        <v>-</v>
      </c>
      <c r="C825" t="str">
        <f t="shared" si="26"/>
        <v>-</v>
      </c>
      <c r="D825" t="str">
        <f t="shared" si="25"/>
        <v>-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C6790-93A7-4BC0-A279-8582BB407DA1}">
  <sheetPr codeName="Лист6"/>
  <dimension ref="A1:C91"/>
  <sheetViews>
    <sheetView topLeftCell="C51" workbookViewId="0">
      <selection activeCell="C68" sqref="C68"/>
    </sheetView>
  </sheetViews>
  <sheetFormatPr defaultRowHeight="15" x14ac:dyDescent="0.25"/>
  <cols>
    <col min="1" max="1" width="22.5703125" bestFit="1" customWidth="1"/>
    <col min="2" max="2" width="40" bestFit="1" customWidth="1"/>
    <col min="3" max="3" width="60.7109375" bestFit="1" customWidth="1"/>
  </cols>
  <sheetData>
    <row r="1" spans="1:3" x14ac:dyDescent="0.25">
      <c r="A1" t="s">
        <v>104</v>
      </c>
      <c r="B1" t="s">
        <v>94</v>
      </c>
      <c r="C1" t="s">
        <v>455</v>
      </c>
    </row>
    <row r="2" spans="1:3" x14ac:dyDescent="0.25">
      <c r="A2" t="s">
        <v>108</v>
      </c>
      <c r="B2" t="s">
        <v>92</v>
      </c>
      <c r="C2" t="s">
        <v>456</v>
      </c>
    </row>
    <row r="3" spans="1:3" x14ac:dyDescent="0.25">
      <c r="A3" t="s">
        <v>112</v>
      </c>
      <c r="B3" t="s">
        <v>92</v>
      </c>
      <c r="C3" t="s">
        <v>457</v>
      </c>
    </row>
    <row r="4" spans="1:3" x14ac:dyDescent="0.25">
      <c r="A4" t="s">
        <v>93</v>
      </c>
      <c r="B4" t="s">
        <v>92</v>
      </c>
      <c r="C4" t="s">
        <v>458</v>
      </c>
    </row>
    <row r="5" spans="1:3" x14ac:dyDescent="0.25">
      <c r="A5" t="s">
        <v>97</v>
      </c>
      <c r="B5" t="s">
        <v>92</v>
      </c>
      <c r="C5" t="s">
        <v>493</v>
      </c>
    </row>
    <row r="6" spans="1:3" x14ac:dyDescent="0.25">
      <c r="A6" t="s">
        <v>95</v>
      </c>
      <c r="B6" t="s">
        <v>92</v>
      </c>
      <c r="C6" t="s">
        <v>500</v>
      </c>
    </row>
    <row r="7" spans="1:3" x14ac:dyDescent="0.25">
      <c r="A7" t="s">
        <v>124</v>
      </c>
      <c r="B7" t="s">
        <v>92</v>
      </c>
      <c r="C7" t="s">
        <v>459</v>
      </c>
    </row>
    <row r="8" spans="1:3" x14ac:dyDescent="0.25">
      <c r="A8" t="s">
        <v>308</v>
      </c>
      <c r="B8" t="s">
        <v>92</v>
      </c>
      <c r="C8" t="s">
        <v>460</v>
      </c>
    </row>
    <row r="9" spans="1:3" x14ac:dyDescent="0.25">
      <c r="A9" t="s">
        <v>130</v>
      </c>
      <c r="B9" t="s">
        <v>92</v>
      </c>
      <c r="C9" t="s">
        <v>131</v>
      </c>
    </row>
    <row r="10" spans="1:3" x14ac:dyDescent="0.25">
      <c r="A10" t="s">
        <v>309</v>
      </c>
      <c r="B10" t="s">
        <v>92</v>
      </c>
      <c r="C10" t="s">
        <v>505</v>
      </c>
    </row>
    <row r="11" spans="1:3" x14ac:dyDescent="0.25">
      <c r="A11" t="s">
        <v>136</v>
      </c>
      <c r="B11" t="s">
        <v>92</v>
      </c>
      <c r="C11" t="s">
        <v>501</v>
      </c>
    </row>
    <row r="12" spans="1:3" x14ac:dyDescent="0.25">
      <c r="A12" t="s">
        <v>138</v>
      </c>
      <c r="B12" t="s">
        <v>92</v>
      </c>
      <c r="C12" t="s">
        <v>461</v>
      </c>
    </row>
    <row r="13" spans="1:3" x14ac:dyDescent="0.25">
      <c r="A13" t="s">
        <v>158</v>
      </c>
      <c r="B13" t="s">
        <v>92</v>
      </c>
      <c r="C13" t="s">
        <v>508</v>
      </c>
    </row>
    <row r="14" spans="1:3" x14ac:dyDescent="0.25">
      <c r="A14" t="s">
        <v>162</v>
      </c>
      <c r="B14" t="s">
        <v>92</v>
      </c>
      <c r="C14" t="s">
        <v>462</v>
      </c>
    </row>
    <row r="15" spans="1:3" x14ac:dyDescent="0.25">
      <c r="A15" t="s">
        <v>311</v>
      </c>
      <c r="B15" t="s">
        <v>92</v>
      </c>
      <c r="C15" t="s">
        <v>502</v>
      </c>
    </row>
    <row r="16" spans="1:3" x14ac:dyDescent="0.25">
      <c r="A16" t="s">
        <v>146</v>
      </c>
      <c r="B16" t="s">
        <v>92</v>
      </c>
      <c r="C16" t="s">
        <v>463</v>
      </c>
    </row>
    <row r="17" spans="1:3" x14ac:dyDescent="0.25">
      <c r="A17" t="s">
        <v>154</v>
      </c>
      <c r="B17" t="s">
        <v>92</v>
      </c>
      <c r="C17" t="s">
        <v>520</v>
      </c>
    </row>
    <row r="18" spans="1:3" x14ac:dyDescent="0.25">
      <c r="A18" t="s">
        <v>310</v>
      </c>
      <c r="B18" t="s">
        <v>92</v>
      </c>
      <c r="C18" t="s">
        <v>464</v>
      </c>
    </row>
    <row r="19" spans="1:3" x14ac:dyDescent="0.25">
      <c r="A19" t="s">
        <v>143</v>
      </c>
      <c r="B19" t="s">
        <v>92</v>
      </c>
      <c r="C19" t="s">
        <v>494</v>
      </c>
    </row>
    <row r="20" spans="1:3" x14ac:dyDescent="0.25">
      <c r="A20" t="s">
        <v>149</v>
      </c>
      <c r="B20" t="s">
        <v>92</v>
      </c>
      <c r="C20" t="s">
        <v>503</v>
      </c>
    </row>
    <row r="21" spans="1:3" x14ac:dyDescent="0.25">
      <c r="A21" t="s">
        <v>312</v>
      </c>
      <c r="B21" t="s">
        <v>165</v>
      </c>
      <c r="C21" t="s">
        <v>465</v>
      </c>
    </row>
    <row r="22" spans="1:3" x14ac:dyDescent="0.25">
      <c r="A22" t="s">
        <v>175</v>
      </c>
      <c r="B22" t="s">
        <v>92</v>
      </c>
      <c r="C22" t="s">
        <v>509</v>
      </c>
    </row>
    <row r="23" spans="1:3" x14ac:dyDescent="0.25">
      <c r="A23" t="s">
        <v>313</v>
      </c>
      <c r="B23" t="s">
        <v>92</v>
      </c>
      <c r="C23" t="s">
        <v>506</v>
      </c>
    </row>
    <row r="24" spans="1:3" x14ac:dyDescent="0.25">
      <c r="A24" t="s">
        <v>174</v>
      </c>
      <c r="B24" t="s">
        <v>92</v>
      </c>
      <c r="C24" t="s">
        <v>508</v>
      </c>
    </row>
    <row r="25" spans="1:3" x14ac:dyDescent="0.25">
      <c r="A25" t="s">
        <v>177</v>
      </c>
      <c r="B25" t="s">
        <v>92</v>
      </c>
      <c r="C25" t="s">
        <v>521</v>
      </c>
    </row>
    <row r="26" spans="1:3" x14ac:dyDescent="0.25">
      <c r="A26" t="s">
        <v>172</v>
      </c>
      <c r="B26" t="s">
        <v>92</v>
      </c>
      <c r="C26" t="s">
        <v>508</v>
      </c>
    </row>
    <row r="27" spans="1:3" x14ac:dyDescent="0.25">
      <c r="A27" t="s">
        <v>169</v>
      </c>
      <c r="B27" t="s">
        <v>92</v>
      </c>
      <c r="C27" t="s">
        <v>466</v>
      </c>
    </row>
    <row r="28" spans="1:3" x14ac:dyDescent="0.25">
      <c r="A28" t="s">
        <v>167</v>
      </c>
      <c r="B28" t="s">
        <v>92</v>
      </c>
      <c r="C28" t="s">
        <v>511</v>
      </c>
    </row>
    <row r="29" spans="1:3" x14ac:dyDescent="0.25">
      <c r="A29" t="s">
        <v>180</v>
      </c>
      <c r="B29" t="s">
        <v>181</v>
      </c>
      <c r="C29" t="s">
        <v>512</v>
      </c>
    </row>
    <row r="30" spans="1:3" x14ac:dyDescent="0.25">
      <c r="A30" t="s">
        <v>314</v>
      </c>
      <c r="B30" t="s">
        <v>92</v>
      </c>
      <c r="C30" t="s">
        <v>467</v>
      </c>
    </row>
    <row r="31" spans="1:3" x14ac:dyDescent="0.25">
      <c r="A31" t="s">
        <v>316</v>
      </c>
      <c r="B31" t="s">
        <v>92</v>
      </c>
      <c r="C31" t="s">
        <v>521</v>
      </c>
    </row>
    <row r="32" spans="1:3" x14ac:dyDescent="0.25">
      <c r="A32" t="s">
        <v>195</v>
      </c>
      <c r="B32" t="s">
        <v>165</v>
      </c>
      <c r="C32" t="s">
        <v>516</v>
      </c>
    </row>
    <row r="33" spans="1:3" x14ac:dyDescent="0.25">
      <c r="A33" t="s">
        <v>192</v>
      </c>
      <c r="B33" t="s">
        <v>92</v>
      </c>
      <c r="C33" t="s">
        <v>514</v>
      </c>
    </row>
    <row r="34" spans="1:3" x14ac:dyDescent="0.25">
      <c r="A34" t="s">
        <v>190</v>
      </c>
      <c r="B34" t="s">
        <v>92</v>
      </c>
      <c r="C34" t="s">
        <v>468</v>
      </c>
    </row>
    <row r="35" spans="1:3" x14ac:dyDescent="0.25">
      <c r="A35" t="s">
        <v>184</v>
      </c>
      <c r="B35" t="s">
        <v>92</v>
      </c>
      <c r="C35" t="s">
        <v>469</v>
      </c>
    </row>
    <row r="36" spans="1:3" x14ac:dyDescent="0.25">
      <c r="A36" t="s">
        <v>315</v>
      </c>
      <c r="B36" t="s">
        <v>92</v>
      </c>
      <c r="C36" t="s">
        <v>470</v>
      </c>
    </row>
    <row r="37" spans="1:3" x14ac:dyDescent="0.25">
      <c r="A37" t="s">
        <v>186</v>
      </c>
      <c r="B37" t="s">
        <v>92</v>
      </c>
      <c r="C37" t="s">
        <v>495</v>
      </c>
    </row>
    <row r="38" spans="1:3" x14ac:dyDescent="0.25">
      <c r="A38" t="s">
        <v>188</v>
      </c>
      <c r="B38" t="s">
        <v>92</v>
      </c>
      <c r="C38" t="s">
        <v>513</v>
      </c>
    </row>
    <row r="39" spans="1:3" x14ac:dyDescent="0.25">
      <c r="A39" t="s">
        <v>202</v>
      </c>
      <c r="B39" t="s">
        <v>165</v>
      </c>
      <c r="C39" t="s">
        <v>523</v>
      </c>
    </row>
    <row r="40" spans="1:3" x14ac:dyDescent="0.25">
      <c r="A40" t="s">
        <v>199</v>
      </c>
      <c r="B40" t="s">
        <v>165</v>
      </c>
      <c r="C40" t="s">
        <v>517</v>
      </c>
    </row>
    <row r="41" spans="1:3" x14ac:dyDescent="0.25">
      <c r="A41" t="s">
        <v>212</v>
      </c>
      <c r="B41" t="s">
        <v>92</v>
      </c>
      <c r="C41" t="s">
        <v>525</v>
      </c>
    </row>
    <row r="42" spans="1:3" x14ac:dyDescent="0.25">
      <c r="A42" t="s">
        <v>210</v>
      </c>
      <c r="B42" t="s">
        <v>92</v>
      </c>
      <c r="C42" t="s">
        <v>524</v>
      </c>
    </row>
    <row r="43" spans="1:3" x14ac:dyDescent="0.25">
      <c r="A43" t="s">
        <v>208</v>
      </c>
      <c r="B43" t="s">
        <v>92</v>
      </c>
      <c r="C43" t="s">
        <v>522</v>
      </c>
    </row>
    <row r="44" spans="1:3" x14ac:dyDescent="0.25">
      <c r="A44" t="s">
        <v>206</v>
      </c>
      <c r="B44" t="s">
        <v>92</v>
      </c>
      <c r="C44" t="s">
        <v>471</v>
      </c>
    </row>
    <row r="45" spans="1:3" x14ac:dyDescent="0.25">
      <c r="A45" t="s">
        <v>197</v>
      </c>
      <c r="B45" t="s">
        <v>92</v>
      </c>
      <c r="C45" t="s">
        <v>515</v>
      </c>
    </row>
    <row r="46" spans="1:3" x14ac:dyDescent="0.25">
      <c r="A46" t="s">
        <v>204</v>
      </c>
      <c r="B46" t="s">
        <v>92</v>
      </c>
      <c r="C46" t="s">
        <v>518</v>
      </c>
    </row>
    <row r="47" spans="1:3" x14ac:dyDescent="0.25">
      <c r="A47" t="s">
        <v>214</v>
      </c>
      <c r="B47" t="s">
        <v>92</v>
      </c>
      <c r="C47" t="s">
        <v>472</v>
      </c>
    </row>
    <row r="48" spans="1:3" x14ac:dyDescent="0.25">
      <c r="A48" t="s">
        <v>217</v>
      </c>
      <c r="B48" t="s">
        <v>92</v>
      </c>
      <c r="C48" t="s">
        <v>218</v>
      </c>
    </row>
    <row r="49" spans="1:3" x14ac:dyDescent="0.25">
      <c r="A49" t="s">
        <v>219</v>
      </c>
      <c r="B49" t="s">
        <v>165</v>
      </c>
      <c r="C49" t="s">
        <v>519</v>
      </c>
    </row>
    <row r="50" spans="1:3" x14ac:dyDescent="0.25">
      <c r="A50" t="s">
        <v>317</v>
      </c>
      <c r="B50" t="s">
        <v>92</v>
      </c>
      <c r="C50" t="s">
        <v>473</v>
      </c>
    </row>
    <row r="51" spans="1:3" x14ac:dyDescent="0.25">
      <c r="A51" t="s">
        <v>225</v>
      </c>
      <c r="B51" t="s">
        <v>92</v>
      </c>
      <c r="C51" t="s">
        <v>496</v>
      </c>
    </row>
    <row r="52" spans="1:3" x14ac:dyDescent="0.25">
      <c r="A52" t="s">
        <v>227</v>
      </c>
      <c r="B52" t="s">
        <v>92</v>
      </c>
      <c r="C52" t="s">
        <v>474</v>
      </c>
    </row>
    <row r="53" spans="1:3" x14ac:dyDescent="0.25">
      <c r="A53" t="s">
        <v>229</v>
      </c>
      <c r="B53" t="s">
        <v>92</v>
      </c>
      <c r="C53" t="s">
        <v>497</v>
      </c>
    </row>
    <row r="54" spans="1:3" x14ac:dyDescent="0.25">
      <c r="A54" t="s">
        <v>235</v>
      </c>
      <c r="B54" t="s">
        <v>165</v>
      </c>
      <c r="C54" t="s">
        <v>131</v>
      </c>
    </row>
    <row r="55" spans="1:3" x14ac:dyDescent="0.25">
      <c r="A55" t="s">
        <v>232</v>
      </c>
      <c r="B55" t="s">
        <v>165</v>
      </c>
      <c r="C55" t="s">
        <v>131</v>
      </c>
    </row>
    <row r="56" spans="1:3" x14ac:dyDescent="0.25">
      <c r="A56" t="s">
        <v>233</v>
      </c>
      <c r="B56" t="s">
        <v>92</v>
      </c>
      <c r="C56" t="s">
        <v>475</v>
      </c>
    </row>
    <row r="57" spans="1:3" x14ac:dyDescent="0.25">
      <c r="A57" t="s">
        <v>318</v>
      </c>
      <c r="B57" t="s">
        <v>165</v>
      </c>
      <c r="C57" t="s">
        <v>504</v>
      </c>
    </row>
    <row r="58" spans="1:3" x14ac:dyDescent="0.25">
      <c r="A58" t="s">
        <v>241</v>
      </c>
      <c r="B58" t="s">
        <v>92</v>
      </c>
      <c r="C58" t="s">
        <v>476</v>
      </c>
    </row>
    <row r="59" spans="1:3" x14ac:dyDescent="0.25">
      <c r="A59" t="s">
        <v>238</v>
      </c>
      <c r="B59" t="s">
        <v>92</v>
      </c>
      <c r="C59" t="s">
        <v>527</v>
      </c>
    </row>
    <row r="60" spans="1:3" x14ac:dyDescent="0.25">
      <c r="A60" t="s">
        <v>319</v>
      </c>
      <c r="B60" t="s">
        <v>92</v>
      </c>
      <c r="C60" t="s">
        <v>526</v>
      </c>
    </row>
    <row r="61" spans="1:3" x14ac:dyDescent="0.25">
      <c r="A61" t="s">
        <v>243</v>
      </c>
      <c r="B61" t="s">
        <v>92</v>
      </c>
      <c r="C61" t="s">
        <v>510</v>
      </c>
    </row>
    <row r="62" spans="1:3" x14ac:dyDescent="0.25">
      <c r="A62" t="s">
        <v>320</v>
      </c>
      <c r="B62" t="s">
        <v>92</v>
      </c>
      <c r="C62" t="s">
        <v>507</v>
      </c>
    </row>
    <row r="63" spans="1:3" x14ac:dyDescent="0.25">
      <c r="A63" t="s">
        <v>246</v>
      </c>
      <c r="B63" t="s">
        <v>92</v>
      </c>
      <c r="C63" t="s">
        <v>477</v>
      </c>
    </row>
    <row r="64" spans="1:3" x14ac:dyDescent="0.25">
      <c r="A64" t="s">
        <v>248</v>
      </c>
      <c r="B64" t="s">
        <v>250</v>
      </c>
      <c r="C64" t="s">
        <v>131</v>
      </c>
    </row>
    <row r="65" spans="1:3" x14ac:dyDescent="0.25">
      <c r="A65" t="s">
        <v>253</v>
      </c>
      <c r="B65" t="s">
        <v>250</v>
      </c>
      <c r="C65" t="s">
        <v>478</v>
      </c>
    </row>
    <row r="66" spans="1:3" x14ac:dyDescent="0.25">
      <c r="A66" t="s">
        <v>255</v>
      </c>
      <c r="B66" t="s">
        <v>92</v>
      </c>
      <c r="C66" t="s">
        <v>131</v>
      </c>
    </row>
    <row r="67" spans="1:3" x14ac:dyDescent="0.25">
      <c r="A67" t="s">
        <v>321</v>
      </c>
      <c r="B67" t="s">
        <v>165</v>
      </c>
      <c r="C67" t="s">
        <v>529</v>
      </c>
    </row>
    <row r="68" spans="1:3" x14ac:dyDescent="0.25">
      <c r="A68" t="s">
        <v>322</v>
      </c>
      <c r="B68" t="s">
        <v>165</v>
      </c>
      <c r="C68" t="s">
        <v>479</v>
      </c>
    </row>
    <row r="69" spans="1:3" x14ac:dyDescent="0.25">
      <c r="A69" t="s">
        <v>261</v>
      </c>
      <c r="B69" t="s">
        <v>165</v>
      </c>
      <c r="C69" t="s">
        <v>528</v>
      </c>
    </row>
    <row r="70" spans="1:3" x14ac:dyDescent="0.25">
      <c r="A70" t="s">
        <v>265</v>
      </c>
      <c r="B70" t="s">
        <v>92</v>
      </c>
      <c r="C70" t="s">
        <v>480</v>
      </c>
    </row>
    <row r="71" spans="1:3" x14ac:dyDescent="0.25">
      <c r="A71" t="s">
        <v>268</v>
      </c>
      <c r="B71" t="s">
        <v>92</v>
      </c>
      <c r="C71" t="s">
        <v>481</v>
      </c>
    </row>
    <row r="72" spans="1:3" x14ac:dyDescent="0.25">
      <c r="A72" t="s">
        <v>267</v>
      </c>
      <c r="B72" t="s">
        <v>92</v>
      </c>
      <c r="C72" t="s">
        <v>480</v>
      </c>
    </row>
    <row r="73" spans="1:3" x14ac:dyDescent="0.25">
      <c r="A73" t="s">
        <v>274</v>
      </c>
      <c r="B73" t="s">
        <v>92</v>
      </c>
      <c r="C73" t="s">
        <v>482</v>
      </c>
    </row>
    <row r="74" spans="1:3" x14ac:dyDescent="0.25">
      <c r="A74" t="s">
        <v>272</v>
      </c>
      <c r="B74" t="s">
        <v>92</v>
      </c>
      <c r="C74" t="s">
        <v>483</v>
      </c>
    </row>
    <row r="75" spans="1:3" x14ac:dyDescent="0.25">
      <c r="A75" t="s">
        <v>323</v>
      </c>
      <c r="B75" t="s">
        <v>92</v>
      </c>
      <c r="C75" t="s">
        <v>484</v>
      </c>
    </row>
    <row r="76" spans="1:3" x14ac:dyDescent="0.25">
      <c r="A76" t="s">
        <v>280</v>
      </c>
      <c r="B76" t="s">
        <v>92</v>
      </c>
      <c r="C76" t="s">
        <v>498</v>
      </c>
    </row>
    <row r="77" spans="1:3" x14ac:dyDescent="0.25">
      <c r="A77" t="s">
        <v>287</v>
      </c>
      <c r="B77" t="s">
        <v>165</v>
      </c>
      <c r="C77" t="s">
        <v>485</v>
      </c>
    </row>
    <row r="78" spans="1:3" x14ac:dyDescent="0.25">
      <c r="A78" t="s">
        <v>325</v>
      </c>
      <c r="B78" t="s">
        <v>92</v>
      </c>
      <c r="C78" t="s">
        <v>468</v>
      </c>
    </row>
    <row r="79" spans="1:3" x14ac:dyDescent="0.25">
      <c r="A79" t="s">
        <v>278</v>
      </c>
      <c r="B79" t="s">
        <v>92</v>
      </c>
      <c r="C79" t="s">
        <v>486</v>
      </c>
    </row>
    <row r="80" spans="1:3" x14ac:dyDescent="0.25">
      <c r="A80" t="s">
        <v>324</v>
      </c>
      <c r="B80" t="s">
        <v>92</v>
      </c>
      <c r="C80" t="s">
        <v>499</v>
      </c>
    </row>
    <row r="81" spans="1:3" x14ac:dyDescent="0.25">
      <c r="A81" t="s">
        <v>284</v>
      </c>
      <c r="B81" t="s">
        <v>165</v>
      </c>
      <c r="C81" t="s">
        <v>487</v>
      </c>
    </row>
    <row r="82" spans="1:3" x14ac:dyDescent="0.25">
      <c r="A82" t="s">
        <v>282</v>
      </c>
      <c r="B82" t="s">
        <v>92</v>
      </c>
      <c r="C82" t="s">
        <v>488</v>
      </c>
    </row>
    <row r="83" spans="1:3" x14ac:dyDescent="0.25">
      <c r="A83" t="s">
        <v>293</v>
      </c>
      <c r="B83" t="s">
        <v>92</v>
      </c>
      <c r="C83" t="s">
        <v>294</v>
      </c>
    </row>
    <row r="84" spans="1:3" x14ac:dyDescent="0.25">
      <c r="A84" t="s">
        <v>291</v>
      </c>
      <c r="B84" t="s">
        <v>92</v>
      </c>
      <c r="C84" t="s">
        <v>131</v>
      </c>
    </row>
    <row r="85" spans="1:3" x14ac:dyDescent="0.25">
      <c r="A85" t="s">
        <v>289</v>
      </c>
      <c r="B85" t="s">
        <v>92</v>
      </c>
      <c r="C85" t="s">
        <v>489</v>
      </c>
    </row>
    <row r="86" spans="1:3" x14ac:dyDescent="0.25">
      <c r="A86" t="s">
        <v>295</v>
      </c>
      <c r="B86" t="s">
        <v>92</v>
      </c>
      <c r="C86" t="s">
        <v>131</v>
      </c>
    </row>
    <row r="87" spans="1:3" x14ac:dyDescent="0.25">
      <c r="A87" t="s">
        <v>301</v>
      </c>
      <c r="B87" t="s">
        <v>92</v>
      </c>
      <c r="C87" t="s">
        <v>131</v>
      </c>
    </row>
    <row r="88" spans="1:3" x14ac:dyDescent="0.25">
      <c r="A88" t="s">
        <v>296</v>
      </c>
      <c r="B88" t="s">
        <v>92</v>
      </c>
      <c r="C88" t="s">
        <v>490</v>
      </c>
    </row>
    <row r="89" spans="1:3" x14ac:dyDescent="0.25">
      <c r="A89" t="s">
        <v>299</v>
      </c>
      <c r="B89" t="s">
        <v>92</v>
      </c>
      <c r="C89" t="s">
        <v>491</v>
      </c>
    </row>
    <row r="90" spans="1:3" x14ac:dyDescent="0.25">
      <c r="A90" t="s">
        <v>304</v>
      </c>
      <c r="B90" t="s">
        <v>165</v>
      </c>
      <c r="C90" t="s">
        <v>487</v>
      </c>
    </row>
    <row r="91" spans="1:3" x14ac:dyDescent="0.25">
      <c r="A91" t="s">
        <v>302</v>
      </c>
      <c r="B91" t="s">
        <v>165</v>
      </c>
      <c r="C91" t="s">
        <v>492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0B4D7-3616-48B8-830C-805F889E05C3}">
  <sheetPr codeName="Лист4"/>
  <dimension ref="B1:E110"/>
  <sheetViews>
    <sheetView tabSelected="1" topLeftCell="A55" workbookViewId="0">
      <selection activeCell="D90" sqref="D90:D110"/>
    </sheetView>
  </sheetViews>
  <sheetFormatPr defaultRowHeight="15" x14ac:dyDescent="0.25"/>
  <cols>
    <col min="1" max="1" width="21.42578125" customWidth="1"/>
    <col min="2" max="2" width="14.42578125" hidden="1" customWidth="1"/>
    <col min="3" max="3" width="22.5703125" style="1" bestFit="1" customWidth="1"/>
    <col min="4" max="4" width="40" style="1" bestFit="1" customWidth="1"/>
    <col min="5" max="5" width="60.7109375" style="1" bestFit="1" customWidth="1"/>
  </cols>
  <sheetData>
    <row r="1" spans="2:5" ht="74.45" customHeight="1" x14ac:dyDescent="0.25">
      <c r="B1" t="s">
        <v>0</v>
      </c>
      <c r="C1" s="1" t="s">
        <v>97</v>
      </c>
      <c r="D1" s="1" t="str">
        <f>VLOOKUP($C1,Лист12!$A:$C,2,0)</f>
        <v>S, M, L, XL</v>
      </c>
      <c r="E1" s="1" t="str">
        <f>VLOOKUP($C1,Лист12!$A:$C,3,0)</f>
        <v>Copper,Slate,Uniform Green</v>
      </c>
    </row>
    <row r="2" spans="2:5" ht="68.849999999999994" customHeight="1" x14ac:dyDescent="0.25">
      <c r="B2" t="s">
        <v>1</v>
      </c>
      <c r="C2" s="1" t="s">
        <v>112</v>
      </c>
      <c r="D2" s="1" t="str">
        <f>VLOOKUP($C2,Лист12!$A:$C,2,0)</f>
        <v>S, M, L, XL</v>
      </c>
      <c r="E2" s="1" t="str">
        <f>VLOOKUP($C2,Лист12!$A:$C,3,0)</f>
        <v>Black,Charcoal</v>
      </c>
    </row>
    <row r="3" spans="2:5" ht="80.45" customHeight="1" x14ac:dyDescent="0.25">
      <c r="B3" t="s">
        <v>2</v>
      </c>
      <c r="C3" s="1" t="s">
        <v>93</v>
      </c>
      <c r="D3" s="1" t="str">
        <f>VLOOKUP($C3,Лист12!$A:$C,2,0)</f>
        <v>S, M, L, XL</v>
      </c>
      <c r="E3" s="1" t="str">
        <f>VLOOKUP($C3,Лист12!$A:$C,3,0)</f>
        <v>Black,Buckskin</v>
      </c>
    </row>
    <row r="4" spans="2:5" ht="76.349999999999994" customHeight="1" x14ac:dyDescent="0.25">
      <c r="B4" t="s">
        <v>3</v>
      </c>
      <c r="C4" s="1" t="s">
        <v>95</v>
      </c>
      <c r="D4" s="1" t="str">
        <f>VLOOKUP($C4,Лист12!$A:$C,2,0)</f>
        <v>S, M, L, XL</v>
      </c>
      <c r="E4" s="1" t="str">
        <f>VLOOKUP($C4,Лист12!$A:$C,3,0)</f>
        <v>Black,Light Mink</v>
      </c>
    </row>
    <row r="5" spans="2:5" ht="78.75" customHeight="1" x14ac:dyDescent="0.25">
      <c r="B5" t="s">
        <v>4</v>
      </c>
      <c r="C5" s="1" t="s">
        <v>124</v>
      </c>
      <c r="D5" s="1" t="str">
        <f>VLOOKUP($C5,Лист12!$A:$C,2,0)</f>
        <v>S, M, L, XL</v>
      </c>
      <c r="E5" s="1" t="str">
        <f>VLOOKUP($C5,Лист12!$A:$C,3,0)</f>
        <v>Black,Chocolate</v>
      </c>
    </row>
    <row r="6" spans="2:5" ht="77.099999999999994" customHeight="1" x14ac:dyDescent="0.25">
      <c r="B6" t="s">
        <v>5</v>
      </c>
      <c r="C6" s="1" t="s">
        <v>108</v>
      </c>
      <c r="D6" s="1" t="str">
        <f>VLOOKUP($C6,Лист12!$A:$C,2,0)</f>
        <v>S, M, L, XL</v>
      </c>
      <c r="E6" s="1" t="str">
        <f>VLOOKUP($C6,Лист12!$A:$C,3,0)</f>
        <v>Black,Maple</v>
      </c>
    </row>
    <row r="7" spans="2:5" ht="84.6" customHeight="1" x14ac:dyDescent="0.25">
      <c r="B7" t="s">
        <v>6</v>
      </c>
      <c r="C7" s="1" t="s">
        <v>104</v>
      </c>
      <c r="D7" s="1" t="str">
        <f>VLOOKUP($C7,Лист12!$A:$C,2,0)</f>
        <v>6 7/8, 7, 7 1/8, 7 1/4, 7 3/8, 7 1/2, 7 5/8</v>
      </c>
      <c r="E7" s="1" t="str">
        <f>VLOOKUP($C7,Лист12!$A:$C,3,0)</f>
        <v>Black,Charcoal,Cognac,Olive</v>
      </c>
    </row>
    <row r="8" spans="2:5" ht="76.900000000000006" customHeight="1" x14ac:dyDescent="0.25">
      <c r="B8" t="s">
        <v>7</v>
      </c>
      <c r="C8" s="1" t="s">
        <v>308</v>
      </c>
      <c r="D8" s="1" t="str">
        <f>VLOOKUP($C8,Лист12!$A:$C,2,0)</f>
        <v>S, M, L, XL</v>
      </c>
      <c r="E8" s="1" t="str">
        <f>VLOOKUP($C8,Лист12!$A:$C,3,0)</f>
        <v>Aubergine,Black,Mink</v>
      </c>
    </row>
    <row r="9" spans="2:5" ht="72.599999999999994" customHeight="1" x14ac:dyDescent="0.25">
      <c r="B9" t="s">
        <v>8</v>
      </c>
      <c r="C9" s="1" t="s">
        <v>130</v>
      </c>
      <c r="D9" s="1" t="str">
        <f>VLOOKUP($C9,Лист12!$A:$C,2,0)</f>
        <v>S, M, L, XL</v>
      </c>
      <c r="E9" s="1" t="str">
        <f>VLOOKUP($C9,Лист12!$A:$C,3,0)</f>
        <v>Black</v>
      </c>
    </row>
    <row r="10" spans="2:5" ht="79.349999999999994" customHeight="1" x14ac:dyDescent="0.25">
      <c r="B10" t="s">
        <v>9</v>
      </c>
      <c r="C10" s="1" t="s">
        <v>309</v>
      </c>
      <c r="D10" s="1" t="str">
        <f>VLOOKUP($C10,Лист12!$A:$C,2,0)</f>
        <v>S, M, L, XL</v>
      </c>
      <c r="E10" s="1" t="str">
        <f>VLOOKUP($C10,Лист12!$A:$C,3,0)</f>
        <v>Black,Nickel,Soft Khaki,Stucco</v>
      </c>
    </row>
    <row r="11" spans="2:5" ht="78.400000000000006" customHeight="1" x14ac:dyDescent="0.25">
      <c r="B11" t="s">
        <v>10</v>
      </c>
      <c r="C11" s="1" t="s">
        <v>136</v>
      </c>
      <c r="D11" s="1" t="str">
        <f>VLOOKUP($C11,Лист12!$A:$C,2,0)</f>
        <v>S, M, L, XL</v>
      </c>
      <c r="E11" s="1" t="str">
        <f>VLOOKUP($C11,Лист12!$A:$C,3,0)</f>
        <v>Black,Eggplant,Lazuli Blue,Oak,Taupe</v>
      </c>
    </row>
    <row r="12" spans="2:5" ht="77.099999999999994" customHeight="1" x14ac:dyDescent="0.25">
      <c r="B12" t="s">
        <v>11</v>
      </c>
      <c r="C12" s="1" t="s">
        <v>138</v>
      </c>
      <c r="D12" s="1" t="str">
        <f>VLOOKUP($C12,Лист12!$A:$C,2,0)</f>
        <v>S, M, L, XL</v>
      </c>
      <c r="E12" s="1" t="str">
        <f>VLOOKUP($C12,Лист12!$A:$C,3,0)</f>
        <v>Black,Copper,Nickel</v>
      </c>
    </row>
    <row r="13" spans="2:5" ht="78.599999999999994" customHeight="1" x14ac:dyDescent="0.25">
      <c r="B13" t="s">
        <v>12</v>
      </c>
      <c r="C13" s="1" t="s">
        <v>310</v>
      </c>
      <c r="D13" s="1" t="str">
        <f>VLOOKUP($C13,Лист12!$A:$C,2,0)</f>
        <v>S, M, L, XL</v>
      </c>
      <c r="E13" s="1" t="str">
        <f>VLOOKUP($C13,Лист12!$A:$C,3,0)</f>
        <v>Black,Nickel,Oak</v>
      </c>
    </row>
    <row r="14" spans="2:5" ht="76.7" customHeight="1" x14ac:dyDescent="0.25">
      <c r="B14" t="s">
        <v>13</v>
      </c>
      <c r="C14" s="1" t="s">
        <v>143</v>
      </c>
      <c r="D14" s="1" t="str">
        <f>VLOOKUP($C14,Лист12!$A:$C,2,0)</f>
        <v>S, M, L, XL</v>
      </c>
      <c r="E14" s="1" t="str">
        <f>VLOOKUP($C14,Лист12!$A:$C,3,0)</f>
        <v>Avion,Black,Uniform Green</v>
      </c>
    </row>
    <row r="15" spans="2:5" ht="72.95" customHeight="1" x14ac:dyDescent="0.25">
      <c r="B15" t="s">
        <v>14</v>
      </c>
      <c r="C15" s="1" t="s">
        <v>146</v>
      </c>
      <c r="D15" s="1" t="str">
        <f>VLOOKUP($C15,Лист12!$A:$C,2,0)</f>
        <v>S, M, L, XL</v>
      </c>
      <c r="E15" s="1" t="str">
        <f>VLOOKUP($C15,Лист12!$A:$C,3,0)</f>
        <v>Black,Copper,Taupe</v>
      </c>
    </row>
    <row r="16" spans="2:5" ht="81.95" customHeight="1" x14ac:dyDescent="0.25">
      <c r="B16" t="s">
        <v>15</v>
      </c>
      <c r="C16" s="1" t="s">
        <v>149</v>
      </c>
      <c r="D16" s="1" t="str">
        <f>VLOOKUP($C16,Лист12!$A:$C,2,0)</f>
        <v>S, M, L, XL</v>
      </c>
      <c r="E16" s="1" t="str">
        <f>VLOOKUP($C16,Лист12!$A:$C,3,0)</f>
        <v>Black,Lazuli Blue,Oak</v>
      </c>
    </row>
    <row r="17" spans="2:5" ht="74.650000000000006" customHeight="1" x14ac:dyDescent="0.25">
      <c r="B17" t="s">
        <v>16</v>
      </c>
      <c r="C17" s="1" t="s">
        <v>311</v>
      </c>
      <c r="D17" s="1" t="str">
        <f>VLOOKUP($C17,Лист12!$A:$C,2,0)</f>
        <v>S, M, L, XL</v>
      </c>
      <c r="E17" s="1" t="str">
        <f>VLOOKUP($C17,Лист12!$A:$C,3,0)</f>
        <v>Black,Lazuli Blue,Uniform Green</v>
      </c>
    </row>
    <row r="18" spans="2:5" ht="74.849999999999994" customHeight="1" x14ac:dyDescent="0.25">
      <c r="B18" t="s">
        <v>17</v>
      </c>
      <c r="C18" s="1" t="s">
        <v>154</v>
      </c>
      <c r="D18" s="1" t="str">
        <f>VLOOKUP($C18,Лист12!$A:$C,2,0)</f>
        <v>S, M, L, XL</v>
      </c>
      <c r="E18" s="1" t="str">
        <f>VLOOKUP($C18,Лист12!$A:$C,3,0)</f>
        <v>Greige,Honey,Ochre,Silver Lining</v>
      </c>
    </row>
    <row r="19" spans="2:5" ht="78.400000000000006" customHeight="1" x14ac:dyDescent="0.25">
      <c r="B19" t="s">
        <v>18</v>
      </c>
      <c r="C19" s="1" t="s">
        <v>158</v>
      </c>
      <c r="D19" s="1" t="str">
        <f>VLOOKUP($C19,Лист12!$A:$C,2,0)</f>
        <v>S, M, L, XL</v>
      </c>
      <c r="E19" s="1" t="str">
        <f>VLOOKUP($C19,Лист12!$A:$C,3,0)</f>
        <v>Peacoat,Plaza Taupe,Saddle,Steel</v>
      </c>
    </row>
    <row r="20" spans="2:5" ht="74.25" customHeight="1" x14ac:dyDescent="0.25">
      <c r="B20" t="s">
        <v>19</v>
      </c>
      <c r="C20" s="1" t="s">
        <v>162</v>
      </c>
      <c r="D20" s="1" t="str">
        <f>VLOOKUP($C20,Лист12!$A:$C,2,0)</f>
        <v>S, M, L, XL</v>
      </c>
      <c r="E20" s="1" t="str">
        <f>VLOOKUP($C20,Лист12!$A:$C,3,0)</f>
        <v>Black,Unbleached</v>
      </c>
    </row>
    <row r="21" spans="2:5" ht="81.95" customHeight="1" x14ac:dyDescent="0.25">
      <c r="B21" t="s">
        <v>20</v>
      </c>
      <c r="C21" s="1" t="s">
        <v>312</v>
      </c>
      <c r="D21" s="1" t="str">
        <f>VLOOKUP($C21,Лист12!$A:$C,2,0)</f>
        <v>S, M, L, XL, XXL</v>
      </c>
      <c r="E21" s="1" t="str">
        <f>VLOOKUP($C21,Лист12!$A:$C,3,0)</f>
        <v>Black,Camel,Oak,Stucco</v>
      </c>
    </row>
    <row r="22" spans="2:5" ht="71.45" customHeight="1" x14ac:dyDescent="0.25">
      <c r="B22" t="s">
        <v>21</v>
      </c>
      <c r="C22" s="1" t="s">
        <v>169</v>
      </c>
      <c r="D22" s="1" t="str">
        <f>VLOOKUP($C22,Лист12!$A:$C,2,0)</f>
        <v>S, M, L, XL</v>
      </c>
      <c r="E22" s="1" t="str">
        <f>VLOOKUP($C22,Лист12!$A:$C,3,0)</f>
        <v>Beech,Black,Whiskey</v>
      </c>
    </row>
    <row r="23" spans="2:5" ht="70.900000000000006" customHeight="1" x14ac:dyDescent="0.25">
      <c r="B23" t="s">
        <v>22</v>
      </c>
      <c r="C23" s="1" t="s">
        <v>175</v>
      </c>
      <c r="D23" s="1" t="str">
        <f>VLOOKUP($C23,Лист12!$A:$C,2,0)</f>
        <v>S, M, L, XL</v>
      </c>
      <c r="E23" s="1" t="str">
        <f>VLOOKUP($C23,Лист12!$A:$C,3,0)</f>
        <v>Black,Plaza Taupe</v>
      </c>
    </row>
    <row r="24" spans="2:5" ht="72.400000000000006" customHeight="1" x14ac:dyDescent="0.25">
      <c r="B24" t="s">
        <v>23</v>
      </c>
      <c r="C24" s="1" t="s">
        <v>177</v>
      </c>
      <c r="D24" s="1" t="str">
        <f>VLOOKUP($C24,Лист12!$A:$C,2,0)</f>
        <v>S, M, L, XL</v>
      </c>
      <c r="E24" s="1" t="str">
        <f>VLOOKUP($C24,Лист12!$A:$C,3,0)</f>
        <v>Black,Midnight Brown,Unbleached</v>
      </c>
    </row>
    <row r="25" spans="2:5" ht="76.349999999999994" customHeight="1" x14ac:dyDescent="0.25">
      <c r="B25" t="s">
        <v>24</v>
      </c>
      <c r="C25" s="1" t="s">
        <v>313</v>
      </c>
      <c r="D25" s="1" t="str">
        <f>VLOOKUP($C25,Лист12!$A:$C,2,0)</f>
        <v>S, M, L, XL</v>
      </c>
      <c r="E25" s="1" t="str">
        <f>VLOOKUP($C25,Лист12!$A:$C,3,0)</f>
        <v>Avion,Black,Soft Khaki</v>
      </c>
    </row>
    <row r="26" spans="2:5" ht="77.849999999999994" customHeight="1" x14ac:dyDescent="0.25">
      <c r="B26" t="s">
        <v>25</v>
      </c>
      <c r="C26" s="1" t="s">
        <v>167</v>
      </c>
      <c r="D26" s="1" t="str">
        <f>VLOOKUP($C26,Лист12!$A:$C,2,0)</f>
        <v>S, M, L, XL</v>
      </c>
      <c r="E26" s="1" t="str">
        <f>VLOOKUP($C26,Лист12!$A:$C,3,0)</f>
        <v>Ink Blue,Plaza Taupe</v>
      </c>
    </row>
    <row r="27" spans="2:5" ht="78.400000000000006" customHeight="1" x14ac:dyDescent="0.25">
      <c r="B27" t="s">
        <v>26</v>
      </c>
      <c r="C27" s="1" t="s">
        <v>172</v>
      </c>
      <c r="D27" s="1" t="str">
        <f>VLOOKUP($C27,Лист12!$A:$C,2,0)</f>
        <v>S, M, L, XL</v>
      </c>
      <c r="E27" s="1" t="str">
        <f>VLOOKUP($C27,Лист12!$A:$C,3,0)</f>
        <v>Peacoat,Plaza Taupe,Saddle,Steel</v>
      </c>
    </row>
    <row r="28" spans="2:5" ht="90.75" customHeight="1" x14ac:dyDescent="0.25">
      <c r="B28" t="s">
        <v>27</v>
      </c>
      <c r="C28" s="1" t="s">
        <v>174</v>
      </c>
      <c r="D28" s="1" t="str">
        <f>VLOOKUP($C28,Лист12!$A:$C,2,0)</f>
        <v>S, M, L, XL</v>
      </c>
      <c r="E28" s="1" t="str">
        <f>VLOOKUP($C28,Лист12!$A:$C,3,0)</f>
        <v>Peacoat,Plaza Taupe,Saddle,Steel</v>
      </c>
    </row>
    <row r="29" spans="2:5" ht="94.35" customHeight="1" x14ac:dyDescent="0.25">
      <c r="B29" t="s">
        <v>28</v>
      </c>
      <c r="C29" s="1" t="s">
        <v>314</v>
      </c>
      <c r="D29" s="1" t="str">
        <f>VLOOKUP($C29,Лист12!$A:$C,2,0)</f>
        <v>S, M, L, XL</v>
      </c>
      <c r="E29" s="1" t="str">
        <f>VLOOKUP($C29,Лист12!$A:$C,3,0)</f>
        <v>Navy,Serpent,Walnut</v>
      </c>
    </row>
    <row r="30" spans="2:5" ht="75.599999999999994" customHeight="1" x14ac:dyDescent="0.25">
      <c r="B30" t="s">
        <v>29</v>
      </c>
      <c r="C30" s="1" t="s">
        <v>180</v>
      </c>
      <c r="D30" s="1" t="str">
        <f>VLOOKUP($C30,Лист12!$A:$C,2,0)</f>
        <v>S, M, L, XL, XXL, XXXL</v>
      </c>
      <c r="E30" s="1" t="str">
        <f>VLOOKUP($C30,Лист12!$A:$C,3,0)</f>
        <v>Black,Black Mix,Bluestone,Walnut</v>
      </c>
    </row>
    <row r="31" spans="2:5" ht="81.95" customHeight="1" x14ac:dyDescent="0.25">
      <c r="B31" t="s">
        <v>30</v>
      </c>
      <c r="C31" s="1" t="s">
        <v>315</v>
      </c>
      <c r="D31" s="1" t="str">
        <f>VLOOKUP($C31,Лист12!$A:$C,2,0)</f>
        <v>S, M, L, XL</v>
      </c>
      <c r="E31" s="1" t="str">
        <f>VLOOKUP($C31,Лист12!$A:$C,3,0)</f>
        <v>Avion,Black</v>
      </c>
    </row>
    <row r="32" spans="2:5" ht="81" customHeight="1" x14ac:dyDescent="0.25">
      <c r="B32" t="s">
        <v>31</v>
      </c>
      <c r="C32" s="1" t="s">
        <v>184</v>
      </c>
      <c r="D32" s="1" t="str">
        <f>VLOOKUP($C32,Лист12!$A:$C,2,0)</f>
        <v>S, M, L, XL</v>
      </c>
      <c r="E32" s="1" t="str">
        <f>VLOOKUP($C32,Лист12!$A:$C,3,0)</f>
        <v>Black,Oak</v>
      </c>
    </row>
    <row r="33" spans="2:5" ht="81.95" customHeight="1" x14ac:dyDescent="0.25">
      <c r="B33" t="s">
        <v>32</v>
      </c>
      <c r="C33" s="1" t="s">
        <v>186</v>
      </c>
      <c r="D33" s="1" t="str">
        <f>VLOOKUP($C33,Лист12!$A:$C,2,0)</f>
        <v>S, M, L, XL</v>
      </c>
      <c r="E33" s="1" t="str">
        <f>VLOOKUP($C33,Лист12!$A:$C,3,0)</f>
        <v>Black,Honey,Uniform Green</v>
      </c>
    </row>
    <row r="34" spans="2:5" ht="79.900000000000006" customHeight="1" x14ac:dyDescent="0.25">
      <c r="B34" t="s">
        <v>33</v>
      </c>
      <c r="C34" s="1" t="s">
        <v>188</v>
      </c>
      <c r="D34" s="1" t="str">
        <f>VLOOKUP($C34,Лист12!$A:$C,2,0)</f>
        <v>S, M, L, XL</v>
      </c>
      <c r="E34" s="1" t="str">
        <f>VLOOKUP($C34,Лист12!$A:$C,3,0)</f>
        <v>Black,Nickel,Satin Brass,Uniform Green</v>
      </c>
    </row>
    <row r="35" spans="2:5" ht="79.150000000000006" customHeight="1" x14ac:dyDescent="0.25">
      <c r="B35" t="s">
        <v>34</v>
      </c>
      <c r="C35" s="1" t="s">
        <v>316</v>
      </c>
      <c r="D35" s="1" t="str">
        <f>VLOOKUP($C35,Лист12!$A:$C,2,0)</f>
        <v>S, M, L, XL</v>
      </c>
      <c r="E35" s="1" t="str">
        <f>VLOOKUP($C35,Лист12!$A:$C,3,0)</f>
        <v>Black,Midnight Brown,Unbleached</v>
      </c>
    </row>
    <row r="36" spans="2:5" ht="88.9" customHeight="1" x14ac:dyDescent="0.25">
      <c r="B36" t="s">
        <v>35</v>
      </c>
      <c r="C36" s="1" t="s">
        <v>190</v>
      </c>
      <c r="D36" s="1" t="str">
        <f>VLOOKUP($C36,Лист12!$A:$C,2,0)</f>
        <v>S, M, L, XL</v>
      </c>
      <c r="E36" s="1" t="str">
        <f>VLOOKUP($C36,Лист12!$A:$C,3,0)</f>
        <v>Black,Ochre</v>
      </c>
    </row>
    <row r="37" spans="2:5" ht="79.349999999999994" customHeight="1" x14ac:dyDescent="0.25">
      <c r="B37" t="s">
        <v>36</v>
      </c>
      <c r="C37" s="1" t="s">
        <v>192</v>
      </c>
      <c r="D37" s="1" t="str">
        <f>VLOOKUP($C37,Лист12!$A:$C,2,0)</f>
        <v>S, M, L, XL</v>
      </c>
      <c r="E37" s="1" t="str">
        <f>VLOOKUP($C37,Лист12!$A:$C,3,0)</f>
        <v>Black,Unbleached,Woodland Mix</v>
      </c>
    </row>
    <row r="38" spans="2:5" ht="78" customHeight="1" x14ac:dyDescent="0.25">
      <c r="B38" t="s">
        <v>37</v>
      </c>
      <c r="C38" s="1" t="s">
        <v>195</v>
      </c>
      <c r="D38" s="1" t="str">
        <f>VLOOKUP($C38,Лист12!$A:$C,2,0)</f>
        <v>S, M, L, XL, XXL</v>
      </c>
      <c r="E38" s="1" t="str">
        <f>VLOOKUP($C38,Лист12!$A:$C,3,0)</f>
        <v>Navy,Nickel,Satin Brass,Silverbelly,Vintage Blue</v>
      </c>
    </row>
    <row r="39" spans="2:5" ht="87.2" customHeight="1" x14ac:dyDescent="0.25">
      <c r="B39" t="s">
        <v>38</v>
      </c>
      <c r="C39" s="1" t="s">
        <v>197</v>
      </c>
      <c r="D39" s="1" t="str">
        <f>VLOOKUP($C39,Лист12!$A:$C,2,0)</f>
        <v>S, M, L, XL</v>
      </c>
      <c r="E39" s="1" t="str">
        <f>VLOOKUP($C39,Лист12!$A:$C,3,0)</f>
        <v>Bluestone,Serpent,Woodland Mix</v>
      </c>
    </row>
    <row r="40" spans="2:5" ht="82.9" customHeight="1" x14ac:dyDescent="0.25">
      <c r="B40" t="s">
        <v>39</v>
      </c>
      <c r="C40" s="1" t="s">
        <v>199</v>
      </c>
      <c r="D40" s="1" t="str">
        <f>VLOOKUP($C40,Лист12!$A:$C,2,0)</f>
        <v>S, M, L, XL, XXL</v>
      </c>
      <c r="E40" s="1" t="str">
        <f>VLOOKUP($C40,Лист12!$A:$C,3,0)</f>
        <v>Sea Breeze,Serpent,Speckled Egg Mix,Uniform Green,Vintage Blue</v>
      </c>
    </row>
    <row r="41" spans="2:5" ht="77.45" customHeight="1" x14ac:dyDescent="0.25">
      <c r="B41" t="s">
        <v>40</v>
      </c>
      <c r="C41" s="1" t="s">
        <v>202</v>
      </c>
      <c r="D41" s="1" t="str">
        <f>VLOOKUP($C41,Лист12!$A:$C,2,0)</f>
        <v>S, M, L, XL, XXL</v>
      </c>
      <c r="E41" s="1" t="str">
        <f>VLOOKUP($C41,Лист12!$A:$C,3,0)</f>
        <v>Black,Caramel,Gun Metal,Satin Brass,Soft Khaki</v>
      </c>
    </row>
    <row r="42" spans="2:5" ht="73.150000000000006" customHeight="1" x14ac:dyDescent="0.25">
      <c r="B42" t="s">
        <v>41</v>
      </c>
      <c r="C42" s="1" t="s">
        <v>204</v>
      </c>
      <c r="D42" s="1" t="str">
        <f>VLOOKUP($C42,Лист12!$A:$C,2,0)</f>
        <v>S, M, L, XL</v>
      </c>
      <c r="E42" s="1" t="str">
        <f>VLOOKUP($C42,Лист12!$A:$C,3,0)</f>
        <v>Natural Mix,Ochre</v>
      </c>
    </row>
    <row r="43" spans="2:5" ht="75.599999999999994" customHeight="1" x14ac:dyDescent="0.25">
      <c r="B43" t="s">
        <v>42</v>
      </c>
      <c r="C43" s="1" t="s">
        <v>206</v>
      </c>
      <c r="D43" s="1" t="str">
        <f>VLOOKUP($C43,Лист12!$A:$C,2,0)</f>
        <v>S, M, L, XL</v>
      </c>
      <c r="E43" s="1" t="str">
        <f>VLOOKUP($C43,Лист12!$A:$C,3,0)</f>
        <v>Black,Graphite,Nickel,Red</v>
      </c>
    </row>
    <row r="44" spans="2:5" ht="73.7" customHeight="1" x14ac:dyDescent="0.25">
      <c r="B44" t="s">
        <v>43</v>
      </c>
      <c r="C44" s="1" t="s">
        <v>208</v>
      </c>
      <c r="D44" s="1" t="str">
        <f>VLOOKUP($C44,Лист12!$A:$C,2,0)</f>
        <v>S, M, L, XL</v>
      </c>
      <c r="E44" s="1" t="str">
        <f>VLOOKUP($C44,Лист12!$A:$C,3,0)</f>
        <v>Ink Blue,Olive Mix,Rust</v>
      </c>
    </row>
    <row r="45" spans="2:5" ht="79.7" customHeight="1" x14ac:dyDescent="0.25">
      <c r="B45" t="s">
        <v>44</v>
      </c>
      <c r="C45" s="1" t="s">
        <v>210</v>
      </c>
      <c r="D45" s="1" t="str">
        <f>VLOOKUP($C45,Лист12!$A:$C,2,0)</f>
        <v>S, M, L, XL</v>
      </c>
      <c r="E45" s="1" t="str">
        <f>VLOOKUP($C45,Лист12!$A:$C,3,0)</f>
        <v>Black,Camel,Pale Olive,Whiskey</v>
      </c>
    </row>
    <row r="46" spans="2:5" ht="78.599999999999994" customHeight="1" x14ac:dyDescent="0.25">
      <c r="B46" t="s">
        <v>45</v>
      </c>
      <c r="C46" s="1" t="s">
        <v>212</v>
      </c>
      <c r="D46" s="1" t="str">
        <f>VLOOKUP($C46,Лист12!$A:$C,2,0)</f>
        <v>S, M, L, XL</v>
      </c>
      <c r="E46" s="1" t="str">
        <f>VLOOKUP($C46,Лист12!$A:$C,3,0)</f>
        <v>Black,Oxford Mix</v>
      </c>
    </row>
    <row r="47" spans="2:5" ht="88.5" customHeight="1" x14ac:dyDescent="0.25">
      <c r="B47" t="s">
        <v>46</v>
      </c>
      <c r="C47" s="1" t="s">
        <v>214</v>
      </c>
      <c r="D47" s="1" t="str">
        <f>VLOOKUP($C47,Лист12!$A:$C,2,0)</f>
        <v>S, M, L, XL</v>
      </c>
      <c r="E47" s="1" t="str">
        <f>VLOOKUP($C47,Лист12!$A:$C,3,0)</f>
        <v>Oxblood,Pewter,Serpent,Silverbelly</v>
      </c>
    </row>
    <row r="48" spans="2:5" ht="75.95" customHeight="1" x14ac:dyDescent="0.25">
      <c r="B48" t="s">
        <v>47</v>
      </c>
      <c r="C48" s="1" t="s">
        <v>217</v>
      </c>
      <c r="D48" s="1" t="str">
        <f>VLOOKUP($C48,Лист12!$A:$C,2,0)</f>
        <v>S, M, L, XL</v>
      </c>
      <c r="E48" s="1" t="str">
        <f>VLOOKUP($C48,Лист12!$A:$C,3,0)</f>
        <v>Medium Brown Mix</v>
      </c>
    </row>
    <row r="49" spans="2:5" ht="95.65" customHeight="1" x14ac:dyDescent="0.25">
      <c r="B49" t="s">
        <v>48</v>
      </c>
      <c r="C49" s="1" t="s">
        <v>219</v>
      </c>
      <c r="D49" s="1" t="str">
        <f>VLOOKUP($C49,Лист12!$A:$C,2,0)</f>
        <v>S, M, L, XL, XXL</v>
      </c>
      <c r="E49" s="1" t="str">
        <f>VLOOKUP($C49,Лист12!$A:$C,3,0)</f>
        <v>Contrapposto,Copper,Natural Mix,Navy,Port</v>
      </c>
    </row>
    <row r="50" spans="2:5" ht="73.349999999999994" customHeight="1" x14ac:dyDescent="0.25">
      <c r="B50" t="s">
        <v>49</v>
      </c>
      <c r="C50" s="1" t="s">
        <v>317</v>
      </c>
      <c r="D50" s="1" t="str">
        <f>VLOOKUP($C50,Лист12!$A:$C,2,0)</f>
        <v>S, M, L, XL</v>
      </c>
      <c r="E50" s="1" t="str">
        <f>VLOOKUP($C50,Лист12!$A:$C,3,0)</f>
        <v>Black,Cognac,Fawn</v>
      </c>
    </row>
    <row r="51" spans="2:5" ht="77.25" customHeight="1" x14ac:dyDescent="0.25">
      <c r="B51" t="s">
        <v>50</v>
      </c>
      <c r="C51" s="1" t="s">
        <v>225</v>
      </c>
      <c r="D51" s="1" t="str">
        <f>VLOOKUP($C51,Лист12!$A:$C,2,0)</f>
        <v>S, M, L, XL</v>
      </c>
      <c r="E51" s="1" t="str">
        <f>VLOOKUP($C51,Лист12!$A:$C,3,0)</f>
        <v>Black,Uniform Green</v>
      </c>
    </row>
    <row r="52" spans="2:5" ht="80.25" customHeight="1" x14ac:dyDescent="0.25">
      <c r="B52" t="s">
        <v>51</v>
      </c>
      <c r="C52" s="1" t="s">
        <v>227</v>
      </c>
      <c r="D52" s="1" t="str">
        <f>VLOOKUP($C52,Лист12!$A:$C,2,0)</f>
        <v>S, M, L, XL</v>
      </c>
      <c r="E52" s="1" t="str">
        <f>VLOOKUP($C52,Лист12!$A:$C,3,0)</f>
        <v>Avion,Black,Whiskey</v>
      </c>
    </row>
    <row r="53" spans="2:5" ht="77.25" customHeight="1" x14ac:dyDescent="0.25">
      <c r="B53" t="s">
        <v>52</v>
      </c>
      <c r="C53" s="1" t="s">
        <v>229</v>
      </c>
      <c r="D53" s="1" t="str">
        <f>VLOOKUP($C53,Лист12!$A:$C,2,0)</f>
        <v>S, M, L, XL</v>
      </c>
      <c r="E53" s="1" t="str">
        <f>VLOOKUP($C53,Лист12!$A:$C,3,0)</f>
        <v>Black,Nickel,Uniform Green</v>
      </c>
    </row>
    <row r="54" spans="2:5" ht="81.400000000000006" customHeight="1" x14ac:dyDescent="0.25">
      <c r="B54" t="s">
        <v>53</v>
      </c>
      <c r="C54" s="1" t="s">
        <v>318</v>
      </c>
      <c r="D54" s="1" t="str">
        <f>VLOOKUP($C54,Лист12!$A:$C,2,0)</f>
        <v>S, M, L, XL, XXL</v>
      </c>
      <c r="E54" s="1" t="str">
        <f>VLOOKUP($C54,Лист12!$A:$C,3,0)</f>
        <v>Black,Lazuli Blue,Mink,Ochre</v>
      </c>
    </row>
    <row r="55" spans="2:5" ht="84.2" customHeight="1" x14ac:dyDescent="0.25">
      <c r="B55" t="s">
        <v>54</v>
      </c>
      <c r="C55" s="1" t="s">
        <v>232</v>
      </c>
      <c r="D55" s="1" t="str">
        <f>VLOOKUP($C55,Лист12!$A:$C,2,0)</f>
        <v>S, M, L, XL, XXL</v>
      </c>
      <c r="E55" s="1" t="str">
        <f>VLOOKUP($C55,Лист12!$A:$C,3,0)</f>
        <v>Black</v>
      </c>
    </row>
    <row r="56" spans="2:5" ht="84.95" customHeight="1" x14ac:dyDescent="0.25">
      <c r="B56" t="s">
        <v>55</v>
      </c>
      <c r="C56" s="1" t="s">
        <v>233</v>
      </c>
      <c r="D56" s="1" t="str">
        <f>VLOOKUP($C56,Лист12!$A:$C,2,0)</f>
        <v>S, M, L, XL</v>
      </c>
      <c r="E56" s="1" t="str">
        <f>VLOOKUP($C56,Лист12!$A:$C,3,0)</f>
        <v>Black,Chocolate,Forest,Navy</v>
      </c>
    </row>
    <row r="57" spans="2:5" ht="80.25" customHeight="1" x14ac:dyDescent="0.25">
      <c r="B57" t="s">
        <v>56</v>
      </c>
      <c r="C57" s="1" t="s">
        <v>235</v>
      </c>
      <c r="D57" s="1" t="str">
        <f>VLOOKUP($C57,Лист12!$A:$C,2,0)</f>
        <v>S, M, L, XL, XXL</v>
      </c>
      <c r="E57" s="1" t="str">
        <f>VLOOKUP($C57,Лист12!$A:$C,3,0)</f>
        <v>Black</v>
      </c>
    </row>
    <row r="58" spans="2:5" ht="83.25" customHeight="1" x14ac:dyDescent="0.25">
      <c r="B58" t="s">
        <v>57</v>
      </c>
      <c r="C58" s="1" t="s">
        <v>319</v>
      </c>
      <c r="D58" s="1" t="str">
        <f>VLOOKUP($C58,Лист12!$A:$C,2,0)</f>
        <v>S, M, L, XL</v>
      </c>
      <c r="E58" s="1" t="str">
        <f>VLOOKUP($C58,Лист12!$A:$C,3,0)</f>
        <v>Bitter Chocolate,Black,Mink,Night Shade,Navy</v>
      </c>
    </row>
    <row r="59" spans="2:5" ht="69" customHeight="1" x14ac:dyDescent="0.25">
      <c r="B59" t="s">
        <v>58</v>
      </c>
      <c r="C59" s="1" t="s">
        <v>238</v>
      </c>
      <c r="D59" s="1" t="str">
        <f>VLOOKUP($C59,Лист12!$A:$C,2,0)</f>
        <v>S, M, L, XL</v>
      </c>
      <c r="E59" s="1" t="str">
        <f>VLOOKUP($C59,Лист12!$A:$C,3,0)</f>
        <v>Black,Silver Sand</v>
      </c>
    </row>
    <row r="60" spans="2:5" ht="73.5" customHeight="1" x14ac:dyDescent="0.25">
      <c r="B60" t="s">
        <v>59</v>
      </c>
      <c r="C60" s="1" t="s">
        <v>241</v>
      </c>
      <c r="D60" s="1" t="str">
        <f>VLOOKUP($C60,Лист12!$A:$C,2,0)</f>
        <v>S, M, L, XL</v>
      </c>
      <c r="E60" s="1" t="str">
        <f>VLOOKUP($C60,Лист12!$A:$C,3,0)</f>
        <v>Black,Caramel,Navy,Olive</v>
      </c>
    </row>
    <row r="61" spans="2:5" ht="65.849999999999994" customHeight="1" x14ac:dyDescent="0.25">
      <c r="B61" t="s">
        <v>60</v>
      </c>
      <c r="C61" s="1" t="s">
        <v>243</v>
      </c>
      <c r="D61" s="1" t="str">
        <f>VLOOKUP($C61,Лист12!$A:$C,2,0)</f>
        <v>S, M, L, XL</v>
      </c>
      <c r="E61" s="1" t="str">
        <f>VLOOKUP($C61,Лист12!$A:$C,3,0)</f>
        <v>Black,Olive,Oil,Plaza Taupe</v>
      </c>
    </row>
    <row r="62" spans="2:5" ht="76.349999999999994" customHeight="1" x14ac:dyDescent="0.25">
      <c r="B62" t="s">
        <v>61</v>
      </c>
      <c r="C62" s="1" t="s">
        <v>320</v>
      </c>
      <c r="D62" s="1" t="str">
        <f>VLOOKUP($C62,Лист12!$A:$C,2,0)</f>
        <v>S, M, L, XL</v>
      </c>
      <c r="E62" s="1" t="str">
        <f>VLOOKUP($C62,Лист12!$A:$C,3,0)</f>
        <v>Ochre,Soft Khaki</v>
      </c>
    </row>
    <row r="63" spans="2:5" ht="75.95" customHeight="1" x14ac:dyDescent="0.25">
      <c r="B63" t="s">
        <v>62</v>
      </c>
      <c r="C63" s="1" t="s">
        <v>246</v>
      </c>
      <c r="D63" s="1" t="str">
        <f>VLOOKUP($C63,Лист12!$A:$C,2,0)</f>
        <v>S, M, L, XL</v>
      </c>
      <c r="E63" s="1" t="str">
        <f>VLOOKUP($C63,Лист12!$A:$C,3,0)</f>
        <v>Black,Navy</v>
      </c>
    </row>
    <row r="64" spans="2:5" ht="71.650000000000006" customHeight="1" x14ac:dyDescent="0.25">
      <c r="B64" t="s">
        <v>63</v>
      </c>
      <c r="C64" s="1" t="s">
        <v>248</v>
      </c>
      <c r="D64" s="1" t="str">
        <f>VLOOKUP($C64,Лист12!$A:$C,2,0)</f>
        <v>6 3/4, 6 7/8, 7, 7 1/8, 7 1/4, 7 3/8, 7 1/2, 7 5/8</v>
      </c>
      <c r="E64" s="1" t="str">
        <f>VLOOKUP($C64,Лист12!$A:$C,3,0)</f>
        <v>Black</v>
      </c>
    </row>
    <row r="65" spans="2:5" ht="84.2" customHeight="1" x14ac:dyDescent="0.25">
      <c r="B65" t="s">
        <v>64</v>
      </c>
      <c r="C65" s="1" t="s">
        <v>321</v>
      </c>
      <c r="D65" s="1" t="str">
        <f>VLOOKUP($C65,Лист12!$A:$C,2,0)</f>
        <v>S, M, L, XL, XXL</v>
      </c>
      <c r="E65" s="1" t="str">
        <f>VLOOKUP($C65,Лист12!$A:$C,3,0)</f>
        <v>Black,Brown,White,Birch,Black,Coconut,Deep Red,Espresso</v>
      </c>
    </row>
    <row r="66" spans="2:5" ht="82.9" customHeight="1" x14ac:dyDescent="0.25">
      <c r="B66" t="s">
        <v>65</v>
      </c>
      <c r="C66" s="1" t="s">
        <v>253</v>
      </c>
      <c r="D66" s="1" t="str">
        <f>VLOOKUP($C66,Лист12!$A:$C,2,0)</f>
        <v>6 3/4, 6 7/8, 7, 7 1/8, 7 1/4, 7 3/8, 7 1/2, 7 5/8</v>
      </c>
      <c r="E66" s="1" t="str">
        <f>VLOOKUP($C66,Лист12!$A:$C,3,0)</f>
        <v>Black,Hemlock</v>
      </c>
    </row>
    <row r="67" spans="2:5" ht="91.9" customHeight="1" x14ac:dyDescent="0.25">
      <c r="B67" t="s">
        <v>66</v>
      </c>
      <c r="C67" s="1" t="s">
        <v>255</v>
      </c>
      <c r="D67" s="1" t="str">
        <f>VLOOKUP($C67,Лист12!$A:$C,2,0)</f>
        <v>S, M, L, XL</v>
      </c>
      <c r="E67" s="1" t="str">
        <f>VLOOKUP($C67,Лист12!$A:$C,3,0)</f>
        <v>Black</v>
      </c>
    </row>
    <row r="68" spans="2:5" ht="79.150000000000006" customHeight="1" x14ac:dyDescent="0.25">
      <c r="B68" t="s">
        <v>67</v>
      </c>
      <c r="C68" s="1" t="s">
        <v>322</v>
      </c>
      <c r="D68" s="1" t="str">
        <f>VLOOKUP($C68,Лист12!$A:$C,2,0)</f>
        <v>S, M, L, XL, XXL</v>
      </c>
      <c r="E68" s="1" t="str">
        <f>VLOOKUP($C68,Лист12!$A:$C,3,0)</f>
        <v>Fog,Latte,Navy,Static,Tan</v>
      </c>
    </row>
    <row r="69" spans="2:5" ht="79.7" customHeight="1" x14ac:dyDescent="0.25">
      <c r="B69" t="s">
        <v>68</v>
      </c>
      <c r="C69" s="1" t="s">
        <v>261</v>
      </c>
      <c r="D69" s="1" t="str">
        <f>VLOOKUP($C69,Лист12!$A:$C,2,0)</f>
        <v>S, M, L, XL, XXL</v>
      </c>
      <c r="E69" s="1" t="str">
        <f>VLOOKUP($C69,Лист12!$A:$C,3,0)</f>
        <v>Cement Multi,Deep,Red Multi,Light,Grey Multi,Natural Multi,Charcoal Multi,Navy Multi,Nordic Multi,Overcast,Skydiver,Woods Multi</v>
      </c>
    </row>
    <row r="70" spans="2:5" ht="72.2" customHeight="1" x14ac:dyDescent="0.25">
      <c r="B70" t="s">
        <v>69</v>
      </c>
      <c r="C70" s="1" t="s">
        <v>265</v>
      </c>
      <c r="D70" s="1" t="str">
        <f>VLOOKUP($C70,Лист12!$A:$C,2,0)</f>
        <v>S, M, L, XL</v>
      </c>
      <c r="E70" s="1" t="str">
        <f>VLOOKUP($C70,Лист12!$A:$C,3,0)</f>
        <v>Black,Blue,Bronze</v>
      </c>
    </row>
    <row r="71" spans="2:5" ht="74.45" customHeight="1" x14ac:dyDescent="0.25">
      <c r="B71" t="s">
        <v>70</v>
      </c>
      <c r="C71" s="1" t="s">
        <v>267</v>
      </c>
      <c r="D71" s="1" t="str">
        <f>VLOOKUP($C71,Лист12!$A:$C,2,0)</f>
        <v>S, M, L, XL</v>
      </c>
      <c r="E71" s="1" t="str">
        <f>VLOOKUP($C71,Лист12!$A:$C,3,0)</f>
        <v>Black,Blue,Bronze</v>
      </c>
    </row>
    <row r="72" spans="2:5" ht="74.45" customHeight="1" x14ac:dyDescent="0.25">
      <c r="B72" t="s">
        <v>71</v>
      </c>
      <c r="C72" s="1" t="s">
        <v>268</v>
      </c>
      <c r="D72" s="1" t="str">
        <f>VLOOKUP($C72,Лист12!$A:$C,2,0)</f>
        <v>S, M, L, XL</v>
      </c>
      <c r="E72" s="1" t="str">
        <f>VLOOKUP($C72,Лист12!$A:$C,3,0)</f>
        <v>Copper,Green,Grey</v>
      </c>
    </row>
    <row r="73" spans="2:5" ht="72.75" customHeight="1" x14ac:dyDescent="0.25">
      <c r="B73" t="s">
        <v>72</v>
      </c>
      <c r="C73" s="1" t="s">
        <v>323</v>
      </c>
      <c r="D73" s="1" t="str">
        <f>VLOOKUP($C73,Лист12!$A:$C,2,0)</f>
        <v>S, M, L, XL</v>
      </c>
      <c r="E73" s="1" t="str">
        <f>VLOOKUP($C73,Лист12!$A:$C,3,0)</f>
        <v>Oak,Plaid</v>
      </c>
    </row>
    <row r="74" spans="2:5" ht="74.849999999999994" customHeight="1" x14ac:dyDescent="0.25">
      <c r="B74" t="s">
        <v>73</v>
      </c>
      <c r="C74" s="1" t="s">
        <v>272</v>
      </c>
      <c r="D74" s="1" t="str">
        <f>VLOOKUP($C74,Лист12!$A:$C,2,0)</f>
        <v>S, M, L, XL</v>
      </c>
      <c r="E74" s="1" t="str">
        <f>VLOOKUP($C74,Лист12!$A:$C,3,0)</f>
        <v>Beige,Stripe,Black,Stripe,Avion,Stripe</v>
      </c>
    </row>
    <row r="75" spans="2:5" ht="58.7" customHeight="1" x14ac:dyDescent="0.25">
      <c r="B75" t="s">
        <v>74</v>
      </c>
      <c r="C75" s="1" t="s">
        <v>274</v>
      </c>
      <c r="D75" s="1" t="str">
        <f>VLOOKUP($C75,Лист12!$A:$C,2,0)</f>
        <v>S, M, L, XL</v>
      </c>
      <c r="E75" s="1" t="str">
        <f>VLOOKUP($C75,Лист12!$A:$C,3,0)</f>
        <v>Avion,Black,Oak</v>
      </c>
    </row>
    <row r="76" spans="2:5" ht="72.95" customHeight="1" x14ac:dyDescent="0.25">
      <c r="B76" t="s">
        <v>75</v>
      </c>
      <c r="C76" s="1" t="s">
        <v>324</v>
      </c>
      <c r="D76" s="1" t="str">
        <f>VLOOKUP($C76,Лист12!$A:$C,2,0)</f>
        <v>S, M, L, XL</v>
      </c>
      <c r="E76" s="1" t="str">
        <f>VLOOKUP($C76,Лист12!$A:$C,3,0)</f>
        <v>Avion,Plaid,Oak,Twill,Uniform Green,Plaid</v>
      </c>
    </row>
    <row r="77" spans="2:5" ht="72.2" customHeight="1" x14ac:dyDescent="0.25">
      <c r="B77" t="s">
        <v>76</v>
      </c>
      <c r="C77" s="1" t="s">
        <v>278</v>
      </c>
      <c r="D77" s="1" t="str">
        <f>VLOOKUP($C77,Лист12!$A:$C,2,0)</f>
        <v>S, M, L, XL</v>
      </c>
      <c r="E77" s="1" t="str">
        <f>VLOOKUP($C77,Лист12!$A:$C,3,0)</f>
        <v>Avion,Grey</v>
      </c>
    </row>
    <row r="78" spans="2:5" ht="71.849999999999994" customHeight="1" x14ac:dyDescent="0.25">
      <c r="B78" t="s">
        <v>77</v>
      </c>
      <c r="C78" s="1" t="s">
        <v>280</v>
      </c>
      <c r="D78" s="1" t="str">
        <f>VLOOKUP($C78,Лист12!$A:$C,2,0)</f>
        <v>S, M, L, XL</v>
      </c>
      <c r="E78" s="1" t="str">
        <f>VLOOKUP($C78,Лист12!$A:$C,3,0)</f>
        <v>Blue,Plaid,Copper,Plaid,Uniform Green,Plaid</v>
      </c>
    </row>
    <row r="79" spans="2:5" ht="70.349999999999994" customHeight="1" x14ac:dyDescent="0.25">
      <c r="B79" t="s">
        <v>78</v>
      </c>
      <c r="C79" s="1" t="s">
        <v>282</v>
      </c>
      <c r="D79" s="1" t="str">
        <f>VLOOKUP($C79,Лист12!$A:$C,2,0)</f>
        <v>S, M, L, XL</v>
      </c>
      <c r="E79" s="1" t="str">
        <f>VLOOKUP($C79,Лист12!$A:$C,3,0)</f>
        <v>Black,Copper</v>
      </c>
    </row>
    <row r="80" spans="2:5" ht="68.45" customHeight="1" x14ac:dyDescent="0.25">
      <c r="B80" t="s">
        <v>79</v>
      </c>
      <c r="C80" s="1" t="s">
        <v>325</v>
      </c>
      <c r="D80" s="1" t="str">
        <f>VLOOKUP($C80,Лист12!$A:$C,2,0)</f>
        <v>S, M, L, XL</v>
      </c>
      <c r="E80" s="1" t="str">
        <f>VLOOKUP($C80,Лист12!$A:$C,3,0)</f>
        <v>Black,Ochre</v>
      </c>
    </row>
    <row r="81" spans="2:5" ht="71.099999999999994" customHeight="1" x14ac:dyDescent="0.25">
      <c r="B81" t="s">
        <v>80</v>
      </c>
      <c r="C81" s="1" t="s">
        <v>284</v>
      </c>
      <c r="D81" s="1" t="str">
        <f>VLOOKUP($C81,Лист12!$A:$C,2,0)</f>
        <v>S, M, L, XL, XXL</v>
      </c>
      <c r="E81" s="1" t="str">
        <f>VLOOKUP($C81,Лист12!$A:$C,3,0)</f>
        <v>Black,Chino,Navy,Tan</v>
      </c>
    </row>
    <row r="82" spans="2:5" ht="72.599999999999994" customHeight="1" x14ac:dyDescent="0.25">
      <c r="B82" t="s">
        <v>81</v>
      </c>
      <c r="C82" s="1" t="s">
        <v>287</v>
      </c>
      <c r="D82" s="1" t="str">
        <f>VLOOKUP($C82,Лист12!$A:$C,2,0)</f>
        <v>S, M, L, XL, XXL</v>
      </c>
      <c r="E82" s="1" t="str">
        <f>VLOOKUP($C82,Лист12!$A:$C,3,0)</f>
        <v>Black,Paid,Brown,Herringbone</v>
      </c>
    </row>
    <row r="83" spans="2:5" ht="67.7" customHeight="1" x14ac:dyDescent="0.25">
      <c r="B83" t="s">
        <v>82</v>
      </c>
      <c r="C83" s="1" t="s">
        <v>289</v>
      </c>
      <c r="D83" s="1" t="str">
        <f>VLOOKUP($C83,Лист12!$A:$C,2,0)</f>
        <v>S, M, L, XL</v>
      </c>
      <c r="E83" s="1" t="str">
        <f>VLOOKUP($C83,Лист12!$A:$C,3,0)</f>
        <v>Dark,Coffee</v>
      </c>
    </row>
    <row r="84" spans="2:5" ht="74.45" customHeight="1" x14ac:dyDescent="0.25">
      <c r="B84" t="s">
        <v>83</v>
      </c>
      <c r="C84" s="1" t="s">
        <v>291</v>
      </c>
      <c r="D84" s="1" t="str">
        <f>VLOOKUP($C84,Лист12!$A:$C,2,0)</f>
        <v>S, M, L, XL</v>
      </c>
      <c r="E84" s="1" t="str">
        <f>VLOOKUP($C84,Лист12!$A:$C,3,0)</f>
        <v>Black</v>
      </c>
    </row>
    <row r="85" spans="2:5" ht="68.650000000000006" customHeight="1" x14ac:dyDescent="0.25">
      <c r="B85" t="s">
        <v>84</v>
      </c>
      <c r="C85" s="1" t="s">
        <v>293</v>
      </c>
      <c r="D85" s="1" t="str">
        <f>VLOOKUP($C85,Лист12!$A:$C,2,0)</f>
        <v>S, M, L, XL</v>
      </c>
      <c r="E85" s="1" t="str">
        <f>VLOOKUP($C85,Лист12!$A:$C,3,0)</f>
        <v>Brown</v>
      </c>
    </row>
    <row r="86" spans="2:5" ht="69.95" customHeight="1" x14ac:dyDescent="0.25">
      <c r="B86" t="s">
        <v>85</v>
      </c>
      <c r="C86" s="1" t="s">
        <v>295</v>
      </c>
      <c r="D86" s="1" t="str">
        <f>VLOOKUP($C86,Лист12!$A:$C,2,0)</f>
        <v>S, M, L, XL</v>
      </c>
      <c r="E86" s="1" t="str">
        <f>VLOOKUP($C86,Лист12!$A:$C,3,0)</f>
        <v>Black</v>
      </c>
    </row>
    <row r="87" spans="2:5" ht="66.400000000000006" customHeight="1" x14ac:dyDescent="0.25">
      <c r="B87" t="s">
        <v>86</v>
      </c>
      <c r="C87" s="1" t="s">
        <v>296</v>
      </c>
      <c r="D87" s="1" t="str">
        <f>VLOOKUP($C87,Лист12!$A:$C,2,0)</f>
        <v>S, M, L, XL</v>
      </c>
      <c r="E87" s="1" t="str">
        <f>VLOOKUP($C87,Лист12!$A:$C,3,0)</f>
        <v>Marl,Black,Navy,Plaid</v>
      </c>
    </row>
    <row r="88" spans="2:5" ht="65.650000000000006" customHeight="1" x14ac:dyDescent="0.25">
      <c r="B88" t="s">
        <v>87</v>
      </c>
      <c r="C88" s="1" t="s">
        <v>299</v>
      </c>
      <c r="D88" s="1" t="str">
        <f>VLOOKUP($C88,Лист12!$A:$C,2,0)</f>
        <v>S, M, L, XL</v>
      </c>
      <c r="E88" s="1" t="str">
        <f>VLOOKUP($C88,Лист12!$A:$C,3,0)</f>
        <v>Black,Brown</v>
      </c>
    </row>
    <row r="89" spans="2:5" ht="68.099999999999994" customHeight="1" x14ac:dyDescent="0.25">
      <c r="B89" t="s">
        <v>88</v>
      </c>
      <c r="C89" s="1" t="s">
        <v>301</v>
      </c>
      <c r="D89" s="1" t="str">
        <f>VLOOKUP($C89,Лист12!$A:$C,2,0)</f>
        <v>S, M, L, XL</v>
      </c>
      <c r="E89" s="1" t="str">
        <f>VLOOKUP($C89,Лист12!$A:$C,3,0)</f>
        <v>Black</v>
      </c>
    </row>
    <row r="90" spans="2:5" ht="80.099999999999994" customHeight="1" x14ac:dyDescent="0.25">
      <c r="B90" t="s">
        <v>89</v>
      </c>
      <c r="C90" s="1" t="s">
        <v>302</v>
      </c>
      <c r="D90" s="1" t="s">
        <v>530</v>
      </c>
      <c r="E90" s="1" t="str">
        <f>VLOOKUP($C90,Лист12!$A:$C,3,0)</f>
        <v>Charcoal,Dk.,Brown,Navy</v>
      </c>
    </row>
    <row r="91" spans="2:5" ht="83.1" customHeight="1" x14ac:dyDescent="0.25">
      <c r="B91" t="s">
        <v>90</v>
      </c>
      <c r="C91" s="1" t="s">
        <v>304</v>
      </c>
      <c r="D91" s="1" t="s">
        <v>531</v>
      </c>
      <c r="E91" s="1" t="str">
        <f>VLOOKUP($C91,Лист12!$A:$C,3,0)</f>
        <v>Black,Chino,Navy,Tan</v>
      </c>
    </row>
    <row r="92" spans="2:5" x14ac:dyDescent="0.25">
      <c r="D92" s="1" t="s">
        <v>532</v>
      </c>
    </row>
    <row r="93" spans="2:5" x14ac:dyDescent="0.25">
      <c r="D93" s="1" t="s">
        <v>533</v>
      </c>
    </row>
    <row r="94" spans="2:5" x14ac:dyDescent="0.25">
      <c r="D94" s="1" t="s">
        <v>534</v>
      </c>
    </row>
    <row r="95" spans="2:5" x14ac:dyDescent="0.25">
      <c r="D95" s="1" t="s">
        <v>535</v>
      </c>
    </row>
    <row r="96" spans="2:5" x14ac:dyDescent="0.25">
      <c r="D96" s="1" t="s">
        <v>536</v>
      </c>
    </row>
    <row r="97" spans="4:4" x14ac:dyDescent="0.25">
      <c r="D97" s="1" t="s">
        <v>537</v>
      </c>
    </row>
    <row r="98" spans="4:4" x14ac:dyDescent="0.25">
      <c r="D98" s="1" t="s">
        <v>538</v>
      </c>
    </row>
    <row r="99" spans="4:4" x14ac:dyDescent="0.25">
      <c r="D99" s="1" t="s">
        <v>539</v>
      </c>
    </row>
    <row r="100" spans="4:4" x14ac:dyDescent="0.25">
      <c r="D100" s="1" t="s">
        <v>539</v>
      </c>
    </row>
    <row r="101" spans="4:4" x14ac:dyDescent="0.25">
      <c r="D101" s="1" t="s">
        <v>540</v>
      </c>
    </row>
    <row r="102" spans="4:4" x14ac:dyDescent="0.25">
      <c r="D102" s="1" t="s">
        <v>541</v>
      </c>
    </row>
    <row r="103" spans="4:4" x14ac:dyDescent="0.25">
      <c r="D103" s="1" t="s">
        <v>542</v>
      </c>
    </row>
    <row r="104" spans="4:4" x14ac:dyDescent="0.25">
      <c r="D104" s="1" t="s">
        <v>543</v>
      </c>
    </row>
    <row r="105" spans="4:4" x14ac:dyDescent="0.25">
      <c r="D105" s="1" t="s">
        <v>544</v>
      </c>
    </row>
    <row r="106" spans="4:4" x14ac:dyDescent="0.25">
      <c r="D106" s="1" t="s">
        <v>545</v>
      </c>
    </row>
    <row r="107" spans="4:4" x14ac:dyDescent="0.25">
      <c r="D107" s="1" t="s">
        <v>546</v>
      </c>
    </row>
    <row r="108" spans="4:4" x14ac:dyDescent="0.25">
      <c r="D108" s="1" t="s">
        <v>547</v>
      </c>
    </row>
    <row r="109" spans="4:4" x14ac:dyDescent="0.25">
      <c r="D109" s="1" t="s">
        <v>548</v>
      </c>
    </row>
    <row r="110" spans="4:4" x14ac:dyDescent="0.25">
      <c r="D110" s="1" t="s">
        <v>545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Лист9</vt:lpstr>
      <vt:lpstr>Лист12</vt:lpstr>
      <vt:lpstr>Лист8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2022-01-21T12:00:46Z</dcterms:created>
  <dcterms:modified xsi:type="dcterms:W3CDTF">2022-01-21T14:17:40Z</dcterms:modified>
</cp:coreProperties>
</file>