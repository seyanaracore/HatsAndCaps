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Herman\2022.05.11\"/>
    </mc:Choice>
  </mc:AlternateContent>
  <xr:revisionPtr revIDLastSave="0" documentId="13_ncr:1_{5E909A60-EE6D-477D-97F1-1CB170AD0585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Форма!$G$1:$AW$318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18" i="42" l="1"/>
  <c r="S317" i="42"/>
  <c r="S316" i="42"/>
  <c r="S315" i="42"/>
  <c r="S314" i="42"/>
  <c r="S313" i="42"/>
  <c r="S312" i="42"/>
  <c r="S311" i="42"/>
  <c r="S310" i="42"/>
  <c r="S309" i="42"/>
  <c r="S308" i="42"/>
  <c r="S307" i="42"/>
  <c r="S306" i="42"/>
  <c r="S305" i="42"/>
  <c r="S304" i="42"/>
  <c r="S303" i="42"/>
  <c r="S302" i="42"/>
  <c r="S301" i="42"/>
  <c r="S300" i="42"/>
  <c r="S299" i="42"/>
  <c r="S298" i="42"/>
  <c r="S297" i="42"/>
  <c r="S296" i="42"/>
  <c r="S295" i="42"/>
  <c r="S294" i="42"/>
  <c r="S293" i="42"/>
  <c r="S292" i="42"/>
  <c r="S291" i="42"/>
  <c r="S290" i="42"/>
  <c r="S289" i="42"/>
  <c r="S288" i="42"/>
  <c r="S287" i="42"/>
  <c r="S286" i="42"/>
  <c r="S285" i="42"/>
  <c r="S284" i="42"/>
  <c r="S283" i="42"/>
  <c r="S282" i="42"/>
  <c r="S281" i="42"/>
  <c r="S280" i="42"/>
  <c r="S279" i="42"/>
  <c r="S278" i="42"/>
  <c r="S277" i="42"/>
  <c r="S276" i="42"/>
  <c r="S275" i="42"/>
  <c r="S274" i="42"/>
  <c r="S273" i="42"/>
  <c r="S272" i="42"/>
  <c r="S271" i="42"/>
  <c r="S270" i="42"/>
  <c r="S269" i="42"/>
  <c r="S268" i="42"/>
  <c r="S267" i="42"/>
  <c r="S266" i="42"/>
  <c r="S265" i="42"/>
  <c r="S264" i="42"/>
  <c r="S263" i="42"/>
  <c r="S262" i="42"/>
  <c r="S261" i="42"/>
  <c r="S260" i="42"/>
  <c r="S259" i="42"/>
  <c r="S258" i="42"/>
  <c r="S257" i="42"/>
  <c r="S256" i="42"/>
  <c r="S255" i="42"/>
  <c r="S254" i="42"/>
  <c r="S253" i="42"/>
  <c r="S252" i="42"/>
  <c r="S251" i="42"/>
  <c r="S250" i="42"/>
  <c r="S249" i="42"/>
  <c r="S248" i="42"/>
  <c r="S247" i="42"/>
  <c r="S246" i="42"/>
  <c r="S245" i="42"/>
  <c r="S244" i="42"/>
  <c r="S243" i="42"/>
  <c r="S242" i="42"/>
  <c r="S241" i="42"/>
  <c r="S240" i="42"/>
  <c r="S239" i="42"/>
  <c r="S238" i="42"/>
  <c r="S237" i="42"/>
  <c r="S236" i="42"/>
  <c r="S235" i="42"/>
  <c r="S234" i="42"/>
  <c r="S233" i="42"/>
  <c r="S232" i="42"/>
  <c r="S231" i="42"/>
  <c r="S230" i="42"/>
  <c r="S229" i="42"/>
  <c r="S228" i="42"/>
  <c r="S227" i="42"/>
  <c r="S226" i="42"/>
  <c r="S225" i="42"/>
  <c r="S224" i="42"/>
  <c r="S223" i="42"/>
  <c r="S222" i="42"/>
  <c r="S221" i="42"/>
  <c r="S220" i="42"/>
  <c r="S219" i="42"/>
  <c r="S218" i="42"/>
  <c r="S217" i="42"/>
  <c r="S216" i="42"/>
  <c r="S215" i="42"/>
  <c r="S214" i="42"/>
  <c r="S213" i="42"/>
  <c r="S212" i="42"/>
  <c r="S211" i="42"/>
  <c r="S210" i="42"/>
  <c r="S209" i="42"/>
  <c r="S208" i="42"/>
  <c r="S207" i="42"/>
  <c r="S206" i="42"/>
  <c r="S205" i="42"/>
  <c r="S204" i="42"/>
  <c r="S203" i="42"/>
  <c r="S202" i="42"/>
  <c r="S201" i="42"/>
  <c r="S200" i="42"/>
  <c r="S199" i="42"/>
  <c r="S198" i="42"/>
  <c r="S197" i="42"/>
  <c r="S196" i="42"/>
  <c r="S195" i="42"/>
  <c r="S194" i="42"/>
  <c r="S193" i="42"/>
  <c r="S192" i="42"/>
  <c r="S191" i="42"/>
  <c r="S190" i="42"/>
  <c r="S189" i="42"/>
  <c r="S188" i="42"/>
  <c r="S187" i="42"/>
  <c r="S186" i="42"/>
  <c r="S185" i="42"/>
  <c r="S184" i="42"/>
  <c r="S183" i="42"/>
  <c r="S182" i="42"/>
  <c r="S181" i="42"/>
  <c r="S180" i="42"/>
  <c r="S179" i="42"/>
  <c r="S178" i="42"/>
  <c r="S177" i="42"/>
  <c r="S176" i="42"/>
  <c r="S175" i="42"/>
  <c r="S174" i="42"/>
  <c r="S173" i="42"/>
  <c r="S172" i="42"/>
  <c r="S171" i="42"/>
  <c r="S170" i="42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A24" i="43" l="1"/>
  <c r="A25" i="43"/>
  <c r="A23" i="43"/>
  <c r="C1" i="43"/>
  <c r="C2" i="43"/>
  <c r="AA1" i="39" a="1"/>
  <c r="A4" i="39" l="1"/>
  <c r="T9" i="39"/>
  <c r="S10" i="39"/>
  <c r="A12" i="39"/>
  <c r="T17" i="39"/>
  <c r="S3" i="39"/>
  <c r="A5" i="39"/>
  <c r="T10" i="39"/>
  <c r="S11" i="39"/>
  <c r="A13" i="39"/>
  <c r="T3" i="39"/>
  <c r="S4" i="39"/>
  <c r="A6" i="39"/>
  <c r="T11" i="39"/>
  <c r="S12" i="39"/>
  <c r="A14" i="39"/>
  <c r="T5" i="39"/>
  <c r="S6" i="39"/>
  <c r="A8" i="39"/>
  <c r="T13" i="39"/>
  <c r="S14" i="39"/>
  <c r="A16" i="39"/>
  <c r="T6" i="39"/>
  <c r="S7" i="39"/>
  <c r="A9" i="39"/>
  <c r="T14" i="39"/>
  <c r="S15" i="39"/>
  <c r="A17" i="39"/>
  <c r="T19" i="39"/>
  <c r="S20" i="39"/>
  <c r="A22" i="39"/>
  <c r="A11" i="39"/>
  <c r="T12" i="39"/>
  <c r="S16" i="39"/>
  <c r="S17" i="39"/>
  <c r="T20" i="39"/>
  <c r="S21" i="39"/>
  <c r="A23" i="39"/>
  <c r="T28" i="39"/>
  <c r="S29" i="39"/>
  <c r="A31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68" i="39"/>
  <c r="S69" i="39"/>
  <c r="A71" i="39"/>
  <c r="T76" i="39"/>
  <c r="S77" i="39"/>
  <c r="A79" i="39"/>
  <c r="T84" i="39"/>
  <c r="S85" i="39"/>
  <c r="A87" i="39"/>
  <c r="T7" i="39"/>
  <c r="S13" i="39"/>
  <c r="T16" i="39"/>
  <c r="T21" i="39"/>
  <c r="S22" i="39"/>
  <c r="A24" i="39"/>
  <c r="T29" i="39"/>
  <c r="S30" i="39"/>
  <c r="A32" i="39"/>
  <c r="T37" i="39"/>
  <c r="S38" i="39"/>
  <c r="A40" i="39"/>
  <c r="T45" i="39"/>
  <c r="S46" i="39"/>
  <c r="A48" i="39"/>
  <c r="T53" i="39"/>
  <c r="S54" i="39"/>
  <c r="A56" i="39"/>
  <c r="T61" i="39"/>
  <c r="S62" i="39"/>
  <c r="A64" i="39"/>
  <c r="T69" i="39"/>
  <c r="S70" i="39"/>
  <c r="A72" i="39"/>
  <c r="T77" i="39"/>
  <c r="S78" i="39"/>
  <c r="A80" i="39"/>
  <c r="T85" i="39"/>
  <c r="S86" i="39"/>
  <c r="A88" i="39"/>
  <c r="A7" i="39"/>
  <c r="S8" i="39"/>
  <c r="T22" i="39"/>
  <c r="S23" i="39"/>
  <c r="A25" i="39"/>
  <c r="T30" i="39"/>
  <c r="S31" i="39"/>
  <c r="A33" i="39"/>
  <c r="T38" i="39"/>
  <c r="S39" i="39"/>
  <c r="A41" i="39"/>
  <c r="T46" i="39"/>
  <c r="S47" i="39"/>
  <c r="A49" i="39"/>
  <c r="T54" i="39"/>
  <c r="S55" i="39"/>
  <c r="A57" i="39"/>
  <c r="T62" i="39"/>
  <c r="S63" i="39"/>
  <c r="A65" i="39"/>
  <c r="T70" i="39"/>
  <c r="S71" i="39"/>
  <c r="A73" i="39"/>
  <c r="T8" i="39"/>
  <c r="T23" i="39"/>
  <c r="S9" i="39"/>
  <c r="T15" i="39"/>
  <c r="A19" i="39"/>
  <c r="T24" i="39"/>
  <c r="S25" i="39"/>
  <c r="A27" i="39"/>
  <c r="T32" i="39"/>
  <c r="S33" i="39"/>
  <c r="A35" i="39"/>
  <c r="T40" i="39"/>
  <c r="S41" i="39"/>
  <c r="A43" i="39"/>
  <c r="T48" i="39"/>
  <c r="S49" i="39"/>
  <c r="A51" i="39"/>
  <c r="T56" i="39"/>
  <c r="S57" i="39"/>
  <c r="A59" i="39"/>
  <c r="T64" i="39"/>
  <c r="S65" i="39"/>
  <c r="A67" i="39"/>
  <c r="T72" i="39"/>
  <c r="S73" i="39"/>
  <c r="A75" i="39"/>
  <c r="T80" i="39"/>
  <c r="S81" i="39"/>
  <c r="A83" i="39"/>
  <c r="T88" i="39"/>
  <c r="S89" i="39"/>
  <c r="A3" i="39"/>
  <c r="T4" i="39"/>
  <c r="A15" i="39"/>
  <c r="A18" i="39"/>
  <c r="S18" i="39"/>
  <c r="A20" i="39"/>
  <c r="T25" i="39"/>
  <c r="S26" i="39"/>
  <c r="A28" i="39"/>
  <c r="T33" i="39"/>
  <c r="S34" i="39"/>
  <c r="A36" i="39"/>
  <c r="T41" i="39"/>
  <c r="S42" i="39"/>
  <c r="A44" i="39"/>
  <c r="T49" i="39"/>
  <c r="S50" i="39"/>
  <c r="A52" i="39"/>
  <c r="T57" i="39"/>
  <c r="S58" i="39"/>
  <c r="A60" i="39"/>
  <c r="T65" i="39"/>
  <c r="S66" i="39"/>
  <c r="A68" i="39"/>
  <c r="T73" i="39"/>
  <c r="S74" i="39"/>
  <c r="A76" i="39"/>
  <c r="T81" i="39"/>
  <c r="S82" i="39"/>
  <c r="A84" i="39"/>
  <c r="S5" i="39"/>
  <c r="A30" i="39"/>
  <c r="T31" i="39"/>
  <c r="A42" i="39"/>
  <c r="S43" i="39"/>
  <c r="S60" i="39"/>
  <c r="T66" i="39"/>
  <c r="S72" i="39"/>
  <c r="T75" i="39"/>
  <c r="S84" i="39"/>
  <c r="A86" i="39"/>
  <c r="A90" i="39"/>
  <c r="A91" i="39"/>
  <c r="T96" i="39"/>
  <c r="S97" i="39"/>
  <c r="A99" i="39"/>
  <c r="T104" i="39"/>
  <c r="S105" i="39"/>
  <c r="A107" i="39"/>
  <c r="T112" i="39"/>
  <c r="S113" i="39"/>
  <c r="A115" i="39"/>
  <c r="T120" i="39"/>
  <c r="S121" i="39"/>
  <c r="A123" i="39"/>
  <c r="T128" i="39"/>
  <c r="S129" i="39"/>
  <c r="A131" i="39"/>
  <c r="T136" i="39"/>
  <c r="S137" i="39"/>
  <c r="A139" i="39"/>
  <c r="T144" i="39"/>
  <c r="S145" i="39"/>
  <c r="A147" i="39"/>
  <c r="A21" i="39"/>
  <c r="T26" i="39"/>
  <c r="S32" i="39"/>
  <c r="A37" i="39"/>
  <c r="T43" i="39"/>
  <c r="A54" i="39"/>
  <c r="T55" i="39"/>
  <c r="A66" i="39"/>
  <c r="S67" i="39"/>
  <c r="S79" i="39"/>
  <c r="A81" i="39"/>
  <c r="T86" i="39"/>
  <c r="S90" i="39"/>
  <c r="A92" i="39"/>
  <c r="T97" i="39"/>
  <c r="S98" i="39"/>
  <c r="A100" i="39"/>
  <c r="T105" i="39"/>
  <c r="S106" i="39"/>
  <c r="A108" i="39"/>
  <c r="T113" i="39"/>
  <c r="S114" i="39"/>
  <c r="A116" i="39"/>
  <c r="T121" i="39"/>
  <c r="S122" i="39"/>
  <c r="A124" i="39"/>
  <c r="T129" i="39"/>
  <c r="S130" i="39"/>
  <c r="A132" i="39"/>
  <c r="T137" i="39"/>
  <c r="S138" i="39"/>
  <c r="A140" i="39"/>
  <c r="T145" i="39"/>
  <c r="S146" i="39"/>
  <c r="A148" i="39"/>
  <c r="T18" i="39"/>
  <c r="A26" i="39"/>
  <c r="S27" i="39"/>
  <c r="S44" i="39"/>
  <c r="T50" i="39"/>
  <c r="S56" i="39"/>
  <c r="A61" i="39"/>
  <c r="T67" i="39"/>
  <c r="T79" i="39"/>
  <c r="A89" i="39"/>
  <c r="T89" i="39"/>
  <c r="T90" i="39"/>
  <c r="S91" i="39"/>
  <c r="A93" i="39"/>
  <c r="T98" i="39"/>
  <c r="S99" i="39"/>
  <c r="A101" i="39"/>
  <c r="T106" i="39"/>
  <c r="S107" i="39"/>
  <c r="A109" i="39"/>
  <c r="T114" i="39"/>
  <c r="S115" i="39"/>
  <c r="A117" i="39"/>
  <c r="T122" i="39"/>
  <c r="S123" i="39"/>
  <c r="A125" i="39"/>
  <c r="T130" i="39"/>
  <c r="S131" i="39"/>
  <c r="A133" i="39"/>
  <c r="T138" i="39"/>
  <c r="S139" i="39"/>
  <c r="A141" i="39"/>
  <c r="T27" i="39"/>
  <c r="A38" i="39"/>
  <c r="T39" i="39"/>
  <c r="A50" i="39"/>
  <c r="S51" i="39"/>
  <c r="S68" i="39"/>
  <c r="T74" i="39"/>
  <c r="S83" i="39"/>
  <c r="A85" i="39"/>
  <c r="T91" i="39"/>
  <c r="S92" i="39"/>
  <c r="A94" i="39"/>
  <c r="T99" i="39"/>
  <c r="S100" i="39"/>
  <c r="A102" i="39"/>
  <c r="T107" i="39"/>
  <c r="S108" i="39"/>
  <c r="A110" i="39"/>
  <c r="T115" i="39"/>
  <c r="S116" i="39"/>
  <c r="A118" i="39"/>
  <c r="T123" i="39"/>
  <c r="S124" i="39"/>
  <c r="A126" i="39"/>
  <c r="T131" i="39"/>
  <c r="S132" i="39"/>
  <c r="A134" i="39"/>
  <c r="T139" i="39"/>
  <c r="S140" i="39"/>
  <c r="A142" i="39"/>
  <c r="S28" i="39"/>
  <c r="T34" i="39"/>
  <c r="S40" i="39"/>
  <c r="A45" i="39"/>
  <c r="T51" i="39"/>
  <c r="A62" i="39"/>
  <c r="T63" i="39"/>
  <c r="A74" i="39"/>
  <c r="S76" i="39"/>
  <c r="A78" i="39"/>
  <c r="T83" i="39"/>
  <c r="T92" i="39"/>
  <c r="S93" i="39"/>
  <c r="A95" i="39"/>
  <c r="T100" i="39"/>
  <c r="S101" i="39"/>
  <c r="A103" i="39"/>
  <c r="T108" i="39"/>
  <c r="S109" i="39"/>
  <c r="A111" i="39"/>
  <c r="A10" i="39"/>
  <c r="S19" i="39"/>
  <c r="A34" i="39"/>
  <c r="S35" i="39"/>
  <c r="S52" i="39"/>
  <c r="T58" i="39"/>
  <c r="S64" i="39"/>
  <c r="A69" i="39"/>
  <c r="T78" i="39"/>
  <c r="T93" i="39"/>
  <c r="S94" i="39"/>
  <c r="A96" i="39"/>
  <c r="T101" i="39"/>
  <c r="S102" i="39"/>
  <c r="A104" i="39"/>
  <c r="T109" i="39"/>
  <c r="S110" i="39"/>
  <c r="A112" i="39"/>
  <c r="S24" i="39"/>
  <c r="A29" i="39"/>
  <c r="T35" i="39"/>
  <c r="A46" i="39"/>
  <c r="T47" i="39"/>
  <c r="A58" i="39"/>
  <c r="S59" i="39"/>
  <c r="S80" i="39"/>
  <c r="A82" i="39"/>
  <c r="S87" i="39"/>
  <c r="S88" i="39"/>
  <c r="T94" i="39"/>
  <c r="S95" i="39"/>
  <c r="A97" i="39"/>
  <c r="T102" i="39"/>
  <c r="S103" i="39"/>
  <c r="A105" i="39"/>
  <c r="T110" i="39"/>
  <c r="S111" i="39"/>
  <c r="A113" i="39"/>
  <c r="T118" i="39"/>
  <c r="S119" i="39"/>
  <c r="A121" i="39"/>
  <c r="T126" i="39"/>
  <c r="S127" i="39"/>
  <c r="A129" i="39"/>
  <c r="T134" i="39"/>
  <c r="S135" i="39"/>
  <c r="A137" i="39"/>
  <c r="T142" i="39"/>
  <c r="S143" i="39"/>
  <c r="A145" i="39"/>
  <c r="S36" i="39"/>
  <c r="A77" i="39"/>
  <c r="T95" i="39"/>
  <c r="A106" i="39"/>
  <c r="S117" i="39"/>
  <c r="S128" i="39"/>
  <c r="S134" i="39"/>
  <c r="T140" i="39"/>
  <c r="T148" i="39"/>
  <c r="T155" i="39"/>
  <c r="S156" i="39"/>
  <c r="A158" i="39"/>
  <c r="T163" i="39"/>
  <c r="S164" i="39"/>
  <c r="A166" i="39"/>
  <c r="T171" i="39"/>
  <c r="S172" i="39"/>
  <c r="A174" i="39"/>
  <c r="T179" i="39"/>
  <c r="S180" i="39"/>
  <c r="A182" i="39"/>
  <c r="T187" i="39"/>
  <c r="S188" i="39"/>
  <c r="A190" i="39"/>
  <c r="T195" i="39"/>
  <c r="S196" i="39"/>
  <c r="A198" i="39"/>
  <c r="T203" i="39"/>
  <c r="S204" i="39"/>
  <c r="A206" i="39"/>
  <c r="T211" i="39"/>
  <c r="S212" i="39"/>
  <c r="A214" i="39"/>
  <c r="T219" i="39"/>
  <c r="S220" i="39"/>
  <c r="A222" i="39"/>
  <c r="T227" i="39"/>
  <c r="S228" i="39"/>
  <c r="A230" i="39"/>
  <c r="T71" i="39"/>
  <c r="T82" i="39"/>
  <c r="T87" i="39"/>
  <c r="T103" i="39"/>
  <c r="A114" i="39"/>
  <c r="T117" i="39"/>
  <c r="A122" i="39"/>
  <c r="A128" i="39"/>
  <c r="S141" i="39"/>
  <c r="A151" i="39"/>
  <c r="T156" i="39"/>
  <c r="S157" i="39"/>
  <c r="A159" i="39"/>
  <c r="T164" i="39"/>
  <c r="S165" i="39"/>
  <c r="A167" i="39"/>
  <c r="T172" i="39"/>
  <c r="S173" i="39"/>
  <c r="A175" i="39"/>
  <c r="T180" i="39"/>
  <c r="S181" i="39"/>
  <c r="A183" i="39"/>
  <c r="T188" i="39"/>
  <c r="S189" i="39"/>
  <c r="A191" i="39"/>
  <c r="T196" i="39"/>
  <c r="S197" i="39"/>
  <c r="A199" i="39"/>
  <c r="T204" i="39"/>
  <c r="S205" i="39"/>
  <c r="A207" i="39"/>
  <c r="T212" i="39"/>
  <c r="S213" i="39"/>
  <c r="A215" i="39"/>
  <c r="T220" i="39"/>
  <c r="S221" i="39"/>
  <c r="A223" i="39"/>
  <c r="T228" i="39"/>
  <c r="S229" i="39"/>
  <c r="A231" i="39"/>
  <c r="T236" i="39"/>
  <c r="T111" i="39"/>
  <c r="S118" i="39"/>
  <c r="T124" i="39"/>
  <c r="A135" i="39"/>
  <c r="T135" i="39"/>
  <c r="T141" i="39"/>
  <c r="A146" i="39"/>
  <c r="A150" i="39"/>
  <c r="S150" i="39"/>
  <c r="A152" i="39"/>
  <c r="T157" i="39"/>
  <c r="S158" i="39"/>
  <c r="A160" i="39"/>
  <c r="T165" i="39"/>
  <c r="S166" i="39"/>
  <c r="A168" i="39"/>
  <c r="T173" i="39"/>
  <c r="S174" i="39"/>
  <c r="A176" i="39"/>
  <c r="T181" i="39"/>
  <c r="S182" i="39"/>
  <c r="A184" i="39"/>
  <c r="T189" i="39"/>
  <c r="S190" i="39"/>
  <c r="A192" i="39"/>
  <c r="T197" i="39"/>
  <c r="S198" i="39"/>
  <c r="A200" i="39"/>
  <c r="T205" i="39"/>
  <c r="S206" i="39"/>
  <c r="A208" i="39"/>
  <c r="T213" i="39"/>
  <c r="S214" i="39"/>
  <c r="A216" i="39"/>
  <c r="T221" i="39"/>
  <c r="S222" i="39"/>
  <c r="A224" i="39"/>
  <c r="A53" i="39"/>
  <c r="T59" i="39"/>
  <c r="S96" i="39"/>
  <c r="S125" i="39"/>
  <c r="S136" i="39"/>
  <c r="S142" i="39"/>
  <c r="T150" i="39"/>
  <c r="S151" i="39"/>
  <c r="A153" i="39"/>
  <c r="T158" i="39"/>
  <c r="S159" i="39"/>
  <c r="A161" i="39"/>
  <c r="T166" i="39"/>
  <c r="S167" i="39"/>
  <c r="A169" i="39"/>
  <c r="T174" i="39"/>
  <c r="S175" i="39"/>
  <c r="A177" i="39"/>
  <c r="T182" i="39"/>
  <c r="S183" i="39"/>
  <c r="A185" i="39"/>
  <c r="T190" i="39"/>
  <c r="S191" i="39"/>
  <c r="A193" i="39"/>
  <c r="T198" i="39"/>
  <c r="S199" i="39"/>
  <c r="A201" i="39"/>
  <c r="T206" i="39"/>
  <c r="S207" i="39"/>
  <c r="A209" i="39"/>
  <c r="T214" i="39"/>
  <c r="S215" i="39"/>
  <c r="A217" i="39"/>
  <c r="T222" i="39"/>
  <c r="S223" i="39"/>
  <c r="A225" i="39"/>
  <c r="T230" i="39"/>
  <c r="S231" i="39"/>
  <c r="S104" i="39"/>
  <c r="A119" i="39"/>
  <c r="T119" i="39"/>
  <c r="T125" i="39"/>
  <c r="A130" i="39"/>
  <c r="A136" i="39"/>
  <c r="S147" i="39"/>
  <c r="A149" i="39"/>
  <c r="S149" i="39"/>
  <c r="T151" i="39"/>
  <c r="S152" i="39"/>
  <c r="A154" i="39"/>
  <c r="T159" i="39"/>
  <c r="S160" i="39"/>
  <c r="A162" i="39"/>
  <c r="T167" i="39"/>
  <c r="S168" i="39"/>
  <c r="A170" i="39"/>
  <c r="T175" i="39"/>
  <c r="S176" i="39"/>
  <c r="A178" i="39"/>
  <c r="T183" i="39"/>
  <c r="S184" i="39"/>
  <c r="A186" i="39"/>
  <c r="T191" i="39"/>
  <c r="S192" i="39"/>
  <c r="A194" i="39"/>
  <c r="T199" i="39"/>
  <c r="S200" i="39"/>
  <c r="A202" i="39"/>
  <c r="T207" i="39"/>
  <c r="S208" i="39"/>
  <c r="A210" i="39"/>
  <c r="T215" i="39"/>
  <c r="S216" i="39"/>
  <c r="A218" i="39"/>
  <c r="T223" i="39"/>
  <c r="S112" i="39"/>
  <c r="S120" i="39"/>
  <c r="S126" i="39"/>
  <c r="T132" i="39"/>
  <c r="A143" i="39"/>
  <c r="T143" i="39"/>
  <c r="T146" i="39"/>
  <c r="T147" i="39"/>
  <c r="T149" i="39"/>
  <c r="T152" i="39"/>
  <c r="S153" i="39"/>
  <c r="A155" i="39"/>
  <c r="T160" i="39"/>
  <c r="S161" i="39"/>
  <c r="A163" i="39"/>
  <c r="T168" i="39"/>
  <c r="S169" i="39"/>
  <c r="A171" i="39"/>
  <c r="T176" i="39"/>
  <c r="S177" i="39"/>
  <c r="A179" i="39"/>
  <c r="T184" i="39"/>
  <c r="S185" i="39"/>
  <c r="A187" i="39"/>
  <c r="T192" i="39"/>
  <c r="S193" i="39"/>
  <c r="A195" i="39"/>
  <c r="T200" i="39"/>
  <c r="S201" i="39"/>
  <c r="A203" i="39"/>
  <c r="T208" i="39"/>
  <c r="S209" i="39"/>
  <c r="A211" i="39"/>
  <c r="T216" i="39"/>
  <c r="S217" i="39"/>
  <c r="A219" i="39"/>
  <c r="T224" i="39"/>
  <c r="S225" i="39"/>
  <c r="A227" i="39"/>
  <c r="S48" i="39"/>
  <c r="S75" i="39"/>
  <c r="S144" i="39"/>
  <c r="T161" i="39"/>
  <c r="S170" i="39"/>
  <c r="A172" i="39"/>
  <c r="T193" i="39"/>
  <c r="S202" i="39"/>
  <c r="A204" i="39"/>
  <c r="A232" i="39"/>
  <c r="A235" i="39"/>
  <c r="S235" i="39"/>
  <c r="T127" i="39"/>
  <c r="A138" i="39"/>
  <c r="S148" i="39"/>
  <c r="T170" i="39"/>
  <c r="S179" i="39"/>
  <c r="A181" i="39"/>
  <c r="T202" i="39"/>
  <c r="S211" i="39"/>
  <c r="A213" i="39"/>
  <c r="T235" i="39"/>
  <c r="T240" i="39"/>
  <c r="S241" i="39"/>
  <c r="A243" i="39"/>
  <c r="T169" i="39"/>
  <c r="S178" i="39"/>
  <c r="A180" i="39"/>
  <c r="T201" i="39"/>
  <c r="S210" i="39"/>
  <c r="A212" i="39"/>
  <c r="T225" i="39"/>
  <c r="A234" i="39"/>
  <c r="S234" i="39"/>
  <c r="S155" i="39"/>
  <c r="A157" i="39"/>
  <c r="T178" i="39"/>
  <c r="S187" i="39"/>
  <c r="A189" i="39"/>
  <c r="T210" i="39"/>
  <c r="S219" i="39"/>
  <c r="A221" i="39"/>
  <c r="S227" i="39"/>
  <c r="A229" i="39"/>
  <c r="S154" i="39"/>
  <c r="A156" i="39"/>
  <c r="T177" i="39"/>
  <c r="S186" i="39"/>
  <c r="A188" i="39"/>
  <c r="T209" i="39"/>
  <c r="S218" i="39"/>
  <c r="A220" i="39"/>
  <c r="S230" i="39"/>
  <c r="T231" i="39"/>
  <c r="A233" i="39"/>
  <c r="S233" i="39"/>
  <c r="A237" i="39"/>
  <c r="A238" i="39"/>
  <c r="A120" i="39"/>
  <c r="S133" i="39"/>
  <c r="T153" i="39"/>
  <c r="S162" i="39"/>
  <c r="A164" i="39"/>
  <c r="T185" i="39"/>
  <c r="S194" i="39"/>
  <c r="A196" i="39"/>
  <c r="T217" i="39"/>
  <c r="S226" i="39"/>
  <c r="A228" i="39"/>
  <c r="S232" i="39"/>
  <c r="A236" i="39"/>
  <c r="S236" i="39"/>
  <c r="T237" i="39"/>
  <c r="S238" i="39"/>
  <c r="T42" i="39"/>
  <c r="A70" i="39"/>
  <c r="T116" i="39"/>
  <c r="A127" i="39"/>
  <c r="T133" i="39"/>
  <c r="A144" i="39"/>
  <c r="T162" i="39"/>
  <c r="S171" i="39"/>
  <c r="A173" i="39"/>
  <c r="T194" i="39"/>
  <c r="S203" i="39"/>
  <c r="A205" i="39"/>
  <c r="T226" i="39"/>
  <c r="A244" i="39"/>
  <c r="S244" i="39"/>
  <c r="T251" i="39"/>
  <c r="S252" i="39"/>
  <c r="A254" i="39"/>
  <c r="T259" i="39"/>
  <c r="S260" i="39"/>
  <c r="A262" i="39"/>
  <c r="T267" i="39"/>
  <c r="S268" i="39"/>
  <c r="A270" i="39"/>
  <c r="T275" i="39"/>
  <c r="S276" i="39"/>
  <c r="A278" i="39"/>
  <c r="T283" i="39"/>
  <c r="S284" i="39"/>
  <c r="A286" i="39"/>
  <c r="T291" i="39"/>
  <c r="S292" i="39"/>
  <c r="A294" i="39"/>
  <c r="T299" i="39"/>
  <c r="S300" i="39"/>
  <c r="A302" i="39"/>
  <c r="T307" i="39"/>
  <c r="S308" i="39"/>
  <c r="A310" i="39"/>
  <c r="T315" i="39"/>
  <c r="S316" i="39"/>
  <c r="A318" i="39"/>
  <c r="A241" i="39"/>
  <c r="T274" i="39"/>
  <c r="A277" i="39"/>
  <c r="S299" i="39"/>
  <c r="A240" i="39"/>
  <c r="S240" i="39"/>
  <c r="T244" i="39"/>
  <c r="T252" i="39"/>
  <c r="S253" i="39"/>
  <c r="A255" i="39"/>
  <c r="T260" i="39"/>
  <c r="S261" i="39"/>
  <c r="A263" i="39"/>
  <c r="T268" i="39"/>
  <c r="S269" i="39"/>
  <c r="A271" i="39"/>
  <c r="T276" i="39"/>
  <c r="S277" i="39"/>
  <c r="A279" i="39"/>
  <c r="T284" i="39"/>
  <c r="S285" i="39"/>
  <c r="A287" i="39"/>
  <c r="T292" i="39"/>
  <c r="S293" i="39"/>
  <c r="A295" i="39"/>
  <c r="T300" i="39"/>
  <c r="S301" i="39"/>
  <c r="A303" i="39"/>
  <c r="T308" i="39"/>
  <c r="S309" i="39"/>
  <c r="A311" i="39"/>
  <c r="T316" i="39"/>
  <c r="S317" i="39"/>
  <c r="A239" i="39"/>
  <c r="A261" i="39"/>
  <c r="T314" i="39"/>
  <c r="S243" i="39"/>
  <c r="A247" i="39"/>
  <c r="A248" i="39"/>
  <c r="T253" i="39"/>
  <c r="S254" i="39"/>
  <c r="A256" i="39"/>
  <c r="T261" i="39"/>
  <c r="S262" i="39"/>
  <c r="A264" i="39"/>
  <c r="T269" i="39"/>
  <c r="S270" i="39"/>
  <c r="A272" i="39"/>
  <c r="T277" i="39"/>
  <c r="S278" i="39"/>
  <c r="A280" i="39"/>
  <c r="T285" i="39"/>
  <c r="S286" i="39"/>
  <c r="A288" i="39"/>
  <c r="T293" i="39"/>
  <c r="S294" i="39"/>
  <c r="A296" i="39"/>
  <c r="T301" i="39"/>
  <c r="S302" i="39"/>
  <c r="A304" i="39"/>
  <c r="T309" i="39"/>
  <c r="S310" i="39"/>
  <c r="A312" i="39"/>
  <c r="T317" i="39"/>
  <c r="S318" i="39"/>
  <c r="S251" i="39"/>
  <c r="T258" i="39"/>
  <c r="T290" i="39"/>
  <c r="S307" i="39"/>
  <c r="A317" i="39"/>
  <c r="A98" i="39"/>
  <c r="S163" i="39"/>
  <c r="S224" i="39"/>
  <c r="T229" i="39"/>
  <c r="T232" i="39"/>
  <c r="T233" i="39"/>
  <c r="T234" i="39"/>
  <c r="S237" i="39"/>
  <c r="T238" i="39"/>
  <c r="S239" i="39"/>
  <c r="T243" i="39"/>
  <c r="S247" i="39"/>
  <c r="A249" i="39"/>
  <c r="T254" i="39"/>
  <c r="S255" i="39"/>
  <c r="A257" i="39"/>
  <c r="T262" i="39"/>
  <c r="S263" i="39"/>
  <c r="A265" i="39"/>
  <c r="T270" i="39"/>
  <c r="S271" i="39"/>
  <c r="A273" i="39"/>
  <c r="T278" i="39"/>
  <c r="S279" i="39"/>
  <c r="A281" i="39"/>
  <c r="T286" i="39"/>
  <c r="S287" i="39"/>
  <c r="A289" i="39"/>
  <c r="T294" i="39"/>
  <c r="S295" i="39"/>
  <c r="A297" i="39"/>
  <c r="T302" i="39"/>
  <c r="S303" i="39"/>
  <c r="A305" i="39"/>
  <c r="T310" i="39"/>
  <c r="S311" i="39"/>
  <c r="A313" i="39"/>
  <c r="T318" i="39"/>
  <c r="S275" i="39"/>
  <c r="T282" i="39"/>
  <c r="S315" i="39"/>
  <c r="T154" i="39"/>
  <c r="A165" i="39"/>
  <c r="S195" i="39"/>
  <c r="T239" i="39"/>
  <c r="S242" i="39"/>
  <c r="A246" i="39"/>
  <c r="S246" i="39"/>
  <c r="T247" i="39"/>
  <c r="S248" i="39"/>
  <c r="A250" i="39"/>
  <c r="T255" i="39"/>
  <c r="S256" i="39"/>
  <c r="A258" i="39"/>
  <c r="T263" i="39"/>
  <c r="S264" i="39"/>
  <c r="A266" i="39"/>
  <c r="T271" i="39"/>
  <c r="S272" i="39"/>
  <c r="A274" i="39"/>
  <c r="T279" i="39"/>
  <c r="S280" i="39"/>
  <c r="A282" i="39"/>
  <c r="T287" i="39"/>
  <c r="S288" i="39"/>
  <c r="A290" i="39"/>
  <c r="T295" i="39"/>
  <c r="S296" i="39"/>
  <c r="A298" i="39"/>
  <c r="T303" i="39"/>
  <c r="S304" i="39"/>
  <c r="A306" i="39"/>
  <c r="T311" i="39"/>
  <c r="S312" i="39"/>
  <c r="A314" i="39"/>
  <c r="T245" i="39"/>
  <c r="S259" i="39"/>
  <c r="T298" i="39"/>
  <c r="A301" i="39"/>
  <c r="T186" i="39"/>
  <c r="A197" i="39"/>
  <c r="A226" i="39"/>
  <c r="A242" i="39"/>
  <c r="T242" i="39"/>
  <c r="T246" i="39"/>
  <c r="T248" i="39"/>
  <c r="S249" i="39"/>
  <c r="A251" i="39"/>
  <c r="T256" i="39"/>
  <c r="S257" i="39"/>
  <c r="A259" i="39"/>
  <c r="T264" i="39"/>
  <c r="S265" i="39"/>
  <c r="A267" i="39"/>
  <c r="T272" i="39"/>
  <c r="S273" i="39"/>
  <c r="A275" i="39"/>
  <c r="T280" i="39"/>
  <c r="S281" i="39"/>
  <c r="A283" i="39"/>
  <c r="T288" i="39"/>
  <c r="S289" i="39"/>
  <c r="A291" i="39"/>
  <c r="T296" i="39"/>
  <c r="S297" i="39"/>
  <c r="A299" i="39"/>
  <c r="T304" i="39"/>
  <c r="S305" i="39"/>
  <c r="A307" i="39"/>
  <c r="T312" i="39"/>
  <c r="S313" i="39"/>
  <c r="A315" i="39"/>
  <c r="A253" i="39"/>
  <c r="S267" i="39"/>
  <c r="A293" i="39"/>
  <c r="T306" i="39"/>
  <c r="A309" i="39"/>
  <c r="T218" i="39"/>
  <c r="A245" i="39"/>
  <c r="S245" i="39"/>
  <c r="T249" i="39"/>
  <c r="S250" i="39"/>
  <c r="A252" i="39"/>
  <c r="T257" i="39"/>
  <c r="S258" i="39"/>
  <c r="A260" i="39"/>
  <c r="T265" i="39"/>
  <c r="S266" i="39"/>
  <c r="A268" i="39"/>
  <c r="T273" i="39"/>
  <c r="S274" i="39"/>
  <c r="A276" i="39"/>
  <c r="T281" i="39"/>
  <c r="S282" i="39"/>
  <c r="A284" i="39"/>
  <c r="T289" i="39"/>
  <c r="S290" i="39"/>
  <c r="A292" i="39"/>
  <c r="T297" i="39"/>
  <c r="S298" i="39"/>
  <c r="A300" i="39"/>
  <c r="T305" i="39"/>
  <c r="S306" i="39"/>
  <c r="A308" i="39"/>
  <c r="T313" i="39"/>
  <c r="S314" i="39"/>
  <c r="A316" i="39"/>
  <c r="T241" i="39"/>
  <c r="T250" i="39"/>
  <c r="T266" i="39"/>
  <c r="A269" i="39"/>
  <c r="S283" i="39"/>
  <c r="A285" i="39"/>
  <c r="S291" i="39"/>
  <c r="AA1" i="39"/>
  <c r="AE289" i="39" l="1"/>
  <c r="AL289" i="39"/>
  <c r="AC289" i="39"/>
  <c r="AU267" i="39"/>
  <c r="D267" i="39"/>
  <c r="AJ267" i="39" s="1"/>
  <c r="L267" i="39"/>
  <c r="AQ267" i="39" s="1"/>
  <c r="K267" i="39"/>
  <c r="AK267" i="39" s="1"/>
  <c r="E267" i="39"/>
  <c r="M267" i="39"/>
  <c r="AS267" i="39" s="1"/>
  <c r="F267" i="39"/>
  <c r="AM267" i="39" s="1"/>
  <c r="N267" i="39"/>
  <c r="G267" i="39"/>
  <c r="O267" i="39"/>
  <c r="C267" i="39"/>
  <c r="H267" i="39"/>
  <c r="P267" i="39"/>
  <c r="I267" i="39"/>
  <c r="Z267" i="39" s="1"/>
  <c r="AP267" i="39" s="1"/>
  <c r="Q267" i="39"/>
  <c r="B267" i="39"/>
  <c r="AF267" i="39" s="1"/>
  <c r="J267" i="39"/>
  <c r="AN267" i="39" s="1"/>
  <c r="AC280" i="39"/>
  <c r="AL280" i="39"/>
  <c r="AE280" i="39"/>
  <c r="AU304" i="39"/>
  <c r="G304" i="39"/>
  <c r="O304" i="39"/>
  <c r="H304" i="39"/>
  <c r="P304" i="39"/>
  <c r="I304" i="39"/>
  <c r="Z304" i="39" s="1"/>
  <c r="AP304" i="39" s="1"/>
  <c r="Q304" i="39"/>
  <c r="B304" i="39"/>
  <c r="AF304" i="39" s="1"/>
  <c r="J304" i="39"/>
  <c r="AN304" i="39" s="1"/>
  <c r="C304" i="39"/>
  <c r="K304" i="39"/>
  <c r="AK304" i="39" s="1"/>
  <c r="D304" i="39"/>
  <c r="AJ304" i="39" s="1"/>
  <c r="L304" i="39"/>
  <c r="AQ304" i="39" s="1"/>
  <c r="F304" i="39"/>
  <c r="AM304" i="39" s="1"/>
  <c r="E304" i="39"/>
  <c r="M304" i="39"/>
  <c r="AS304" i="39" s="1"/>
  <c r="N304" i="39"/>
  <c r="AC143" i="39"/>
  <c r="AL143" i="39"/>
  <c r="AE143" i="39"/>
  <c r="AC59" i="39"/>
  <c r="AL59" i="39"/>
  <c r="AE59" i="39"/>
  <c r="AE110" i="39"/>
  <c r="AC110" i="39"/>
  <c r="AL110" i="39"/>
  <c r="AC93" i="39"/>
  <c r="AL93" i="39"/>
  <c r="AE93" i="39"/>
  <c r="AE121" i="39"/>
  <c r="AL121" i="39"/>
  <c r="AC121" i="39"/>
  <c r="AU99" i="39"/>
  <c r="I99" i="39"/>
  <c r="Q99" i="39"/>
  <c r="Z99" i="39"/>
  <c r="AP99" i="39" s="1"/>
  <c r="B99" i="39"/>
  <c r="AF99" i="39" s="1"/>
  <c r="J99" i="39"/>
  <c r="AN99" i="39" s="1"/>
  <c r="C99" i="39"/>
  <c r="K99" i="39"/>
  <c r="AK99" i="39" s="1"/>
  <c r="D99" i="39"/>
  <c r="AJ99" i="39" s="1"/>
  <c r="L99" i="39"/>
  <c r="AQ99" i="39" s="1"/>
  <c r="E99" i="39"/>
  <c r="M99" i="39"/>
  <c r="AS99" i="39" s="1"/>
  <c r="F99" i="39"/>
  <c r="AM99" i="39" s="1"/>
  <c r="N99" i="39"/>
  <c r="G99" i="39"/>
  <c r="O99" i="39"/>
  <c r="H99" i="39"/>
  <c r="P99" i="39"/>
  <c r="AE72" i="39"/>
  <c r="AC72" i="39"/>
  <c r="AL72" i="39"/>
  <c r="AU84" i="39"/>
  <c r="D84" i="39"/>
  <c r="AJ84" i="39" s="1"/>
  <c r="L84" i="39"/>
  <c r="AQ84" i="39" s="1"/>
  <c r="E84" i="39"/>
  <c r="M84" i="39"/>
  <c r="AS84" i="39" s="1"/>
  <c r="H84" i="39"/>
  <c r="P84" i="39"/>
  <c r="I84" i="39"/>
  <c r="Q84" i="39"/>
  <c r="Z84" i="39"/>
  <c r="AP84" i="39" s="1"/>
  <c r="C84" i="39"/>
  <c r="F84" i="39"/>
  <c r="AM84" i="39" s="1"/>
  <c r="G84" i="39"/>
  <c r="J84" i="39"/>
  <c r="AN84" i="39" s="1"/>
  <c r="K84" i="39"/>
  <c r="AK84" i="39" s="1"/>
  <c r="N84" i="39"/>
  <c r="O84" i="39"/>
  <c r="B84" i="39"/>
  <c r="AF84" i="39" s="1"/>
  <c r="AE42" i="39"/>
  <c r="AC42" i="39"/>
  <c r="AL42" i="39"/>
  <c r="AU20" i="39"/>
  <c r="C20" i="39"/>
  <c r="K20" i="39"/>
  <c r="AK20" i="39" s="1"/>
  <c r="D20" i="39"/>
  <c r="AJ20" i="39" s="1"/>
  <c r="L20" i="39"/>
  <c r="AQ20" i="39" s="1"/>
  <c r="E20" i="39"/>
  <c r="M20" i="39"/>
  <c r="AS20" i="39" s="1"/>
  <c r="F20" i="39"/>
  <c r="AM20" i="39" s="1"/>
  <c r="N20" i="39"/>
  <c r="G20" i="39"/>
  <c r="O20" i="39"/>
  <c r="H20" i="39"/>
  <c r="P20" i="39"/>
  <c r="I20" i="39"/>
  <c r="AP20" i="39" s="1"/>
  <c r="Q20" i="39"/>
  <c r="B20" i="39"/>
  <c r="AF20" i="39" s="1"/>
  <c r="J20" i="39"/>
  <c r="AN20" i="39" s="1"/>
  <c r="AC41" i="39"/>
  <c r="AL41" i="39"/>
  <c r="AE41" i="39"/>
  <c r="AU65" i="39"/>
  <c r="G65" i="39"/>
  <c r="O65" i="39"/>
  <c r="H65" i="39"/>
  <c r="P65" i="39"/>
  <c r="I65" i="39"/>
  <c r="Z65" i="39" s="1"/>
  <c r="AP65" i="39" s="1"/>
  <c r="Q65" i="39"/>
  <c r="C65" i="39"/>
  <c r="K65" i="39"/>
  <c r="AK65" i="39" s="1"/>
  <c r="D65" i="39"/>
  <c r="AJ65" i="39" s="1"/>
  <c r="L65" i="39"/>
  <c r="AQ65" i="39" s="1"/>
  <c r="B65" i="39"/>
  <c r="AF65" i="39" s="1"/>
  <c r="E65" i="39"/>
  <c r="F65" i="39"/>
  <c r="AM65" i="39" s="1"/>
  <c r="J65" i="39"/>
  <c r="AN65" i="39" s="1"/>
  <c r="M65" i="39"/>
  <c r="AS65" i="39" s="1"/>
  <c r="N65" i="39"/>
  <c r="AC23" i="39"/>
  <c r="AL23" i="39"/>
  <c r="AE23" i="39"/>
  <c r="AC13" i="39"/>
  <c r="AL13" i="39"/>
  <c r="AE13" i="39"/>
  <c r="AU14" i="39"/>
  <c r="G14" i="39"/>
  <c r="O14" i="39"/>
  <c r="H14" i="39"/>
  <c r="P14" i="39"/>
  <c r="I14" i="39"/>
  <c r="Z14" i="39" s="1"/>
  <c r="AP14" i="39" s="1"/>
  <c r="Q14" i="39"/>
  <c r="C14" i="39"/>
  <c r="K14" i="39"/>
  <c r="AK14" i="39" s="1"/>
  <c r="D14" i="39"/>
  <c r="AJ14" i="39" s="1"/>
  <c r="L14" i="39"/>
  <c r="AQ14" i="39" s="1"/>
  <c r="J14" i="39"/>
  <c r="AN14" i="39" s="1"/>
  <c r="M14" i="39"/>
  <c r="AS14" i="39" s="1"/>
  <c r="N14" i="39"/>
  <c r="B14" i="39"/>
  <c r="AF14" i="39" s="1"/>
  <c r="E14" i="39"/>
  <c r="F14" i="39"/>
  <c r="AM14" i="39" s="1"/>
  <c r="AE265" i="39"/>
  <c r="AC265" i="39"/>
  <c r="AL265" i="39"/>
  <c r="AC259" i="39"/>
  <c r="AL259" i="39"/>
  <c r="AE259" i="39"/>
  <c r="AU298" i="39"/>
  <c r="E298" i="39"/>
  <c r="M298" i="39"/>
  <c r="AS298" i="39" s="1"/>
  <c r="F298" i="39"/>
  <c r="AM298" i="39" s="1"/>
  <c r="N298" i="39"/>
  <c r="G298" i="39"/>
  <c r="O298" i="39"/>
  <c r="D298" i="39"/>
  <c r="AJ298" i="39" s="1"/>
  <c r="H298" i="39"/>
  <c r="P298" i="39"/>
  <c r="L298" i="39"/>
  <c r="AQ298" i="39" s="1"/>
  <c r="I298" i="39"/>
  <c r="Z298" i="39" s="1"/>
  <c r="AP298" i="39" s="1"/>
  <c r="Q298" i="39"/>
  <c r="B298" i="39"/>
  <c r="AF298" i="39" s="1"/>
  <c r="J298" i="39"/>
  <c r="AN298" i="39" s="1"/>
  <c r="C298" i="39"/>
  <c r="K298" i="39"/>
  <c r="AK298" i="39" s="1"/>
  <c r="AC256" i="39"/>
  <c r="AL256" i="39"/>
  <c r="AE256" i="39"/>
  <c r="AU313" i="39"/>
  <c r="F313" i="39"/>
  <c r="AM313" i="39" s="1"/>
  <c r="N313" i="39"/>
  <c r="G313" i="39"/>
  <c r="O313" i="39"/>
  <c r="H313" i="39"/>
  <c r="P313" i="39"/>
  <c r="M313" i="39"/>
  <c r="AS313" i="39" s="1"/>
  <c r="I313" i="39"/>
  <c r="Q313" i="39"/>
  <c r="Z313" i="39"/>
  <c r="AP313" i="39" s="1"/>
  <c r="E313" i="39"/>
  <c r="B313" i="39"/>
  <c r="AF313" i="39" s="1"/>
  <c r="J313" i="39"/>
  <c r="AN313" i="39" s="1"/>
  <c r="C313" i="39"/>
  <c r="K313" i="39"/>
  <c r="AK313" i="39" s="1"/>
  <c r="D313" i="39"/>
  <c r="AJ313" i="39" s="1"/>
  <c r="L313" i="39"/>
  <c r="AQ313" i="39" s="1"/>
  <c r="AC271" i="39"/>
  <c r="AL271" i="39"/>
  <c r="AE271" i="39"/>
  <c r="AU249" i="39"/>
  <c r="F249" i="39"/>
  <c r="AM249" i="39" s="1"/>
  <c r="N249" i="39"/>
  <c r="G249" i="39"/>
  <c r="O249" i="39"/>
  <c r="H249" i="39"/>
  <c r="P249" i="39"/>
  <c r="M249" i="39"/>
  <c r="AS249" i="39" s="1"/>
  <c r="I249" i="39"/>
  <c r="Q249" i="39"/>
  <c r="Z249" i="39"/>
  <c r="AP249" i="39" s="1"/>
  <c r="B249" i="39"/>
  <c r="AF249" i="39" s="1"/>
  <c r="J249" i="39"/>
  <c r="AN249" i="39" s="1"/>
  <c r="C249" i="39"/>
  <c r="K249" i="39"/>
  <c r="AK249" i="39" s="1"/>
  <c r="D249" i="39"/>
  <c r="AJ249" i="39" s="1"/>
  <c r="L249" i="39"/>
  <c r="AQ249" i="39" s="1"/>
  <c r="E249" i="39"/>
  <c r="AE302" i="39"/>
  <c r="AC302" i="39"/>
  <c r="AL302" i="39"/>
  <c r="AU280" i="39"/>
  <c r="G280" i="39"/>
  <c r="O280" i="39"/>
  <c r="H280" i="39"/>
  <c r="P280" i="39"/>
  <c r="I280" i="39"/>
  <c r="Q280" i="39"/>
  <c r="Z280" i="39"/>
  <c r="AP280" i="39" s="1"/>
  <c r="F280" i="39"/>
  <c r="AM280" i="39" s="1"/>
  <c r="B280" i="39"/>
  <c r="AF280" i="39" s="1"/>
  <c r="J280" i="39"/>
  <c r="AN280" i="39" s="1"/>
  <c r="N280" i="39"/>
  <c r="C280" i="39"/>
  <c r="K280" i="39"/>
  <c r="AK280" i="39" s="1"/>
  <c r="D280" i="39"/>
  <c r="AJ280" i="39" s="1"/>
  <c r="L280" i="39"/>
  <c r="AQ280" i="39" s="1"/>
  <c r="E280" i="39"/>
  <c r="M280" i="39"/>
  <c r="AS280" i="39" s="1"/>
  <c r="AU261" i="39"/>
  <c r="B261" i="39"/>
  <c r="AF261" i="39" s="1"/>
  <c r="J261" i="39"/>
  <c r="AN261" i="39" s="1"/>
  <c r="I261" i="39"/>
  <c r="C261" i="39"/>
  <c r="K261" i="39"/>
  <c r="AK261" i="39" s="1"/>
  <c r="D261" i="39"/>
  <c r="AJ261" i="39" s="1"/>
  <c r="L261" i="39"/>
  <c r="AQ261" i="39" s="1"/>
  <c r="E261" i="39"/>
  <c r="M261" i="39"/>
  <c r="AS261" i="39" s="1"/>
  <c r="F261" i="39"/>
  <c r="AM261" i="39" s="1"/>
  <c r="N261" i="39"/>
  <c r="Z261" i="39"/>
  <c r="AP261" i="39" s="1"/>
  <c r="G261" i="39"/>
  <c r="O261" i="39"/>
  <c r="Q261" i="39"/>
  <c r="H261" i="39"/>
  <c r="P261" i="39"/>
  <c r="AE301" i="39"/>
  <c r="AC301" i="39"/>
  <c r="AL301" i="39"/>
  <c r="AU279" i="39"/>
  <c r="H279" i="39"/>
  <c r="P279" i="39"/>
  <c r="I279" i="39"/>
  <c r="Q279" i="39"/>
  <c r="Z279" i="39"/>
  <c r="AP279" i="39" s="1"/>
  <c r="B279" i="39"/>
  <c r="AF279" i="39" s="1"/>
  <c r="J279" i="39"/>
  <c r="AN279" i="39" s="1"/>
  <c r="C279" i="39"/>
  <c r="K279" i="39"/>
  <c r="AK279" i="39" s="1"/>
  <c r="D279" i="39"/>
  <c r="AJ279" i="39" s="1"/>
  <c r="L279" i="39"/>
  <c r="AQ279" i="39" s="1"/>
  <c r="G279" i="39"/>
  <c r="E279" i="39"/>
  <c r="M279" i="39"/>
  <c r="AS279" i="39" s="1"/>
  <c r="F279" i="39"/>
  <c r="AM279" i="39" s="1"/>
  <c r="N279" i="39"/>
  <c r="O279" i="39"/>
  <c r="AU277" i="39"/>
  <c r="B277" i="39"/>
  <c r="AF277" i="39" s="1"/>
  <c r="J277" i="39"/>
  <c r="AN277" i="39" s="1"/>
  <c r="C277" i="39"/>
  <c r="K277" i="39"/>
  <c r="AK277" i="39" s="1"/>
  <c r="D277" i="39"/>
  <c r="AJ277" i="39" s="1"/>
  <c r="L277" i="39"/>
  <c r="AQ277" i="39" s="1"/>
  <c r="I277" i="39"/>
  <c r="E277" i="39"/>
  <c r="M277" i="39"/>
  <c r="AS277" i="39" s="1"/>
  <c r="F277" i="39"/>
  <c r="AM277" i="39" s="1"/>
  <c r="N277" i="39"/>
  <c r="Q277" i="39"/>
  <c r="G277" i="39"/>
  <c r="O277" i="39"/>
  <c r="H277" i="39"/>
  <c r="P277" i="39"/>
  <c r="Z277" i="39"/>
  <c r="AP277" i="39" s="1"/>
  <c r="AE284" i="39"/>
  <c r="AL284" i="39"/>
  <c r="AC284" i="39"/>
  <c r="AU262" i="39"/>
  <c r="I262" i="39"/>
  <c r="Q262" i="39"/>
  <c r="Z262" i="39"/>
  <c r="AP262" i="39" s="1"/>
  <c r="B262" i="39"/>
  <c r="AF262" i="39" s="1"/>
  <c r="J262" i="39"/>
  <c r="AN262" i="39" s="1"/>
  <c r="C262" i="39"/>
  <c r="K262" i="39"/>
  <c r="AK262" i="39" s="1"/>
  <c r="P262" i="39"/>
  <c r="D262" i="39"/>
  <c r="AJ262" i="39" s="1"/>
  <c r="L262" i="39"/>
  <c r="AQ262" i="39" s="1"/>
  <c r="E262" i="39"/>
  <c r="M262" i="39"/>
  <c r="AS262" i="39" s="1"/>
  <c r="F262" i="39"/>
  <c r="AM262" i="39" s="1"/>
  <c r="N262" i="39"/>
  <c r="G262" i="39"/>
  <c r="O262" i="39"/>
  <c r="H262" i="39"/>
  <c r="AU236" i="39"/>
  <c r="D236" i="39"/>
  <c r="AJ236" i="39" s="1"/>
  <c r="L236" i="39"/>
  <c r="AQ236" i="39" s="1"/>
  <c r="C236" i="39"/>
  <c r="M236" i="39"/>
  <c r="AS236" i="39" s="1"/>
  <c r="E236" i="39"/>
  <c r="N236" i="39"/>
  <c r="F236" i="39"/>
  <c r="AM236" i="39" s="1"/>
  <c r="H236" i="39"/>
  <c r="Q236" i="39"/>
  <c r="J236" i="39"/>
  <c r="AN236" i="39" s="1"/>
  <c r="I236" i="39"/>
  <c r="Z236" i="39" s="1"/>
  <c r="AP236" i="39" s="1"/>
  <c r="K236" i="39"/>
  <c r="AK236" i="39" s="1"/>
  <c r="G236" i="39"/>
  <c r="O236" i="39"/>
  <c r="P236" i="39"/>
  <c r="B236" i="39"/>
  <c r="AF236" i="39" s="1"/>
  <c r="AU164" i="39"/>
  <c r="C164" i="39"/>
  <c r="K164" i="39"/>
  <c r="AK164" i="39" s="1"/>
  <c r="D164" i="39"/>
  <c r="AJ164" i="39" s="1"/>
  <c r="L164" i="39"/>
  <c r="AQ164" i="39" s="1"/>
  <c r="E164" i="39"/>
  <c r="M164" i="39"/>
  <c r="AS164" i="39" s="1"/>
  <c r="F164" i="39"/>
  <c r="AM164" i="39" s="1"/>
  <c r="N164" i="39"/>
  <c r="G164" i="39"/>
  <c r="O164" i="39"/>
  <c r="H164" i="39"/>
  <c r="P164" i="39"/>
  <c r="I164" i="39"/>
  <c r="J164" i="39"/>
  <c r="AN164" i="39" s="1"/>
  <c r="Q164" i="39"/>
  <c r="Z164" i="39"/>
  <c r="AP164" i="39" s="1"/>
  <c r="B164" i="39"/>
  <c r="AF164" i="39" s="1"/>
  <c r="AU233" i="39"/>
  <c r="G233" i="39"/>
  <c r="O233" i="39"/>
  <c r="E233" i="39"/>
  <c r="N233" i="39"/>
  <c r="F233" i="39"/>
  <c r="AM233" i="39" s="1"/>
  <c r="P233" i="39"/>
  <c r="Z233" i="39"/>
  <c r="AP233" i="39" s="1"/>
  <c r="H233" i="39"/>
  <c r="Q233" i="39"/>
  <c r="J233" i="39"/>
  <c r="AN233" i="39" s="1"/>
  <c r="C233" i="39"/>
  <c r="L233" i="39"/>
  <c r="AQ233" i="39" s="1"/>
  <c r="K233" i="39"/>
  <c r="AK233" i="39" s="1"/>
  <c r="M233" i="39"/>
  <c r="AS233" i="39" s="1"/>
  <c r="B233" i="39"/>
  <c r="AF233" i="39" s="1"/>
  <c r="D233" i="39"/>
  <c r="AJ233" i="39" s="1"/>
  <c r="I233" i="39"/>
  <c r="AU189" i="39"/>
  <c r="B189" i="39"/>
  <c r="AF189" i="39" s="1"/>
  <c r="J189" i="39"/>
  <c r="AN189" i="39" s="1"/>
  <c r="C189" i="39"/>
  <c r="K189" i="39"/>
  <c r="AK189" i="39" s="1"/>
  <c r="D189" i="39"/>
  <c r="AJ189" i="39" s="1"/>
  <c r="L189" i="39"/>
  <c r="AQ189" i="39" s="1"/>
  <c r="E189" i="39"/>
  <c r="M189" i="39"/>
  <c r="AS189" i="39" s="1"/>
  <c r="F189" i="39"/>
  <c r="AM189" i="39" s="1"/>
  <c r="N189" i="39"/>
  <c r="G189" i="39"/>
  <c r="O189" i="39"/>
  <c r="Z189" i="39"/>
  <c r="AP189" i="39" s="1"/>
  <c r="H189" i="39"/>
  <c r="P189" i="39"/>
  <c r="Q189" i="39"/>
  <c r="I189" i="39"/>
  <c r="AU212" i="39"/>
  <c r="C212" i="39"/>
  <c r="K212" i="39"/>
  <c r="AK212" i="39" s="1"/>
  <c r="D212" i="39"/>
  <c r="AJ212" i="39" s="1"/>
  <c r="L212" i="39"/>
  <c r="AQ212" i="39" s="1"/>
  <c r="E212" i="39"/>
  <c r="M212" i="39"/>
  <c r="AS212" i="39" s="1"/>
  <c r="F212" i="39"/>
  <c r="AM212" i="39" s="1"/>
  <c r="N212" i="39"/>
  <c r="G212" i="39"/>
  <c r="O212" i="39"/>
  <c r="H212" i="39"/>
  <c r="P212" i="39"/>
  <c r="B212" i="39"/>
  <c r="AF212" i="39" s="1"/>
  <c r="I212" i="39"/>
  <c r="Z212" i="39" s="1"/>
  <c r="AP212" i="39" s="1"/>
  <c r="Q212" i="39"/>
  <c r="J212" i="39"/>
  <c r="AN212" i="39" s="1"/>
  <c r="AE148" i="39"/>
  <c r="AC148" i="39"/>
  <c r="AL148" i="39"/>
  <c r="AC225" i="39"/>
  <c r="AL225" i="39"/>
  <c r="AE225" i="39"/>
  <c r="AU203" i="39"/>
  <c r="D203" i="39"/>
  <c r="AJ203" i="39" s="1"/>
  <c r="L203" i="39"/>
  <c r="AQ203" i="39" s="1"/>
  <c r="E203" i="39"/>
  <c r="M203" i="39"/>
  <c r="AS203" i="39" s="1"/>
  <c r="F203" i="39"/>
  <c r="AM203" i="39" s="1"/>
  <c r="N203" i="39"/>
  <c r="G203" i="39"/>
  <c r="O203" i="39"/>
  <c r="H203" i="39"/>
  <c r="P203" i="39"/>
  <c r="I203" i="39"/>
  <c r="Z203" i="39" s="1"/>
  <c r="AP203" i="39" s="1"/>
  <c r="Q203" i="39"/>
  <c r="B203" i="39"/>
  <c r="AF203" i="39" s="1"/>
  <c r="C203" i="39"/>
  <c r="J203" i="39"/>
  <c r="AN203" i="39" s="1"/>
  <c r="K203" i="39"/>
  <c r="AK203" i="39" s="1"/>
  <c r="AC161" i="39"/>
  <c r="AL161" i="39"/>
  <c r="AE161" i="39"/>
  <c r="AE216" i="39"/>
  <c r="AC216" i="39"/>
  <c r="AL216" i="39"/>
  <c r="AU194" i="39"/>
  <c r="E194" i="39"/>
  <c r="M194" i="39"/>
  <c r="AS194" i="39" s="1"/>
  <c r="F194" i="39"/>
  <c r="AM194" i="39" s="1"/>
  <c r="N194" i="39"/>
  <c r="G194" i="39"/>
  <c r="O194" i="39"/>
  <c r="H194" i="39"/>
  <c r="P194" i="39"/>
  <c r="I194" i="39"/>
  <c r="Q194" i="39"/>
  <c r="Z194" i="39"/>
  <c r="AP194" i="39" s="1"/>
  <c r="B194" i="39"/>
  <c r="AF194" i="39" s="1"/>
  <c r="J194" i="39"/>
  <c r="AN194" i="39" s="1"/>
  <c r="C194" i="39"/>
  <c r="D194" i="39"/>
  <c r="AJ194" i="39" s="1"/>
  <c r="K194" i="39"/>
  <c r="AK194" i="39" s="1"/>
  <c r="L194" i="39"/>
  <c r="AQ194" i="39" s="1"/>
  <c r="AC152" i="39"/>
  <c r="AL152" i="39"/>
  <c r="AE152" i="39"/>
  <c r="AU217" i="39"/>
  <c r="F217" i="39"/>
  <c r="AM217" i="39" s="1"/>
  <c r="N217" i="39"/>
  <c r="G217" i="39"/>
  <c r="O217" i="39"/>
  <c r="H217" i="39"/>
  <c r="P217" i="39"/>
  <c r="I217" i="39"/>
  <c r="Q217" i="39"/>
  <c r="Z217" i="39"/>
  <c r="AP217" i="39" s="1"/>
  <c r="B217" i="39"/>
  <c r="AF217" i="39" s="1"/>
  <c r="J217" i="39"/>
  <c r="AN217" i="39" s="1"/>
  <c r="C217" i="39"/>
  <c r="K217" i="39"/>
  <c r="AK217" i="39" s="1"/>
  <c r="D217" i="39"/>
  <c r="AJ217" i="39" s="1"/>
  <c r="E217" i="39"/>
  <c r="L217" i="39"/>
  <c r="AQ217" i="39" s="1"/>
  <c r="M217" i="39"/>
  <c r="AS217" i="39" s="1"/>
  <c r="AC175" i="39"/>
  <c r="AL175" i="39"/>
  <c r="AE175" i="39"/>
  <c r="AU153" i="39"/>
  <c r="F153" i="39"/>
  <c r="AM153" i="39" s="1"/>
  <c r="N153" i="39"/>
  <c r="G153" i="39"/>
  <c r="O153" i="39"/>
  <c r="H153" i="39"/>
  <c r="P153" i="39"/>
  <c r="I153" i="39"/>
  <c r="Q153" i="39"/>
  <c r="Z153" i="39"/>
  <c r="AP153" i="39" s="1"/>
  <c r="B153" i="39"/>
  <c r="AF153" i="39" s="1"/>
  <c r="J153" i="39"/>
  <c r="AN153" i="39" s="1"/>
  <c r="C153" i="39"/>
  <c r="K153" i="39"/>
  <c r="AK153" i="39" s="1"/>
  <c r="D153" i="39"/>
  <c r="AJ153" i="39" s="1"/>
  <c r="E153" i="39"/>
  <c r="L153" i="39"/>
  <c r="AQ153" i="39" s="1"/>
  <c r="M153" i="39"/>
  <c r="AS153" i="39" s="1"/>
  <c r="AU53" i="39"/>
  <c r="C53" i="39"/>
  <c r="K53" i="39"/>
  <c r="AK53" i="39" s="1"/>
  <c r="D53" i="39"/>
  <c r="AJ53" i="39" s="1"/>
  <c r="L53" i="39"/>
  <c r="AQ53" i="39" s="1"/>
  <c r="E53" i="39"/>
  <c r="M53" i="39"/>
  <c r="AS53" i="39" s="1"/>
  <c r="G53" i="39"/>
  <c r="O53" i="39"/>
  <c r="H53" i="39"/>
  <c r="P53" i="39"/>
  <c r="B53" i="39"/>
  <c r="AF53" i="39" s="1"/>
  <c r="F53" i="39"/>
  <c r="AM53" i="39" s="1"/>
  <c r="I53" i="39"/>
  <c r="Z53" i="39" s="1"/>
  <c r="AP53" i="39" s="1"/>
  <c r="J53" i="39"/>
  <c r="AN53" i="39" s="1"/>
  <c r="N53" i="39"/>
  <c r="Q53" i="39"/>
  <c r="AC206" i="39"/>
  <c r="AL206" i="39"/>
  <c r="AE206" i="39"/>
  <c r="AU184" i="39"/>
  <c r="G184" i="39"/>
  <c r="O184" i="39"/>
  <c r="H184" i="39"/>
  <c r="P184" i="39"/>
  <c r="I184" i="39"/>
  <c r="Q184" i="39"/>
  <c r="Z184" i="39"/>
  <c r="AP184" i="39" s="1"/>
  <c r="B184" i="39"/>
  <c r="AF184" i="39" s="1"/>
  <c r="J184" i="39"/>
  <c r="AN184" i="39" s="1"/>
  <c r="C184" i="39"/>
  <c r="K184" i="39"/>
  <c r="AK184" i="39" s="1"/>
  <c r="D184" i="39"/>
  <c r="AJ184" i="39" s="1"/>
  <c r="L184" i="39"/>
  <c r="AQ184" i="39" s="1"/>
  <c r="E184" i="39"/>
  <c r="M184" i="39"/>
  <c r="AS184" i="39" s="1"/>
  <c r="N184" i="39"/>
  <c r="F184" i="39"/>
  <c r="AM184" i="39" s="1"/>
  <c r="AL229" i="39"/>
  <c r="AC229" i="39"/>
  <c r="AE229" i="39"/>
  <c r="AU207" i="39"/>
  <c r="H207" i="39"/>
  <c r="P207" i="39"/>
  <c r="I207" i="39"/>
  <c r="Z207" i="39" s="1"/>
  <c r="AP207" i="39" s="1"/>
  <c r="Q207" i="39"/>
  <c r="B207" i="39"/>
  <c r="AF207" i="39" s="1"/>
  <c r="J207" i="39"/>
  <c r="AN207" i="39" s="1"/>
  <c r="C207" i="39"/>
  <c r="K207" i="39"/>
  <c r="AK207" i="39" s="1"/>
  <c r="D207" i="39"/>
  <c r="AJ207" i="39" s="1"/>
  <c r="L207" i="39"/>
  <c r="AQ207" i="39" s="1"/>
  <c r="E207" i="39"/>
  <c r="M207" i="39"/>
  <c r="AS207" i="39" s="1"/>
  <c r="F207" i="39"/>
  <c r="AM207" i="39" s="1"/>
  <c r="N207" i="39"/>
  <c r="O207" i="39"/>
  <c r="G207" i="39"/>
  <c r="AE165" i="39"/>
  <c r="AC165" i="39"/>
  <c r="AL165" i="39"/>
  <c r="AU122" i="39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H122" i="39"/>
  <c r="P122" i="39"/>
  <c r="F122" i="39"/>
  <c r="AM122" i="39" s="1"/>
  <c r="Z122" i="39"/>
  <c r="AP122" i="39" s="1"/>
  <c r="G122" i="39"/>
  <c r="I122" i="39"/>
  <c r="N122" i="39"/>
  <c r="O122" i="39"/>
  <c r="Q122" i="39"/>
  <c r="AC228" i="39"/>
  <c r="AL228" i="39"/>
  <c r="AE228" i="39"/>
  <c r="AU206" i="39"/>
  <c r="I206" i="39"/>
  <c r="Z206" i="39" s="1"/>
  <c r="AP206" i="39" s="1"/>
  <c r="Q206" i="39"/>
  <c r="B206" i="39"/>
  <c r="AF206" i="39" s="1"/>
  <c r="J206" i="39"/>
  <c r="AN206" i="39" s="1"/>
  <c r="C206" i="39"/>
  <c r="K206" i="39"/>
  <c r="AK206" i="39" s="1"/>
  <c r="D206" i="39"/>
  <c r="AJ206" i="39" s="1"/>
  <c r="L206" i="39"/>
  <c r="AQ206" i="39" s="1"/>
  <c r="E206" i="39"/>
  <c r="M206" i="39"/>
  <c r="AS206" i="39" s="1"/>
  <c r="F206" i="39"/>
  <c r="AM206" i="39" s="1"/>
  <c r="N206" i="39"/>
  <c r="O206" i="39"/>
  <c r="P206" i="39"/>
  <c r="G206" i="39"/>
  <c r="H206" i="39"/>
  <c r="AE164" i="39"/>
  <c r="AC164" i="39"/>
  <c r="AL164" i="39"/>
  <c r="AC128" i="39"/>
  <c r="AL128" i="39"/>
  <c r="AE128" i="39"/>
  <c r="AE119" i="39"/>
  <c r="AL119" i="39"/>
  <c r="AC119" i="39"/>
  <c r="AU97" i="39"/>
  <c r="C97" i="39"/>
  <c r="K97" i="39"/>
  <c r="AK97" i="39" s="1"/>
  <c r="D97" i="39"/>
  <c r="AJ97" i="39" s="1"/>
  <c r="L97" i="39"/>
  <c r="AQ97" i="39" s="1"/>
  <c r="E97" i="39"/>
  <c r="M97" i="39"/>
  <c r="AS97" i="39" s="1"/>
  <c r="F97" i="39"/>
  <c r="AM97" i="39" s="1"/>
  <c r="N97" i="39"/>
  <c r="G97" i="39"/>
  <c r="O97" i="39"/>
  <c r="H97" i="39"/>
  <c r="P97" i="39"/>
  <c r="I97" i="39"/>
  <c r="Q97" i="39"/>
  <c r="Z97" i="39"/>
  <c r="AP97" i="39" s="1"/>
  <c r="B97" i="39"/>
  <c r="AF97" i="39" s="1"/>
  <c r="J97" i="39"/>
  <c r="AN97" i="39" s="1"/>
  <c r="AU58" i="39"/>
  <c r="F58" i="39"/>
  <c r="AM58" i="39" s="1"/>
  <c r="N58" i="39"/>
  <c r="G58" i="39"/>
  <c r="O58" i="39"/>
  <c r="H58" i="39"/>
  <c r="P58" i="39"/>
  <c r="B58" i="39"/>
  <c r="AF58" i="39" s="1"/>
  <c r="J58" i="39"/>
  <c r="AN58" i="39" s="1"/>
  <c r="C58" i="39"/>
  <c r="K58" i="39"/>
  <c r="AK58" i="39" s="1"/>
  <c r="E58" i="39"/>
  <c r="I58" i="39"/>
  <c r="Z58" i="39" s="1"/>
  <c r="AP58" i="39" s="1"/>
  <c r="L58" i="39"/>
  <c r="AQ58" i="39" s="1"/>
  <c r="M58" i="39"/>
  <c r="AS58" i="39" s="1"/>
  <c r="Q58" i="39"/>
  <c r="D58" i="39"/>
  <c r="AJ58" i="39" s="1"/>
  <c r="AU69" i="39"/>
  <c r="C69" i="39"/>
  <c r="K69" i="39"/>
  <c r="AK69" i="39" s="1"/>
  <c r="D69" i="39"/>
  <c r="AJ69" i="39" s="1"/>
  <c r="L69" i="39"/>
  <c r="AQ69" i="39" s="1"/>
  <c r="E69" i="39"/>
  <c r="M69" i="39"/>
  <c r="AS69" i="39" s="1"/>
  <c r="G69" i="39"/>
  <c r="O69" i="39"/>
  <c r="H69" i="39"/>
  <c r="P69" i="39"/>
  <c r="I69" i="39"/>
  <c r="Z69" i="39" s="1"/>
  <c r="AP69" i="39" s="1"/>
  <c r="J69" i="39"/>
  <c r="AN69" i="39" s="1"/>
  <c r="N69" i="39"/>
  <c r="Q69" i="39"/>
  <c r="B69" i="39"/>
  <c r="AF69" i="39" s="1"/>
  <c r="F69" i="39"/>
  <c r="AM69" i="39" s="1"/>
  <c r="AU111" i="39"/>
  <c r="E111" i="39"/>
  <c r="M111" i="39"/>
  <c r="AS111" i="39" s="1"/>
  <c r="F111" i="39"/>
  <c r="AM111" i="39" s="1"/>
  <c r="N111" i="39"/>
  <c r="G111" i="39"/>
  <c r="O111" i="39"/>
  <c r="H111" i="39"/>
  <c r="P111" i="39"/>
  <c r="I111" i="39"/>
  <c r="Q111" i="39"/>
  <c r="Z111" i="39"/>
  <c r="AP111" i="39" s="1"/>
  <c r="B111" i="39"/>
  <c r="AF111" i="39" s="1"/>
  <c r="J111" i="39"/>
  <c r="AN111" i="39" s="1"/>
  <c r="C111" i="39"/>
  <c r="K111" i="39"/>
  <c r="AK111" i="39" s="1"/>
  <c r="D111" i="39"/>
  <c r="AJ111" i="39" s="1"/>
  <c r="L111" i="39"/>
  <c r="AQ111" i="39" s="1"/>
  <c r="AU45" i="39"/>
  <c r="C45" i="39"/>
  <c r="K45" i="39"/>
  <c r="AK45" i="39" s="1"/>
  <c r="D45" i="39"/>
  <c r="AJ45" i="39" s="1"/>
  <c r="L45" i="39"/>
  <c r="AQ45" i="39" s="1"/>
  <c r="E45" i="39"/>
  <c r="M45" i="39"/>
  <c r="AS45" i="39" s="1"/>
  <c r="G45" i="39"/>
  <c r="O45" i="39"/>
  <c r="H45" i="39"/>
  <c r="P45" i="39"/>
  <c r="J45" i="39"/>
  <c r="AN45" i="39" s="1"/>
  <c r="N45" i="39"/>
  <c r="Q45" i="39"/>
  <c r="B45" i="39"/>
  <c r="AF45" i="39" s="1"/>
  <c r="F45" i="39"/>
  <c r="AM45" i="39" s="1"/>
  <c r="I45" i="39"/>
  <c r="AC132" i="39"/>
  <c r="AL132" i="39"/>
  <c r="AE132" i="39"/>
  <c r="AU110" i="39"/>
  <c r="F110" i="39"/>
  <c r="AM110" i="39" s="1"/>
  <c r="N110" i="39"/>
  <c r="G110" i="39"/>
  <c r="O110" i="39"/>
  <c r="H110" i="39"/>
  <c r="P110" i="39"/>
  <c r="I110" i="39"/>
  <c r="Q110" i="39"/>
  <c r="Z110" i="39"/>
  <c r="AP110" i="39" s="1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E110" i="39"/>
  <c r="M110" i="39"/>
  <c r="AS110" i="39" s="1"/>
  <c r="AU38" i="39"/>
  <c r="B38" i="39"/>
  <c r="AF38" i="39" s="1"/>
  <c r="J38" i="39"/>
  <c r="AN38" i="39" s="1"/>
  <c r="C38" i="39"/>
  <c r="K38" i="39"/>
  <c r="AK38" i="39" s="1"/>
  <c r="D38" i="39"/>
  <c r="AJ38" i="39" s="1"/>
  <c r="L38" i="39"/>
  <c r="AQ38" i="39" s="1"/>
  <c r="F38" i="39"/>
  <c r="AM38" i="39" s="1"/>
  <c r="N38" i="39"/>
  <c r="G38" i="39"/>
  <c r="O38" i="39"/>
  <c r="P38" i="39"/>
  <c r="Q38" i="39"/>
  <c r="E38" i="39"/>
  <c r="H38" i="39"/>
  <c r="I38" i="39"/>
  <c r="Z38" i="39" s="1"/>
  <c r="AP38" i="39" s="1"/>
  <c r="M38" i="39"/>
  <c r="AS38" i="39" s="1"/>
  <c r="AU125" i="39"/>
  <c r="G125" i="39"/>
  <c r="O125" i="39"/>
  <c r="H125" i="39"/>
  <c r="P125" i="39"/>
  <c r="I125" i="39"/>
  <c r="Q125" i="39"/>
  <c r="Z125" i="39"/>
  <c r="AP125" i="39" s="1"/>
  <c r="B125" i="39"/>
  <c r="AF125" i="39" s="1"/>
  <c r="J125" i="39"/>
  <c r="AN125" i="39" s="1"/>
  <c r="E125" i="39"/>
  <c r="M125" i="39"/>
  <c r="AS125" i="39" s="1"/>
  <c r="K125" i="39"/>
  <c r="AK125" i="39" s="1"/>
  <c r="L125" i="39"/>
  <c r="AQ125" i="39" s="1"/>
  <c r="N125" i="39"/>
  <c r="C125" i="39"/>
  <c r="D125" i="39"/>
  <c r="AJ125" i="39" s="1"/>
  <c r="F125" i="39"/>
  <c r="AM125" i="39" s="1"/>
  <c r="AU89" i="39"/>
  <c r="C89" i="39"/>
  <c r="K89" i="39"/>
  <c r="AK89" i="39" s="1"/>
  <c r="H89" i="39"/>
  <c r="Q89" i="39"/>
  <c r="I89" i="39"/>
  <c r="J89" i="39"/>
  <c r="AN89" i="39" s="1"/>
  <c r="B89" i="39"/>
  <c r="AF89" i="39" s="1"/>
  <c r="L89" i="39"/>
  <c r="AQ89" i="39" s="1"/>
  <c r="D89" i="39"/>
  <c r="AJ89" i="39" s="1"/>
  <c r="M89" i="39"/>
  <c r="AS89" i="39" s="1"/>
  <c r="E89" i="39"/>
  <c r="N89" i="39"/>
  <c r="F89" i="39"/>
  <c r="AM89" i="39" s="1"/>
  <c r="O89" i="39"/>
  <c r="G89" i="39"/>
  <c r="P89" i="39"/>
  <c r="Z89" i="39"/>
  <c r="AP89" i="39" s="1"/>
  <c r="AU26" i="39"/>
  <c r="F26" i="39"/>
  <c r="AM26" i="39" s="1"/>
  <c r="N26" i="39"/>
  <c r="G26" i="39"/>
  <c r="O26" i="39"/>
  <c r="H26" i="39"/>
  <c r="P26" i="39"/>
  <c r="B26" i="39"/>
  <c r="AF26" i="39" s="1"/>
  <c r="J26" i="39"/>
  <c r="AN26" i="39" s="1"/>
  <c r="C26" i="39"/>
  <c r="K26" i="39"/>
  <c r="AK26" i="39" s="1"/>
  <c r="Q26" i="39"/>
  <c r="D26" i="39"/>
  <c r="AJ26" i="39" s="1"/>
  <c r="E26" i="39"/>
  <c r="I26" i="39"/>
  <c r="L26" i="39"/>
  <c r="AQ26" i="39" s="1"/>
  <c r="M26" i="39"/>
  <c r="AS26" i="39" s="1"/>
  <c r="AU132" i="39"/>
  <c r="H132" i="39"/>
  <c r="P132" i="39"/>
  <c r="I132" i="39"/>
  <c r="Q132" i="39"/>
  <c r="Z132" i="39"/>
  <c r="AP132" i="39" s="1"/>
  <c r="B132" i="39"/>
  <c r="AF132" i="39" s="1"/>
  <c r="J132" i="39"/>
  <c r="AN132" i="39" s="1"/>
  <c r="C132" i="39"/>
  <c r="K132" i="39"/>
  <c r="AK132" i="39" s="1"/>
  <c r="F132" i="39"/>
  <c r="AM132" i="39" s="1"/>
  <c r="N132" i="39"/>
  <c r="E132" i="39"/>
  <c r="G132" i="39"/>
  <c r="L132" i="39"/>
  <c r="AQ132" i="39" s="1"/>
  <c r="M132" i="39"/>
  <c r="AS132" i="39" s="1"/>
  <c r="O132" i="39"/>
  <c r="D132" i="39"/>
  <c r="AJ132" i="39" s="1"/>
  <c r="AC90" i="39"/>
  <c r="AL90" i="39"/>
  <c r="AE90" i="39"/>
  <c r="AU139" i="39"/>
  <c r="I139" i="39"/>
  <c r="Q139" i="39"/>
  <c r="Z139" i="39"/>
  <c r="AP139" i="39" s="1"/>
  <c r="B139" i="39"/>
  <c r="AF139" i="39" s="1"/>
  <c r="J139" i="39"/>
  <c r="AN139" i="39" s="1"/>
  <c r="C139" i="39"/>
  <c r="K139" i="39"/>
  <c r="AK139" i="39" s="1"/>
  <c r="D139" i="39"/>
  <c r="AJ139" i="39" s="1"/>
  <c r="L139" i="39"/>
  <c r="AQ139" i="39" s="1"/>
  <c r="G139" i="39"/>
  <c r="O139" i="39"/>
  <c r="E139" i="39"/>
  <c r="F139" i="39"/>
  <c r="AM139" i="39" s="1"/>
  <c r="H139" i="39"/>
  <c r="M139" i="39"/>
  <c r="AS139" i="39" s="1"/>
  <c r="N139" i="39"/>
  <c r="P139" i="39"/>
  <c r="AC97" i="39"/>
  <c r="AL97" i="39"/>
  <c r="AE97" i="39"/>
  <c r="AC82" i="39"/>
  <c r="AL82" i="39"/>
  <c r="AE82" i="39"/>
  <c r="AU60" i="39"/>
  <c r="D60" i="39"/>
  <c r="AJ60" i="39" s="1"/>
  <c r="L60" i="39"/>
  <c r="AQ60" i="39" s="1"/>
  <c r="E60" i="39"/>
  <c r="M60" i="39"/>
  <c r="AS60" i="39" s="1"/>
  <c r="F60" i="39"/>
  <c r="AM60" i="39" s="1"/>
  <c r="N60" i="39"/>
  <c r="H60" i="39"/>
  <c r="P60" i="39"/>
  <c r="I60" i="39"/>
  <c r="Z60" i="39" s="1"/>
  <c r="AP60" i="39" s="1"/>
  <c r="Q60" i="39"/>
  <c r="B60" i="39"/>
  <c r="AF60" i="39" s="1"/>
  <c r="C60" i="39"/>
  <c r="G60" i="39"/>
  <c r="J60" i="39"/>
  <c r="AN60" i="39" s="1"/>
  <c r="K60" i="39"/>
  <c r="AK60" i="39" s="1"/>
  <c r="O60" i="39"/>
  <c r="AC18" i="39"/>
  <c r="AL18" i="39"/>
  <c r="AE18" i="39"/>
  <c r="AC81" i="39"/>
  <c r="AL81" i="39"/>
  <c r="AE81" i="39"/>
  <c r="AU59" i="39"/>
  <c r="E59" i="39"/>
  <c r="M59" i="39"/>
  <c r="AS59" i="39" s="1"/>
  <c r="F59" i="39"/>
  <c r="AM59" i="39" s="1"/>
  <c r="N59" i="39"/>
  <c r="G59" i="39"/>
  <c r="O59" i="39"/>
  <c r="I59" i="39"/>
  <c r="Z59" i="39" s="1"/>
  <c r="AP59" i="39" s="1"/>
  <c r="Q59" i="39"/>
  <c r="B59" i="39"/>
  <c r="AF59" i="39" s="1"/>
  <c r="J59" i="39"/>
  <c r="AN59" i="39" s="1"/>
  <c r="C59" i="39"/>
  <c r="D59" i="39"/>
  <c r="AJ59" i="39" s="1"/>
  <c r="H59" i="39"/>
  <c r="K59" i="39"/>
  <c r="AK59" i="39" s="1"/>
  <c r="L59" i="39"/>
  <c r="AQ59" i="39" s="1"/>
  <c r="P59" i="39"/>
  <c r="AC63" i="39"/>
  <c r="AL63" i="39"/>
  <c r="AE63" i="39"/>
  <c r="AU41" i="39"/>
  <c r="G41" i="39"/>
  <c r="O41" i="39"/>
  <c r="H41" i="39"/>
  <c r="P41" i="39"/>
  <c r="I41" i="39"/>
  <c r="Z41" i="39" s="1"/>
  <c r="AP41" i="39" s="1"/>
  <c r="Q41" i="39"/>
  <c r="C41" i="39"/>
  <c r="K41" i="39"/>
  <c r="AK41" i="39" s="1"/>
  <c r="D41" i="39"/>
  <c r="AJ41" i="39" s="1"/>
  <c r="L41" i="39"/>
  <c r="AQ41" i="39" s="1"/>
  <c r="E41" i="39"/>
  <c r="F41" i="39"/>
  <c r="AM41" i="39" s="1"/>
  <c r="J41" i="39"/>
  <c r="AN41" i="39" s="1"/>
  <c r="M41" i="39"/>
  <c r="AS41" i="39" s="1"/>
  <c r="N41" i="39"/>
  <c r="B41" i="39"/>
  <c r="AF41" i="39" s="1"/>
  <c r="AC54" i="39"/>
  <c r="AL54" i="39"/>
  <c r="AE54" i="39"/>
  <c r="AU32" i="39"/>
  <c r="H32" i="39"/>
  <c r="P32" i="39"/>
  <c r="I32" i="39"/>
  <c r="Z32" i="39" s="1"/>
  <c r="AP32" i="39" s="1"/>
  <c r="Q32" i="39"/>
  <c r="B32" i="39"/>
  <c r="AF32" i="39" s="1"/>
  <c r="J32" i="39"/>
  <c r="AN32" i="39" s="1"/>
  <c r="D32" i="39"/>
  <c r="AJ32" i="39" s="1"/>
  <c r="L32" i="39"/>
  <c r="AQ32" i="39" s="1"/>
  <c r="E32" i="39"/>
  <c r="M32" i="39"/>
  <c r="AS32" i="39" s="1"/>
  <c r="O32" i="39"/>
  <c r="C32" i="39"/>
  <c r="F32" i="39"/>
  <c r="AM32" i="39" s="1"/>
  <c r="G32" i="39"/>
  <c r="K32" i="39"/>
  <c r="AK32" i="39" s="1"/>
  <c r="N32" i="39"/>
  <c r="AE69" i="39"/>
  <c r="AC69" i="39"/>
  <c r="AL69" i="39"/>
  <c r="AU47" i="39"/>
  <c r="I47" i="39"/>
  <c r="Q47" i="39"/>
  <c r="B47" i="39"/>
  <c r="AF47" i="39" s="1"/>
  <c r="J47" i="39"/>
  <c r="AN47" i="39" s="1"/>
  <c r="C47" i="39"/>
  <c r="K47" i="39"/>
  <c r="AK47" i="39" s="1"/>
  <c r="E47" i="39"/>
  <c r="M47" i="39"/>
  <c r="AS47" i="39" s="1"/>
  <c r="F47" i="39"/>
  <c r="AM47" i="39" s="1"/>
  <c r="N47" i="39"/>
  <c r="D47" i="39"/>
  <c r="AJ47" i="39" s="1"/>
  <c r="G47" i="39"/>
  <c r="H47" i="39"/>
  <c r="L47" i="39"/>
  <c r="AQ47" i="39" s="1"/>
  <c r="O47" i="39"/>
  <c r="P47" i="39"/>
  <c r="AU22" i="39"/>
  <c r="I22" i="39"/>
  <c r="Q22" i="39"/>
  <c r="AP22" i="39"/>
  <c r="B22" i="39"/>
  <c r="AF22" i="39" s="1"/>
  <c r="J22" i="39"/>
  <c r="AN22" i="39" s="1"/>
  <c r="C22" i="39"/>
  <c r="K22" i="39"/>
  <c r="AK22" i="39" s="1"/>
  <c r="D22" i="39"/>
  <c r="AJ22" i="39" s="1"/>
  <c r="L22" i="39"/>
  <c r="AQ22" i="39" s="1"/>
  <c r="E22" i="39"/>
  <c r="M22" i="39"/>
  <c r="AS22" i="39" s="1"/>
  <c r="F22" i="39"/>
  <c r="AM22" i="39" s="1"/>
  <c r="N22" i="39"/>
  <c r="G22" i="39"/>
  <c r="O22" i="39"/>
  <c r="H22" i="39"/>
  <c r="P22" i="39"/>
  <c r="AE12" i="39"/>
  <c r="AC12" i="39"/>
  <c r="AL12" i="39"/>
  <c r="AU5" i="39"/>
  <c r="H5" i="39"/>
  <c r="P5" i="39"/>
  <c r="I5" i="39"/>
  <c r="Z5" i="39" s="1"/>
  <c r="AP5" i="39" s="1"/>
  <c r="Q5" i="39"/>
  <c r="B5" i="39"/>
  <c r="AF5" i="39" s="1"/>
  <c r="J5" i="39"/>
  <c r="AN5" i="39" s="1"/>
  <c r="D5" i="39"/>
  <c r="AJ5" i="39" s="1"/>
  <c r="L5" i="39"/>
  <c r="AQ5" i="39" s="1"/>
  <c r="E5" i="39"/>
  <c r="M5" i="39"/>
  <c r="AS5" i="39" s="1"/>
  <c r="C5" i="39"/>
  <c r="F5" i="39"/>
  <c r="AM5" i="39" s="1"/>
  <c r="G5" i="39"/>
  <c r="K5" i="39"/>
  <c r="AK5" i="39" s="1"/>
  <c r="N5" i="39"/>
  <c r="O5" i="39"/>
  <c r="AC242" i="39"/>
  <c r="AL242" i="39"/>
  <c r="AE242" i="39"/>
  <c r="AU273" i="39"/>
  <c r="F273" i="39"/>
  <c r="AM273" i="39" s="1"/>
  <c r="N273" i="39"/>
  <c r="G273" i="39"/>
  <c r="O273" i="39"/>
  <c r="H273" i="39"/>
  <c r="P273" i="39"/>
  <c r="I273" i="39"/>
  <c r="Q273" i="39"/>
  <c r="Z273" i="39"/>
  <c r="AP273" i="39" s="1"/>
  <c r="B273" i="39"/>
  <c r="AF273" i="39" s="1"/>
  <c r="J273" i="39"/>
  <c r="AN273" i="39" s="1"/>
  <c r="E273" i="39"/>
  <c r="C273" i="39"/>
  <c r="K273" i="39"/>
  <c r="AK273" i="39" s="1"/>
  <c r="D273" i="39"/>
  <c r="AJ273" i="39" s="1"/>
  <c r="L273" i="39"/>
  <c r="AQ273" i="39" s="1"/>
  <c r="M273" i="39"/>
  <c r="AS273" i="39" s="1"/>
  <c r="AE202" i="39"/>
  <c r="AL202" i="39"/>
  <c r="AC202" i="39"/>
  <c r="AU227" i="39"/>
  <c r="D227" i="39"/>
  <c r="AJ227" i="39" s="1"/>
  <c r="L227" i="39"/>
  <c r="AQ227" i="39" s="1"/>
  <c r="E227" i="39"/>
  <c r="M227" i="39"/>
  <c r="AS227" i="39" s="1"/>
  <c r="G227" i="39"/>
  <c r="O227" i="39"/>
  <c r="I227" i="39"/>
  <c r="Z227" i="39" s="1"/>
  <c r="AP227" i="39" s="1"/>
  <c r="Q227" i="39"/>
  <c r="N227" i="39"/>
  <c r="P227" i="39"/>
  <c r="B227" i="39"/>
  <c r="AF227" i="39" s="1"/>
  <c r="C227" i="39"/>
  <c r="F227" i="39"/>
  <c r="AM227" i="39" s="1"/>
  <c r="J227" i="39"/>
  <c r="AN227" i="39" s="1"/>
  <c r="K227" i="39"/>
  <c r="AK227" i="39" s="1"/>
  <c r="H227" i="39"/>
  <c r="AC185" i="39"/>
  <c r="AL185" i="39"/>
  <c r="AE185" i="39"/>
  <c r="AU163" i="39"/>
  <c r="D163" i="39"/>
  <c r="AJ163" i="39" s="1"/>
  <c r="L163" i="39"/>
  <c r="AQ163" i="39" s="1"/>
  <c r="E163" i="39"/>
  <c r="M163" i="39"/>
  <c r="AS163" i="39" s="1"/>
  <c r="F163" i="39"/>
  <c r="AM163" i="39" s="1"/>
  <c r="N163" i="39"/>
  <c r="G163" i="39"/>
  <c r="O163" i="39"/>
  <c r="H163" i="39"/>
  <c r="P163" i="39"/>
  <c r="I163" i="39"/>
  <c r="Q163" i="39"/>
  <c r="Z163" i="39"/>
  <c r="AP163" i="39" s="1"/>
  <c r="B163" i="39"/>
  <c r="AF163" i="39" s="1"/>
  <c r="C163" i="39"/>
  <c r="J163" i="39"/>
  <c r="AN163" i="39" s="1"/>
  <c r="K163" i="39"/>
  <c r="AK163" i="39" s="1"/>
  <c r="AU218" i="39"/>
  <c r="E218" i="39"/>
  <c r="M218" i="39"/>
  <c r="AS218" i="39" s="1"/>
  <c r="F218" i="39"/>
  <c r="AM218" i="39" s="1"/>
  <c r="N218" i="39"/>
  <c r="G218" i="39"/>
  <c r="O218" i="39"/>
  <c r="H218" i="39"/>
  <c r="P218" i="39"/>
  <c r="I218" i="39"/>
  <c r="Q218" i="39"/>
  <c r="Z218" i="39"/>
  <c r="AP218" i="39" s="1"/>
  <c r="B218" i="39"/>
  <c r="AF218" i="39" s="1"/>
  <c r="J218" i="39"/>
  <c r="AN218" i="39" s="1"/>
  <c r="C218" i="39"/>
  <c r="D218" i="39"/>
  <c r="AJ218" i="39" s="1"/>
  <c r="K218" i="39"/>
  <c r="AK218" i="39" s="1"/>
  <c r="L218" i="39"/>
  <c r="AQ218" i="39" s="1"/>
  <c r="AC176" i="39"/>
  <c r="AL176" i="39"/>
  <c r="AE176" i="39"/>
  <c r="AU154" i="39"/>
  <c r="E154" i="39"/>
  <c r="M154" i="39"/>
  <c r="AS154" i="39" s="1"/>
  <c r="F154" i="39"/>
  <c r="AM154" i="39" s="1"/>
  <c r="N154" i="39"/>
  <c r="G154" i="39"/>
  <c r="O154" i="39"/>
  <c r="H154" i="39"/>
  <c r="P154" i="39"/>
  <c r="I154" i="39"/>
  <c r="Z154" i="39" s="1"/>
  <c r="AP154" i="39" s="1"/>
  <c r="Q154" i="39"/>
  <c r="B154" i="39"/>
  <c r="AF154" i="39" s="1"/>
  <c r="J154" i="39"/>
  <c r="AN154" i="39" s="1"/>
  <c r="C154" i="39"/>
  <c r="D154" i="39"/>
  <c r="AJ154" i="39" s="1"/>
  <c r="K154" i="39"/>
  <c r="AK154" i="39" s="1"/>
  <c r="L154" i="39"/>
  <c r="AQ154" i="39" s="1"/>
  <c r="AU177" i="39"/>
  <c r="F177" i="39"/>
  <c r="AM177" i="39" s="1"/>
  <c r="N177" i="39"/>
  <c r="G177" i="39"/>
  <c r="O177" i="39"/>
  <c r="H177" i="39"/>
  <c r="P177" i="39"/>
  <c r="I177" i="39"/>
  <c r="Z177" i="39" s="1"/>
  <c r="AP177" i="39" s="1"/>
  <c r="Q177" i="39"/>
  <c r="B177" i="39"/>
  <c r="AF177" i="39" s="1"/>
  <c r="J177" i="39"/>
  <c r="AN177" i="39" s="1"/>
  <c r="C177" i="39"/>
  <c r="K177" i="39"/>
  <c r="AK177" i="39" s="1"/>
  <c r="D177" i="39"/>
  <c r="AJ177" i="39" s="1"/>
  <c r="E177" i="39"/>
  <c r="L177" i="39"/>
  <c r="AQ177" i="39" s="1"/>
  <c r="M177" i="39"/>
  <c r="AS177" i="39" s="1"/>
  <c r="AC92" i="39"/>
  <c r="AL92" i="39"/>
  <c r="AE92" i="39"/>
  <c r="AE107" i="39"/>
  <c r="AL107" i="39"/>
  <c r="AC107" i="39"/>
  <c r="AC27" i="39"/>
  <c r="AL27" i="39"/>
  <c r="AE27" i="39"/>
  <c r="AU92" i="39"/>
  <c r="H92" i="39"/>
  <c r="P92" i="39"/>
  <c r="I92" i="39"/>
  <c r="Q92" i="39"/>
  <c r="Z92" i="39"/>
  <c r="AP92" i="39" s="1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F92" i="39"/>
  <c r="AM92" i="39" s="1"/>
  <c r="N92" i="39"/>
  <c r="G92" i="39"/>
  <c r="O92" i="39"/>
  <c r="AU300" i="39"/>
  <c r="C300" i="39"/>
  <c r="K300" i="39"/>
  <c r="AK300" i="39" s="1"/>
  <c r="D300" i="39"/>
  <c r="AJ300" i="39" s="1"/>
  <c r="L300" i="39"/>
  <c r="AQ300" i="39" s="1"/>
  <c r="E300" i="39"/>
  <c r="M300" i="39"/>
  <c r="AS300" i="39" s="1"/>
  <c r="J300" i="39"/>
  <c r="AN300" i="39" s="1"/>
  <c r="F300" i="39"/>
  <c r="AM300" i="39" s="1"/>
  <c r="N300" i="39"/>
  <c r="G300" i="39"/>
  <c r="O300" i="39"/>
  <c r="H300" i="39"/>
  <c r="P300" i="39"/>
  <c r="B300" i="39"/>
  <c r="AF300" i="39" s="1"/>
  <c r="I300" i="39"/>
  <c r="Z300" i="39" s="1"/>
  <c r="AP300" i="39" s="1"/>
  <c r="Q300" i="39"/>
  <c r="AC296" i="39"/>
  <c r="AL296" i="39"/>
  <c r="AE296" i="39"/>
  <c r="AE195" i="39"/>
  <c r="AC195" i="39"/>
  <c r="AL195" i="39"/>
  <c r="AU289" i="39"/>
  <c r="F289" i="39"/>
  <c r="AM289" i="39" s="1"/>
  <c r="N289" i="39"/>
  <c r="E289" i="39"/>
  <c r="G289" i="39"/>
  <c r="O289" i="39"/>
  <c r="H289" i="39"/>
  <c r="P289" i="39"/>
  <c r="I289" i="39"/>
  <c r="Z289" i="39" s="1"/>
  <c r="AP289" i="39" s="1"/>
  <c r="Q289" i="39"/>
  <c r="B289" i="39"/>
  <c r="AF289" i="39" s="1"/>
  <c r="J289" i="39"/>
  <c r="AN289" i="39" s="1"/>
  <c r="C289" i="39"/>
  <c r="K289" i="39"/>
  <c r="AK289" i="39" s="1"/>
  <c r="D289" i="39"/>
  <c r="AJ289" i="39" s="1"/>
  <c r="L289" i="39"/>
  <c r="AQ289" i="39" s="1"/>
  <c r="M289" i="39"/>
  <c r="AS289" i="39" s="1"/>
  <c r="AE247" i="39"/>
  <c r="AL247" i="39"/>
  <c r="AC247" i="39"/>
  <c r="AC251" i="39"/>
  <c r="AL251" i="39"/>
  <c r="AE251" i="39"/>
  <c r="AC278" i="39"/>
  <c r="AL278" i="39"/>
  <c r="AE278" i="39"/>
  <c r="AU256" i="39"/>
  <c r="G256" i="39"/>
  <c r="O256" i="39"/>
  <c r="H256" i="39"/>
  <c r="P256" i="39"/>
  <c r="F256" i="39"/>
  <c r="AM256" i="39" s="1"/>
  <c r="I256" i="39"/>
  <c r="Q256" i="39"/>
  <c r="Z256" i="39"/>
  <c r="AP256" i="39" s="1"/>
  <c r="N256" i="39"/>
  <c r="B256" i="39"/>
  <c r="AF256" i="39" s="1"/>
  <c r="J256" i="39"/>
  <c r="AN256" i="39" s="1"/>
  <c r="C256" i="39"/>
  <c r="K256" i="39"/>
  <c r="AK256" i="39" s="1"/>
  <c r="D256" i="39"/>
  <c r="AJ256" i="39" s="1"/>
  <c r="L256" i="39"/>
  <c r="AQ256" i="39" s="1"/>
  <c r="E256" i="39"/>
  <c r="M256" i="39"/>
  <c r="AS256" i="39" s="1"/>
  <c r="AU239" i="39"/>
  <c r="E239" i="39"/>
  <c r="M239" i="39"/>
  <c r="AS239" i="39" s="1"/>
  <c r="H239" i="39"/>
  <c r="P239" i="39"/>
  <c r="B239" i="39"/>
  <c r="AF239" i="39" s="1"/>
  <c r="J239" i="39"/>
  <c r="AN239" i="39" s="1"/>
  <c r="C239" i="39"/>
  <c r="O239" i="39"/>
  <c r="Z239" i="39"/>
  <c r="AP239" i="39" s="1"/>
  <c r="D239" i="39"/>
  <c r="AJ239" i="39" s="1"/>
  <c r="Q239" i="39"/>
  <c r="F239" i="39"/>
  <c r="AM239" i="39" s="1"/>
  <c r="G239" i="39"/>
  <c r="I239" i="39"/>
  <c r="K239" i="39"/>
  <c r="AK239" i="39" s="1"/>
  <c r="N239" i="39"/>
  <c r="L239" i="39"/>
  <c r="AQ239" i="39" s="1"/>
  <c r="AE277" i="39"/>
  <c r="AL277" i="39"/>
  <c r="AC277" i="39"/>
  <c r="AU255" i="39"/>
  <c r="H255" i="39"/>
  <c r="P255" i="39"/>
  <c r="I255" i="39"/>
  <c r="Q255" i="39"/>
  <c r="Z255" i="39"/>
  <c r="AP255" i="39" s="1"/>
  <c r="B255" i="39"/>
  <c r="AF255" i="39" s="1"/>
  <c r="J255" i="39"/>
  <c r="AN255" i="39" s="1"/>
  <c r="C255" i="39"/>
  <c r="K255" i="39"/>
  <c r="AK255" i="39" s="1"/>
  <c r="O255" i="39"/>
  <c r="D255" i="39"/>
  <c r="AJ255" i="39" s="1"/>
  <c r="L255" i="39"/>
  <c r="AQ255" i="39" s="1"/>
  <c r="E255" i="39"/>
  <c r="M255" i="39"/>
  <c r="AS255" i="39" s="1"/>
  <c r="G255" i="39"/>
  <c r="F255" i="39"/>
  <c r="AM255" i="39" s="1"/>
  <c r="N255" i="39"/>
  <c r="AU302" i="39"/>
  <c r="I302" i="39"/>
  <c r="Q302" i="39"/>
  <c r="B302" i="39"/>
  <c r="AF302" i="39" s="1"/>
  <c r="J302" i="39"/>
  <c r="AN302" i="39" s="1"/>
  <c r="C302" i="39"/>
  <c r="K302" i="39"/>
  <c r="AK302" i="39" s="1"/>
  <c r="P302" i="39"/>
  <c r="D302" i="39"/>
  <c r="AJ302" i="39" s="1"/>
  <c r="L302" i="39"/>
  <c r="AQ302" i="39" s="1"/>
  <c r="E302" i="39"/>
  <c r="M302" i="39"/>
  <c r="AS302" i="39" s="1"/>
  <c r="F302" i="39"/>
  <c r="AM302" i="39" s="1"/>
  <c r="N302" i="39"/>
  <c r="H302" i="39"/>
  <c r="G302" i="39"/>
  <c r="O302" i="39"/>
  <c r="AE260" i="39"/>
  <c r="AC260" i="39"/>
  <c r="AL260" i="39"/>
  <c r="AU205" i="39"/>
  <c r="B205" i="39"/>
  <c r="AF205" i="39" s="1"/>
  <c r="J205" i="39"/>
  <c r="AN205" i="39" s="1"/>
  <c r="C205" i="39"/>
  <c r="K205" i="39"/>
  <c r="AK205" i="39" s="1"/>
  <c r="D205" i="39"/>
  <c r="AJ205" i="39" s="1"/>
  <c r="L205" i="39"/>
  <c r="AQ205" i="39" s="1"/>
  <c r="E205" i="39"/>
  <c r="M205" i="39"/>
  <c r="AS205" i="39" s="1"/>
  <c r="F205" i="39"/>
  <c r="AM205" i="39" s="1"/>
  <c r="N205" i="39"/>
  <c r="G205" i="39"/>
  <c r="O205" i="39"/>
  <c r="H205" i="39"/>
  <c r="I205" i="39"/>
  <c r="Z205" i="39" s="1"/>
  <c r="AP205" i="39" s="1"/>
  <c r="P205" i="39"/>
  <c r="Q205" i="39"/>
  <c r="AU127" i="39"/>
  <c r="E127" i="39"/>
  <c r="M127" i="39"/>
  <c r="AS127" i="39" s="1"/>
  <c r="F127" i="39"/>
  <c r="AM127" i="39" s="1"/>
  <c r="N127" i="39"/>
  <c r="G127" i="39"/>
  <c r="O127" i="39"/>
  <c r="H127" i="39"/>
  <c r="P127" i="39"/>
  <c r="C127" i="39"/>
  <c r="K127" i="39"/>
  <c r="AK127" i="39" s="1"/>
  <c r="B127" i="39"/>
  <c r="AF127" i="39" s="1"/>
  <c r="Z127" i="39"/>
  <c r="AP127" i="39" s="1"/>
  <c r="D127" i="39"/>
  <c r="AJ127" i="39" s="1"/>
  <c r="I127" i="39"/>
  <c r="J127" i="39"/>
  <c r="AN127" i="39" s="1"/>
  <c r="L127" i="39"/>
  <c r="AQ127" i="39" s="1"/>
  <c r="Q127" i="39"/>
  <c r="AE232" i="39"/>
  <c r="AC232" i="39"/>
  <c r="AL232" i="39"/>
  <c r="AC162" i="39"/>
  <c r="AL162" i="39"/>
  <c r="AE162" i="39"/>
  <c r="AU156" i="39"/>
  <c r="C156" i="39"/>
  <c r="K156" i="39"/>
  <c r="AK156" i="39" s="1"/>
  <c r="D156" i="39"/>
  <c r="AJ156" i="39" s="1"/>
  <c r="L156" i="39"/>
  <c r="AQ156" i="39" s="1"/>
  <c r="E156" i="39"/>
  <c r="M156" i="39"/>
  <c r="AS156" i="39" s="1"/>
  <c r="F156" i="39"/>
  <c r="AM156" i="39" s="1"/>
  <c r="N156" i="39"/>
  <c r="G156" i="39"/>
  <c r="O156" i="39"/>
  <c r="H156" i="39"/>
  <c r="P156" i="39"/>
  <c r="Q156" i="39"/>
  <c r="Z156" i="39"/>
  <c r="AP156" i="39" s="1"/>
  <c r="I156" i="39"/>
  <c r="J156" i="39"/>
  <c r="AN156" i="39" s="1"/>
  <c r="B156" i="39"/>
  <c r="AF156" i="39" s="1"/>
  <c r="AE187" i="39"/>
  <c r="AC187" i="39"/>
  <c r="AL187" i="39"/>
  <c r="AC210" i="39"/>
  <c r="AL210" i="39"/>
  <c r="AE210" i="39"/>
  <c r="AU138" i="39"/>
  <c r="B138" i="39"/>
  <c r="AF138" i="39" s="1"/>
  <c r="J138" i="39"/>
  <c r="AN138" i="39" s="1"/>
  <c r="C138" i="39"/>
  <c r="K138" i="39"/>
  <c r="AK138" i="39" s="1"/>
  <c r="D138" i="39"/>
  <c r="AJ138" i="39" s="1"/>
  <c r="L138" i="39"/>
  <c r="AQ138" i="39" s="1"/>
  <c r="E138" i="39"/>
  <c r="M138" i="39"/>
  <c r="AS138" i="39" s="1"/>
  <c r="H138" i="39"/>
  <c r="P138" i="39"/>
  <c r="F138" i="39"/>
  <c r="AM138" i="39" s="1"/>
  <c r="Z138" i="39"/>
  <c r="AP138" i="39" s="1"/>
  <c r="G138" i="39"/>
  <c r="I138" i="39"/>
  <c r="N138" i="39"/>
  <c r="O138" i="39"/>
  <c r="Q138" i="39"/>
  <c r="AU172" i="39"/>
  <c r="C172" i="39"/>
  <c r="K172" i="39"/>
  <c r="AK172" i="39" s="1"/>
  <c r="D172" i="39"/>
  <c r="AJ172" i="39" s="1"/>
  <c r="L172" i="39"/>
  <c r="AQ172" i="39" s="1"/>
  <c r="E172" i="39"/>
  <c r="M172" i="39"/>
  <c r="AS172" i="39" s="1"/>
  <c r="F172" i="39"/>
  <c r="AM172" i="39" s="1"/>
  <c r="N172" i="39"/>
  <c r="G172" i="39"/>
  <c r="O172" i="39"/>
  <c r="H172" i="39"/>
  <c r="P172" i="39"/>
  <c r="B172" i="39"/>
  <c r="AF172" i="39" s="1"/>
  <c r="I172" i="39"/>
  <c r="J172" i="39"/>
  <c r="AN172" i="39" s="1"/>
  <c r="Q172" i="39"/>
  <c r="Z172" i="39"/>
  <c r="AP172" i="39" s="1"/>
  <c r="AC201" i="39"/>
  <c r="AL201" i="39"/>
  <c r="AE201" i="39"/>
  <c r="AU179" i="39"/>
  <c r="D179" i="39"/>
  <c r="AJ179" i="39" s="1"/>
  <c r="L179" i="39"/>
  <c r="AQ179" i="39" s="1"/>
  <c r="E179" i="39"/>
  <c r="M179" i="39"/>
  <c r="AS179" i="39" s="1"/>
  <c r="F179" i="39"/>
  <c r="AM179" i="39" s="1"/>
  <c r="N179" i="39"/>
  <c r="G179" i="39"/>
  <c r="O179" i="39"/>
  <c r="H179" i="39"/>
  <c r="P179" i="39"/>
  <c r="I179" i="39"/>
  <c r="Q179" i="39"/>
  <c r="B179" i="39"/>
  <c r="AF179" i="39" s="1"/>
  <c r="J179" i="39"/>
  <c r="AN179" i="39" s="1"/>
  <c r="K179" i="39"/>
  <c r="AK179" i="39" s="1"/>
  <c r="C179" i="39"/>
  <c r="AU143" i="39"/>
  <c r="E143" i="39"/>
  <c r="M143" i="39"/>
  <c r="AS143" i="39" s="1"/>
  <c r="F143" i="39"/>
  <c r="AM143" i="39" s="1"/>
  <c r="N143" i="39"/>
  <c r="G143" i="39"/>
  <c r="O143" i="39"/>
  <c r="H143" i="39"/>
  <c r="P143" i="39"/>
  <c r="C143" i="39"/>
  <c r="K143" i="39"/>
  <c r="AK143" i="39" s="1"/>
  <c r="I143" i="39"/>
  <c r="J143" i="39"/>
  <c r="AN143" i="39" s="1"/>
  <c r="L143" i="39"/>
  <c r="AQ143" i="39" s="1"/>
  <c r="Q143" i="39"/>
  <c r="B143" i="39"/>
  <c r="AF143" i="39" s="1"/>
  <c r="Z143" i="39"/>
  <c r="AP143" i="39" s="1"/>
  <c r="D143" i="39"/>
  <c r="AJ143" i="39" s="1"/>
  <c r="AC192" i="39"/>
  <c r="AL192" i="39"/>
  <c r="AE192" i="39"/>
  <c r="AU170" i="39"/>
  <c r="E170" i="39"/>
  <c r="M170" i="39"/>
  <c r="AS170" i="39" s="1"/>
  <c r="F170" i="39"/>
  <c r="AM170" i="39" s="1"/>
  <c r="N170" i="39"/>
  <c r="G170" i="39"/>
  <c r="O170" i="39"/>
  <c r="H170" i="39"/>
  <c r="P170" i="39"/>
  <c r="I170" i="39"/>
  <c r="Q170" i="39"/>
  <c r="Z170" i="39"/>
  <c r="AP170" i="39" s="1"/>
  <c r="B170" i="39"/>
  <c r="AF170" i="39" s="1"/>
  <c r="J170" i="39"/>
  <c r="AN170" i="39" s="1"/>
  <c r="C170" i="39"/>
  <c r="K170" i="39"/>
  <c r="AK170" i="39" s="1"/>
  <c r="L170" i="39"/>
  <c r="AQ170" i="39" s="1"/>
  <c r="D170" i="39"/>
  <c r="AJ170" i="39" s="1"/>
  <c r="AU119" i="39"/>
  <c r="E119" i="39"/>
  <c r="M119" i="39"/>
  <c r="AS119" i="39" s="1"/>
  <c r="F119" i="39"/>
  <c r="AM119" i="39" s="1"/>
  <c r="N119" i="39"/>
  <c r="G119" i="39"/>
  <c r="O119" i="39"/>
  <c r="H119" i="39"/>
  <c r="P119" i="39"/>
  <c r="C119" i="39"/>
  <c r="K119" i="39"/>
  <c r="AK119" i="39" s="1"/>
  <c r="J119" i="39"/>
  <c r="AN119" i="39" s="1"/>
  <c r="L119" i="39"/>
  <c r="AQ119" i="39" s="1"/>
  <c r="Q119" i="39"/>
  <c r="B119" i="39"/>
  <c r="AF119" i="39" s="1"/>
  <c r="Z119" i="39"/>
  <c r="AP119" i="39" s="1"/>
  <c r="D119" i="39"/>
  <c r="AJ119" i="39" s="1"/>
  <c r="I119" i="39"/>
  <c r="AC215" i="39"/>
  <c r="AL215" i="39"/>
  <c r="AE215" i="39"/>
  <c r="AU193" i="39"/>
  <c r="F193" i="39"/>
  <c r="AM193" i="39" s="1"/>
  <c r="N193" i="39"/>
  <c r="G193" i="39"/>
  <c r="O193" i="39"/>
  <c r="H193" i="39"/>
  <c r="P193" i="39"/>
  <c r="I193" i="39"/>
  <c r="Q193" i="39"/>
  <c r="Z193" i="39"/>
  <c r="AP193" i="39" s="1"/>
  <c r="B193" i="39"/>
  <c r="AF193" i="39" s="1"/>
  <c r="J193" i="39"/>
  <c r="AN193" i="39" s="1"/>
  <c r="C193" i="39"/>
  <c r="K193" i="39"/>
  <c r="AK193" i="39" s="1"/>
  <c r="D193" i="39"/>
  <c r="AJ193" i="39" s="1"/>
  <c r="L193" i="39"/>
  <c r="AQ193" i="39" s="1"/>
  <c r="M193" i="39"/>
  <c r="AS193" i="39" s="1"/>
  <c r="E193" i="39"/>
  <c r="AC151" i="39"/>
  <c r="AL151" i="39"/>
  <c r="AE151" i="39"/>
  <c r="AU224" i="39"/>
  <c r="G224" i="39"/>
  <c r="O224" i="39"/>
  <c r="H224" i="39"/>
  <c r="P224" i="39"/>
  <c r="B224" i="39"/>
  <c r="AF224" i="39" s="1"/>
  <c r="J224" i="39"/>
  <c r="AN224" i="39" s="1"/>
  <c r="C224" i="39"/>
  <c r="D224" i="39"/>
  <c r="AJ224" i="39" s="1"/>
  <c r="L224" i="39"/>
  <c r="AQ224" i="39" s="1"/>
  <c r="I224" i="39"/>
  <c r="Z224" i="39"/>
  <c r="AP224" i="39" s="1"/>
  <c r="K224" i="39"/>
  <c r="AK224" i="39" s="1"/>
  <c r="M224" i="39"/>
  <c r="AS224" i="39" s="1"/>
  <c r="N224" i="39"/>
  <c r="Q224" i="39"/>
  <c r="E224" i="39"/>
  <c r="F224" i="39"/>
  <c r="AM224" i="39" s="1"/>
  <c r="AC182" i="39"/>
  <c r="AL182" i="39"/>
  <c r="AE182" i="39"/>
  <c r="AU160" i="39"/>
  <c r="G160" i="39"/>
  <c r="O160" i="39"/>
  <c r="H160" i="39"/>
  <c r="P160" i="39"/>
  <c r="I160" i="39"/>
  <c r="Q160" i="39"/>
  <c r="Z160" i="39"/>
  <c r="AP160" i="39" s="1"/>
  <c r="B160" i="39"/>
  <c r="AF160" i="39" s="1"/>
  <c r="J160" i="39"/>
  <c r="AN160" i="39" s="1"/>
  <c r="C160" i="39"/>
  <c r="K160" i="39"/>
  <c r="AK160" i="39" s="1"/>
  <c r="D160" i="39"/>
  <c r="AJ160" i="39" s="1"/>
  <c r="L160" i="39"/>
  <c r="AQ160" i="39" s="1"/>
  <c r="M160" i="39"/>
  <c r="AS160" i="39" s="1"/>
  <c r="N160" i="39"/>
  <c r="E160" i="39"/>
  <c r="F160" i="39"/>
  <c r="AM160" i="39" s="1"/>
  <c r="AE205" i="39"/>
  <c r="AC205" i="39"/>
  <c r="AL205" i="39"/>
  <c r="AU183" i="39"/>
  <c r="H183" i="39"/>
  <c r="P183" i="39"/>
  <c r="I183" i="39"/>
  <c r="Q183" i="39"/>
  <c r="Z183" i="39"/>
  <c r="AP183" i="39" s="1"/>
  <c r="B183" i="39"/>
  <c r="AF183" i="39" s="1"/>
  <c r="J183" i="39"/>
  <c r="AN183" i="39" s="1"/>
  <c r="C183" i="39"/>
  <c r="K183" i="39"/>
  <c r="AK183" i="39" s="1"/>
  <c r="D183" i="39"/>
  <c r="AJ183" i="39" s="1"/>
  <c r="L183" i="39"/>
  <c r="AQ183" i="39" s="1"/>
  <c r="E183" i="39"/>
  <c r="M183" i="39"/>
  <c r="AS183" i="39" s="1"/>
  <c r="N183" i="39"/>
  <c r="O183" i="39"/>
  <c r="F183" i="39"/>
  <c r="AM183" i="39" s="1"/>
  <c r="G183" i="39"/>
  <c r="AE204" i="39"/>
  <c r="AC204" i="39"/>
  <c r="AL204" i="39"/>
  <c r="AU182" i="39"/>
  <c r="I182" i="39"/>
  <c r="Q182" i="39"/>
  <c r="Z182" i="39"/>
  <c r="AP182" i="39" s="1"/>
  <c r="B182" i="39"/>
  <c r="AF182" i="39" s="1"/>
  <c r="J182" i="39"/>
  <c r="AN182" i="39" s="1"/>
  <c r="C182" i="39"/>
  <c r="K182" i="39"/>
  <c r="AK182" i="39" s="1"/>
  <c r="D182" i="39"/>
  <c r="AJ182" i="39" s="1"/>
  <c r="L182" i="39"/>
  <c r="AQ182" i="39" s="1"/>
  <c r="E182" i="39"/>
  <c r="M182" i="39"/>
  <c r="AS182" i="39" s="1"/>
  <c r="F182" i="39"/>
  <c r="AM182" i="39" s="1"/>
  <c r="N182" i="39"/>
  <c r="G182" i="39"/>
  <c r="H182" i="39"/>
  <c r="O182" i="39"/>
  <c r="P182" i="39"/>
  <c r="AE117" i="39"/>
  <c r="AC117" i="39"/>
  <c r="AL117" i="39"/>
  <c r="AU137" i="39"/>
  <c r="C137" i="39"/>
  <c r="K137" i="39"/>
  <c r="AK137" i="39" s="1"/>
  <c r="D137" i="39"/>
  <c r="AJ137" i="39" s="1"/>
  <c r="L137" i="39"/>
  <c r="AQ137" i="39" s="1"/>
  <c r="E137" i="39"/>
  <c r="M137" i="39"/>
  <c r="AS137" i="39" s="1"/>
  <c r="F137" i="39"/>
  <c r="AM137" i="39" s="1"/>
  <c r="N137" i="39"/>
  <c r="I137" i="39"/>
  <c r="Q137" i="39"/>
  <c r="Z137" i="39"/>
  <c r="AP137" i="39" s="1"/>
  <c r="H137" i="39"/>
  <c r="J137" i="39"/>
  <c r="AN137" i="39" s="1"/>
  <c r="O137" i="39"/>
  <c r="P137" i="39"/>
  <c r="B137" i="39"/>
  <c r="AF137" i="39" s="1"/>
  <c r="G137" i="39"/>
  <c r="AC95" i="39"/>
  <c r="AL95" i="39"/>
  <c r="AE95" i="39"/>
  <c r="AU104" i="39"/>
  <c r="D104" i="39"/>
  <c r="AJ104" i="39" s="1"/>
  <c r="L104" i="39"/>
  <c r="AQ104" i="39" s="1"/>
  <c r="E104" i="39"/>
  <c r="M104" i="39"/>
  <c r="AS104" i="39" s="1"/>
  <c r="F104" i="39"/>
  <c r="AM104" i="39" s="1"/>
  <c r="N104" i="39"/>
  <c r="G104" i="39"/>
  <c r="O104" i="39"/>
  <c r="H104" i="39"/>
  <c r="P104" i="39"/>
  <c r="I104" i="39"/>
  <c r="Q104" i="39"/>
  <c r="Z104" i="39"/>
  <c r="AP104" i="39" s="1"/>
  <c r="B104" i="39"/>
  <c r="AF104" i="39" s="1"/>
  <c r="J104" i="39"/>
  <c r="AN104" i="39" s="1"/>
  <c r="C104" i="39"/>
  <c r="K104" i="39"/>
  <c r="AK104" i="39" s="1"/>
  <c r="AE64" i="39"/>
  <c r="AC64" i="39"/>
  <c r="AL64" i="39"/>
  <c r="AC109" i="39"/>
  <c r="AL109" i="39"/>
  <c r="AE109" i="39"/>
  <c r="AC40" i="39"/>
  <c r="AL40" i="39"/>
  <c r="AE40" i="39"/>
  <c r="AC108" i="39"/>
  <c r="AL108" i="39"/>
  <c r="AE108" i="39"/>
  <c r="AU85" i="39"/>
  <c r="C85" i="39"/>
  <c r="K85" i="39"/>
  <c r="AK85" i="39" s="1"/>
  <c r="D85" i="39"/>
  <c r="AJ85" i="39" s="1"/>
  <c r="L85" i="39"/>
  <c r="AQ85" i="39" s="1"/>
  <c r="G85" i="39"/>
  <c r="O85" i="39"/>
  <c r="H85" i="39"/>
  <c r="P85" i="39"/>
  <c r="J85" i="39"/>
  <c r="AN85" i="39" s="1"/>
  <c r="M85" i="39"/>
  <c r="AS85" i="39" s="1"/>
  <c r="N85" i="39"/>
  <c r="Q85" i="39"/>
  <c r="B85" i="39"/>
  <c r="AF85" i="39" s="1"/>
  <c r="E85" i="39"/>
  <c r="F85" i="39"/>
  <c r="AM85" i="39" s="1"/>
  <c r="I85" i="39"/>
  <c r="Z85" i="39"/>
  <c r="AP85" i="39" s="1"/>
  <c r="AC123" i="39"/>
  <c r="AL123" i="39"/>
  <c r="AE123" i="39"/>
  <c r="AU101" i="39"/>
  <c r="G101" i="39"/>
  <c r="O101" i="39"/>
  <c r="H101" i="39"/>
  <c r="P101" i="39"/>
  <c r="I101" i="39"/>
  <c r="Q101" i="39"/>
  <c r="Z101" i="39"/>
  <c r="AP101" i="39" s="1"/>
  <c r="B101" i="39"/>
  <c r="AF101" i="39" s="1"/>
  <c r="J101" i="39"/>
  <c r="AN101" i="39" s="1"/>
  <c r="C101" i="39"/>
  <c r="K101" i="39"/>
  <c r="AK101" i="39" s="1"/>
  <c r="D101" i="39"/>
  <c r="AJ101" i="39" s="1"/>
  <c r="L101" i="39"/>
  <c r="AQ101" i="39" s="1"/>
  <c r="E101" i="39"/>
  <c r="M101" i="39"/>
  <c r="AS101" i="39" s="1"/>
  <c r="F101" i="39"/>
  <c r="AM101" i="39" s="1"/>
  <c r="N101" i="39"/>
  <c r="AE130" i="39"/>
  <c r="AC130" i="39"/>
  <c r="AL130" i="39"/>
  <c r="AU108" i="39"/>
  <c r="H108" i="39"/>
  <c r="P108" i="39"/>
  <c r="I108" i="39"/>
  <c r="Q108" i="39"/>
  <c r="Z108" i="39"/>
  <c r="AP108" i="39" s="1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O108" i="39"/>
  <c r="G108" i="39"/>
  <c r="AU37" i="39"/>
  <c r="C37" i="39"/>
  <c r="K37" i="39"/>
  <c r="AK37" i="39" s="1"/>
  <c r="D37" i="39"/>
  <c r="AJ37" i="39" s="1"/>
  <c r="L37" i="39"/>
  <c r="AQ37" i="39" s="1"/>
  <c r="E37" i="39"/>
  <c r="M37" i="39"/>
  <c r="AS37" i="39" s="1"/>
  <c r="G37" i="39"/>
  <c r="O37" i="39"/>
  <c r="H37" i="39"/>
  <c r="P37" i="39"/>
  <c r="B37" i="39"/>
  <c r="AF37" i="39" s="1"/>
  <c r="F37" i="39"/>
  <c r="AM37" i="39" s="1"/>
  <c r="I37" i="39"/>
  <c r="Z37" i="39" s="1"/>
  <c r="AP37" i="39" s="1"/>
  <c r="J37" i="39"/>
  <c r="AN37" i="39" s="1"/>
  <c r="N37" i="39"/>
  <c r="Q37" i="39"/>
  <c r="AE137" i="39"/>
  <c r="AC137" i="39"/>
  <c r="AL137" i="39"/>
  <c r="AU115" i="39"/>
  <c r="I115" i="39"/>
  <c r="Q115" i="39"/>
  <c r="Z115" i="39"/>
  <c r="AP115" i="39" s="1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G115" i="39"/>
  <c r="O115" i="39"/>
  <c r="E115" i="39"/>
  <c r="F115" i="39"/>
  <c r="AM115" i="39" s="1"/>
  <c r="H115" i="39"/>
  <c r="M115" i="39"/>
  <c r="AS115" i="39" s="1"/>
  <c r="N115" i="39"/>
  <c r="P115" i="39"/>
  <c r="AE60" i="39"/>
  <c r="AL60" i="39"/>
  <c r="AC60" i="39"/>
  <c r="AC58" i="39"/>
  <c r="AL58" i="39"/>
  <c r="AE58" i="39"/>
  <c r="AU36" i="39"/>
  <c r="D36" i="39"/>
  <c r="AJ36" i="39" s="1"/>
  <c r="L36" i="39"/>
  <c r="AQ36" i="39" s="1"/>
  <c r="E36" i="39"/>
  <c r="M36" i="39"/>
  <c r="AS36" i="39" s="1"/>
  <c r="F36" i="39"/>
  <c r="AM36" i="39" s="1"/>
  <c r="N36" i="39"/>
  <c r="H36" i="39"/>
  <c r="P36" i="39"/>
  <c r="I36" i="39"/>
  <c r="Z36" i="39" s="1"/>
  <c r="AP36" i="39" s="1"/>
  <c r="Q36" i="39"/>
  <c r="B36" i="39"/>
  <c r="AF36" i="39" s="1"/>
  <c r="C36" i="39"/>
  <c r="G36" i="39"/>
  <c r="J36" i="39"/>
  <c r="AN36" i="39" s="1"/>
  <c r="K36" i="39"/>
  <c r="AK36" i="39" s="1"/>
  <c r="O36" i="39"/>
  <c r="AU18" i="39"/>
  <c r="C18" i="39"/>
  <c r="H18" i="39"/>
  <c r="D18" i="39"/>
  <c r="AJ18" i="39" s="1"/>
  <c r="M18" i="39"/>
  <c r="AS18" i="39" s="1"/>
  <c r="E18" i="39"/>
  <c r="N18" i="39"/>
  <c r="F18" i="39"/>
  <c r="AM18" i="39" s="1"/>
  <c r="O18" i="39"/>
  <c r="G18" i="39"/>
  <c r="P18" i="39"/>
  <c r="I18" i="39"/>
  <c r="Z18" i="39" s="1"/>
  <c r="AP18" i="39" s="1"/>
  <c r="Q18" i="39"/>
  <c r="J18" i="39"/>
  <c r="AN18" i="39" s="1"/>
  <c r="K18" i="39"/>
  <c r="AK18" i="39" s="1"/>
  <c r="B18" i="39"/>
  <c r="AF18" i="39" s="1"/>
  <c r="L18" i="39"/>
  <c r="AQ18" i="39" s="1"/>
  <c r="AC57" i="39"/>
  <c r="AL57" i="39"/>
  <c r="AE57" i="39"/>
  <c r="AU35" i="39"/>
  <c r="E35" i="39"/>
  <c r="M35" i="39"/>
  <c r="AS35" i="39" s="1"/>
  <c r="F35" i="39"/>
  <c r="AM35" i="39" s="1"/>
  <c r="N35" i="39"/>
  <c r="G35" i="39"/>
  <c r="O35" i="39"/>
  <c r="I35" i="39"/>
  <c r="Z35" i="39" s="1"/>
  <c r="AP35" i="39" s="1"/>
  <c r="Q35" i="39"/>
  <c r="B35" i="39"/>
  <c r="AF35" i="39" s="1"/>
  <c r="J35" i="39"/>
  <c r="AN35" i="39" s="1"/>
  <c r="D35" i="39"/>
  <c r="AJ35" i="39" s="1"/>
  <c r="H35" i="39"/>
  <c r="K35" i="39"/>
  <c r="AK35" i="39" s="1"/>
  <c r="L35" i="39"/>
  <c r="AQ35" i="39" s="1"/>
  <c r="P35" i="39"/>
  <c r="C35" i="39"/>
  <c r="AE9" i="39"/>
  <c r="AL9" i="39"/>
  <c r="AC9" i="39"/>
  <c r="AE39" i="39"/>
  <c r="AC39" i="39"/>
  <c r="AL39" i="39"/>
  <c r="AC8" i="39"/>
  <c r="AL8" i="39"/>
  <c r="AE8" i="39"/>
  <c r="AU72" i="39"/>
  <c r="H72" i="39"/>
  <c r="P72" i="39"/>
  <c r="I72" i="39"/>
  <c r="Z72" i="39" s="1"/>
  <c r="AP72" i="39" s="1"/>
  <c r="Q72" i="39"/>
  <c r="B72" i="39"/>
  <c r="AF72" i="39" s="1"/>
  <c r="J72" i="39"/>
  <c r="AN72" i="39" s="1"/>
  <c r="D72" i="39"/>
  <c r="AJ72" i="39" s="1"/>
  <c r="L72" i="39"/>
  <c r="AQ72" i="39" s="1"/>
  <c r="E72" i="39"/>
  <c r="M72" i="39"/>
  <c r="AS72" i="39" s="1"/>
  <c r="C72" i="39"/>
  <c r="F72" i="39"/>
  <c r="AM72" i="39" s="1"/>
  <c r="G72" i="39"/>
  <c r="K72" i="39"/>
  <c r="AK72" i="39" s="1"/>
  <c r="N72" i="39"/>
  <c r="O72" i="39"/>
  <c r="AE30" i="39"/>
  <c r="AL30" i="39"/>
  <c r="AC30" i="39"/>
  <c r="AU87" i="39"/>
  <c r="I87" i="39"/>
  <c r="Q87" i="39"/>
  <c r="Z87" i="39"/>
  <c r="AP87" i="39" s="1"/>
  <c r="B87" i="39"/>
  <c r="AF87" i="39" s="1"/>
  <c r="J87" i="39"/>
  <c r="AN87" i="39" s="1"/>
  <c r="E87" i="39"/>
  <c r="M87" i="39"/>
  <c r="AS87" i="39" s="1"/>
  <c r="F87" i="39"/>
  <c r="AM87" i="39" s="1"/>
  <c r="H87" i="39"/>
  <c r="K87" i="39"/>
  <c r="AK87" i="39" s="1"/>
  <c r="L87" i="39"/>
  <c r="AQ87" i="39" s="1"/>
  <c r="N87" i="39"/>
  <c r="O87" i="39"/>
  <c r="C87" i="39"/>
  <c r="P87" i="39"/>
  <c r="D87" i="39"/>
  <c r="AJ87" i="39" s="1"/>
  <c r="G87" i="39"/>
  <c r="AC45" i="39"/>
  <c r="AL45" i="39"/>
  <c r="AE45" i="39"/>
  <c r="AU23" i="39"/>
  <c r="H23" i="39"/>
  <c r="P23" i="39"/>
  <c r="I23" i="39"/>
  <c r="AP23" i="39" s="1"/>
  <c r="Q23" i="39"/>
  <c r="B23" i="39"/>
  <c r="AF23" i="39" s="1"/>
  <c r="J23" i="39"/>
  <c r="AN23" i="39" s="1"/>
  <c r="C23" i="39"/>
  <c r="K23" i="39"/>
  <c r="AK23" i="39" s="1"/>
  <c r="D23" i="39"/>
  <c r="AJ23" i="39" s="1"/>
  <c r="L23" i="39"/>
  <c r="AQ23" i="39" s="1"/>
  <c r="E23" i="39"/>
  <c r="M23" i="39"/>
  <c r="AS23" i="39" s="1"/>
  <c r="F23" i="39"/>
  <c r="AM23" i="39" s="1"/>
  <c r="N23" i="39"/>
  <c r="G23" i="39"/>
  <c r="O23" i="39"/>
  <c r="AE20" i="39"/>
  <c r="AC20" i="39"/>
  <c r="AL20" i="39"/>
  <c r="AU16" i="39"/>
  <c r="E16" i="39"/>
  <c r="M16" i="39"/>
  <c r="AS16" i="39" s="1"/>
  <c r="F16" i="39"/>
  <c r="AM16" i="39" s="1"/>
  <c r="N16" i="39"/>
  <c r="I16" i="39"/>
  <c r="Z16" i="39" s="1"/>
  <c r="AP16" i="39" s="1"/>
  <c r="Q16" i="39"/>
  <c r="B16" i="39"/>
  <c r="AF16" i="39" s="1"/>
  <c r="J16" i="39"/>
  <c r="AN16" i="39" s="1"/>
  <c r="P16" i="39"/>
  <c r="C16" i="39"/>
  <c r="D16" i="39"/>
  <c r="AJ16" i="39" s="1"/>
  <c r="G16" i="39"/>
  <c r="H16" i="39"/>
  <c r="K16" i="39"/>
  <c r="AK16" i="39" s="1"/>
  <c r="L16" i="39"/>
  <c r="AQ16" i="39" s="1"/>
  <c r="O16" i="39"/>
  <c r="AC3" i="39"/>
  <c r="AL3" i="39"/>
  <c r="AE3" i="39"/>
  <c r="AC308" i="39"/>
  <c r="AL308" i="39"/>
  <c r="AE308" i="39"/>
  <c r="AU244" i="39"/>
  <c r="H244" i="39"/>
  <c r="P244" i="39"/>
  <c r="J244" i="39"/>
  <c r="AN244" i="39" s="1"/>
  <c r="I244" i="39"/>
  <c r="B244" i="39"/>
  <c r="AF244" i="39" s="1"/>
  <c r="K244" i="39"/>
  <c r="AK244" i="39" s="1"/>
  <c r="C244" i="39"/>
  <c r="L244" i="39"/>
  <c r="AQ244" i="39" s="1"/>
  <c r="D244" i="39"/>
  <c r="AJ244" i="39" s="1"/>
  <c r="M244" i="39"/>
  <c r="AS244" i="39" s="1"/>
  <c r="E244" i="39"/>
  <c r="N244" i="39"/>
  <c r="F244" i="39"/>
  <c r="AM244" i="39" s="1"/>
  <c r="O244" i="39"/>
  <c r="Z244" i="39"/>
  <c r="AP244" i="39" s="1"/>
  <c r="G244" i="39"/>
  <c r="Q244" i="39"/>
  <c r="AC233" i="39"/>
  <c r="AL233" i="39"/>
  <c r="AE233" i="39"/>
  <c r="AU10" i="39"/>
  <c r="C10" i="39"/>
  <c r="K10" i="39"/>
  <c r="AK10" i="39" s="1"/>
  <c r="D10" i="39"/>
  <c r="AJ10" i="39" s="1"/>
  <c r="L10" i="39"/>
  <c r="AQ10" i="39" s="1"/>
  <c r="E10" i="39"/>
  <c r="M10" i="39"/>
  <c r="AS10" i="39" s="1"/>
  <c r="G10" i="39"/>
  <c r="O10" i="39"/>
  <c r="H10" i="39"/>
  <c r="P10" i="39"/>
  <c r="B10" i="39"/>
  <c r="AF10" i="39" s="1"/>
  <c r="F10" i="39"/>
  <c r="AM10" i="39" s="1"/>
  <c r="I10" i="39"/>
  <c r="J10" i="39"/>
  <c r="AN10" i="39" s="1"/>
  <c r="N10" i="39"/>
  <c r="Q10" i="39"/>
  <c r="AU134" i="39"/>
  <c r="F134" i="39"/>
  <c r="AM134" i="39" s="1"/>
  <c r="N134" i="39"/>
  <c r="G134" i="39"/>
  <c r="O134" i="39"/>
  <c r="H134" i="39"/>
  <c r="P134" i="39"/>
  <c r="I134" i="39"/>
  <c r="Q134" i="39"/>
  <c r="Z134" i="39"/>
  <c r="AP134" i="39" s="1"/>
  <c r="D134" i="39"/>
  <c r="AJ134" i="39" s="1"/>
  <c r="L134" i="39"/>
  <c r="AQ134" i="39" s="1"/>
  <c r="B134" i="39"/>
  <c r="AF134" i="39" s="1"/>
  <c r="C134" i="39"/>
  <c r="E134" i="39"/>
  <c r="J134" i="39"/>
  <c r="AN134" i="39" s="1"/>
  <c r="K134" i="39"/>
  <c r="AK134" i="39" s="1"/>
  <c r="M134" i="39"/>
  <c r="AS134" i="39" s="1"/>
  <c r="AU83" i="39"/>
  <c r="E83" i="39"/>
  <c r="M83" i="39"/>
  <c r="AS83" i="39" s="1"/>
  <c r="F83" i="39"/>
  <c r="AM83" i="39" s="1"/>
  <c r="N83" i="39"/>
  <c r="I83" i="39"/>
  <c r="Q83" i="39"/>
  <c r="Z83" i="39"/>
  <c r="AP83" i="39" s="1"/>
  <c r="B83" i="39"/>
  <c r="AF83" i="39" s="1"/>
  <c r="J83" i="39"/>
  <c r="AN83" i="39" s="1"/>
  <c r="L83" i="39"/>
  <c r="AQ83" i="39" s="1"/>
  <c r="O83" i="39"/>
  <c r="P83" i="39"/>
  <c r="C83" i="39"/>
  <c r="D83" i="39"/>
  <c r="AJ83" i="39" s="1"/>
  <c r="G83" i="39"/>
  <c r="H83" i="39"/>
  <c r="K83" i="39"/>
  <c r="AK83" i="39" s="1"/>
  <c r="AU259" i="39"/>
  <c r="D259" i="39"/>
  <c r="AJ259" i="39" s="1"/>
  <c r="L259" i="39"/>
  <c r="AQ259" i="39" s="1"/>
  <c r="E259" i="39"/>
  <c r="M259" i="39"/>
  <c r="AS259" i="39" s="1"/>
  <c r="C259" i="39"/>
  <c r="F259" i="39"/>
  <c r="AM259" i="39" s="1"/>
  <c r="N259" i="39"/>
  <c r="G259" i="39"/>
  <c r="O259" i="39"/>
  <c r="H259" i="39"/>
  <c r="P259" i="39"/>
  <c r="I259" i="39"/>
  <c r="Q259" i="39"/>
  <c r="Z259" i="39"/>
  <c r="AP259" i="39" s="1"/>
  <c r="K259" i="39"/>
  <c r="AK259" i="39" s="1"/>
  <c r="B259" i="39"/>
  <c r="AF259" i="39" s="1"/>
  <c r="J259" i="39"/>
  <c r="AN259" i="39" s="1"/>
  <c r="AC272" i="39"/>
  <c r="AL272" i="39"/>
  <c r="AE272" i="39"/>
  <c r="AU250" i="39"/>
  <c r="E250" i="39"/>
  <c r="M250" i="39"/>
  <c r="AS250" i="39" s="1"/>
  <c r="F250" i="39"/>
  <c r="AM250" i="39" s="1"/>
  <c r="N250" i="39"/>
  <c r="L250" i="39"/>
  <c r="AQ250" i="39" s="1"/>
  <c r="G250" i="39"/>
  <c r="O250" i="39"/>
  <c r="H250" i="39"/>
  <c r="P250" i="39"/>
  <c r="I250" i="39"/>
  <c r="Q250" i="39"/>
  <c r="Z250" i="39"/>
  <c r="AP250" i="39" s="1"/>
  <c r="D250" i="39"/>
  <c r="AJ250" i="39" s="1"/>
  <c r="B250" i="39"/>
  <c r="AF250" i="39" s="1"/>
  <c r="J250" i="39"/>
  <c r="AN250" i="39" s="1"/>
  <c r="C250" i="39"/>
  <c r="K250" i="39"/>
  <c r="AK250" i="39" s="1"/>
  <c r="AU165" i="39"/>
  <c r="B165" i="39"/>
  <c r="AF165" i="39" s="1"/>
  <c r="J165" i="39"/>
  <c r="AN165" i="39" s="1"/>
  <c r="C165" i="39"/>
  <c r="K165" i="39"/>
  <c r="AK165" i="39" s="1"/>
  <c r="D165" i="39"/>
  <c r="AJ165" i="39" s="1"/>
  <c r="L165" i="39"/>
  <c r="AQ165" i="39" s="1"/>
  <c r="E165" i="39"/>
  <c r="M165" i="39"/>
  <c r="AS165" i="39" s="1"/>
  <c r="F165" i="39"/>
  <c r="AM165" i="39" s="1"/>
  <c r="N165" i="39"/>
  <c r="G165" i="39"/>
  <c r="O165" i="39"/>
  <c r="P165" i="39"/>
  <c r="Q165" i="39"/>
  <c r="Z165" i="39"/>
  <c r="AP165" i="39" s="1"/>
  <c r="H165" i="39"/>
  <c r="I165" i="39"/>
  <c r="AC287" i="39"/>
  <c r="AL287" i="39"/>
  <c r="AE287" i="39"/>
  <c r="AU265" i="39"/>
  <c r="F265" i="39"/>
  <c r="AM265" i="39" s="1"/>
  <c r="N265" i="39"/>
  <c r="E265" i="39"/>
  <c r="G265" i="39"/>
  <c r="O265" i="39"/>
  <c r="H265" i="39"/>
  <c r="P265" i="39"/>
  <c r="I265" i="39"/>
  <c r="Q265" i="39"/>
  <c r="Z265" i="39"/>
  <c r="AP265" i="39" s="1"/>
  <c r="B265" i="39"/>
  <c r="AF265" i="39" s="1"/>
  <c r="J265" i="39"/>
  <c r="AN265" i="39" s="1"/>
  <c r="C265" i="39"/>
  <c r="K265" i="39"/>
  <c r="AK265" i="39" s="1"/>
  <c r="M265" i="39"/>
  <c r="AS265" i="39" s="1"/>
  <c r="D265" i="39"/>
  <c r="AJ265" i="39" s="1"/>
  <c r="L265" i="39"/>
  <c r="AQ265" i="39" s="1"/>
  <c r="AE224" i="39"/>
  <c r="AC224" i="39"/>
  <c r="AL224" i="39"/>
  <c r="AE318" i="39"/>
  <c r="AL318" i="39"/>
  <c r="AC318" i="39"/>
  <c r="AU296" i="39"/>
  <c r="G296" i="39"/>
  <c r="O296" i="39"/>
  <c r="H296" i="39"/>
  <c r="P296" i="39"/>
  <c r="I296" i="39"/>
  <c r="Z296" i="39" s="1"/>
  <c r="AP296" i="39" s="1"/>
  <c r="Q296" i="39"/>
  <c r="B296" i="39"/>
  <c r="AF296" i="39" s="1"/>
  <c r="J296" i="39"/>
  <c r="AN296" i="39" s="1"/>
  <c r="F296" i="39"/>
  <c r="AM296" i="39" s="1"/>
  <c r="C296" i="39"/>
  <c r="K296" i="39"/>
  <c r="AK296" i="39" s="1"/>
  <c r="N296" i="39"/>
  <c r="D296" i="39"/>
  <c r="AJ296" i="39" s="1"/>
  <c r="L296" i="39"/>
  <c r="AQ296" i="39" s="1"/>
  <c r="E296" i="39"/>
  <c r="M296" i="39"/>
  <c r="AS296" i="39" s="1"/>
  <c r="AE254" i="39"/>
  <c r="AC254" i="39"/>
  <c r="AL254" i="39"/>
  <c r="AE317" i="39"/>
  <c r="AL317" i="39"/>
  <c r="AC317" i="39"/>
  <c r="AU295" i="39"/>
  <c r="H295" i="39"/>
  <c r="P295" i="39"/>
  <c r="O295" i="39"/>
  <c r="I295" i="39"/>
  <c r="Z295" i="39" s="1"/>
  <c r="AP295" i="39" s="1"/>
  <c r="Q295" i="39"/>
  <c r="B295" i="39"/>
  <c r="AF295" i="39" s="1"/>
  <c r="J295" i="39"/>
  <c r="AN295" i="39" s="1"/>
  <c r="C295" i="39"/>
  <c r="K295" i="39"/>
  <c r="AK295" i="39" s="1"/>
  <c r="D295" i="39"/>
  <c r="AJ295" i="39" s="1"/>
  <c r="L295" i="39"/>
  <c r="AQ295" i="39" s="1"/>
  <c r="E295" i="39"/>
  <c r="M295" i="39"/>
  <c r="AS295" i="39" s="1"/>
  <c r="G295" i="39"/>
  <c r="F295" i="39"/>
  <c r="AM295" i="39" s="1"/>
  <c r="N295" i="39"/>
  <c r="AC253" i="39"/>
  <c r="AL253" i="39"/>
  <c r="AE253" i="39"/>
  <c r="AU241" i="39"/>
  <c r="C241" i="39"/>
  <c r="K241" i="39"/>
  <c r="AK241" i="39" s="1"/>
  <c r="B241" i="39"/>
  <c r="AF241" i="39" s="1"/>
  <c r="L241" i="39"/>
  <c r="AQ241" i="39" s="1"/>
  <c r="D241" i="39"/>
  <c r="AJ241" i="39" s="1"/>
  <c r="M241" i="39"/>
  <c r="AS241" i="39" s="1"/>
  <c r="E241" i="39"/>
  <c r="N241" i="39"/>
  <c r="F241" i="39"/>
  <c r="AM241" i="39" s="1"/>
  <c r="O241" i="39"/>
  <c r="G241" i="39"/>
  <c r="P241" i="39"/>
  <c r="J241" i="39"/>
  <c r="AN241" i="39" s="1"/>
  <c r="H241" i="39"/>
  <c r="Q241" i="39"/>
  <c r="I241" i="39"/>
  <c r="AC300" i="39"/>
  <c r="AL300" i="39"/>
  <c r="AE300" i="39"/>
  <c r="AU278" i="39"/>
  <c r="I278" i="39"/>
  <c r="Q278" i="39"/>
  <c r="Z278" i="39"/>
  <c r="AP278" i="39" s="1"/>
  <c r="B278" i="39"/>
  <c r="AF278" i="39" s="1"/>
  <c r="J278" i="39"/>
  <c r="AN278" i="39" s="1"/>
  <c r="P278" i="39"/>
  <c r="C278" i="39"/>
  <c r="K278" i="39"/>
  <c r="AK278" i="39" s="1"/>
  <c r="D278" i="39"/>
  <c r="AJ278" i="39" s="1"/>
  <c r="L278" i="39"/>
  <c r="AQ278" i="39" s="1"/>
  <c r="H278" i="39"/>
  <c r="E278" i="39"/>
  <c r="M278" i="39"/>
  <c r="AS278" i="39" s="1"/>
  <c r="F278" i="39"/>
  <c r="AM278" i="39" s="1"/>
  <c r="N278" i="39"/>
  <c r="G278" i="39"/>
  <c r="O278" i="39"/>
  <c r="AE203" i="39"/>
  <c r="AC203" i="39"/>
  <c r="AL203" i="39"/>
  <c r="AU228" i="39"/>
  <c r="C228" i="39"/>
  <c r="K228" i="39"/>
  <c r="AK228" i="39" s="1"/>
  <c r="D228" i="39"/>
  <c r="AJ228" i="39" s="1"/>
  <c r="L228" i="39"/>
  <c r="AQ228" i="39" s="1"/>
  <c r="F228" i="39"/>
  <c r="AM228" i="39" s="1"/>
  <c r="N228" i="39"/>
  <c r="H228" i="39"/>
  <c r="P228" i="39"/>
  <c r="E228" i="39"/>
  <c r="G228" i="39"/>
  <c r="I228" i="39"/>
  <c r="Z228" i="39" s="1"/>
  <c r="AP228" i="39" s="1"/>
  <c r="J228" i="39"/>
  <c r="AN228" i="39" s="1"/>
  <c r="M228" i="39"/>
  <c r="AS228" i="39" s="1"/>
  <c r="Q228" i="39"/>
  <c r="B228" i="39"/>
  <c r="AF228" i="39" s="1"/>
  <c r="O228" i="39"/>
  <c r="AE230" i="39"/>
  <c r="AL230" i="39"/>
  <c r="AC230" i="39"/>
  <c r="AC154" i="39"/>
  <c r="AL154" i="39"/>
  <c r="AE154" i="39"/>
  <c r="AU213" i="39"/>
  <c r="B213" i="39"/>
  <c r="AF213" i="39" s="1"/>
  <c r="J213" i="39"/>
  <c r="AN213" i="39" s="1"/>
  <c r="C213" i="39"/>
  <c r="K213" i="39"/>
  <c r="AK213" i="39" s="1"/>
  <c r="D213" i="39"/>
  <c r="AJ213" i="39" s="1"/>
  <c r="L213" i="39"/>
  <c r="AQ213" i="39" s="1"/>
  <c r="E213" i="39"/>
  <c r="M213" i="39"/>
  <c r="AS213" i="39" s="1"/>
  <c r="F213" i="39"/>
  <c r="AM213" i="39" s="1"/>
  <c r="N213" i="39"/>
  <c r="G213" i="39"/>
  <c r="O213" i="39"/>
  <c r="H213" i="39"/>
  <c r="I213" i="39"/>
  <c r="P213" i="39"/>
  <c r="Z213" i="39"/>
  <c r="AP213" i="39" s="1"/>
  <c r="Q213" i="39"/>
  <c r="AL170" i="39"/>
  <c r="AC170" i="39"/>
  <c r="AE170" i="39"/>
  <c r="AU219" i="39"/>
  <c r="D219" i="39"/>
  <c r="AJ219" i="39" s="1"/>
  <c r="L219" i="39"/>
  <c r="AQ219" i="39" s="1"/>
  <c r="E219" i="39"/>
  <c r="M219" i="39"/>
  <c r="AS219" i="39" s="1"/>
  <c r="F219" i="39"/>
  <c r="AM219" i="39" s="1"/>
  <c r="N219" i="39"/>
  <c r="G219" i="39"/>
  <c r="O219" i="39"/>
  <c r="H219" i="39"/>
  <c r="P219" i="39"/>
  <c r="I219" i="39"/>
  <c r="Q219" i="39"/>
  <c r="Z219" i="39"/>
  <c r="AP219" i="39" s="1"/>
  <c r="J219" i="39"/>
  <c r="AN219" i="39" s="1"/>
  <c r="K219" i="39"/>
  <c r="AK219" i="39" s="1"/>
  <c r="B219" i="39"/>
  <c r="AF219" i="39" s="1"/>
  <c r="C219" i="39"/>
  <c r="AC177" i="39"/>
  <c r="AL177" i="39"/>
  <c r="AE177" i="39"/>
  <c r="AU155" i="39"/>
  <c r="D155" i="39"/>
  <c r="AJ155" i="39" s="1"/>
  <c r="L155" i="39"/>
  <c r="AQ155" i="39" s="1"/>
  <c r="E155" i="39"/>
  <c r="M155" i="39"/>
  <c r="AS155" i="39" s="1"/>
  <c r="F155" i="39"/>
  <c r="AM155" i="39" s="1"/>
  <c r="N155" i="39"/>
  <c r="G155" i="39"/>
  <c r="O155" i="39"/>
  <c r="H155" i="39"/>
  <c r="P155" i="39"/>
  <c r="I155" i="39"/>
  <c r="Z155" i="39" s="1"/>
  <c r="AP155" i="39" s="1"/>
  <c r="Q155" i="39"/>
  <c r="J155" i="39"/>
  <c r="AN155" i="39" s="1"/>
  <c r="K155" i="39"/>
  <c r="AK155" i="39" s="1"/>
  <c r="B155" i="39"/>
  <c r="AF155" i="39" s="1"/>
  <c r="C155" i="39"/>
  <c r="AU210" i="39"/>
  <c r="E210" i="39"/>
  <c r="M210" i="39"/>
  <c r="AS210" i="39" s="1"/>
  <c r="F210" i="39"/>
  <c r="AM210" i="39" s="1"/>
  <c r="N210" i="39"/>
  <c r="G210" i="39"/>
  <c r="O210" i="39"/>
  <c r="H210" i="39"/>
  <c r="P210" i="39"/>
  <c r="I210" i="39"/>
  <c r="Z210" i="39" s="1"/>
  <c r="AP210" i="39" s="1"/>
  <c r="Q210" i="39"/>
  <c r="B210" i="39"/>
  <c r="AF210" i="39" s="1"/>
  <c r="J210" i="39"/>
  <c r="AN210" i="39" s="1"/>
  <c r="K210" i="39"/>
  <c r="AK210" i="39" s="1"/>
  <c r="L210" i="39"/>
  <c r="AQ210" i="39" s="1"/>
  <c r="C210" i="39"/>
  <c r="D210" i="39"/>
  <c r="AJ210" i="39" s="1"/>
  <c r="AC168" i="39"/>
  <c r="AL168" i="39"/>
  <c r="AE168" i="39"/>
  <c r="AE149" i="39"/>
  <c r="AC149" i="39"/>
  <c r="AL149" i="39"/>
  <c r="AC104" i="39"/>
  <c r="AL104" i="39"/>
  <c r="AE104" i="39"/>
  <c r="AC191" i="39"/>
  <c r="AL191" i="39"/>
  <c r="AE191" i="39"/>
  <c r="AU169" i="39"/>
  <c r="F169" i="39"/>
  <c r="AM169" i="39" s="1"/>
  <c r="N169" i="39"/>
  <c r="G169" i="39"/>
  <c r="O169" i="39"/>
  <c r="H169" i="39"/>
  <c r="P169" i="39"/>
  <c r="I169" i="39"/>
  <c r="Q169" i="39"/>
  <c r="Z169" i="39"/>
  <c r="AP169" i="39" s="1"/>
  <c r="B169" i="39"/>
  <c r="AF169" i="39" s="1"/>
  <c r="J169" i="39"/>
  <c r="AN169" i="39" s="1"/>
  <c r="C169" i="39"/>
  <c r="K169" i="39"/>
  <c r="AK169" i="39" s="1"/>
  <c r="L169" i="39"/>
  <c r="AQ169" i="39" s="1"/>
  <c r="M169" i="39"/>
  <c r="AS169" i="39" s="1"/>
  <c r="D169" i="39"/>
  <c r="AJ169" i="39" s="1"/>
  <c r="E169" i="39"/>
  <c r="AE222" i="39"/>
  <c r="AL222" i="39"/>
  <c r="AC222" i="39"/>
  <c r="AU200" i="39"/>
  <c r="G200" i="39"/>
  <c r="O200" i="39"/>
  <c r="H200" i="39"/>
  <c r="P200" i="39"/>
  <c r="I200" i="39"/>
  <c r="Q200" i="39"/>
  <c r="Z200" i="39"/>
  <c r="AP200" i="39" s="1"/>
  <c r="B200" i="39"/>
  <c r="AF200" i="39" s="1"/>
  <c r="J200" i="39"/>
  <c r="AN200" i="39" s="1"/>
  <c r="C200" i="39"/>
  <c r="K200" i="39"/>
  <c r="AK200" i="39" s="1"/>
  <c r="D200" i="39"/>
  <c r="AJ200" i="39" s="1"/>
  <c r="L200" i="39"/>
  <c r="AQ200" i="39" s="1"/>
  <c r="E200" i="39"/>
  <c r="F200" i="39"/>
  <c r="AM200" i="39" s="1"/>
  <c r="M200" i="39"/>
  <c r="AS200" i="39" s="1"/>
  <c r="N200" i="39"/>
  <c r="AE158" i="39"/>
  <c r="AC158" i="39"/>
  <c r="AL158" i="39"/>
  <c r="AU135" i="39"/>
  <c r="E135" i="39"/>
  <c r="M135" i="39"/>
  <c r="AS135" i="39" s="1"/>
  <c r="F135" i="39"/>
  <c r="AM135" i="39" s="1"/>
  <c r="N135" i="39"/>
  <c r="G135" i="39"/>
  <c r="O135" i="39"/>
  <c r="H135" i="39"/>
  <c r="P135" i="39"/>
  <c r="C135" i="39"/>
  <c r="K135" i="39"/>
  <c r="AK135" i="39" s="1"/>
  <c r="Q135" i="39"/>
  <c r="B135" i="39"/>
  <c r="AF135" i="39" s="1"/>
  <c r="Z135" i="39"/>
  <c r="AP135" i="39" s="1"/>
  <c r="D135" i="39"/>
  <c r="AJ135" i="39" s="1"/>
  <c r="I135" i="39"/>
  <c r="J135" i="39"/>
  <c r="AN135" i="39" s="1"/>
  <c r="L135" i="39"/>
  <c r="AQ135" i="39" s="1"/>
  <c r="AU223" i="39"/>
  <c r="H223" i="39"/>
  <c r="P223" i="39"/>
  <c r="I223" i="39"/>
  <c r="Q223" i="39"/>
  <c r="Z223" i="39"/>
  <c r="AP223" i="39" s="1"/>
  <c r="B223" i="39"/>
  <c r="AF223" i="39" s="1"/>
  <c r="J223" i="39"/>
  <c r="AN223" i="39" s="1"/>
  <c r="C223" i="39"/>
  <c r="K223" i="39"/>
  <c r="AK223" i="39" s="1"/>
  <c r="D223" i="39"/>
  <c r="AJ223" i="39" s="1"/>
  <c r="L223" i="39"/>
  <c r="AQ223" i="39" s="1"/>
  <c r="E223" i="39"/>
  <c r="M223" i="39"/>
  <c r="AS223" i="39" s="1"/>
  <c r="F223" i="39"/>
  <c r="AM223" i="39" s="1"/>
  <c r="G223" i="39"/>
  <c r="N223" i="39"/>
  <c r="O223" i="39"/>
  <c r="AE181" i="39"/>
  <c r="AC181" i="39"/>
  <c r="AL181" i="39"/>
  <c r="AU159" i="39"/>
  <c r="H159" i="39"/>
  <c r="P159" i="39"/>
  <c r="I159" i="39"/>
  <c r="Q159" i="39"/>
  <c r="Z159" i="39"/>
  <c r="AP159" i="39" s="1"/>
  <c r="B159" i="39"/>
  <c r="AF159" i="39" s="1"/>
  <c r="J159" i="39"/>
  <c r="AN159" i="39" s="1"/>
  <c r="C159" i="39"/>
  <c r="K159" i="39"/>
  <c r="AK159" i="39" s="1"/>
  <c r="D159" i="39"/>
  <c r="AJ159" i="39" s="1"/>
  <c r="L159" i="39"/>
  <c r="AQ159" i="39" s="1"/>
  <c r="E159" i="39"/>
  <c r="M159" i="39"/>
  <c r="AS159" i="39" s="1"/>
  <c r="F159" i="39"/>
  <c r="AM159" i="39" s="1"/>
  <c r="G159" i="39"/>
  <c r="N159" i="39"/>
  <c r="O159" i="39"/>
  <c r="AU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G114" i="39"/>
  <c r="O114" i="39"/>
  <c r="H114" i="39"/>
  <c r="P114" i="39"/>
  <c r="F114" i="39"/>
  <c r="AM114" i="39" s="1"/>
  <c r="I114" i="39"/>
  <c r="N114" i="39"/>
  <c r="Q114" i="39"/>
  <c r="Z114" i="39"/>
  <c r="AP114" i="39" s="1"/>
  <c r="AU222" i="39"/>
  <c r="I222" i="39"/>
  <c r="Q222" i="39"/>
  <c r="Z222" i="39"/>
  <c r="AP222" i="39" s="1"/>
  <c r="B222" i="39"/>
  <c r="AF222" i="39" s="1"/>
  <c r="J222" i="39"/>
  <c r="AN222" i="39" s="1"/>
  <c r="C222" i="39"/>
  <c r="K222" i="39"/>
  <c r="AK222" i="39" s="1"/>
  <c r="D222" i="39"/>
  <c r="AJ222" i="39" s="1"/>
  <c r="L222" i="39"/>
  <c r="AQ222" i="39" s="1"/>
  <c r="E222" i="39"/>
  <c r="M222" i="39"/>
  <c r="AS222" i="39" s="1"/>
  <c r="F222" i="39"/>
  <c r="AM222" i="39" s="1"/>
  <c r="N222" i="39"/>
  <c r="G222" i="39"/>
  <c r="H222" i="39"/>
  <c r="O222" i="39"/>
  <c r="P222" i="39"/>
  <c r="AE180" i="39"/>
  <c r="AC180" i="39"/>
  <c r="AL180" i="39"/>
  <c r="AU158" i="39"/>
  <c r="I158" i="39"/>
  <c r="Z158" i="39" s="1"/>
  <c r="AP158" i="39" s="1"/>
  <c r="Q158" i="39"/>
  <c r="B158" i="39"/>
  <c r="AF158" i="39" s="1"/>
  <c r="J158" i="39"/>
  <c r="AN158" i="39" s="1"/>
  <c r="C158" i="39"/>
  <c r="K158" i="39"/>
  <c r="AK158" i="39" s="1"/>
  <c r="D158" i="39"/>
  <c r="AJ158" i="39" s="1"/>
  <c r="L158" i="39"/>
  <c r="AQ158" i="39" s="1"/>
  <c r="E158" i="39"/>
  <c r="M158" i="39"/>
  <c r="AS158" i="39" s="1"/>
  <c r="F158" i="39"/>
  <c r="AM158" i="39" s="1"/>
  <c r="N158" i="39"/>
  <c r="G158" i="39"/>
  <c r="H158" i="39"/>
  <c r="O158" i="39"/>
  <c r="P158" i="39"/>
  <c r="AU106" i="39"/>
  <c r="B106" i="39"/>
  <c r="AF106" i="39" s="1"/>
  <c r="J106" i="39"/>
  <c r="AN106" i="39" s="1"/>
  <c r="C106" i="39"/>
  <c r="K106" i="39"/>
  <c r="AK106" i="39" s="1"/>
  <c r="D106" i="39"/>
  <c r="AJ106" i="39" s="1"/>
  <c r="L106" i="39"/>
  <c r="AQ106" i="39" s="1"/>
  <c r="E106" i="39"/>
  <c r="M106" i="39"/>
  <c r="AS106" i="39" s="1"/>
  <c r="F106" i="39"/>
  <c r="AM106" i="39" s="1"/>
  <c r="N106" i="39"/>
  <c r="G106" i="39"/>
  <c r="O106" i="39"/>
  <c r="H106" i="39"/>
  <c r="P106" i="39"/>
  <c r="I106" i="39"/>
  <c r="Q106" i="39"/>
  <c r="Z106" i="39"/>
  <c r="AP106" i="39" s="1"/>
  <c r="AC135" i="39"/>
  <c r="AE135" i="39"/>
  <c r="AL135" i="39"/>
  <c r="AU113" i="39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Q113" i="39"/>
  <c r="Z113" i="39"/>
  <c r="AP113" i="39" s="1"/>
  <c r="B113" i="39"/>
  <c r="AF113" i="39" s="1"/>
  <c r="J113" i="39"/>
  <c r="AN113" i="39" s="1"/>
  <c r="AU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F46" i="39"/>
  <c r="AM46" i="39" s="1"/>
  <c r="N46" i="39"/>
  <c r="G46" i="39"/>
  <c r="O46" i="39"/>
  <c r="H46" i="39"/>
  <c r="I46" i="39"/>
  <c r="Z46" i="39" s="1"/>
  <c r="AP46" i="39" s="1"/>
  <c r="M46" i="39"/>
  <c r="AS46" i="39" s="1"/>
  <c r="P46" i="39"/>
  <c r="Q46" i="39"/>
  <c r="E46" i="39"/>
  <c r="AE102" i="39"/>
  <c r="AC102" i="39"/>
  <c r="AL102" i="39"/>
  <c r="AU78" i="39"/>
  <c r="B78" i="39"/>
  <c r="AF78" i="39" s="1"/>
  <c r="J78" i="39"/>
  <c r="AN78" i="39" s="1"/>
  <c r="C78" i="39"/>
  <c r="K78" i="39"/>
  <c r="AK78" i="39" s="1"/>
  <c r="F78" i="39"/>
  <c r="AM78" i="39" s="1"/>
  <c r="N78" i="39"/>
  <c r="G78" i="39"/>
  <c r="O78" i="39"/>
  <c r="I78" i="39"/>
  <c r="Z78" i="39" s="1"/>
  <c r="AP78" i="39" s="1"/>
  <c r="L78" i="39"/>
  <c r="AQ78" i="39" s="1"/>
  <c r="M78" i="39"/>
  <c r="AS78" i="39" s="1"/>
  <c r="P78" i="39"/>
  <c r="Q78" i="39"/>
  <c r="D78" i="39"/>
  <c r="AJ78" i="39" s="1"/>
  <c r="E78" i="39"/>
  <c r="H78" i="39"/>
  <c r="AU126" i="39"/>
  <c r="F126" i="39"/>
  <c r="AM126" i="39" s="1"/>
  <c r="N126" i="39"/>
  <c r="G126" i="39"/>
  <c r="O126" i="39"/>
  <c r="H126" i="39"/>
  <c r="P126" i="39"/>
  <c r="I126" i="39"/>
  <c r="Q126" i="39"/>
  <c r="Z126" i="39"/>
  <c r="AP126" i="39" s="1"/>
  <c r="D126" i="39"/>
  <c r="AJ126" i="39" s="1"/>
  <c r="L126" i="39"/>
  <c r="AQ126" i="39" s="1"/>
  <c r="E126" i="39"/>
  <c r="J126" i="39"/>
  <c r="AN126" i="39" s="1"/>
  <c r="K126" i="39"/>
  <c r="AK126" i="39" s="1"/>
  <c r="M126" i="39"/>
  <c r="AS126" i="39" s="1"/>
  <c r="B126" i="39"/>
  <c r="AF126" i="39" s="1"/>
  <c r="C126" i="39"/>
  <c r="AC83" i="39"/>
  <c r="AL83" i="39"/>
  <c r="AE83" i="39"/>
  <c r="AU141" i="39"/>
  <c r="G141" i="39"/>
  <c r="O141" i="39"/>
  <c r="H141" i="39"/>
  <c r="P141" i="39"/>
  <c r="I141" i="39"/>
  <c r="Q141" i="39"/>
  <c r="Z141" i="39"/>
  <c r="AP141" i="39" s="1"/>
  <c r="B141" i="39"/>
  <c r="AF141" i="39" s="1"/>
  <c r="J141" i="39"/>
  <c r="AN141" i="39" s="1"/>
  <c r="E141" i="39"/>
  <c r="M141" i="39"/>
  <c r="AS141" i="39" s="1"/>
  <c r="N141" i="39"/>
  <c r="C141" i="39"/>
  <c r="D141" i="39"/>
  <c r="AJ141" i="39" s="1"/>
  <c r="F141" i="39"/>
  <c r="AM141" i="39" s="1"/>
  <c r="K141" i="39"/>
  <c r="AK141" i="39" s="1"/>
  <c r="L141" i="39"/>
  <c r="AQ141" i="39" s="1"/>
  <c r="AE99" i="39"/>
  <c r="AC99" i="39"/>
  <c r="AL99" i="39"/>
  <c r="AU148" i="39"/>
  <c r="H148" i="39"/>
  <c r="P148" i="39"/>
  <c r="I148" i="39"/>
  <c r="Q148" i="39"/>
  <c r="Z148" i="39"/>
  <c r="AP148" i="39" s="1"/>
  <c r="J148" i="39"/>
  <c r="AN148" i="39" s="1"/>
  <c r="K148" i="39"/>
  <c r="AK148" i="39" s="1"/>
  <c r="B148" i="39"/>
  <c r="AF148" i="39" s="1"/>
  <c r="L148" i="39"/>
  <c r="AQ148" i="39" s="1"/>
  <c r="C148" i="39"/>
  <c r="M148" i="39"/>
  <c r="AS148" i="39" s="1"/>
  <c r="D148" i="39"/>
  <c r="AJ148" i="39" s="1"/>
  <c r="N148" i="39"/>
  <c r="E148" i="39"/>
  <c r="O148" i="39"/>
  <c r="F148" i="39"/>
  <c r="AM148" i="39" s="1"/>
  <c r="G148" i="39"/>
  <c r="AC106" i="39"/>
  <c r="AL106" i="39"/>
  <c r="AE106" i="39"/>
  <c r="AU81" i="39"/>
  <c r="G81" i="39"/>
  <c r="O81" i="39"/>
  <c r="H81" i="39"/>
  <c r="P81" i="39"/>
  <c r="C81" i="39"/>
  <c r="K81" i="39"/>
  <c r="AK81" i="39" s="1"/>
  <c r="D81" i="39"/>
  <c r="AJ81" i="39" s="1"/>
  <c r="L81" i="39"/>
  <c r="AQ81" i="39" s="1"/>
  <c r="N81" i="39"/>
  <c r="Q81" i="39"/>
  <c r="B81" i="39"/>
  <c r="AF81" i="39" s="1"/>
  <c r="E81" i="39"/>
  <c r="F81" i="39"/>
  <c r="AM81" i="39" s="1"/>
  <c r="I81" i="39"/>
  <c r="Z81" i="39" s="1"/>
  <c r="AP81" i="39" s="1"/>
  <c r="J81" i="39"/>
  <c r="AN81" i="39" s="1"/>
  <c r="M81" i="39"/>
  <c r="AS81" i="39" s="1"/>
  <c r="AC32" i="39"/>
  <c r="AL32" i="39"/>
  <c r="AE32" i="39"/>
  <c r="AC113" i="39"/>
  <c r="AL113" i="39"/>
  <c r="AE113" i="39"/>
  <c r="AU91" i="39"/>
  <c r="I91" i="39"/>
  <c r="Q91" i="39"/>
  <c r="Z91" i="39"/>
  <c r="AP91" i="39" s="1"/>
  <c r="B91" i="39"/>
  <c r="AF91" i="39" s="1"/>
  <c r="J91" i="39"/>
  <c r="AN91" i="39" s="1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H91" i="39"/>
  <c r="P91" i="39"/>
  <c r="AC43" i="39"/>
  <c r="AL43" i="39"/>
  <c r="AE43" i="39"/>
  <c r="AU76" i="39"/>
  <c r="D76" i="39"/>
  <c r="AJ76" i="39" s="1"/>
  <c r="L76" i="39"/>
  <c r="AQ76" i="39" s="1"/>
  <c r="E76" i="39"/>
  <c r="M76" i="39"/>
  <c r="AS76" i="39" s="1"/>
  <c r="H76" i="39"/>
  <c r="P76" i="39"/>
  <c r="I76" i="39"/>
  <c r="Z76" i="39" s="1"/>
  <c r="AP76" i="39" s="1"/>
  <c r="Q76" i="39"/>
  <c r="K76" i="39"/>
  <c r="AK76" i="39" s="1"/>
  <c r="N76" i="39"/>
  <c r="O76" i="39"/>
  <c r="B76" i="39"/>
  <c r="AF76" i="39" s="1"/>
  <c r="C76" i="39"/>
  <c r="F76" i="39"/>
  <c r="AM76" i="39" s="1"/>
  <c r="G76" i="39"/>
  <c r="J76" i="39"/>
  <c r="AN76" i="39" s="1"/>
  <c r="AC34" i="39"/>
  <c r="AL34" i="39"/>
  <c r="AE34" i="39"/>
  <c r="AU15" i="39"/>
  <c r="F15" i="39"/>
  <c r="AM15" i="39" s="1"/>
  <c r="N15" i="39"/>
  <c r="G15" i="39"/>
  <c r="O15" i="39"/>
  <c r="H15" i="39"/>
  <c r="P15" i="39"/>
  <c r="B15" i="39"/>
  <c r="AF15" i="39" s="1"/>
  <c r="J15" i="39"/>
  <c r="AN15" i="39" s="1"/>
  <c r="C15" i="39"/>
  <c r="K15" i="39"/>
  <c r="AK15" i="39" s="1"/>
  <c r="E15" i="39"/>
  <c r="I15" i="39"/>
  <c r="Z15" i="39" s="1"/>
  <c r="AP15" i="39" s="1"/>
  <c r="L15" i="39"/>
  <c r="AQ15" i="39" s="1"/>
  <c r="M15" i="39"/>
  <c r="AS15" i="39" s="1"/>
  <c r="Q15" i="39"/>
  <c r="D15" i="39"/>
  <c r="AJ15" i="39" s="1"/>
  <c r="AU75" i="39"/>
  <c r="E75" i="39"/>
  <c r="M75" i="39"/>
  <c r="AS75" i="39" s="1"/>
  <c r="F75" i="39"/>
  <c r="AM75" i="39" s="1"/>
  <c r="N75" i="39"/>
  <c r="I75" i="39"/>
  <c r="Z75" i="39" s="1"/>
  <c r="AP75" i="39" s="1"/>
  <c r="Q75" i="39"/>
  <c r="B75" i="39"/>
  <c r="AF75" i="39" s="1"/>
  <c r="J75" i="39"/>
  <c r="AN75" i="39" s="1"/>
  <c r="D75" i="39"/>
  <c r="AJ75" i="39" s="1"/>
  <c r="G75" i="39"/>
  <c r="H75" i="39"/>
  <c r="K75" i="39"/>
  <c r="AK75" i="39" s="1"/>
  <c r="L75" i="39"/>
  <c r="AQ75" i="39" s="1"/>
  <c r="O75" i="39"/>
  <c r="P75" i="39"/>
  <c r="C75" i="39"/>
  <c r="AE33" i="39"/>
  <c r="AL33" i="39"/>
  <c r="AC33" i="39"/>
  <c r="AU57" i="39"/>
  <c r="G57" i="39"/>
  <c r="O57" i="39"/>
  <c r="H57" i="39"/>
  <c r="P57" i="39"/>
  <c r="I57" i="39"/>
  <c r="Q57" i="39"/>
  <c r="C57" i="39"/>
  <c r="K57" i="39"/>
  <c r="AK57" i="39" s="1"/>
  <c r="D57" i="39"/>
  <c r="AJ57" i="39" s="1"/>
  <c r="L57" i="39"/>
  <c r="AQ57" i="39" s="1"/>
  <c r="J57" i="39"/>
  <c r="AN57" i="39" s="1"/>
  <c r="M57" i="39"/>
  <c r="AS57" i="39" s="1"/>
  <c r="N57" i="39"/>
  <c r="B57" i="39"/>
  <c r="AF57" i="39" s="1"/>
  <c r="E57" i="39"/>
  <c r="F57" i="39"/>
  <c r="AM57" i="39" s="1"/>
  <c r="AU7" i="39"/>
  <c r="F7" i="39"/>
  <c r="AM7" i="39" s="1"/>
  <c r="N7" i="39"/>
  <c r="G7" i="39"/>
  <c r="O7" i="39"/>
  <c r="H7" i="39"/>
  <c r="P7" i="39"/>
  <c r="B7" i="39"/>
  <c r="AF7" i="39" s="1"/>
  <c r="J7" i="39"/>
  <c r="AN7" i="39" s="1"/>
  <c r="C7" i="39"/>
  <c r="K7" i="39"/>
  <c r="AK7" i="39" s="1"/>
  <c r="M7" i="39"/>
  <c r="AS7" i="39" s="1"/>
  <c r="Q7" i="39"/>
  <c r="D7" i="39"/>
  <c r="AJ7" i="39" s="1"/>
  <c r="E7" i="39"/>
  <c r="I7" i="39"/>
  <c r="L7" i="39"/>
  <c r="AQ7" i="39" s="1"/>
  <c r="AC70" i="39"/>
  <c r="AL70" i="39"/>
  <c r="AE70" i="39"/>
  <c r="AU48" i="39"/>
  <c r="H48" i="39"/>
  <c r="P48" i="39"/>
  <c r="I48" i="39"/>
  <c r="Z48" i="39" s="1"/>
  <c r="AP48" i="39" s="1"/>
  <c r="Q48" i="39"/>
  <c r="B48" i="39"/>
  <c r="AF48" i="39" s="1"/>
  <c r="J48" i="39"/>
  <c r="AN48" i="39" s="1"/>
  <c r="D48" i="39"/>
  <c r="AJ48" i="39" s="1"/>
  <c r="L48" i="39"/>
  <c r="AQ48" i="39" s="1"/>
  <c r="E48" i="39"/>
  <c r="M48" i="39"/>
  <c r="AS48" i="39" s="1"/>
  <c r="C48" i="39"/>
  <c r="F48" i="39"/>
  <c r="AM48" i="39" s="1"/>
  <c r="G48" i="39"/>
  <c r="K48" i="39"/>
  <c r="AK48" i="39" s="1"/>
  <c r="N48" i="39"/>
  <c r="O48" i="39"/>
  <c r="AE85" i="39"/>
  <c r="AC85" i="39"/>
  <c r="AL85" i="39"/>
  <c r="AU63" i="39"/>
  <c r="I63" i="39"/>
  <c r="Q63" i="39"/>
  <c r="B63" i="39"/>
  <c r="AF63" i="39" s="1"/>
  <c r="J63" i="39"/>
  <c r="AN63" i="39" s="1"/>
  <c r="C63" i="39"/>
  <c r="K63" i="39"/>
  <c r="AK63" i="39" s="1"/>
  <c r="E63" i="39"/>
  <c r="M63" i="39"/>
  <c r="AS63" i="39" s="1"/>
  <c r="F63" i="39"/>
  <c r="AM63" i="39" s="1"/>
  <c r="N63" i="39"/>
  <c r="H63" i="39"/>
  <c r="L63" i="39"/>
  <c r="AQ63" i="39" s="1"/>
  <c r="O63" i="39"/>
  <c r="P63" i="39"/>
  <c r="D63" i="39"/>
  <c r="AJ63" i="39" s="1"/>
  <c r="G63" i="39"/>
  <c r="AC21" i="39"/>
  <c r="AL21" i="39"/>
  <c r="AE21" i="39"/>
  <c r="AC14" i="39"/>
  <c r="AL14" i="39"/>
  <c r="AE14" i="39"/>
  <c r="AU6" i="39"/>
  <c r="G6" i="39"/>
  <c r="O6" i="39"/>
  <c r="H6" i="39"/>
  <c r="P6" i="39"/>
  <c r="I6" i="39"/>
  <c r="Z6" i="39" s="1"/>
  <c r="AP6" i="39" s="1"/>
  <c r="Q6" i="39"/>
  <c r="C6" i="39"/>
  <c r="K6" i="39"/>
  <c r="AK6" i="39" s="1"/>
  <c r="D6" i="39"/>
  <c r="AJ6" i="39" s="1"/>
  <c r="L6" i="39"/>
  <c r="AQ6" i="39" s="1"/>
  <c r="B6" i="39"/>
  <c r="AF6" i="39" s="1"/>
  <c r="E6" i="39"/>
  <c r="F6" i="39"/>
  <c r="AM6" i="39" s="1"/>
  <c r="J6" i="39"/>
  <c r="AN6" i="39" s="1"/>
  <c r="M6" i="39"/>
  <c r="AS6" i="39" s="1"/>
  <c r="N6" i="39"/>
  <c r="AU260" i="39"/>
  <c r="C260" i="39"/>
  <c r="K260" i="39"/>
  <c r="AK260" i="39" s="1"/>
  <c r="D260" i="39"/>
  <c r="AJ260" i="39" s="1"/>
  <c r="L260" i="39"/>
  <c r="AQ260" i="39" s="1"/>
  <c r="E260" i="39"/>
  <c r="M260" i="39"/>
  <c r="AS260" i="39" s="1"/>
  <c r="F260" i="39"/>
  <c r="AM260" i="39" s="1"/>
  <c r="N260" i="39"/>
  <c r="J260" i="39"/>
  <c r="AN260" i="39" s="1"/>
  <c r="G260" i="39"/>
  <c r="O260" i="39"/>
  <c r="H260" i="39"/>
  <c r="P260" i="39"/>
  <c r="I260" i="39"/>
  <c r="Q260" i="39"/>
  <c r="Z260" i="39"/>
  <c r="AP260" i="39" s="1"/>
  <c r="B260" i="39"/>
  <c r="AF260" i="39" s="1"/>
  <c r="AC186" i="39"/>
  <c r="AL186" i="39"/>
  <c r="AE186" i="39"/>
  <c r="AC241" i="39"/>
  <c r="AL241" i="39"/>
  <c r="AE241" i="39"/>
  <c r="AE189" i="39"/>
  <c r="AC189" i="39"/>
  <c r="AL189" i="39"/>
  <c r="AE188" i="39"/>
  <c r="AC188" i="39"/>
  <c r="AL188" i="39"/>
  <c r="AU166" i="39"/>
  <c r="I166" i="39"/>
  <c r="Q166" i="39"/>
  <c r="Z166" i="39"/>
  <c r="AP166" i="39" s="1"/>
  <c r="B166" i="39"/>
  <c r="AF166" i="39" s="1"/>
  <c r="J166" i="39"/>
  <c r="AN166" i="39" s="1"/>
  <c r="C166" i="39"/>
  <c r="K166" i="39"/>
  <c r="AK166" i="39" s="1"/>
  <c r="D166" i="39"/>
  <c r="AJ166" i="39" s="1"/>
  <c r="L166" i="39"/>
  <c r="AQ166" i="39" s="1"/>
  <c r="E166" i="39"/>
  <c r="M166" i="39"/>
  <c r="AS166" i="39" s="1"/>
  <c r="F166" i="39"/>
  <c r="AM166" i="39" s="1"/>
  <c r="N166" i="39"/>
  <c r="G166" i="39"/>
  <c r="O166" i="39"/>
  <c r="P166" i="39"/>
  <c r="H166" i="39"/>
  <c r="AU19" i="39"/>
  <c r="D19" i="39"/>
  <c r="AJ19" i="39" s="1"/>
  <c r="L19" i="39"/>
  <c r="AQ19" i="39" s="1"/>
  <c r="E19" i="39"/>
  <c r="M19" i="39"/>
  <c r="AS19" i="39" s="1"/>
  <c r="F19" i="39"/>
  <c r="AM19" i="39" s="1"/>
  <c r="N19" i="39"/>
  <c r="G19" i="39"/>
  <c r="O19" i="39"/>
  <c r="H19" i="39"/>
  <c r="P19" i="39"/>
  <c r="I19" i="39"/>
  <c r="Z19" i="39" s="1"/>
  <c r="AP19" i="39" s="1"/>
  <c r="Q19" i="39"/>
  <c r="B19" i="39"/>
  <c r="AF19" i="39" s="1"/>
  <c r="J19" i="39"/>
  <c r="AN19" i="39" s="1"/>
  <c r="C19" i="39"/>
  <c r="K19" i="39"/>
  <c r="AK19" i="39" s="1"/>
  <c r="AC78" i="39"/>
  <c r="AL78" i="39"/>
  <c r="AE78" i="39"/>
  <c r="AU56" i="39"/>
  <c r="H56" i="39"/>
  <c r="P56" i="39"/>
  <c r="I56" i="39"/>
  <c r="Z56" i="39" s="1"/>
  <c r="AP56" i="39" s="1"/>
  <c r="Q56" i="39"/>
  <c r="B56" i="39"/>
  <c r="AF56" i="39" s="1"/>
  <c r="J56" i="39"/>
  <c r="AN56" i="39" s="1"/>
  <c r="D56" i="39"/>
  <c r="AJ56" i="39" s="1"/>
  <c r="L56" i="39"/>
  <c r="AQ56" i="39" s="1"/>
  <c r="E56" i="39"/>
  <c r="M56" i="39"/>
  <c r="AS56" i="39" s="1"/>
  <c r="N56" i="39"/>
  <c r="O56" i="39"/>
  <c r="C56" i="39"/>
  <c r="F56" i="39"/>
  <c r="AM56" i="39" s="1"/>
  <c r="G56" i="39"/>
  <c r="K56" i="39"/>
  <c r="AK56" i="39" s="1"/>
  <c r="AC7" i="39"/>
  <c r="AL7" i="39"/>
  <c r="AE7" i="39"/>
  <c r="AC274" i="39"/>
  <c r="AL274" i="39"/>
  <c r="AE274" i="39"/>
  <c r="AU252" i="39"/>
  <c r="C252" i="39"/>
  <c r="K252" i="39"/>
  <c r="AK252" i="39" s="1"/>
  <c r="J252" i="39"/>
  <c r="AN252" i="39" s="1"/>
  <c r="D252" i="39"/>
  <c r="AJ252" i="39" s="1"/>
  <c r="L252" i="39"/>
  <c r="AQ252" i="39" s="1"/>
  <c r="B252" i="39"/>
  <c r="AF252" i="39" s="1"/>
  <c r="E252" i="39"/>
  <c r="M252" i="39"/>
  <c r="AS252" i="39" s="1"/>
  <c r="F252" i="39"/>
  <c r="AM252" i="39" s="1"/>
  <c r="N252" i="39"/>
  <c r="G252" i="39"/>
  <c r="O252" i="39"/>
  <c r="H252" i="39"/>
  <c r="P252" i="39"/>
  <c r="I252" i="39"/>
  <c r="Q252" i="39"/>
  <c r="Z252" i="39"/>
  <c r="AP252" i="39" s="1"/>
  <c r="AU293" i="39"/>
  <c r="B293" i="39"/>
  <c r="AF293" i="39" s="1"/>
  <c r="J293" i="39"/>
  <c r="AN293" i="39" s="1"/>
  <c r="Q293" i="39"/>
  <c r="C293" i="39"/>
  <c r="K293" i="39"/>
  <c r="AK293" i="39" s="1"/>
  <c r="D293" i="39"/>
  <c r="AJ293" i="39" s="1"/>
  <c r="L293" i="39"/>
  <c r="AQ293" i="39" s="1"/>
  <c r="I293" i="39"/>
  <c r="Z293" i="39" s="1"/>
  <c r="AP293" i="39" s="1"/>
  <c r="E293" i="39"/>
  <c r="M293" i="39"/>
  <c r="AS293" i="39" s="1"/>
  <c r="F293" i="39"/>
  <c r="AM293" i="39" s="1"/>
  <c r="N293" i="39"/>
  <c r="G293" i="39"/>
  <c r="O293" i="39"/>
  <c r="H293" i="39"/>
  <c r="P293" i="39"/>
  <c r="AE281" i="39"/>
  <c r="AL281" i="39"/>
  <c r="AC281" i="39"/>
  <c r="AU242" i="39"/>
  <c r="B242" i="39"/>
  <c r="AF242" i="39" s="1"/>
  <c r="J242" i="39"/>
  <c r="AN242" i="39" s="1"/>
  <c r="E242" i="39"/>
  <c r="N242" i="39"/>
  <c r="F242" i="39"/>
  <c r="AM242" i="39" s="1"/>
  <c r="O242" i="39"/>
  <c r="D242" i="39"/>
  <c r="AJ242" i="39" s="1"/>
  <c r="G242" i="39"/>
  <c r="P242" i="39"/>
  <c r="Z242" i="39"/>
  <c r="AP242" i="39" s="1"/>
  <c r="H242" i="39"/>
  <c r="Q242" i="39"/>
  <c r="I242" i="39"/>
  <c r="M242" i="39"/>
  <c r="AS242" i="39" s="1"/>
  <c r="K242" i="39"/>
  <c r="AK242" i="39" s="1"/>
  <c r="C242" i="39"/>
  <c r="L242" i="39"/>
  <c r="AQ242" i="39" s="1"/>
  <c r="AU314" i="39"/>
  <c r="E314" i="39"/>
  <c r="M314" i="39"/>
  <c r="AS314" i="39" s="1"/>
  <c r="F314" i="39"/>
  <c r="AM314" i="39" s="1"/>
  <c r="N314" i="39"/>
  <c r="G314" i="39"/>
  <c r="O314" i="39"/>
  <c r="H314" i="39"/>
  <c r="P314" i="39"/>
  <c r="I314" i="39"/>
  <c r="Q314" i="39"/>
  <c r="D314" i="39"/>
  <c r="AJ314" i="39" s="1"/>
  <c r="B314" i="39"/>
  <c r="AF314" i="39" s="1"/>
  <c r="J314" i="39"/>
  <c r="AN314" i="39" s="1"/>
  <c r="C314" i="39"/>
  <c r="K314" i="39"/>
  <c r="AK314" i="39" s="1"/>
  <c r="L314" i="39"/>
  <c r="AQ314" i="39" s="1"/>
  <c r="AC291" i="39"/>
  <c r="AL291" i="39"/>
  <c r="AE291" i="39"/>
  <c r="AE314" i="39"/>
  <c r="AL314" i="39"/>
  <c r="AC314" i="39"/>
  <c r="AU292" i="39"/>
  <c r="C292" i="39"/>
  <c r="K292" i="39"/>
  <c r="AK292" i="39" s="1"/>
  <c r="D292" i="39"/>
  <c r="AJ292" i="39" s="1"/>
  <c r="L292" i="39"/>
  <c r="AQ292" i="39" s="1"/>
  <c r="B292" i="39"/>
  <c r="AF292" i="39" s="1"/>
  <c r="E292" i="39"/>
  <c r="M292" i="39"/>
  <c r="AS292" i="39" s="1"/>
  <c r="F292" i="39"/>
  <c r="AM292" i="39" s="1"/>
  <c r="N292" i="39"/>
  <c r="J292" i="39"/>
  <c r="AN292" i="39" s="1"/>
  <c r="G292" i="39"/>
  <c r="O292" i="39"/>
  <c r="H292" i="39"/>
  <c r="P292" i="39"/>
  <c r="I292" i="39"/>
  <c r="Z292" i="39" s="1"/>
  <c r="AP292" i="39" s="1"/>
  <c r="Q292" i="39"/>
  <c r="AU226" i="39"/>
  <c r="E226" i="39"/>
  <c r="M226" i="39"/>
  <c r="AS226" i="39" s="1"/>
  <c r="F226" i="39"/>
  <c r="AM226" i="39" s="1"/>
  <c r="N226" i="39"/>
  <c r="H226" i="39"/>
  <c r="P226" i="39"/>
  <c r="B226" i="39"/>
  <c r="AF226" i="39" s="1"/>
  <c r="J226" i="39"/>
  <c r="AN226" i="39" s="1"/>
  <c r="G226" i="39"/>
  <c r="I226" i="39"/>
  <c r="Z226" i="39"/>
  <c r="AP226" i="39" s="1"/>
  <c r="K226" i="39"/>
  <c r="AK226" i="39" s="1"/>
  <c r="L226" i="39"/>
  <c r="AQ226" i="39" s="1"/>
  <c r="O226" i="39"/>
  <c r="C226" i="39"/>
  <c r="D226" i="39"/>
  <c r="AJ226" i="39" s="1"/>
  <c r="Q226" i="39"/>
  <c r="AU305" i="39"/>
  <c r="F305" i="39"/>
  <c r="AM305" i="39" s="1"/>
  <c r="N305" i="39"/>
  <c r="G305" i="39"/>
  <c r="O305" i="39"/>
  <c r="H305" i="39"/>
  <c r="P305" i="39"/>
  <c r="E305" i="39"/>
  <c r="I305" i="39"/>
  <c r="Z305" i="39" s="1"/>
  <c r="AP305" i="39" s="1"/>
  <c r="Q305" i="39"/>
  <c r="B305" i="39"/>
  <c r="AF305" i="39" s="1"/>
  <c r="J305" i="39"/>
  <c r="AN305" i="39" s="1"/>
  <c r="M305" i="39"/>
  <c r="AS305" i="39" s="1"/>
  <c r="C305" i="39"/>
  <c r="K305" i="39"/>
  <c r="AK305" i="39" s="1"/>
  <c r="D305" i="39"/>
  <c r="AJ305" i="39" s="1"/>
  <c r="L305" i="39"/>
  <c r="AQ305" i="39" s="1"/>
  <c r="AC294" i="39"/>
  <c r="AL294" i="39"/>
  <c r="AE294" i="39"/>
  <c r="AU272" i="39"/>
  <c r="G272" i="39"/>
  <c r="O272" i="39"/>
  <c r="N272" i="39"/>
  <c r="H272" i="39"/>
  <c r="P272" i="39"/>
  <c r="F272" i="39"/>
  <c r="AM272" i="39" s="1"/>
  <c r="I272" i="39"/>
  <c r="Q272" i="39"/>
  <c r="Z272" i="39"/>
  <c r="AP272" i="39" s="1"/>
  <c r="B272" i="39"/>
  <c r="AF272" i="39" s="1"/>
  <c r="J272" i="39"/>
  <c r="AN272" i="39" s="1"/>
  <c r="C272" i="39"/>
  <c r="K272" i="39"/>
  <c r="AK272" i="39" s="1"/>
  <c r="D272" i="39"/>
  <c r="AJ272" i="39" s="1"/>
  <c r="L272" i="39"/>
  <c r="AQ272" i="39" s="1"/>
  <c r="E272" i="39"/>
  <c r="M272" i="39"/>
  <c r="AS272" i="39" s="1"/>
  <c r="AE293" i="39"/>
  <c r="AL293" i="39"/>
  <c r="AC293" i="39"/>
  <c r="AU271" i="39"/>
  <c r="H271" i="39"/>
  <c r="P271" i="39"/>
  <c r="I271" i="39"/>
  <c r="Q271" i="39"/>
  <c r="Z271" i="39"/>
  <c r="AP271" i="39" s="1"/>
  <c r="B271" i="39"/>
  <c r="AF271" i="39" s="1"/>
  <c r="J271" i="39"/>
  <c r="AN271" i="39" s="1"/>
  <c r="C271" i="39"/>
  <c r="K271" i="39"/>
  <c r="AK271" i="39" s="1"/>
  <c r="O271" i="39"/>
  <c r="D271" i="39"/>
  <c r="AJ271" i="39" s="1"/>
  <c r="L271" i="39"/>
  <c r="AQ271" i="39" s="1"/>
  <c r="E271" i="39"/>
  <c r="M271" i="39"/>
  <c r="AS271" i="39" s="1"/>
  <c r="F271" i="39"/>
  <c r="AM271" i="39" s="1"/>
  <c r="N271" i="39"/>
  <c r="G271" i="39"/>
  <c r="AU318" i="39"/>
  <c r="I318" i="39"/>
  <c r="Q318" i="39"/>
  <c r="B318" i="39"/>
  <c r="AF318" i="39" s="1"/>
  <c r="J318" i="39"/>
  <c r="AN318" i="39" s="1"/>
  <c r="C318" i="39"/>
  <c r="K318" i="39"/>
  <c r="AK318" i="39" s="1"/>
  <c r="D318" i="39"/>
  <c r="AJ318" i="39" s="1"/>
  <c r="L318" i="39"/>
  <c r="AQ318" i="39" s="1"/>
  <c r="E318" i="39"/>
  <c r="M318" i="39"/>
  <c r="AS318" i="39" s="1"/>
  <c r="H318" i="39"/>
  <c r="F318" i="39"/>
  <c r="AM318" i="39" s="1"/>
  <c r="N318" i="39"/>
  <c r="G318" i="39"/>
  <c r="O318" i="39"/>
  <c r="P318" i="39"/>
  <c r="AE276" i="39"/>
  <c r="AL276" i="39"/>
  <c r="AC276" i="39"/>
  <c r="AU254" i="39"/>
  <c r="I254" i="39"/>
  <c r="Q254" i="39"/>
  <c r="Z254" i="39"/>
  <c r="AP254" i="39" s="1"/>
  <c r="P254" i="39"/>
  <c r="B254" i="39"/>
  <c r="AF254" i="39" s="1"/>
  <c r="J254" i="39"/>
  <c r="AN254" i="39" s="1"/>
  <c r="H254" i="39"/>
  <c r="C254" i="39"/>
  <c r="K254" i="39"/>
  <c r="AK254" i="39" s="1"/>
  <c r="D254" i="39"/>
  <c r="AJ254" i="39" s="1"/>
  <c r="L254" i="39"/>
  <c r="AQ254" i="39" s="1"/>
  <c r="E254" i="39"/>
  <c r="M254" i="39"/>
  <c r="AS254" i="39" s="1"/>
  <c r="F254" i="39"/>
  <c r="AM254" i="39" s="1"/>
  <c r="N254" i="39"/>
  <c r="G254" i="39"/>
  <c r="O254" i="39"/>
  <c r="AU70" i="39"/>
  <c r="B70" i="39"/>
  <c r="AF70" i="39" s="1"/>
  <c r="J70" i="39"/>
  <c r="AN70" i="39" s="1"/>
  <c r="C70" i="39"/>
  <c r="K70" i="39"/>
  <c r="AK70" i="39" s="1"/>
  <c r="D70" i="39"/>
  <c r="AJ70" i="39" s="1"/>
  <c r="L70" i="39"/>
  <c r="AQ70" i="39" s="1"/>
  <c r="F70" i="39"/>
  <c r="AM70" i="39" s="1"/>
  <c r="N70" i="39"/>
  <c r="G70" i="39"/>
  <c r="O70" i="39"/>
  <c r="E70" i="39"/>
  <c r="H70" i="39"/>
  <c r="I70" i="39"/>
  <c r="M70" i="39"/>
  <c r="AS70" i="39" s="1"/>
  <c r="P70" i="39"/>
  <c r="Q70" i="39"/>
  <c r="AC226" i="39"/>
  <c r="AL226" i="39"/>
  <c r="AE226" i="39"/>
  <c r="AC133" i="39"/>
  <c r="AE133" i="39"/>
  <c r="AL133" i="39"/>
  <c r="AU220" i="39"/>
  <c r="C220" i="39"/>
  <c r="K220" i="39"/>
  <c r="AK220" i="39" s="1"/>
  <c r="D220" i="39"/>
  <c r="AJ220" i="39" s="1"/>
  <c r="L220" i="39"/>
  <c r="AQ220" i="39" s="1"/>
  <c r="E220" i="39"/>
  <c r="M220" i="39"/>
  <c r="AS220" i="39" s="1"/>
  <c r="F220" i="39"/>
  <c r="AM220" i="39" s="1"/>
  <c r="N220" i="39"/>
  <c r="G220" i="39"/>
  <c r="O220" i="39"/>
  <c r="H220" i="39"/>
  <c r="P220" i="39"/>
  <c r="Q220" i="39"/>
  <c r="Z220" i="39"/>
  <c r="AP220" i="39" s="1"/>
  <c r="I220" i="39"/>
  <c r="J220" i="39"/>
  <c r="AN220" i="39" s="1"/>
  <c r="B220" i="39"/>
  <c r="AF220" i="39" s="1"/>
  <c r="AU229" i="39"/>
  <c r="B229" i="39"/>
  <c r="AF229" i="39" s="1"/>
  <c r="J229" i="39"/>
  <c r="AN229" i="39" s="1"/>
  <c r="C229" i="39"/>
  <c r="K229" i="39"/>
  <c r="AK229" i="39" s="1"/>
  <c r="E229" i="39"/>
  <c r="M229" i="39"/>
  <c r="AS229" i="39" s="1"/>
  <c r="G229" i="39"/>
  <c r="L229" i="39"/>
  <c r="AQ229" i="39" s="1"/>
  <c r="N229" i="39"/>
  <c r="O229" i="39"/>
  <c r="P229" i="39"/>
  <c r="D229" i="39"/>
  <c r="AJ229" i="39" s="1"/>
  <c r="Q229" i="39"/>
  <c r="H229" i="39"/>
  <c r="I229" i="39"/>
  <c r="F229" i="39"/>
  <c r="AM229" i="39" s="1"/>
  <c r="AU157" i="39"/>
  <c r="B157" i="39"/>
  <c r="AF157" i="39" s="1"/>
  <c r="J157" i="39"/>
  <c r="AN157" i="39" s="1"/>
  <c r="C157" i="39"/>
  <c r="K157" i="39"/>
  <c r="AK157" i="39" s="1"/>
  <c r="D157" i="39"/>
  <c r="AJ157" i="39" s="1"/>
  <c r="L157" i="39"/>
  <c r="AQ157" i="39" s="1"/>
  <c r="E157" i="39"/>
  <c r="M157" i="39"/>
  <c r="AS157" i="39" s="1"/>
  <c r="F157" i="39"/>
  <c r="AM157" i="39" s="1"/>
  <c r="N157" i="39"/>
  <c r="G157" i="39"/>
  <c r="O157" i="39"/>
  <c r="H157" i="39"/>
  <c r="P157" i="39"/>
  <c r="Q157" i="39"/>
  <c r="I157" i="39"/>
  <c r="Z157" i="39" s="1"/>
  <c r="AP157" i="39" s="1"/>
  <c r="AU180" i="39"/>
  <c r="C180" i="39"/>
  <c r="K180" i="39"/>
  <c r="AK180" i="39" s="1"/>
  <c r="D180" i="39"/>
  <c r="AJ180" i="39" s="1"/>
  <c r="L180" i="39"/>
  <c r="AQ180" i="39" s="1"/>
  <c r="E180" i="39"/>
  <c r="M180" i="39"/>
  <c r="AS180" i="39" s="1"/>
  <c r="F180" i="39"/>
  <c r="AM180" i="39" s="1"/>
  <c r="N180" i="39"/>
  <c r="G180" i="39"/>
  <c r="O180" i="39"/>
  <c r="H180" i="39"/>
  <c r="P180" i="39"/>
  <c r="Z180" i="39"/>
  <c r="AP180" i="39" s="1"/>
  <c r="B180" i="39"/>
  <c r="AF180" i="39" s="1"/>
  <c r="I180" i="39"/>
  <c r="Q180" i="39"/>
  <c r="J180" i="39"/>
  <c r="AN180" i="39" s="1"/>
  <c r="AE211" i="39"/>
  <c r="AC211" i="39"/>
  <c r="AL211" i="39"/>
  <c r="AC235" i="39"/>
  <c r="AL235" i="39"/>
  <c r="AE235" i="39"/>
  <c r="AC217" i="39"/>
  <c r="AL217" i="39"/>
  <c r="AE217" i="39"/>
  <c r="AU195" i="39"/>
  <c r="D195" i="39"/>
  <c r="AJ195" i="39" s="1"/>
  <c r="L195" i="39"/>
  <c r="AQ195" i="39" s="1"/>
  <c r="E195" i="39"/>
  <c r="M195" i="39"/>
  <c r="AS195" i="39" s="1"/>
  <c r="F195" i="39"/>
  <c r="AM195" i="39" s="1"/>
  <c r="N195" i="39"/>
  <c r="G195" i="39"/>
  <c r="O195" i="39"/>
  <c r="H195" i="39"/>
  <c r="P195" i="39"/>
  <c r="I195" i="39"/>
  <c r="Q195" i="39"/>
  <c r="Z195" i="39"/>
  <c r="AP195" i="39" s="1"/>
  <c r="B195" i="39"/>
  <c r="AF195" i="39" s="1"/>
  <c r="C195" i="39"/>
  <c r="J195" i="39"/>
  <c r="AN195" i="39" s="1"/>
  <c r="K195" i="39"/>
  <c r="AK195" i="39" s="1"/>
  <c r="AC153" i="39"/>
  <c r="AL153" i="39"/>
  <c r="AE153" i="39"/>
  <c r="AC126" i="39"/>
  <c r="AL126" i="39"/>
  <c r="AE126" i="39"/>
  <c r="AC208" i="39"/>
  <c r="AL208" i="39"/>
  <c r="AE208" i="39"/>
  <c r="AU186" i="39"/>
  <c r="E186" i="39"/>
  <c r="M186" i="39"/>
  <c r="AS186" i="39" s="1"/>
  <c r="F186" i="39"/>
  <c r="AM186" i="39" s="1"/>
  <c r="N186" i="39"/>
  <c r="G186" i="39"/>
  <c r="O186" i="39"/>
  <c r="H186" i="39"/>
  <c r="P186" i="39"/>
  <c r="I186" i="39"/>
  <c r="Q186" i="39"/>
  <c r="Z186" i="39"/>
  <c r="AP186" i="39" s="1"/>
  <c r="B186" i="39"/>
  <c r="AF186" i="39" s="1"/>
  <c r="J186" i="39"/>
  <c r="AN186" i="39" s="1"/>
  <c r="C186" i="39"/>
  <c r="D186" i="39"/>
  <c r="AJ186" i="39" s="1"/>
  <c r="K186" i="39"/>
  <c r="AK186" i="39" s="1"/>
  <c r="L186" i="39"/>
  <c r="AQ186" i="39" s="1"/>
  <c r="AU149" i="39"/>
  <c r="G149" i="39"/>
  <c r="O149" i="39"/>
  <c r="E149" i="39"/>
  <c r="N149" i="39"/>
  <c r="F149" i="39"/>
  <c r="AM149" i="39" s="1"/>
  <c r="P149" i="39"/>
  <c r="Z149" i="39"/>
  <c r="AP149" i="39" s="1"/>
  <c r="H149" i="39"/>
  <c r="Q149" i="39"/>
  <c r="I149" i="39"/>
  <c r="J149" i="39"/>
  <c r="AN149" i="39" s="1"/>
  <c r="B149" i="39"/>
  <c r="AF149" i="39" s="1"/>
  <c r="K149" i="39"/>
  <c r="AK149" i="39" s="1"/>
  <c r="C149" i="39"/>
  <c r="D149" i="39"/>
  <c r="AJ149" i="39" s="1"/>
  <c r="L149" i="39"/>
  <c r="AQ149" i="39" s="1"/>
  <c r="M149" i="39"/>
  <c r="AS149" i="39" s="1"/>
  <c r="AE231" i="39"/>
  <c r="AL231" i="39"/>
  <c r="AC231" i="39"/>
  <c r="AU209" i="39"/>
  <c r="F209" i="39"/>
  <c r="AM209" i="39" s="1"/>
  <c r="N209" i="39"/>
  <c r="G209" i="39"/>
  <c r="O209" i="39"/>
  <c r="H209" i="39"/>
  <c r="P209" i="39"/>
  <c r="I209" i="39"/>
  <c r="Q209" i="39"/>
  <c r="B209" i="39"/>
  <c r="AF209" i="39" s="1"/>
  <c r="J209" i="39"/>
  <c r="AN209" i="39" s="1"/>
  <c r="C209" i="39"/>
  <c r="K209" i="39"/>
  <c r="AK209" i="39" s="1"/>
  <c r="D209" i="39"/>
  <c r="AJ209" i="39" s="1"/>
  <c r="E209" i="39"/>
  <c r="L209" i="39"/>
  <c r="AQ209" i="39" s="1"/>
  <c r="M209" i="39"/>
  <c r="AS209" i="39" s="1"/>
  <c r="AC167" i="39"/>
  <c r="AL167" i="39"/>
  <c r="AE167" i="39"/>
  <c r="AC142" i="39"/>
  <c r="AL142" i="39"/>
  <c r="AE142" i="39"/>
  <c r="AC198" i="39"/>
  <c r="AL198" i="39"/>
  <c r="AE198" i="39"/>
  <c r="AU176" i="39"/>
  <c r="G176" i="39"/>
  <c r="O176" i="39"/>
  <c r="H176" i="39"/>
  <c r="P176" i="39"/>
  <c r="I176" i="39"/>
  <c r="Z176" i="39" s="1"/>
  <c r="AP176" i="39" s="1"/>
  <c r="Q176" i="39"/>
  <c r="B176" i="39"/>
  <c r="AF176" i="39" s="1"/>
  <c r="J176" i="39"/>
  <c r="AN176" i="39" s="1"/>
  <c r="C176" i="39"/>
  <c r="K176" i="39"/>
  <c r="AK176" i="39" s="1"/>
  <c r="D176" i="39"/>
  <c r="AJ176" i="39" s="1"/>
  <c r="L176" i="39"/>
  <c r="AQ176" i="39" s="1"/>
  <c r="E176" i="39"/>
  <c r="F176" i="39"/>
  <c r="AM176" i="39" s="1"/>
  <c r="M176" i="39"/>
  <c r="AS176" i="39" s="1"/>
  <c r="N176" i="39"/>
  <c r="AL221" i="39"/>
  <c r="AC221" i="39"/>
  <c r="AE221" i="39"/>
  <c r="AU199" i="39"/>
  <c r="H199" i="39"/>
  <c r="P199" i="39"/>
  <c r="I199" i="39"/>
  <c r="Q199" i="39"/>
  <c r="Z199" i="39"/>
  <c r="AP199" i="39" s="1"/>
  <c r="B199" i="39"/>
  <c r="AF199" i="39" s="1"/>
  <c r="J199" i="39"/>
  <c r="AN199" i="39" s="1"/>
  <c r="C199" i="39"/>
  <c r="K199" i="39"/>
  <c r="AK199" i="39" s="1"/>
  <c r="D199" i="39"/>
  <c r="AJ199" i="39" s="1"/>
  <c r="L199" i="39"/>
  <c r="AQ199" i="39" s="1"/>
  <c r="E199" i="39"/>
  <c r="M199" i="39"/>
  <c r="AS199" i="39" s="1"/>
  <c r="F199" i="39"/>
  <c r="AM199" i="39" s="1"/>
  <c r="G199" i="39"/>
  <c r="N199" i="39"/>
  <c r="O199" i="39"/>
  <c r="AE157" i="39"/>
  <c r="AL157" i="39"/>
  <c r="AC157" i="39"/>
  <c r="AC220" i="39"/>
  <c r="AL220" i="39"/>
  <c r="AE220" i="39"/>
  <c r="AU198" i="39"/>
  <c r="I198" i="39"/>
  <c r="Q198" i="39"/>
  <c r="Z198" i="39"/>
  <c r="AP198" i="39" s="1"/>
  <c r="B198" i="39"/>
  <c r="AF198" i="39" s="1"/>
  <c r="J198" i="39"/>
  <c r="AN198" i="39" s="1"/>
  <c r="C198" i="39"/>
  <c r="K198" i="39"/>
  <c r="AK198" i="39" s="1"/>
  <c r="D198" i="39"/>
  <c r="AJ198" i="39" s="1"/>
  <c r="L198" i="39"/>
  <c r="AQ198" i="39" s="1"/>
  <c r="E198" i="39"/>
  <c r="M198" i="39"/>
  <c r="AS198" i="39" s="1"/>
  <c r="F198" i="39"/>
  <c r="AM198" i="39" s="1"/>
  <c r="N198" i="39"/>
  <c r="G198" i="39"/>
  <c r="O198" i="39"/>
  <c r="P198" i="39"/>
  <c r="H198" i="39"/>
  <c r="AE156" i="39"/>
  <c r="AL156" i="39"/>
  <c r="AC156" i="39"/>
  <c r="AC111" i="39"/>
  <c r="AL111" i="39"/>
  <c r="AE111" i="39"/>
  <c r="AC88" i="39"/>
  <c r="AL88" i="39"/>
  <c r="AE88" i="39"/>
  <c r="AE52" i="39"/>
  <c r="AC52" i="39"/>
  <c r="AL52" i="39"/>
  <c r="AU103" i="39"/>
  <c r="E103" i="39"/>
  <c r="M103" i="39"/>
  <c r="AS103" i="39" s="1"/>
  <c r="F103" i="39"/>
  <c r="AM103" i="39" s="1"/>
  <c r="N103" i="39"/>
  <c r="G103" i="39"/>
  <c r="O103" i="39"/>
  <c r="H103" i="39"/>
  <c r="P103" i="39"/>
  <c r="I103" i="39"/>
  <c r="Q103" i="39"/>
  <c r="Z103" i="39"/>
  <c r="AP103" i="39" s="1"/>
  <c r="B103" i="39"/>
  <c r="AF103" i="39" s="1"/>
  <c r="J103" i="39"/>
  <c r="AN103" i="39" s="1"/>
  <c r="C103" i="39"/>
  <c r="K103" i="39"/>
  <c r="AK103" i="39" s="1"/>
  <c r="L103" i="39"/>
  <c r="AQ103" i="39" s="1"/>
  <c r="D103" i="39"/>
  <c r="AJ103" i="39" s="1"/>
  <c r="AC76" i="39"/>
  <c r="AL76" i="39"/>
  <c r="AE76" i="39"/>
  <c r="AC28" i="39"/>
  <c r="AL28" i="39"/>
  <c r="AE28" i="39"/>
  <c r="AC124" i="39"/>
  <c r="AL124" i="39"/>
  <c r="AE124" i="39"/>
  <c r="AU102" i="39"/>
  <c r="F102" i="39"/>
  <c r="AM102" i="39" s="1"/>
  <c r="N102" i="39"/>
  <c r="G102" i="39"/>
  <c r="O102" i="39"/>
  <c r="H102" i="39"/>
  <c r="P102" i="39"/>
  <c r="I102" i="39"/>
  <c r="Q102" i="39"/>
  <c r="Z102" i="39"/>
  <c r="AP102" i="39" s="1"/>
  <c r="B102" i="39"/>
  <c r="AF102" i="39" s="1"/>
  <c r="J102" i="39"/>
  <c r="AN102" i="39" s="1"/>
  <c r="C102" i="39"/>
  <c r="K102" i="39"/>
  <c r="AK102" i="39" s="1"/>
  <c r="D102" i="39"/>
  <c r="AJ102" i="39" s="1"/>
  <c r="L102" i="39"/>
  <c r="AQ102" i="39" s="1"/>
  <c r="E102" i="39"/>
  <c r="M102" i="39"/>
  <c r="AS102" i="39" s="1"/>
  <c r="AC139" i="39"/>
  <c r="AL139" i="39"/>
  <c r="AE139" i="39"/>
  <c r="AU117" i="39"/>
  <c r="G117" i="39"/>
  <c r="O117" i="39"/>
  <c r="H117" i="39"/>
  <c r="P117" i="39"/>
  <c r="I117" i="39"/>
  <c r="Q117" i="39"/>
  <c r="Z117" i="39"/>
  <c r="AP117" i="39" s="1"/>
  <c r="B117" i="39"/>
  <c r="AF117" i="39" s="1"/>
  <c r="J117" i="39"/>
  <c r="AN117" i="39" s="1"/>
  <c r="E117" i="39"/>
  <c r="M117" i="39"/>
  <c r="AS117" i="39" s="1"/>
  <c r="C117" i="39"/>
  <c r="D117" i="39"/>
  <c r="AJ117" i="39" s="1"/>
  <c r="F117" i="39"/>
  <c r="AM117" i="39" s="1"/>
  <c r="K117" i="39"/>
  <c r="AK117" i="39" s="1"/>
  <c r="L117" i="39"/>
  <c r="AQ117" i="39" s="1"/>
  <c r="N117" i="39"/>
  <c r="AU61" i="39"/>
  <c r="C61" i="39"/>
  <c r="K61" i="39"/>
  <c r="AK61" i="39" s="1"/>
  <c r="D61" i="39"/>
  <c r="AJ61" i="39" s="1"/>
  <c r="L61" i="39"/>
  <c r="AQ61" i="39" s="1"/>
  <c r="E61" i="39"/>
  <c r="M61" i="39"/>
  <c r="AS61" i="39" s="1"/>
  <c r="G61" i="39"/>
  <c r="O61" i="39"/>
  <c r="H61" i="39"/>
  <c r="P61" i="39"/>
  <c r="Q61" i="39"/>
  <c r="B61" i="39"/>
  <c r="AF61" i="39" s="1"/>
  <c r="F61" i="39"/>
  <c r="AM61" i="39" s="1"/>
  <c r="I61" i="39"/>
  <c r="J61" i="39"/>
  <c r="AN61" i="39" s="1"/>
  <c r="N61" i="39"/>
  <c r="AC146" i="39"/>
  <c r="AL146" i="39"/>
  <c r="AE146" i="39"/>
  <c r="AU124" i="39"/>
  <c r="H124" i="39"/>
  <c r="P124" i="39"/>
  <c r="I124" i="39"/>
  <c r="Q124" i="39"/>
  <c r="Z124" i="39"/>
  <c r="AP124" i="39" s="1"/>
  <c r="B124" i="39"/>
  <c r="AF124" i="39" s="1"/>
  <c r="J124" i="39"/>
  <c r="AN124" i="39" s="1"/>
  <c r="C124" i="39"/>
  <c r="K124" i="39"/>
  <c r="AK124" i="39" s="1"/>
  <c r="F124" i="39"/>
  <c r="AM124" i="39" s="1"/>
  <c r="N124" i="39"/>
  <c r="M124" i="39"/>
  <c r="AS124" i="39" s="1"/>
  <c r="O124" i="39"/>
  <c r="D124" i="39"/>
  <c r="AJ124" i="39" s="1"/>
  <c r="E124" i="39"/>
  <c r="G124" i="39"/>
  <c r="L124" i="39"/>
  <c r="AQ124" i="39" s="1"/>
  <c r="AC79" i="39"/>
  <c r="AL79" i="39"/>
  <c r="AE79" i="39"/>
  <c r="AU131" i="39"/>
  <c r="I131" i="39"/>
  <c r="Q131" i="39"/>
  <c r="Z131" i="39"/>
  <c r="AP131" i="39" s="1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G131" i="39"/>
  <c r="O131" i="39"/>
  <c r="H131" i="39"/>
  <c r="M131" i="39"/>
  <c r="AS131" i="39" s="1"/>
  <c r="N131" i="39"/>
  <c r="P131" i="39"/>
  <c r="E131" i="39"/>
  <c r="F131" i="39"/>
  <c r="AM131" i="39" s="1"/>
  <c r="AU90" i="39"/>
  <c r="B90" i="39"/>
  <c r="AF90" i="39" s="1"/>
  <c r="J90" i="39"/>
  <c r="AN90" i="39" s="1"/>
  <c r="C90" i="39"/>
  <c r="K90" i="39"/>
  <c r="AK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H90" i="39"/>
  <c r="P90" i="39"/>
  <c r="Q90" i="39"/>
  <c r="Z90" i="39"/>
  <c r="AP90" i="39" s="1"/>
  <c r="I90" i="39"/>
  <c r="AU42" i="39"/>
  <c r="F42" i="39"/>
  <c r="AM42" i="39" s="1"/>
  <c r="N42" i="39"/>
  <c r="G42" i="39"/>
  <c r="O42" i="39"/>
  <c r="H42" i="39"/>
  <c r="P42" i="39"/>
  <c r="B42" i="39"/>
  <c r="AF42" i="39" s="1"/>
  <c r="J42" i="39"/>
  <c r="AN42" i="39" s="1"/>
  <c r="C42" i="39"/>
  <c r="K42" i="39"/>
  <c r="AK42" i="39" s="1"/>
  <c r="D42" i="39"/>
  <c r="AJ42" i="39" s="1"/>
  <c r="E42" i="39"/>
  <c r="I42" i="39"/>
  <c r="Z42" i="39" s="1"/>
  <c r="AP42" i="39" s="1"/>
  <c r="L42" i="39"/>
  <c r="AQ42" i="39" s="1"/>
  <c r="M42" i="39"/>
  <c r="AS42" i="39" s="1"/>
  <c r="Q42" i="39"/>
  <c r="AC74" i="39"/>
  <c r="AL74" i="39"/>
  <c r="AE74" i="39"/>
  <c r="AU52" i="39"/>
  <c r="D52" i="39"/>
  <c r="AJ52" i="39" s="1"/>
  <c r="L52" i="39"/>
  <c r="AQ52" i="39" s="1"/>
  <c r="E52" i="39"/>
  <c r="M52" i="39"/>
  <c r="AS52" i="39" s="1"/>
  <c r="F52" i="39"/>
  <c r="AM52" i="39" s="1"/>
  <c r="N52" i="39"/>
  <c r="H52" i="39"/>
  <c r="P52" i="39"/>
  <c r="I52" i="39"/>
  <c r="Z52" i="39" s="1"/>
  <c r="AP52" i="39" s="1"/>
  <c r="Q52" i="39"/>
  <c r="G52" i="39"/>
  <c r="J52" i="39"/>
  <c r="AN52" i="39" s="1"/>
  <c r="K52" i="39"/>
  <c r="AK52" i="39" s="1"/>
  <c r="O52" i="39"/>
  <c r="B52" i="39"/>
  <c r="AF52" i="39" s="1"/>
  <c r="C52" i="39"/>
  <c r="AC73" i="39"/>
  <c r="AL73" i="39"/>
  <c r="AE73" i="39"/>
  <c r="AU51" i="39"/>
  <c r="E51" i="39"/>
  <c r="M51" i="39"/>
  <c r="AS51" i="39" s="1"/>
  <c r="F51" i="39"/>
  <c r="AM51" i="39" s="1"/>
  <c r="N51" i="39"/>
  <c r="G51" i="39"/>
  <c r="O51" i="39"/>
  <c r="I51" i="39"/>
  <c r="Q51" i="39"/>
  <c r="B51" i="39"/>
  <c r="AF51" i="39" s="1"/>
  <c r="J51" i="39"/>
  <c r="AN51" i="39" s="1"/>
  <c r="K51" i="39"/>
  <c r="AK51" i="39" s="1"/>
  <c r="L51" i="39"/>
  <c r="AQ51" i="39" s="1"/>
  <c r="P51" i="39"/>
  <c r="C51" i="39"/>
  <c r="D51" i="39"/>
  <c r="AJ51" i="39" s="1"/>
  <c r="H51" i="39"/>
  <c r="AE55" i="39"/>
  <c r="AC55" i="39"/>
  <c r="AL55" i="39"/>
  <c r="AU33" i="39"/>
  <c r="G33" i="39"/>
  <c r="O33" i="39"/>
  <c r="H33" i="39"/>
  <c r="P33" i="39"/>
  <c r="I33" i="39"/>
  <c r="Z33" i="39" s="1"/>
  <c r="AP33" i="39" s="1"/>
  <c r="Q33" i="39"/>
  <c r="C33" i="39"/>
  <c r="K33" i="39"/>
  <c r="AK33" i="39" s="1"/>
  <c r="D33" i="39"/>
  <c r="AJ33" i="39" s="1"/>
  <c r="L33" i="39"/>
  <c r="AQ33" i="39" s="1"/>
  <c r="M33" i="39"/>
  <c r="AS33" i="39" s="1"/>
  <c r="N33" i="39"/>
  <c r="B33" i="39"/>
  <c r="AF33" i="39" s="1"/>
  <c r="E33" i="39"/>
  <c r="F33" i="39"/>
  <c r="AM33" i="39" s="1"/>
  <c r="J33" i="39"/>
  <c r="AN33" i="39" s="1"/>
  <c r="AU88" i="39"/>
  <c r="H88" i="39"/>
  <c r="P88" i="39"/>
  <c r="I88" i="39"/>
  <c r="Q88" i="39"/>
  <c r="Z88" i="39"/>
  <c r="AP88" i="39" s="1"/>
  <c r="D88" i="39"/>
  <c r="AJ88" i="39" s="1"/>
  <c r="L88" i="39"/>
  <c r="AQ88" i="39" s="1"/>
  <c r="J88" i="39"/>
  <c r="AN88" i="39" s="1"/>
  <c r="K88" i="39"/>
  <c r="AK88" i="39" s="1"/>
  <c r="M88" i="39"/>
  <c r="AS88" i="39" s="1"/>
  <c r="B88" i="39"/>
  <c r="AF88" i="39" s="1"/>
  <c r="N88" i="39"/>
  <c r="C88" i="39"/>
  <c r="O88" i="39"/>
  <c r="E88" i="39"/>
  <c r="F88" i="39"/>
  <c r="AM88" i="39" s="1"/>
  <c r="G88" i="39"/>
  <c r="AC46" i="39"/>
  <c r="AL46" i="39"/>
  <c r="AE46" i="39"/>
  <c r="AU24" i="39"/>
  <c r="G24" i="39"/>
  <c r="H24" i="39"/>
  <c r="P24" i="39"/>
  <c r="I24" i="39"/>
  <c r="Q24" i="39"/>
  <c r="AP24" i="39"/>
  <c r="B24" i="39"/>
  <c r="AF24" i="39" s="1"/>
  <c r="J24" i="39"/>
  <c r="AN24" i="39" s="1"/>
  <c r="C24" i="39"/>
  <c r="K24" i="39"/>
  <c r="AK24" i="39" s="1"/>
  <c r="D24" i="39"/>
  <c r="AJ24" i="39" s="1"/>
  <c r="L24" i="39"/>
  <c r="AQ24" i="39" s="1"/>
  <c r="E24" i="39"/>
  <c r="M24" i="39"/>
  <c r="AS24" i="39" s="1"/>
  <c r="F24" i="39"/>
  <c r="AM24" i="39" s="1"/>
  <c r="N24" i="39"/>
  <c r="O24" i="39"/>
  <c r="AC61" i="39"/>
  <c r="AE61" i="39"/>
  <c r="AL61" i="39"/>
  <c r="AU39" i="39"/>
  <c r="I39" i="39"/>
  <c r="Z39" i="39" s="1"/>
  <c r="AP39" i="39" s="1"/>
  <c r="Q39" i="39"/>
  <c r="B39" i="39"/>
  <c r="AF39" i="39" s="1"/>
  <c r="J39" i="39"/>
  <c r="AN39" i="39" s="1"/>
  <c r="C39" i="39"/>
  <c r="K39" i="39"/>
  <c r="AK39" i="39" s="1"/>
  <c r="E39" i="39"/>
  <c r="M39" i="39"/>
  <c r="AS39" i="39" s="1"/>
  <c r="F39" i="39"/>
  <c r="AM39" i="39" s="1"/>
  <c r="N39" i="39"/>
  <c r="L39" i="39"/>
  <c r="AQ39" i="39" s="1"/>
  <c r="O39" i="39"/>
  <c r="P39" i="39"/>
  <c r="D39" i="39"/>
  <c r="AJ39" i="39" s="1"/>
  <c r="G39" i="39"/>
  <c r="H39" i="39"/>
  <c r="AU17" i="39"/>
  <c r="D17" i="39"/>
  <c r="AJ17" i="39" s="1"/>
  <c r="L17" i="39"/>
  <c r="AQ17" i="39" s="1"/>
  <c r="E17" i="39"/>
  <c r="I17" i="39"/>
  <c r="Q17" i="39"/>
  <c r="G17" i="39"/>
  <c r="H17" i="39"/>
  <c r="J17" i="39"/>
  <c r="AN17" i="39" s="1"/>
  <c r="K17" i="39"/>
  <c r="AK17" i="39" s="1"/>
  <c r="M17" i="39"/>
  <c r="AS17" i="39" s="1"/>
  <c r="B17" i="39"/>
  <c r="AF17" i="39" s="1"/>
  <c r="N17" i="39"/>
  <c r="C17" i="39"/>
  <c r="O17" i="39"/>
  <c r="F17" i="39"/>
  <c r="AM17" i="39" s="1"/>
  <c r="P17" i="39"/>
  <c r="AE4" i="39"/>
  <c r="AC4" i="39"/>
  <c r="AL4" i="39"/>
  <c r="AU12" i="39"/>
  <c r="I12" i="39"/>
  <c r="Z12" i="39" s="1"/>
  <c r="AP12" i="39" s="1"/>
  <c r="Q12" i="39"/>
  <c r="B12" i="39"/>
  <c r="AF12" i="39" s="1"/>
  <c r="J12" i="39"/>
  <c r="AN12" i="39" s="1"/>
  <c r="C12" i="39"/>
  <c r="K12" i="39"/>
  <c r="AK12" i="39" s="1"/>
  <c r="E12" i="39"/>
  <c r="M12" i="39"/>
  <c r="AS12" i="39" s="1"/>
  <c r="F12" i="39"/>
  <c r="AM12" i="39" s="1"/>
  <c r="N12" i="39"/>
  <c r="P12" i="39"/>
  <c r="D12" i="39"/>
  <c r="AJ12" i="39" s="1"/>
  <c r="G12" i="39"/>
  <c r="H12" i="39"/>
  <c r="L12" i="39"/>
  <c r="AQ12" i="39" s="1"/>
  <c r="O12" i="39"/>
  <c r="AU258" i="39"/>
  <c r="E258" i="39"/>
  <c r="M258" i="39"/>
  <c r="AS258" i="39" s="1"/>
  <c r="L258" i="39"/>
  <c r="AQ258" i="39" s="1"/>
  <c r="F258" i="39"/>
  <c r="AM258" i="39" s="1"/>
  <c r="N258" i="39"/>
  <c r="G258" i="39"/>
  <c r="O258" i="39"/>
  <c r="H258" i="39"/>
  <c r="P258" i="39"/>
  <c r="I258" i="39"/>
  <c r="Q258" i="39"/>
  <c r="Z258" i="39"/>
  <c r="AP258" i="39" s="1"/>
  <c r="B258" i="39"/>
  <c r="AF258" i="39" s="1"/>
  <c r="J258" i="39"/>
  <c r="AN258" i="39" s="1"/>
  <c r="C258" i="39"/>
  <c r="K258" i="39"/>
  <c r="AK258" i="39" s="1"/>
  <c r="D258" i="39"/>
  <c r="AJ258" i="39" s="1"/>
  <c r="AC295" i="39"/>
  <c r="AL295" i="39"/>
  <c r="AE295" i="39"/>
  <c r="AC262" i="39"/>
  <c r="AL262" i="39"/>
  <c r="AE262" i="39"/>
  <c r="AC299" i="39"/>
  <c r="AL299" i="39"/>
  <c r="AE299" i="39"/>
  <c r="AU128" i="39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B128" i="39"/>
  <c r="AF128" i="39" s="1"/>
  <c r="J128" i="39"/>
  <c r="AN128" i="39" s="1"/>
  <c r="C128" i="39"/>
  <c r="Z128" i="39"/>
  <c r="AP128" i="39" s="1"/>
  <c r="H128" i="39"/>
  <c r="I128" i="39"/>
  <c r="K128" i="39"/>
  <c r="AK128" i="39" s="1"/>
  <c r="P128" i="39"/>
  <c r="Q128" i="39"/>
  <c r="AU230" i="39"/>
  <c r="I230" i="39"/>
  <c r="Z230" i="39" s="1"/>
  <c r="AP230" i="39" s="1"/>
  <c r="Q230" i="39"/>
  <c r="B230" i="39"/>
  <c r="AF230" i="39" s="1"/>
  <c r="J230" i="39"/>
  <c r="AN230" i="39" s="1"/>
  <c r="D230" i="39"/>
  <c r="AJ230" i="39" s="1"/>
  <c r="L230" i="39"/>
  <c r="AQ230" i="39" s="1"/>
  <c r="M230" i="39"/>
  <c r="AS230" i="39" s="1"/>
  <c r="N230" i="39"/>
  <c r="C230" i="39"/>
  <c r="O230" i="39"/>
  <c r="E230" i="39"/>
  <c r="F230" i="39"/>
  <c r="AM230" i="39" s="1"/>
  <c r="H230" i="39"/>
  <c r="K230" i="39"/>
  <c r="AK230" i="39" s="1"/>
  <c r="G230" i="39"/>
  <c r="P230" i="39"/>
  <c r="AC134" i="39"/>
  <c r="AL134" i="39"/>
  <c r="AE134" i="39"/>
  <c r="AU121" i="39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I121" i="39"/>
  <c r="Q121" i="39"/>
  <c r="Z121" i="39"/>
  <c r="AP121" i="39" s="1"/>
  <c r="B121" i="39"/>
  <c r="AF121" i="39" s="1"/>
  <c r="G121" i="39"/>
  <c r="H121" i="39"/>
  <c r="J121" i="39"/>
  <c r="AN121" i="39" s="1"/>
  <c r="O121" i="39"/>
  <c r="P121" i="39"/>
  <c r="AC114" i="39"/>
  <c r="AE114" i="39"/>
  <c r="AL114" i="39"/>
  <c r="AU71" i="39"/>
  <c r="I71" i="39"/>
  <c r="Z71" i="39" s="1"/>
  <c r="AP71" i="39" s="1"/>
  <c r="Q71" i="39"/>
  <c r="B71" i="39"/>
  <c r="AF71" i="39" s="1"/>
  <c r="J71" i="39"/>
  <c r="AN71" i="39" s="1"/>
  <c r="C71" i="39"/>
  <c r="K71" i="39"/>
  <c r="AK71" i="39" s="1"/>
  <c r="E71" i="39"/>
  <c r="M71" i="39"/>
  <c r="AS71" i="39" s="1"/>
  <c r="F71" i="39"/>
  <c r="AM71" i="39" s="1"/>
  <c r="N71" i="39"/>
  <c r="D71" i="39"/>
  <c r="AJ71" i="39" s="1"/>
  <c r="G71" i="39"/>
  <c r="H71" i="39"/>
  <c r="L71" i="39"/>
  <c r="AQ71" i="39" s="1"/>
  <c r="O71" i="39"/>
  <c r="P71" i="39"/>
  <c r="AU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F11" i="39"/>
  <c r="AM11" i="39" s="1"/>
  <c r="N11" i="39"/>
  <c r="G11" i="39"/>
  <c r="O11" i="39"/>
  <c r="E11" i="39"/>
  <c r="H11" i="39"/>
  <c r="I11" i="39"/>
  <c r="Z11" i="39" s="1"/>
  <c r="AP11" i="39" s="1"/>
  <c r="M11" i="39"/>
  <c r="AS11" i="39" s="1"/>
  <c r="P11" i="39"/>
  <c r="Q11" i="39"/>
  <c r="AU274" i="39"/>
  <c r="E274" i="39"/>
  <c r="M274" i="39"/>
  <c r="AS274" i="39" s="1"/>
  <c r="F274" i="39"/>
  <c r="AM274" i="39" s="1"/>
  <c r="N274" i="39"/>
  <c r="L274" i="39"/>
  <c r="AQ274" i="39" s="1"/>
  <c r="G274" i="39"/>
  <c r="O274" i="39"/>
  <c r="H274" i="39"/>
  <c r="P274" i="39"/>
  <c r="I274" i="39"/>
  <c r="Q274" i="39"/>
  <c r="Z274" i="39"/>
  <c r="AP274" i="39" s="1"/>
  <c r="B274" i="39"/>
  <c r="AF274" i="39" s="1"/>
  <c r="J274" i="39"/>
  <c r="AN274" i="39" s="1"/>
  <c r="D274" i="39"/>
  <c r="AJ274" i="39" s="1"/>
  <c r="C274" i="39"/>
  <c r="K274" i="39"/>
  <c r="AK274" i="39" s="1"/>
  <c r="AC311" i="39"/>
  <c r="AL311" i="39"/>
  <c r="AE311" i="39"/>
  <c r="AU316" i="39"/>
  <c r="C316" i="39"/>
  <c r="K316" i="39"/>
  <c r="AK316" i="39" s="1"/>
  <c r="D316" i="39"/>
  <c r="AJ316" i="39" s="1"/>
  <c r="L316" i="39"/>
  <c r="AQ316" i="39" s="1"/>
  <c r="E316" i="39"/>
  <c r="M316" i="39"/>
  <c r="AS316" i="39" s="1"/>
  <c r="F316" i="39"/>
  <c r="AM316" i="39" s="1"/>
  <c r="N316" i="39"/>
  <c r="G316" i="39"/>
  <c r="O316" i="39"/>
  <c r="B316" i="39"/>
  <c r="AF316" i="39" s="1"/>
  <c r="H316" i="39"/>
  <c r="P316" i="39"/>
  <c r="I316" i="39"/>
  <c r="Z316" i="39" s="1"/>
  <c r="AP316" i="39" s="1"/>
  <c r="Q316" i="39"/>
  <c r="J316" i="39"/>
  <c r="AN316" i="39" s="1"/>
  <c r="AC250" i="39"/>
  <c r="AL250" i="39"/>
  <c r="AE250" i="39"/>
  <c r="AC267" i="39"/>
  <c r="AL267" i="39"/>
  <c r="AE267" i="39"/>
  <c r="AU299" i="39"/>
  <c r="D299" i="39"/>
  <c r="AJ299" i="39" s="1"/>
  <c r="L299" i="39"/>
  <c r="AQ299" i="39" s="1"/>
  <c r="E299" i="39"/>
  <c r="M299" i="39"/>
  <c r="AS299" i="39" s="1"/>
  <c r="K299" i="39"/>
  <c r="AK299" i="39" s="1"/>
  <c r="F299" i="39"/>
  <c r="AM299" i="39" s="1"/>
  <c r="N299" i="39"/>
  <c r="G299" i="39"/>
  <c r="O299" i="39"/>
  <c r="H299" i="39"/>
  <c r="P299" i="39"/>
  <c r="I299" i="39"/>
  <c r="Z299" i="39" s="1"/>
  <c r="AP299" i="39" s="1"/>
  <c r="Q299" i="39"/>
  <c r="B299" i="39"/>
  <c r="AF299" i="39" s="1"/>
  <c r="J299" i="39"/>
  <c r="AN299" i="39" s="1"/>
  <c r="C299" i="39"/>
  <c r="AE257" i="39"/>
  <c r="AC257" i="39"/>
  <c r="AL257" i="39"/>
  <c r="AC312" i="39"/>
  <c r="AL312" i="39"/>
  <c r="AE312" i="39"/>
  <c r="AU290" i="39"/>
  <c r="E290" i="39"/>
  <c r="M290" i="39"/>
  <c r="AS290" i="39" s="1"/>
  <c r="F290" i="39"/>
  <c r="AM290" i="39" s="1"/>
  <c r="N290" i="39"/>
  <c r="L290" i="39"/>
  <c r="AQ290" i="39" s="1"/>
  <c r="G290" i="39"/>
  <c r="O290" i="39"/>
  <c r="H290" i="39"/>
  <c r="P290" i="39"/>
  <c r="I290" i="39"/>
  <c r="Z290" i="39" s="1"/>
  <c r="AP290" i="39" s="1"/>
  <c r="Q290" i="39"/>
  <c r="D290" i="39"/>
  <c r="AJ290" i="39" s="1"/>
  <c r="B290" i="39"/>
  <c r="AF290" i="39" s="1"/>
  <c r="J290" i="39"/>
  <c r="AN290" i="39" s="1"/>
  <c r="C290" i="39"/>
  <c r="K290" i="39"/>
  <c r="AK290" i="39" s="1"/>
  <c r="AE248" i="39"/>
  <c r="AC248" i="39"/>
  <c r="AL248" i="39"/>
  <c r="AC263" i="39"/>
  <c r="AL263" i="39"/>
  <c r="AE263" i="39"/>
  <c r="AE239" i="39"/>
  <c r="AC239" i="39"/>
  <c r="AL239" i="39"/>
  <c r="AC163" i="39"/>
  <c r="AE163" i="39"/>
  <c r="AL163" i="39"/>
  <c r="AU285" i="39"/>
  <c r="B285" i="39"/>
  <c r="AF285" i="39" s="1"/>
  <c r="J285" i="39"/>
  <c r="AN285" i="39" s="1"/>
  <c r="C285" i="39"/>
  <c r="K285" i="39"/>
  <c r="AK285" i="39" s="1"/>
  <c r="D285" i="39"/>
  <c r="AJ285" i="39" s="1"/>
  <c r="L285" i="39"/>
  <c r="AQ285" i="39" s="1"/>
  <c r="Z285" i="39"/>
  <c r="AP285" i="39" s="1"/>
  <c r="E285" i="39"/>
  <c r="M285" i="39"/>
  <c r="AS285" i="39" s="1"/>
  <c r="I285" i="39"/>
  <c r="F285" i="39"/>
  <c r="AM285" i="39" s="1"/>
  <c r="N285" i="39"/>
  <c r="Q285" i="39"/>
  <c r="G285" i="39"/>
  <c r="O285" i="39"/>
  <c r="H285" i="39"/>
  <c r="P285" i="39"/>
  <c r="AC290" i="39"/>
  <c r="AL290" i="39"/>
  <c r="AE290" i="39"/>
  <c r="AU268" i="39"/>
  <c r="C268" i="39"/>
  <c r="K268" i="39"/>
  <c r="AK268" i="39" s="1"/>
  <c r="D268" i="39"/>
  <c r="AJ268" i="39" s="1"/>
  <c r="L268" i="39"/>
  <c r="AQ268" i="39" s="1"/>
  <c r="B268" i="39"/>
  <c r="AF268" i="39" s="1"/>
  <c r="E268" i="39"/>
  <c r="M268" i="39"/>
  <c r="AS268" i="39" s="1"/>
  <c r="F268" i="39"/>
  <c r="AM268" i="39" s="1"/>
  <c r="N268" i="39"/>
  <c r="G268" i="39"/>
  <c r="O268" i="39"/>
  <c r="J268" i="39"/>
  <c r="AN268" i="39" s="1"/>
  <c r="H268" i="39"/>
  <c r="P268" i="39"/>
  <c r="I268" i="39"/>
  <c r="Z268" i="39" s="1"/>
  <c r="AP268" i="39" s="1"/>
  <c r="Q268" i="39"/>
  <c r="AU253" i="39"/>
  <c r="B253" i="39"/>
  <c r="AF253" i="39" s="1"/>
  <c r="J253" i="39"/>
  <c r="AN253" i="39" s="1"/>
  <c r="C253" i="39"/>
  <c r="K253" i="39"/>
  <c r="AK253" i="39" s="1"/>
  <c r="D253" i="39"/>
  <c r="AJ253" i="39" s="1"/>
  <c r="L253" i="39"/>
  <c r="AQ253" i="39" s="1"/>
  <c r="Z253" i="39"/>
  <c r="AP253" i="39" s="1"/>
  <c r="E253" i="39"/>
  <c r="M253" i="39"/>
  <c r="AS253" i="39" s="1"/>
  <c r="F253" i="39"/>
  <c r="AM253" i="39" s="1"/>
  <c r="N253" i="39"/>
  <c r="I253" i="39"/>
  <c r="G253" i="39"/>
  <c r="O253" i="39"/>
  <c r="H253" i="39"/>
  <c r="P253" i="39"/>
  <c r="Q253" i="39"/>
  <c r="AC297" i="39"/>
  <c r="AL297" i="39"/>
  <c r="AE297" i="39"/>
  <c r="AU275" i="39"/>
  <c r="D275" i="39"/>
  <c r="AJ275" i="39" s="1"/>
  <c r="L275" i="39"/>
  <c r="AQ275" i="39" s="1"/>
  <c r="E275" i="39"/>
  <c r="M275" i="39"/>
  <c r="AS275" i="39" s="1"/>
  <c r="F275" i="39"/>
  <c r="AM275" i="39" s="1"/>
  <c r="N275" i="39"/>
  <c r="C275" i="39"/>
  <c r="G275" i="39"/>
  <c r="O275" i="39"/>
  <c r="H275" i="39"/>
  <c r="P275" i="39"/>
  <c r="K275" i="39"/>
  <c r="AK275" i="39" s="1"/>
  <c r="I275" i="39"/>
  <c r="Q275" i="39"/>
  <c r="Z275" i="39"/>
  <c r="AP275" i="39" s="1"/>
  <c r="B275" i="39"/>
  <c r="AF275" i="39" s="1"/>
  <c r="J275" i="39"/>
  <c r="AN275" i="39" s="1"/>
  <c r="AU197" i="39"/>
  <c r="B197" i="39"/>
  <c r="AF197" i="39" s="1"/>
  <c r="J197" i="39"/>
  <c r="AN197" i="39" s="1"/>
  <c r="C197" i="39"/>
  <c r="K197" i="39"/>
  <c r="AK197" i="39" s="1"/>
  <c r="D197" i="39"/>
  <c r="AJ197" i="39" s="1"/>
  <c r="L197" i="39"/>
  <c r="AQ197" i="39" s="1"/>
  <c r="E197" i="39"/>
  <c r="M197" i="39"/>
  <c r="AS197" i="39" s="1"/>
  <c r="F197" i="39"/>
  <c r="AM197" i="39" s="1"/>
  <c r="N197" i="39"/>
  <c r="G197" i="39"/>
  <c r="O197" i="39"/>
  <c r="P197" i="39"/>
  <c r="Q197" i="39"/>
  <c r="Z197" i="39"/>
  <c r="AP197" i="39" s="1"/>
  <c r="H197" i="39"/>
  <c r="I197" i="39"/>
  <c r="AC288" i="39"/>
  <c r="AL288" i="39"/>
  <c r="AE288" i="39"/>
  <c r="AU266" i="39"/>
  <c r="E266" i="39"/>
  <c r="M266" i="39"/>
  <c r="AS266" i="39" s="1"/>
  <c r="F266" i="39"/>
  <c r="AM266" i="39" s="1"/>
  <c r="N266" i="39"/>
  <c r="G266" i="39"/>
  <c r="O266" i="39"/>
  <c r="L266" i="39"/>
  <c r="AQ266" i="39" s="1"/>
  <c r="H266" i="39"/>
  <c r="P266" i="39"/>
  <c r="I266" i="39"/>
  <c r="Z266" i="39" s="1"/>
  <c r="AP266" i="39" s="1"/>
  <c r="Q266" i="39"/>
  <c r="D266" i="39"/>
  <c r="AJ266" i="39" s="1"/>
  <c r="B266" i="39"/>
  <c r="AF266" i="39" s="1"/>
  <c r="J266" i="39"/>
  <c r="AN266" i="39" s="1"/>
  <c r="C266" i="39"/>
  <c r="K266" i="39"/>
  <c r="AK266" i="39" s="1"/>
  <c r="AC315" i="39"/>
  <c r="AL315" i="39"/>
  <c r="AE315" i="39"/>
  <c r="AC303" i="39"/>
  <c r="AL303" i="39"/>
  <c r="AE303" i="39"/>
  <c r="AU281" i="39"/>
  <c r="F281" i="39"/>
  <c r="AM281" i="39" s="1"/>
  <c r="N281" i="39"/>
  <c r="G281" i="39"/>
  <c r="O281" i="39"/>
  <c r="M281" i="39"/>
  <c r="AS281" i="39" s="1"/>
  <c r="H281" i="39"/>
  <c r="P281" i="39"/>
  <c r="I281" i="39"/>
  <c r="Q281" i="39"/>
  <c r="Z281" i="39"/>
  <c r="AP281" i="39" s="1"/>
  <c r="B281" i="39"/>
  <c r="AF281" i="39" s="1"/>
  <c r="J281" i="39"/>
  <c r="AN281" i="39" s="1"/>
  <c r="C281" i="39"/>
  <c r="K281" i="39"/>
  <c r="AK281" i="39" s="1"/>
  <c r="D281" i="39"/>
  <c r="AJ281" i="39" s="1"/>
  <c r="L281" i="39"/>
  <c r="AQ281" i="39" s="1"/>
  <c r="E281" i="39"/>
  <c r="AU98" i="39"/>
  <c r="B98" i="39"/>
  <c r="AF98" i="39" s="1"/>
  <c r="J98" i="39"/>
  <c r="AN98" i="39" s="1"/>
  <c r="C98" i="39"/>
  <c r="K98" i="39"/>
  <c r="AK98" i="39" s="1"/>
  <c r="D98" i="39"/>
  <c r="AJ98" i="39" s="1"/>
  <c r="L98" i="39"/>
  <c r="AQ98" i="39" s="1"/>
  <c r="E98" i="39"/>
  <c r="M98" i="39"/>
  <c r="AS98" i="39" s="1"/>
  <c r="F98" i="39"/>
  <c r="AM98" i="39" s="1"/>
  <c r="N98" i="39"/>
  <c r="G98" i="39"/>
  <c r="O98" i="39"/>
  <c r="H98" i="39"/>
  <c r="P98" i="39"/>
  <c r="I98" i="39"/>
  <c r="Q98" i="39"/>
  <c r="Z98" i="39"/>
  <c r="AP98" i="39" s="1"/>
  <c r="AU312" i="39"/>
  <c r="G312" i="39"/>
  <c r="O312" i="39"/>
  <c r="H312" i="39"/>
  <c r="P312" i="39"/>
  <c r="N312" i="39"/>
  <c r="I312" i="39"/>
  <c r="Q312" i="39"/>
  <c r="Z312" i="39"/>
  <c r="AP312" i="39" s="1"/>
  <c r="F312" i="39"/>
  <c r="AM312" i="39" s="1"/>
  <c r="B312" i="39"/>
  <c r="AF312" i="39" s="1"/>
  <c r="J312" i="39"/>
  <c r="AN312" i="39" s="1"/>
  <c r="C312" i="39"/>
  <c r="K312" i="39"/>
  <c r="AK312" i="39" s="1"/>
  <c r="D312" i="39"/>
  <c r="AJ312" i="39" s="1"/>
  <c r="L312" i="39"/>
  <c r="AQ312" i="39" s="1"/>
  <c r="E312" i="39"/>
  <c r="M312" i="39"/>
  <c r="AS312" i="39" s="1"/>
  <c r="AC270" i="39"/>
  <c r="AL270" i="39"/>
  <c r="AE270" i="39"/>
  <c r="AU248" i="39"/>
  <c r="G248" i="39"/>
  <c r="O248" i="39"/>
  <c r="H248" i="39"/>
  <c r="P248" i="39"/>
  <c r="F248" i="39"/>
  <c r="AM248" i="39" s="1"/>
  <c r="I248" i="39"/>
  <c r="Q248" i="39"/>
  <c r="Z248" i="39"/>
  <c r="AP248" i="39" s="1"/>
  <c r="B248" i="39"/>
  <c r="AF248" i="39" s="1"/>
  <c r="J248" i="39"/>
  <c r="AN248" i="39" s="1"/>
  <c r="C248" i="39"/>
  <c r="K248" i="39"/>
  <c r="AK248" i="39" s="1"/>
  <c r="D248" i="39"/>
  <c r="AJ248" i="39" s="1"/>
  <c r="L248" i="39"/>
  <c r="AQ248" i="39" s="1"/>
  <c r="N248" i="39"/>
  <c r="E248" i="39"/>
  <c r="M248" i="39"/>
  <c r="AS248" i="39" s="1"/>
  <c r="AU311" i="39"/>
  <c r="H311" i="39"/>
  <c r="P311" i="39"/>
  <c r="I311" i="39"/>
  <c r="Q311" i="39"/>
  <c r="Z311" i="39"/>
  <c r="AP311" i="39" s="1"/>
  <c r="B311" i="39"/>
  <c r="AF311" i="39" s="1"/>
  <c r="J311" i="39"/>
  <c r="AN311" i="39" s="1"/>
  <c r="C311" i="39"/>
  <c r="K311" i="39"/>
  <c r="AK311" i="39" s="1"/>
  <c r="D311" i="39"/>
  <c r="AJ311" i="39" s="1"/>
  <c r="L311" i="39"/>
  <c r="AQ311" i="39" s="1"/>
  <c r="O311" i="39"/>
  <c r="E311" i="39"/>
  <c r="M311" i="39"/>
  <c r="AS311" i="39" s="1"/>
  <c r="F311" i="39"/>
  <c r="AM311" i="39" s="1"/>
  <c r="N311" i="39"/>
  <c r="G311" i="39"/>
  <c r="AE269" i="39"/>
  <c r="AC269" i="39"/>
  <c r="AL269" i="39"/>
  <c r="AC316" i="39"/>
  <c r="AL316" i="39"/>
  <c r="AE316" i="39"/>
  <c r="AU294" i="39"/>
  <c r="I294" i="39"/>
  <c r="Q294" i="39"/>
  <c r="B294" i="39"/>
  <c r="AF294" i="39" s="1"/>
  <c r="J294" i="39"/>
  <c r="AN294" i="39" s="1"/>
  <c r="H294" i="39"/>
  <c r="C294" i="39"/>
  <c r="K294" i="39"/>
  <c r="AK294" i="39" s="1"/>
  <c r="D294" i="39"/>
  <c r="AJ294" i="39" s="1"/>
  <c r="L294" i="39"/>
  <c r="AQ294" i="39" s="1"/>
  <c r="P294" i="39"/>
  <c r="E294" i="39"/>
  <c r="M294" i="39"/>
  <c r="AS294" i="39" s="1"/>
  <c r="F294" i="39"/>
  <c r="AM294" i="39" s="1"/>
  <c r="N294" i="39"/>
  <c r="G294" i="39"/>
  <c r="O294" i="39"/>
  <c r="AC252" i="39"/>
  <c r="AL252" i="39"/>
  <c r="AE252" i="39"/>
  <c r="AU173" i="39"/>
  <c r="B173" i="39"/>
  <c r="AF173" i="39" s="1"/>
  <c r="J173" i="39"/>
  <c r="AN173" i="39" s="1"/>
  <c r="C173" i="39"/>
  <c r="K173" i="39"/>
  <c r="AK173" i="39" s="1"/>
  <c r="D173" i="39"/>
  <c r="AJ173" i="39" s="1"/>
  <c r="L173" i="39"/>
  <c r="AQ173" i="39" s="1"/>
  <c r="E173" i="39"/>
  <c r="M173" i="39"/>
  <c r="AS173" i="39" s="1"/>
  <c r="F173" i="39"/>
  <c r="AM173" i="39" s="1"/>
  <c r="N173" i="39"/>
  <c r="G173" i="39"/>
  <c r="O173" i="39"/>
  <c r="H173" i="39"/>
  <c r="I173" i="39"/>
  <c r="Z173" i="39" s="1"/>
  <c r="AP173" i="39" s="1"/>
  <c r="P173" i="39"/>
  <c r="Q173" i="39"/>
  <c r="AU120" i="39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B120" i="39"/>
  <c r="AF120" i="39" s="1"/>
  <c r="J120" i="39"/>
  <c r="AN120" i="39" s="1"/>
  <c r="H120" i="39"/>
  <c r="I120" i="39"/>
  <c r="K120" i="39"/>
  <c r="AK120" i="39" s="1"/>
  <c r="P120" i="39"/>
  <c r="Q120" i="39"/>
  <c r="Z120" i="39"/>
  <c r="AP120" i="39" s="1"/>
  <c r="C120" i="39"/>
  <c r="AC218" i="39"/>
  <c r="AL218" i="39"/>
  <c r="AE218" i="39"/>
  <c r="AC227" i="39"/>
  <c r="AL227" i="39"/>
  <c r="AE227" i="39"/>
  <c r="AE155" i="39"/>
  <c r="AL155" i="39"/>
  <c r="AC155" i="39"/>
  <c r="AE178" i="39"/>
  <c r="AC178" i="39"/>
  <c r="AL178" i="39"/>
  <c r="AU235" i="39"/>
  <c r="E235" i="39"/>
  <c r="M235" i="39"/>
  <c r="AS235" i="39" s="1"/>
  <c r="J235" i="39"/>
  <c r="AN235" i="39" s="1"/>
  <c r="B235" i="39"/>
  <c r="AF235" i="39" s="1"/>
  <c r="K235" i="39"/>
  <c r="AK235" i="39" s="1"/>
  <c r="C235" i="39"/>
  <c r="L235" i="39"/>
  <c r="AQ235" i="39" s="1"/>
  <c r="F235" i="39"/>
  <c r="AM235" i="39" s="1"/>
  <c r="O235" i="39"/>
  <c r="H235" i="39"/>
  <c r="Q235" i="39"/>
  <c r="I235" i="39"/>
  <c r="Z235" i="39" s="1"/>
  <c r="AP235" i="39" s="1"/>
  <c r="G235" i="39"/>
  <c r="N235" i="39"/>
  <c r="P235" i="39"/>
  <c r="D235" i="39"/>
  <c r="AJ235" i="39" s="1"/>
  <c r="AC144" i="39"/>
  <c r="AL144" i="39"/>
  <c r="AE144" i="39"/>
  <c r="AC193" i="39"/>
  <c r="AL193" i="39"/>
  <c r="AE193" i="39"/>
  <c r="AU171" i="39"/>
  <c r="D171" i="39"/>
  <c r="AJ171" i="39" s="1"/>
  <c r="L171" i="39"/>
  <c r="AQ171" i="39" s="1"/>
  <c r="E171" i="39"/>
  <c r="M171" i="39"/>
  <c r="AS171" i="39" s="1"/>
  <c r="F171" i="39"/>
  <c r="AM171" i="39" s="1"/>
  <c r="N171" i="39"/>
  <c r="G171" i="39"/>
  <c r="O171" i="39"/>
  <c r="H171" i="39"/>
  <c r="P171" i="39"/>
  <c r="I171" i="39"/>
  <c r="Q171" i="39"/>
  <c r="Z171" i="39"/>
  <c r="AP171" i="39" s="1"/>
  <c r="B171" i="39"/>
  <c r="AF171" i="39" s="1"/>
  <c r="C171" i="39"/>
  <c r="J171" i="39"/>
  <c r="AN171" i="39" s="1"/>
  <c r="K171" i="39"/>
  <c r="AK171" i="39" s="1"/>
  <c r="AC120" i="39"/>
  <c r="AL120" i="39"/>
  <c r="AE120" i="39"/>
  <c r="AC184" i="39"/>
  <c r="AL184" i="39"/>
  <c r="AE184" i="39"/>
  <c r="AU162" i="39"/>
  <c r="E162" i="39"/>
  <c r="M162" i="39"/>
  <c r="AS162" i="39" s="1"/>
  <c r="F162" i="39"/>
  <c r="AM162" i="39" s="1"/>
  <c r="N162" i="39"/>
  <c r="G162" i="39"/>
  <c r="O162" i="39"/>
  <c r="H162" i="39"/>
  <c r="P162" i="39"/>
  <c r="I162" i="39"/>
  <c r="Q162" i="39"/>
  <c r="Z162" i="39"/>
  <c r="AP162" i="39" s="1"/>
  <c r="B162" i="39"/>
  <c r="AF162" i="39" s="1"/>
  <c r="J162" i="39"/>
  <c r="AN162" i="39" s="1"/>
  <c r="C162" i="39"/>
  <c r="D162" i="39"/>
  <c r="AJ162" i="39" s="1"/>
  <c r="K162" i="39"/>
  <c r="AK162" i="39" s="1"/>
  <c r="L162" i="39"/>
  <c r="AQ162" i="39" s="1"/>
  <c r="AC147" i="39"/>
  <c r="AL147" i="39"/>
  <c r="AE147" i="39"/>
  <c r="AC207" i="39"/>
  <c r="AL207" i="39"/>
  <c r="AE207" i="39"/>
  <c r="AU185" i="39"/>
  <c r="F185" i="39"/>
  <c r="AM185" i="39" s="1"/>
  <c r="N185" i="39"/>
  <c r="G185" i="39"/>
  <c r="O185" i="39"/>
  <c r="H185" i="39"/>
  <c r="P185" i="39"/>
  <c r="I185" i="39"/>
  <c r="Q185" i="39"/>
  <c r="Z185" i="39"/>
  <c r="AP185" i="39" s="1"/>
  <c r="B185" i="39"/>
  <c r="AF185" i="39" s="1"/>
  <c r="J185" i="39"/>
  <c r="AN185" i="39" s="1"/>
  <c r="C185" i="39"/>
  <c r="K185" i="39"/>
  <c r="AK185" i="39" s="1"/>
  <c r="D185" i="39"/>
  <c r="AJ185" i="39" s="1"/>
  <c r="E185" i="39"/>
  <c r="L185" i="39"/>
  <c r="AQ185" i="39" s="1"/>
  <c r="M185" i="39"/>
  <c r="AS185" i="39" s="1"/>
  <c r="AC136" i="39"/>
  <c r="AL136" i="39"/>
  <c r="AE136" i="39"/>
  <c r="AU216" i="39"/>
  <c r="G216" i="39"/>
  <c r="O216" i="39"/>
  <c r="H216" i="39"/>
  <c r="P216" i="39"/>
  <c r="I216" i="39"/>
  <c r="Q216" i="39"/>
  <c r="Z216" i="39"/>
  <c r="AP216" i="39" s="1"/>
  <c r="B216" i="39"/>
  <c r="AF216" i="39" s="1"/>
  <c r="J216" i="39"/>
  <c r="AN216" i="39" s="1"/>
  <c r="C216" i="39"/>
  <c r="K216" i="39"/>
  <c r="AK216" i="39" s="1"/>
  <c r="D216" i="39"/>
  <c r="AJ216" i="39" s="1"/>
  <c r="L216" i="39"/>
  <c r="AQ216" i="39" s="1"/>
  <c r="E216" i="39"/>
  <c r="M216" i="39"/>
  <c r="AS216" i="39" s="1"/>
  <c r="N216" i="39"/>
  <c r="F216" i="39"/>
  <c r="AM216" i="39" s="1"/>
  <c r="AC174" i="39"/>
  <c r="AL174" i="39"/>
  <c r="AE174" i="39"/>
  <c r="AU152" i="39"/>
  <c r="G152" i="39"/>
  <c r="O152" i="39"/>
  <c r="H152" i="39"/>
  <c r="P152" i="39"/>
  <c r="I152" i="39"/>
  <c r="Q152" i="39"/>
  <c r="Z152" i="39"/>
  <c r="AP152" i="39" s="1"/>
  <c r="B152" i="39"/>
  <c r="AF152" i="39" s="1"/>
  <c r="J152" i="39"/>
  <c r="AN152" i="39" s="1"/>
  <c r="C152" i="39"/>
  <c r="K152" i="39"/>
  <c r="AK152" i="39" s="1"/>
  <c r="D152" i="39"/>
  <c r="AJ152" i="39" s="1"/>
  <c r="L152" i="39"/>
  <c r="AQ152" i="39" s="1"/>
  <c r="E152" i="39"/>
  <c r="M152" i="39"/>
  <c r="AS152" i="39" s="1"/>
  <c r="N152" i="39"/>
  <c r="F152" i="39"/>
  <c r="AM152" i="39" s="1"/>
  <c r="AC118" i="39"/>
  <c r="AL118" i="39"/>
  <c r="AE118" i="39"/>
  <c r="AE197" i="39"/>
  <c r="AC197" i="39"/>
  <c r="AL197" i="39"/>
  <c r="AU175" i="39"/>
  <c r="H175" i="39"/>
  <c r="P175" i="39"/>
  <c r="I175" i="39"/>
  <c r="Z175" i="39" s="1"/>
  <c r="AP175" i="39" s="1"/>
  <c r="Q175" i="39"/>
  <c r="B175" i="39"/>
  <c r="AF175" i="39" s="1"/>
  <c r="J175" i="39"/>
  <c r="AN175" i="39" s="1"/>
  <c r="C175" i="39"/>
  <c r="K175" i="39"/>
  <c r="AK175" i="39" s="1"/>
  <c r="D175" i="39"/>
  <c r="AJ175" i="39" s="1"/>
  <c r="L175" i="39"/>
  <c r="AQ175" i="39" s="1"/>
  <c r="E175" i="39"/>
  <c r="M175" i="39"/>
  <c r="AS175" i="39" s="1"/>
  <c r="F175" i="39"/>
  <c r="AM175" i="39" s="1"/>
  <c r="N175" i="39"/>
  <c r="O175" i="39"/>
  <c r="G175" i="39"/>
  <c r="AE196" i="39"/>
  <c r="AC196" i="39"/>
  <c r="AL196" i="39"/>
  <c r="AU174" i="39"/>
  <c r="I174" i="39"/>
  <c r="Z174" i="39" s="1"/>
  <c r="AP174" i="39" s="1"/>
  <c r="Q174" i="39"/>
  <c r="B174" i="39"/>
  <c r="AF174" i="39" s="1"/>
  <c r="J174" i="39"/>
  <c r="AN174" i="39" s="1"/>
  <c r="C174" i="39"/>
  <c r="K174" i="39"/>
  <c r="AK174" i="39" s="1"/>
  <c r="D174" i="39"/>
  <c r="AJ174" i="39" s="1"/>
  <c r="L174" i="39"/>
  <c r="AQ174" i="39" s="1"/>
  <c r="E174" i="39"/>
  <c r="M174" i="39"/>
  <c r="AS174" i="39" s="1"/>
  <c r="F174" i="39"/>
  <c r="AM174" i="39" s="1"/>
  <c r="N174" i="39"/>
  <c r="O174" i="39"/>
  <c r="P174" i="39"/>
  <c r="G174" i="39"/>
  <c r="H174" i="39"/>
  <c r="AU77" i="39"/>
  <c r="C77" i="39"/>
  <c r="K77" i="39"/>
  <c r="AK77" i="39" s="1"/>
  <c r="D77" i="39"/>
  <c r="AJ77" i="39" s="1"/>
  <c r="L77" i="39"/>
  <c r="AQ77" i="39" s="1"/>
  <c r="G77" i="39"/>
  <c r="O77" i="39"/>
  <c r="H77" i="39"/>
  <c r="P77" i="39"/>
  <c r="B77" i="39"/>
  <c r="AF77" i="39" s="1"/>
  <c r="E77" i="39"/>
  <c r="F77" i="39"/>
  <c r="AM77" i="39" s="1"/>
  <c r="I77" i="39"/>
  <c r="Z77" i="39" s="1"/>
  <c r="AP77" i="39" s="1"/>
  <c r="J77" i="39"/>
  <c r="AN77" i="39" s="1"/>
  <c r="M77" i="39"/>
  <c r="AS77" i="39" s="1"/>
  <c r="N77" i="39"/>
  <c r="Q77" i="39"/>
  <c r="AU129" i="39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I129" i="39"/>
  <c r="Q129" i="39"/>
  <c r="Z129" i="39"/>
  <c r="AP129" i="39" s="1"/>
  <c r="P129" i="39"/>
  <c r="B129" i="39"/>
  <c r="AF129" i="39" s="1"/>
  <c r="G129" i="39"/>
  <c r="H129" i="39"/>
  <c r="J129" i="39"/>
  <c r="AN129" i="39" s="1"/>
  <c r="O129" i="39"/>
  <c r="AC87" i="39"/>
  <c r="AL87" i="39"/>
  <c r="AE87" i="39"/>
  <c r="AU29" i="39"/>
  <c r="C29" i="39"/>
  <c r="K29" i="39"/>
  <c r="AK29" i="39" s="1"/>
  <c r="D29" i="39"/>
  <c r="AJ29" i="39" s="1"/>
  <c r="L29" i="39"/>
  <c r="AQ29" i="39" s="1"/>
  <c r="E29" i="39"/>
  <c r="M29" i="39"/>
  <c r="AS29" i="39" s="1"/>
  <c r="G29" i="39"/>
  <c r="O29" i="39"/>
  <c r="H29" i="39"/>
  <c r="P29" i="39"/>
  <c r="F29" i="39"/>
  <c r="AM29" i="39" s="1"/>
  <c r="I29" i="39"/>
  <c r="Z29" i="39" s="1"/>
  <c r="AP29" i="39" s="1"/>
  <c r="J29" i="39"/>
  <c r="AN29" i="39" s="1"/>
  <c r="N29" i="39"/>
  <c r="Q29" i="39"/>
  <c r="B29" i="39"/>
  <c r="AF29" i="39" s="1"/>
  <c r="AU96" i="39"/>
  <c r="D96" i="39"/>
  <c r="AJ96" i="39" s="1"/>
  <c r="L96" i="39"/>
  <c r="AQ96" i="39" s="1"/>
  <c r="E96" i="39"/>
  <c r="M96" i="39"/>
  <c r="AS96" i="39" s="1"/>
  <c r="F96" i="39"/>
  <c r="AM96" i="39" s="1"/>
  <c r="N96" i="39"/>
  <c r="G96" i="39"/>
  <c r="O96" i="39"/>
  <c r="H96" i="39"/>
  <c r="P96" i="39"/>
  <c r="I96" i="39"/>
  <c r="Q96" i="39"/>
  <c r="Z96" i="39"/>
  <c r="AP96" i="39" s="1"/>
  <c r="B96" i="39"/>
  <c r="AF96" i="39" s="1"/>
  <c r="J96" i="39"/>
  <c r="AN96" i="39" s="1"/>
  <c r="C96" i="39"/>
  <c r="K96" i="39"/>
  <c r="AK96" i="39" s="1"/>
  <c r="AC35" i="39"/>
  <c r="AE35" i="39"/>
  <c r="AL35" i="39"/>
  <c r="AC101" i="39"/>
  <c r="AL101" i="39"/>
  <c r="AE101" i="39"/>
  <c r="AU74" i="39"/>
  <c r="F74" i="39"/>
  <c r="AM74" i="39" s="1"/>
  <c r="N74" i="39"/>
  <c r="G74" i="39"/>
  <c r="O74" i="39"/>
  <c r="H74" i="39"/>
  <c r="P74" i="39"/>
  <c r="B74" i="39"/>
  <c r="AF74" i="39" s="1"/>
  <c r="J74" i="39"/>
  <c r="AN74" i="39" s="1"/>
  <c r="C74" i="39"/>
  <c r="K74" i="39"/>
  <c r="AK74" i="39" s="1"/>
  <c r="L74" i="39"/>
  <c r="AQ74" i="39" s="1"/>
  <c r="M74" i="39"/>
  <c r="AS74" i="39" s="1"/>
  <c r="Q74" i="39"/>
  <c r="D74" i="39"/>
  <c r="AJ74" i="39" s="1"/>
  <c r="E74" i="39"/>
  <c r="I74" i="39"/>
  <c r="AU142" i="39"/>
  <c r="F142" i="39"/>
  <c r="AM142" i="39" s="1"/>
  <c r="N142" i="39"/>
  <c r="G142" i="39"/>
  <c r="O142" i="39"/>
  <c r="H142" i="39"/>
  <c r="P142" i="39"/>
  <c r="I142" i="39"/>
  <c r="Q142" i="39"/>
  <c r="Z142" i="39"/>
  <c r="AP142" i="39" s="1"/>
  <c r="D142" i="39"/>
  <c r="AJ142" i="39" s="1"/>
  <c r="L142" i="39"/>
  <c r="AQ142" i="39" s="1"/>
  <c r="K142" i="39"/>
  <c r="AK142" i="39" s="1"/>
  <c r="M142" i="39"/>
  <c r="AS142" i="39" s="1"/>
  <c r="B142" i="39"/>
  <c r="AF142" i="39" s="1"/>
  <c r="C142" i="39"/>
  <c r="E142" i="39"/>
  <c r="J142" i="39"/>
  <c r="AN142" i="39" s="1"/>
  <c r="AC100" i="39"/>
  <c r="AL100" i="39"/>
  <c r="AE100" i="39"/>
  <c r="AC68" i="39"/>
  <c r="AL68" i="39"/>
  <c r="AE68" i="39"/>
  <c r="AC115" i="39"/>
  <c r="AL115" i="39"/>
  <c r="AE115" i="39"/>
  <c r="AU93" i="39"/>
  <c r="G93" i="39"/>
  <c r="O93" i="39"/>
  <c r="H93" i="39"/>
  <c r="P93" i="39"/>
  <c r="I93" i="39"/>
  <c r="Q93" i="39"/>
  <c r="Z93" i="39"/>
  <c r="AP93" i="39" s="1"/>
  <c r="B93" i="39"/>
  <c r="AF93" i="39" s="1"/>
  <c r="J93" i="39"/>
  <c r="AN93" i="39" s="1"/>
  <c r="C93" i="39"/>
  <c r="K93" i="39"/>
  <c r="AK93" i="39" s="1"/>
  <c r="D93" i="39"/>
  <c r="AJ93" i="39" s="1"/>
  <c r="L93" i="39"/>
  <c r="AQ93" i="39" s="1"/>
  <c r="E93" i="39"/>
  <c r="M93" i="39"/>
  <c r="AS93" i="39" s="1"/>
  <c r="F93" i="39"/>
  <c r="AM93" i="39" s="1"/>
  <c r="N93" i="39"/>
  <c r="AC56" i="39"/>
  <c r="AL56" i="39"/>
  <c r="AE56" i="39"/>
  <c r="AE122" i="39"/>
  <c r="AC122" i="39"/>
  <c r="AL122" i="39"/>
  <c r="AU100" i="39"/>
  <c r="H100" i="39"/>
  <c r="P100" i="39"/>
  <c r="I100" i="39"/>
  <c r="Q100" i="39"/>
  <c r="Z100" i="39"/>
  <c r="AP100" i="39" s="1"/>
  <c r="B100" i="39"/>
  <c r="AF100" i="39" s="1"/>
  <c r="J100" i="39"/>
  <c r="AN100" i="39" s="1"/>
  <c r="C100" i="39"/>
  <c r="K100" i="39"/>
  <c r="AK100" i="39" s="1"/>
  <c r="D100" i="39"/>
  <c r="AJ100" i="39" s="1"/>
  <c r="L100" i="39"/>
  <c r="AQ100" i="39" s="1"/>
  <c r="E100" i="39"/>
  <c r="M100" i="39"/>
  <c r="AS100" i="39" s="1"/>
  <c r="F100" i="39"/>
  <c r="AM100" i="39" s="1"/>
  <c r="N100" i="39"/>
  <c r="G100" i="39"/>
  <c r="O100" i="39"/>
  <c r="AC67" i="39"/>
  <c r="AL67" i="39"/>
  <c r="AE67" i="39"/>
  <c r="AU21" i="39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E21" i="39"/>
  <c r="M21" i="39"/>
  <c r="AS21" i="39" s="1"/>
  <c r="F21" i="39"/>
  <c r="AM21" i="39" s="1"/>
  <c r="N21" i="39"/>
  <c r="G21" i="39"/>
  <c r="O21" i="39"/>
  <c r="H21" i="39"/>
  <c r="P21" i="39"/>
  <c r="I21" i="39"/>
  <c r="AP21" i="39" s="1"/>
  <c r="Q21" i="39"/>
  <c r="AE129" i="39"/>
  <c r="AC129" i="39"/>
  <c r="AL129" i="39"/>
  <c r="AU107" i="39"/>
  <c r="I107" i="39"/>
  <c r="Q107" i="39"/>
  <c r="Z107" i="39"/>
  <c r="AP107" i="39" s="1"/>
  <c r="B107" i="39"/>
  <c r="AF107" i="39" s="1"/>
  <c r="J107" i="39"/>
  <c r="AN107" i="39" s="1"/>
  <c r="C107" i="39"/>
  <c r="K107" i="39"/>
  <c r="AK107" i="39" s="1"/>
  <c r="D107" i="39"/>
  <c r="AJ107" i="39" s="1"/>
  <c r="L107" i="39"/>
  <c r="AQ107" i="39" s="1"/>
  <c r="E107" i="39"/>
  <c r="M107" i="39"/>
  <c r="AS107" i="39" s="1"/>
  <c r="F107" i="39"/>
  <c r="AM107" i="39" s="1"/>
  <c r="N107" i="39"/>
  <c r="G107" i="39"/>
  <c r="O107" i="39"/>
  <c r="H107" i="39"/>
  <c r="P107" i="39"/>
  <c r="AU86" i="39"/>
  <c r="B86" i="39"/>
  <c r="AF86" i="39" s="1"/>
  <c r="J86" i="39"/>
  <c r="AN86" i="39" s="1"/>
  <c r="C86" i="39"/>
  <c r="K86" i="39"/>
  <c r="AK86" i="39" s="1"/>
  <c r="F86" i="39"/>
  <c r="AM86" i="39" s="1"/>
  <c r="N86" i="39"/>
  <c r="G86" i="39"/>
  <c r="O86" i="39"/>
  <c r="Q86" i="39"/>
  <c r="D86" i="39"/>
  <c r="AJ86" i="39" s="1"/>
  <c r="E86" i="39"/>
  <c r="H86" i="39"/>
  <c r="I86" i="39"/>
  <c r="Z86" i="39"/>
  <c r="AP86" i="39" s="1"/>
  <c r="L86" i="39"/>
  <c r="AQ86" i="39" s="1"/>
  <c r="M86" i="39"/>
  <c r="AS86" i="39" s="1"/>
  <c r="P86" i="39"/>
  <c r="AC50" i="39"/>
  <c r="AL50" i="39"/>
  <c r="AE50" i="39"/>
  <c r="AU28" i="39"/>
  <c r="D28" i="39"/>
  <c r="AJ28" i="39" s="1"/>
  <c r="L28" i="39"/>
  <c r="AQ28" i="39" s="1"/>
  <c r="E28" i="39"/>
  <c r="M28" i="39"/>
  <c r="AS28" i="39" s="1"/>
  <c r="F28" i="39"/>
  <c r="AM28" i="39" s="1"/>
  <c r="N28" i="39"/>
  <c r="H28" i="39"/>
  <c r="P28" i="39"/>
  <c r="I28" i="39"/>
  <c r="Z28" i="39" s="1"/>
  <c r="AP28" i="39" s="1"/>
  <c r="Q28" i="39"/>
  <c r="J28" i="39"/>
  <c r="AN28" i="39" s="1"/>
  <c r="K28" i="39"/>
  <c r="AK28" i="39" s="1"/>
  <c r="O28" i="39"/>
  <c r="B28" i="39"/>
  <c r="AF28" i="39" s="1"/>
  <c r="C28" i="39"/>
  <c r="G28" i="39"/>
  <c r="AU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F3" i="39"/>
  <c r="AM3" i="39" s="1"/>
  <c r="N3" i="39"/>
  <c r="G3" i="39"/>
  <c r="O3" i="39"/>
  <c r="H3" i="39"/>
  <c r="I3" i="39"/>
  <c r="Z3" i="39" s="1"/>
  <c r="AP3" i="39" s="1"/>
  <c r="M3" i="39"/>
  <c r="AS3" i="39" s="1"/>
  <c r="P3" i="39"/>
  <c r="Q3" i="39"/>
  <c r="E3" i="39"/>
  <c r="AC49" i="39"/>
  <c r="AL49" i="39"/>
  <c r="AE49" i="39"/>
  <c r="AU27" i="39"/>
  <c r="E27" i="39"/>
  <c r="M27" i="39"/>
  <c r="AS27" i="39" s="1"/>
  <c r="F27" i="39"/>
  <c r="AM27" i="39" s="1"/>
  <c r="N27" i="39"/>
  <c r="G27" i="39"/>
  <c r="O27" i="39"/>
  <c r="I27" i="39"/>
  <c r="Z27" i="39" s="1"/>
  <c r="AP27" i="39" s="1"/>
  <c r="Q27" i="39"/>
  <c r="B27" i="39"/>
  <c r="AF27" i="39" s="1"/>
  <c r="J27" i="39"/>
  <c r="AN27" i="39" s="1"/>
  <c r="L27" i="39"/>
  <c r="AQ27" i="39" s="1"/>
  <c r="P27" i="39"/>
  <c r="C27" i="39"/>
  <c r="D27" i="39"/>
  <c r="AJ27" i="39" s="1"/>
  <c r="H27" i="39"/>
  <c r="K27" i="39"/>
  <c r="AK27" i="39" s="1"/>
  <c r="AU73" i="39"/>
  <c r="G73" i="39"/>
  <c r="O73" i="39"/>
  <c r="H73" i="39"/>
  <c r="P73" i="39"/>
  <c r="I73" i="39"/>
  <c r="Z73" i="39" s="1"/>
  <c r="AP73" i="39" s="1"/>
  <c r="Q73" i="39"/>
  <c r="C73" i="39"/>
  <c r="K73" i="39"/>
  <c r="AK73" i="39" s="1"/>
  <c r="D73" i="39"/>
  <c r="AJ73" i="39" s="1"/>
  <c r="L73" i="39"/>
  <c r="AQ73" i="39" s="1"/>
  <c r="N73" i="39"/>
  <c r="B73" i="39"/>
  <c r="AF73" i="39" s="1"/>
  <c r="E73" i="39"/>
  <c r="F73" i="39"/>
  <c r="AM73" i="39" s="1"/>
  <c r="J73" i="39"/>
  <c r="AN73" i="39" s="1"/>
  <c r="M73" i="39"/>
  <c r="AS73" i="39" s="1"/>
  <c r="AL31" i="39"/>
  <c r="AC31" i="39"/>
  <c r="AE31" i="39"/>
  <c r="AC86" i="39"/>
  <c r="AE86" i="39"/>
  <c r="AL86" i="39"/>
  <c r="AU64" i="39"/>
  <c r="H64" i="39"/>
  <c r="P64" i="39"/>
  <c r="I64" i="39"/>
  <c r="Q64" i="39"/>
  <c r="B64" i="39"/>
  <c r="AF64" i="39" s="1"/>
  <c r="J64" i="39"/>
  <c r="AN64" i="39" s="1"/>
  <c r="D64" i="39"/>
  <c r="AJ64" i="39" s="1"/>
  <c r="L64" i="39"/>
  <c r="AQ64" i="39" s="1"/>
  <c r="E64" i="39"/>
  <c r="M64" i="39"/>
  <c r="AS64" i="39" s="1"/>
  <c r="F64" i="39"/>
  <c r="AM64" i="39" s="1"/>
  <c r="G64" i="39"/>
  <c r="K64" i="39"/>
  <c r="AK64" i="39" s="1"/>
  <c r="N64" i="39"/>
  <c r="O64" i="39"/>
  <c r="C64" i="39"/>
  <c r="AC22" i="39"/>
  <c r="AL22" i="39"/>
  <c r="AE22" i="39"/>
  <c r="AU79" i="39"/>
  <c r="I79" i="39"/>
  <c r="Q79" i="39"/>
  <c r="B79" i="39"/>
  <c r="AF79" i="39" s="1"/>
  <c r="J79" i="39"/>
  <c r="AN79" i="39" s="1"/>
  <c r="E79" i="39"/>
  <c r="M79" i="39"/>
  <c r="AS79" i="39" s="1"/>
  <c r="F79" i="39"/>
  <c r="AM79" i="39" s="1"/>
  <c r="N79" i="39"/>
  <c r="P79" i="39"/>
  <c r="C79" i="39"/>
  <c r="D79" i="39"/>
  <c r="AJ79" i="39" s="1"/>
  <c r="G79" i="39"/>
  <c r="H79" i="39"/>
  <c r="K79" i="39"/>
  <c r="AK79" i="39" s="1"/>
  <c r="L79" i="39"/>
  <c r="AQ79" i="39" s="1"/>
  <c r="O79" i="39"/>
  <c r="AC37" i="39"/>
  <c r="AL37" i="39"/>
  <c r="AE37" i="39"/>
  <c r="AE17" i="39"/>
  <c r="AC17" i="39"/>
  <c r="AL17" i="39"/>
  <c r="AC15" i="39"/>
  <c r="AL15" i="39"/>
  <c r="AE15" i="39"/>
  <c r="AU8" i="39"/>
  <c r="E8" i="39"/>
  <c r="M8" i="39"/>
  <c r="AS8" i="39" s="1"/>
  <c r="F8" i="39"/>
  <c r="AM8" i="39" s="1"/>
  <c r="N8" i="39"/>
  <c r="G8" i="39"/>
  <c r="O8" i="39"/>
  <c r="I8" i="39"/>
  <c r="Z8" i="39" s="1"/>
  <c r="AP8" i="39" s="1"/>
  <c r="Q8" i="39"/>
  <c r="B8" i="39"/>
  <c r="AF8" i="39" s="1"/>
  <c r="J8" i="39"/>
  <c r="AN8" i="39" s="1"/>
  <c r="K8" i="39"/>
  <c r="AK8" i="39" s="1"/>
  <c r="L8" i="39"/>
  <c r="AQ8" i="39" s="1"/>
  <c r="P8" i="39"/>
  <c r="C8" i="39"/>
  <c r="D8" i="39"/>
  <c r="AJ8" i="39" s="1"/>
  <c r="H8" i="39"/>
  <c r="AC10" i="39"/>
  <c r="AL10" i="39"/>
  <c r="AE10" i="39"/>
  <c r="AC282" i="39"/>
  <c r="AL282" i="39"/>
  <c r="AE282" i="39"/>
  <c r="AU303" i="39"/>
  <c r="H303" i="39"/>
  <c r="P303" i="39"/>
  <c r="I303" i="39"/>
  <c r="Q303" i="39"/>
  <c r="B303" i="39"/>
  <c r="AF303" i="39" s="1"/>
  <c r="J303" i="39"/>
  <c r="AN303" i="39" s="1"/>
  <c r="C303" i="39"/>
  <c r="K303" i="39"/>
  <c r="AK303" i="39" s="1"/>
  <c r="G303" i="39"/>
  <c r="D303" i="39"/>
  <c r="AJ303" i="39" s="1"/>
  <c r="L303" i="39"/>
  <c r="AQ303" i="39" s="1"/>
  <c r="O303" i="39"/>
  <c r="E303" i="39"/>
  <c r="M303" i="39"/>
  <c r="AS303" i="39" s="1"/>
  <c r="F303" i="39"/>
  <c r="AM303" i="39" s="1"/>
  <c r="N303" i="39"/>
  <c r="AE261" i="39"/>
  <c r="AC261" i="39"/>
  <c r="AL261" i="39"/>
  <c r="AU286" i="39"/>
  <c r="I286" i="39"/>
  <c r="Q286" i="39"/>
  <c r="Z286" i="39"/>
  <c r="AP286" i="39" s="1"/>
  <c r="B286" i="39"/>
  <c r="AF286" i="39" s="1"/>
  <c r="J286" i="39"/>
  <c r="AN286" i="39" s="1"/>
  <c r="P286" i="39"/>
  <c r="C286" i="39"/>
  <c r="K286" i="39"/>
  <c r="AK286" i="39" s="1"/>
  <c r="D286" i="39"/>
  <c r="AJ286" i="39" s="1"/>
  <c r="L286" i="39"/>
  <c r="AQ286" i="39" s="1"/>
  <c r="E286" i="39"/>
  <c r="M286" i="39"/>
  <c r="AS286" i="39" s="1"/>
  <c r="F286" i="39"/>
  <c r="AM286" i="39" s="1"/>
  <c r="N286" i="39"/>
  <c r="H286" i="39"/>
  <c r="G286" i="39"/>
  <c r="O286" i="39"/>
  <c r="AC236" i="39"/>
  <c r="AL236" i="39"/>
  <c r="AE236" i="39"/>
  <c r="AU208" i="39"/>
  <c r="G208" i="39"/>
  <c r="O208" i="39"/>
  <c r="H208" i="39"/>
  <c r="P208" i="39"/>
  <c r="I208" i="39"/>
  <c r="Z208" i="39" s="1"/>
  <c r="AP208" i="39" s="1"/>
  <c r="Q208" i="39"/>
  <c r="B208" i="39"/>
  <c r="AF208" i="39" s="1"/>
  <c r="J208" i="39"/>
  <c r="AN208" i="39" s="1"/>
  <c r="C208" i="39"/>
  <c r="K208" i="39"/>
  <c r="AK208" i="39" s="1"/>
  <c r="D208" i="39"/>
  <c r="AJ208" i="39" s="1"/>
  <c r="L208" i="39"/>
  <c r="AQ208" i="39" s="1"/>
  <c r="E208" i="39"/>
  <c r="F208" i="39"/>
  <c r="AM208" i="39" s="1"/>
  <c r="M208" i="39"/>
  <c r="AS208" i="39" s="1"/>
  <c r="N208" i="39"/>
  <c r="AC166" i="39"/>
  <c r="AL166" i="39"/>
  <c r="AE166" i="39"/>
  <c r="AU146" i="39"/>
  <c r="B146" i="39"/>
  <c r="AF146" i="39" s="1"/>
  <c r="J146" i="39"/>
  <c r="AN146" i="39" s="1"/>
  <c r="C146" i="39"/>
  <c r="K146" i="39"/>
  <c r="AK146" i="39" s="1"/>
  <c r="H146" i="39"/>
  <c r="P146" i="39"/>
  <c r="L146" i="39"/>
  <c r="AQ146" i="39" s="1"/>
  <c r="M146" i="39"/>
  <c r="AS146" i="39" s="1"/>
  <c r="Z146" i="39"/>
  <c r="AP146" i="39" s="1"/>
  <c r="N146" i="39"/>
  <c r="D146" i="39"/>
  <c r="AJ146" i="39" s="1"/>
  <c r="O146" i="39"/>
  <c r="E146" i="39"/>
  <c r="Q146" i="39"/>
  <c r="F146" i="39"/>
  <c r="AM146" i="39" s="1"/>
  <c r="G146" i="39"/>
  <c r="I146" i="39"/>
  <c r="AU231" i="39"/>
  <c r="H231" i="39"/>
  <c r="P231" i="39"/>
  <c r="I231" i="39"/>
  <c r="Z231" i="39" s="1"/>
  <c r="AP231" i="39" s="1"/>
  <c r="Q231" i="39"/>
  <c r="C231" i="39"/>
  <c r="K231" i="39"/>
  <c r="AK231" i="39" s="1"/>
  <c r="M231" i="39"/>
  <c r="AS231" i="39" s="1"/>
  <c r="B231" i="39"/>
  <c r="AF231" i="39" s="1"/>
  <c r="N231" i="39"/>
  <c r="D231" i="39"/>
  <c r="AJ231" i="39" s="1"/>
  <c r="O231" i="39"/>
  <c r="F231" i="39"/>
  <c r="AM231" i="39" s="1"/>
  <c r="J231" i="39"/>
  <c r="AN231" i="39" s="1"/>
  <c r="E231" i="39"/>
  <c r="G231" i="39"/>
  <c r="L231" i="39"/>
  <c r="AQ231" i="39" s="1"/>
  <c r="AU167" i="39"/>
  <c r="H167" i="39"/>
  <c r="P167" i="39"/>
  <c r="I167" i="39"/>
  <c r="Q167" i="39"/>
  <c r="Z167" i="39"/>
  <c r="AP167" i="39" s="1"/>
  <c r="B167" i="39"/>
  <c r="AF167" i="39" s="1"/>
  <c r="J167" i="39"/>
  <c r="AN167" i="39" s="1"/>
  <c r="C167" i="39"/>
  <c r="K167" i="39"/>
  <c r="AK167" i="39" s="1"/>
  <c r="D167" i="39"/>
  <c r="AJ167" i="39" s="1"/>
  <c r="L167" i="39"/>
  <c r="AQ167" i="39" s="1"/>
  <c r="E167" i="39"/>
  <c r="M167" i="39"/>
  <c r="AS167" i="39" s="1"/>
  <c r="F167" i="39"/>
  <c r="AM167" i="39" s="1"/>
  <c r="G167" i="39"/>
  <c r="N167" i="39"/>
  <c r="O167" i="39"/>
  <c r="AU54" i="39"/>
  <c r="B54" i="39"/>
  <c r="AF54" i="39" s="1"/>
  <c r="J54" i="39"/>
  <c r="AN54" i="39" s="1"/>
  <c r="C54" i="39"/>
  <c r="K54" i="39"/>
  <c r="AK54" i="39" s="1"/>
  <c r="D54" i="39"/>
  <c r="AJ54" i="39" s="1"/>
  <c r="L54" i="39"/>
  <c r="AQ54" i="39" s="1"/>
  <c r="F54" i="39"/>
  <c r="AM54" i="39" s="1"/>
  <c r="N54" i="39"/>
  <c r="G54" i="39"/>
  <c r="O54" i="39"/>
  <c r="E54" i="39"/>
  <c r="H54" i="39"/>
  <c r="I54" i="39"/>
  <c r="Z54" i="39" s="1"/>
  <c r="AP54" i="39" s="1"/>
  <c r="M54" i="39"/>
  <c r="AS54" i="39" s="1"/>
  <c r="P54" i="39"/>
  <c r="Q54" i="39"/>
  <c r="AC258" i="39"/>
  <c r="AL258" i="39"/>
  <c r="AE258" i="39"/>
  <c r="AU307" i="39"/>
  <c r="D307" i="39"/>
  <c r="AJ307" i="39" s="1"/>
  <c r="L307" i="39"/>
  <c r="AQ307" i="39" s="1"/>
  <c r="K307" i="39"/>
  <c r="AK307" i="39" s="1"/>
  <c r="E307" i="39"/>
  <c r="M307" i="39"/>
  <c r="AS307" i="39" s="1"/>
  <c r="F307" i="39"/>
  <c r="AM307" i="39" s="1"/>
  <c r="N307" i="39"/>
  <c r="G307" i="39"/>
  <c r="O307" i="39"/>
  <c r="H307" i="39"/>
  <c r="P307" i="39"/>
  <c r="C307" i="39"/>
  <c r="I307" i="39"/>
  <c r="Q307" i="39"/>
  <c r="Z307" i="39"/>
  <c r="AP307" i="39" s="1"/>
  <c r="B307" i="39"/>
  <c r="AF307" i="39" s="1"/>
  <c r="J307" i="39"/>
  <c r="AN307" i="39" s="1"/>
  <c r="AE298" i="39"/>
  <c r="AC298" i="39"/>
  <c r="AL298" i="39"/>
  <c r="AU276" i="39"/>
  <c r="C276" i="39"/>
  <c r="K276" i="39"/>
  <c r="AK276" i="39" s="1"/>
  <c r="D276" i="39"/>
  <c r="AJ276" i="39" s="1"/>
  <c r="L276" i="39"/>
  <c r="AQ276" i="39" s="1"/>
  <c r="J276" i="39"/>
  <c r="AN276" i="39" s="1"/>
  <c r="E276" i="39"/>
  <c r="M276" i="39"/>
  <c r="AS276" i="39" s="1"/>
  <c r="F276" i="39"/>
  <c r="AM276" i="39" s="1"/>
  <c r="N276" i="39"/>
  <c r="G276" i="39"/>
  <c r="O276" i="39"/>
  <c r="H276" i="39"/>
  <c r="P276" i="39"/>
  <c r="I276" i="39"/>
  <c r="Q276" i="39"/>
  <c r="Z276" i="39"/>
  <c r="AP276" i="39" s="1"/>
  <c r="B276" i="39"/>
  <c r="AF276" i="39" s="1"/>
  <c r="AC305" i="39"/>
  <c r="AL305" i="39"/>
  <c r="AE305" i="39"/>
  <c r="AU283" i="39"/>
  <c r="D283" i="39"/>
  <c r="AJ283" i="39" s="1"/>
  <c r="L283" i="39"/>
  <c r="AQ283" i="39" s="1"/>
  <c r="E283" i="39"/>
  <c r="M283" i="39"/>
  <c r="AS283" i="39" s="1"/>
  <c r="F283" i="39"/>
  <c r="AM283" i="39" s="1"/>
  <c r="N283" i="39"/>
  <c r="C283" i="39"/>
  <c r="G283" i="39"/>
  <c r="O283" i="39"/>
  <c r="H283" i="39"/>
  <c r="P283" i="39"/>
  <c r="K283" i="39"/>
  <c r="AK283" i="39" s="1"/>
  <c r="I283" i="39"/>
  <c r="Q283" i="39"/>
  <c r="Z283" i="39"/>
  <c r="AP283" i="39" s="1"/>
  <c r="B283" i="39"/>
  <c r="AF283" i="39" s="1"/>
  <c r="J283" i="39"/>
  <c r="AN283" i="39" s="1"/>
  <c r="AC283" i="39"/>
  <c r="AL283" i="39"/>
  <c r="AE283" i="39"/>
  <c r="AU308" i="39"/>
  <c r="C308" i="39"/>
  <c r="K308" i="39"/>
  <c r="AK308" i="39" s="1"/>
  <c r="D308" i="39"/>
  <c r="AJ308" i="39" s="1"/>
  <c r="L308" i="39"/>
  <c r="AQ308" i="39" s="1"/>
  <c r="B308" i="39"/>
  <c r="AF308" i="39" s="1"/>
  <c r="E308" i="39"/>
  <c r="M308" i="39"/>
  <c r="AS308" i="39" s="1"/>
  <c r="F308" i="39"/>
  <c r="AM308" i="39" s="1"/>
  <c r="N308" i="39"/>
  <c r="J308" i="39"/>
  <c r="AN308" i="39" s="1"/>
  <c r="G308" i="39"/>
  <c r="O308" i="39"/>
  <c r="H308" i="39"/>
  <c r="P308" i="39"/>
  <c r="I308" i="39"/>
  <c r="Q308" i="39"/>
  <c r="Z308" i="39"/>
  <c r="AP308" i="39" s="1"/>
  <c r="AE273" i="39"/>
  <c r="AC273" i="39"/>
  <c r="AL273" i="39"/>
  <c r="AU251" i="39"/>
  <c r="D251" i="39"/>
  <c r="AJ251" i="39" s="1"/>
  <c r="L251" i="39"/>
  <c r="AQ251" i="39" s="1"/>
  <c r="E251" i="39"/>
  <c r="M251" i="39"/>
  <c r="AS251" i="39" s="1"/>
  <c r="F251" i="39"/>
  <c r="AM251" i="39" s="1"/>
  <c r="N251" i="39"/>
  <c r="G251" i="39"/>
  <c r="O251" i="39"/>
  <c r="H251" i="39"/>
  <c r="P251" i="39"/>
  <c r="K251" i="39"/>
  <c r="AK251" i="39" s="1"/>
  <c r="I251" i="39"/>
  <c r="Q251" i="39"/>
  <c r="Z251" i="39"/>
  <c r="AP251" i="39" s="1"/>
  <c r="C251" i="39"/>
  <c r="B251" i="39"/>
  <c r="AF251" i="39" s="1"/>
  <c r="J251" i="39"/>
  <c r="AN251" i="39" s="1"/>
  <c r="AU306" i="39"/>
  <c r="E306" i="39"/>
  <c r="M306" i="39"/>
  <c r="AS306" i="39" s="1"/>
  <c r="F306" i="39"/>
  <c r="AM306" i="39" s="1"/>
  <c r="N306" i="39"/>
  <c r="D306" i="39"/>
  <c r="AJ306" i="39" s="1"/>
  <c r="G306" i="39"/>
  <c r="O306" i="39"/>
  <c r="H306" i="39"/>
  <c r="P306" i="39"/>
  <c r="I306" i="39"/>
  <c r="Q306" i="39"/>
  <c r="Z306" i="39"/>
  <c r="AP306" i="39" s="1"/>
  <c r="B306" i="39"/>
  <c r="AF306" i="39" s="1"/>
  <c r="J306" i="39"/>
  <c r="AN306" i="39" s="1"/>
  <c r="C306" i="39"/>
  <c r="K306" i="39"/>
  <c r="AK306" i="39" s="1"/>
  <c r="L306" i="39"/>
  <c r="AQ306" i="39" s="1"/>
  <c r="AC264" i="39"/>
  <c r="AL264" i="39"/>
  <c r="AE264" i="39"/>
  <c r="AE246" i="39"/>
  <c r="AC246" i="39"/>
  <c r="AL246" i="39"/>
  <c r="AC279" i="39"/>
  <c r="AL279" i="39"/>
  <c r="AE279" i="39"/>
  <c r="AU257" i="39"/>
  <c r="F257" i="39"/>
  <c r="AM257" i="39" s="1"/>
  <c r="N257" i="39"/>
  <c r="G257" i="39"/>
  <c r="O257" i="39"/>
  <c r="H257" i="39"/>
  <c r="P257" i="39"/>
  <c r="I257" i="39"/>
  <c r="Q257" i="39"/>
  <c r="Z257" i="39"/>
  <c r="AP257" i="39" s="1"/>
  <c r="B257" i="39"/>
  <c r="AF257" i="39" s="1"/>
  <c r="J257" i="39"/>
  <c r="AN257" i="39" s="1"/>
  <c r="M257" i="39"/>
  <c r="AS257" i="39" s="1"/>
  <c r="C257" i="39"/>
  <c r="K257" i="39"/>
  <c r="AK257" i="39" s="1"/>
  <c r="E257" i="39"/>
  <c r="D257" i="39"/>
  <c r="AJ257" i="39" s="1"/>
  <c r="L257" i="39"/>
  <c r="AQ257" i="39" s="1"/>
  <c r="AC237" i="39"/>
  <c r="AE237" i="39"/>
  <c r="AL237" i="39"/>
  <c r="AU317" i="39"/>
  <c r="B317" i="39"/>
  <c r="AF317" i="39" s="1"/>
  <c r="J317" i="39"/>
  <c r="AN317" i="39" s="1"/>
  <c r="C317" i="39"/>
  <c r="K317" i="39"/>
  <c r="AK317" i="39" s="1"/>
  <c r="I317" i="39"/>
  <c r="Z317" i="39" s="1"/>
  <c r="AP317" i="39" s="1"/>
  <c r="D317" i="39"/>
  <c r="AJ317" i="39" s="1"/>
  <c r="L317" i="39"/>
  <c r="AQ317" i="39" s="1"/>
  <c r="E317" i="39"/>
  <c r="M317" i="39"/>
  <c r="AS317" i="39" s="1"/>
  <c r="F317" i="39"/>
  <c r="AM317" i="39" s="1"/>
  <c r="N317" i="39"/>
  <c r="G317" i="39"/>
  <c r="O317" i="39"/>
  <c r="Q317" i="39"/>
  <c r="H317" i="39"/>
  <c r="P317" i="39"/>
  <c r="AE310" i="39"/>
  <c r="AL310" i="39"/>
  <c r="AC310" i="39"/>
  <c r="AU288" i="39"/>
  <c r="G288" i="39"/>
  <c r="O288" i="39"/>
  <c r="H288" i="39"/>
  <c r="P288" i="39"/>
  <c r="I288" i="39"/>
  <c r="Q288" i="39"/>
  <c r="Z288" i="39"/>
  <c r="AP288" i="39" s="1"/>
  <c r="F288" i="39"/>
  <c r="AM288" i="39" s="1"/>
  <c r="B288" i="39"/>
  <c r="AF288" i="39" s="1"/>
  <c r="J288" i="39"/>
  <c r="AN288" i="39" s="1"/>
  <c r="C288" i="39"/>
  <c r="K288" i="39"/>
  <c r="AK288" i="39" s="1"/>
  <c r="D288" i="39"/>
  <c r="AJ288" i="39" s="1"/>
  <c r="L288" i="39"/>
  <c r="AQ288" i="39" s="1"/>
  <c r="N288" i="39"/>
  <c r="E288" i="39"/>
  <c r="M288" i="39"/>
  <c r="AS288" i="39" s="1"/>
  <c r="AU247" i="39"/>
  <c r="E247" i="39"/>
  <c r="H247" i="39"/>
  <c r="P247" i="39"/>
  <c r="O247" i="39"/>
  <c r="I247" i="39"/>
  <c r="Q247" i="39"/>
  <c r="Z247" i="39"/>
  <c r="AP247" i="39" s="1"/>
  <c r="J247" i="39"/>
  <c r="AN247" i="39" s="1"/>
  <c r="B247" i="39"/>
  <c r="AF247" i="39" s="1"/>
  <c r="K247" i="39"/>
  <c r="AK247" i="39" s="1"/>
  <c r="C247" i="39"/>
  <c r="L247" i="39"/>
  <c r="AQ247" i="39" s="1"/>
  <c r="D247" i="39"/>
  <c r="AJ247" i="39" s="1"/>
  <c r="M247" i="39"/>
  <c r="AS247" i="39" s="1"/>
  <c r="F247" i="39"/>
  <c r="AM247" i="39" s="1"/>
  <c r="N247" i="39"/>
  <c r="G247" i="39"/>
  <c r="AE309" i="39"/>
  <c r="AL309" i="39"/>
  <c r="AC309" i="39"/>
  <c r="AU287" i="39"/>
  <c r="H287" i="39"/>
  <c r="P287" i="39"/>
  <c r="I287" i="39"/>
  <c r="Q287" i="39"/>
  <c r="Z287" i="39"/>
  <c r="AP287" i="39" s="1"/>
  <c r="B287" i="39"/>
  <c r="AF287" i="39" s="1"/>
  <c r="J287" i="39"/>
  <c r="AN287" i="39" s="1"/>
  <c r="C287" i="39"/>
  <c r="K287" i="39"/>
  <c r="AK287" i="39" s="1"/>
  <c r="O287" i="39"/>
  <c r="D287" i="39"/>
  <c r="AJ287" i="39" s="1"/>
  <c r="L287" i="39"/>
  <c r="AQ287" i="39" s="1"/>
  <c r="E287" i="39"/>
  <c r="M287" i="39"/>
  <c r="AS287" i="39" s="1"/>
  <c r="F287" i="39"/>
  <c r="AM287" i="39" s="1"/>
  <c r="N287" i="39"/>
  <c r="G287" i="39"/>
  <c r="AE240" i="39"/>
  <c r="AC240" i="39"/>
  <c r="AL240" i="39"/>
  <c r="AE292" i="39"/>
  <c r="AL292" i="39"/>
  <c r="AC292" i="39"/>
  <c r="AU270" i="39"/>
  <c r="I270" i="39"/>
  <c r="Q270" i="39"/>
  <c r="Z270" i="39"/>
  <c r="AP270" i="39" s="1"/>
  <c r="H270" i="39"/>
  <c r="B270" i="39"/>
  <c r="AF270" i="39" s="1"/>
  <c r="J270" i="39"/>
  <c r="AN270" i="39" s="1"/>
  <c r="C270" i="39"/>
  <c r="K270" i="39"/>
  <c r="AK270" i="39" s="1"/>
  <c r="P270" i="39"/>
  <c r="D270" i="39"/>
  <c r="AJ270" i="39" s="1"/>
  <c r="L270" i="39"/>
  <c r="AQ270" i="39" s="1"/>
  <c r="E270" i="39"/>
  <c r="M270" i="39"/>
  <c r="AS270" i="39" s="1"/>
  <c r="F270" i="39"/>
  <c r="AM270" i="39" s="1"/>
  <c r="N270" i="39"/>
  <c r="G270" i="39"/>
  <c r="O270" i="39"/>
  <c r="AE171" i="39"/>
  <c r="AL171" i="39"/>
  <c r="AC171" i="39"/>
  <c r="AE238" i="39"/>
  <c r="AC238" i="39"/>
  <c r="AL238" i="39"/>
  <c r="AU196" i="39"/>
  <c r="C196" i="39"/>
  <c r="K196" i="39"/>
  <c r="AK196" i="39" s="1"/>
  <c r="D196" i="39"/>
  <c r="AJ196" i="39" s="1"/>
  <c r="L196" i="39"/>
  <c r="AQ196" i="39" s="1"/>
  <c r="E196" i="39"/>
  <c r="M196" i="39"/>
  <c r="AS196" i="39" s="1"/>
  <c r="F196" i="39"/>
  <c r="AM196" i="39" s="1"/>
  <c r="N196" i="39"/>
  <c r="G196" i="39"/>
  <c r="O196" i="39"/>
  <c r="H196" i="39"/>
  <c r="P196" i="39"/>
  <c r="I196" i="39"/>
  <c r="J196" i="39"/>
  <c r="AN196" i="39" s="1"/>
  <c r="Q196" i="39"/>
  <c r="Z196" i="39"/>
  <c r="AP196" i="39" s="1"/>
  <c r="B196" i="39"/>
  <c r="AF196" i="39" s="1"/>
  <c r="AU238" i="39"/>
  <c r="F238" i="39"/>
  <c r="AM238" i="39" s="1"/>
  <c r="N238" i="39"/>
  <c r="I238" i="39"/>
  <c r="Q238" i="39"/>
  <c r="Z238" i="39"/>
  <c r="AP238" i="39" s="1"/>
  <c r="C238" i="39"/>
  <c r="K238" i="39"/>
  <c r="AK238" i="39" s="1"/>
  <c r="B238" i="39"/>
  <c r="AF238" i="39" s="1"/>
  <c r="O238" i="39"/>
  <c r="M238" i="39"/>
  <c r="AS238" i="39" s="1"/>
  <c r="D238" i="39"/>
  <c r="AJ238" i="39" s="1"/>
  <c r="P238" i="39"/>
  <c r="E238" i="39"/>
  <c r="G238" i="39"/>
  <c r="H238" i="39"/>
  <c r="J238" i="39"/>
  <c r="AN238" i="39" s="1"/>
  <c r="L238" i="39"/>
  <c r="AQ238" i="39" s="1"/>
  <c r="AU221" i="39"/>
  <c r="B221" i="39"/>
  <c r="AF221" i="39" s="1"/>
  <c r="J221" i="39"/>
  <c r="AN221" i="39" s="1"/>
  <c r="C221" i="39"/>
  <c r="K221" i="39"/>
  <c r="AK221" i="39" s="1"/>
  <c r="D221" i="39"/>
  <c r="AJ221" i="39" s="1"/>
  <c r="L221" i="39"/>
  <c r="AQ221" i="39" s="1"/>
  <c r="E221" i="39"/>
  <c r="M221" i="39"/>
  <c r="AS221" i="39" s="1"/>
  <c r="F221" i="39"/>
  <c r="AM221" i="39" s="1"/>
  <c r="N221" i="39"/>
  <c r="G221" i="39"/>
  <c r="O221" i="39"/>
  <c r="Z221" i="39"/>
  <c r="AP221" i="39" s="1"/>
  <c r="H221" i="39"/>
  <c r="P221" i="39"/>
  <c r="Q221" i="39"/>
  <c r="I221" i="39"/>
  <c r="AC234" i="39"/>
  <c r="AL234" i="39"/>
  <c r="AE234" i="39"/>
  <c r="AU181" i="39"/>
  <c r="B181" i="39"/>
  <c r="AF181" i="39" s="1"/>
  <c r="J181" i="39"/>
  <c r="AN181" i="39" s="1"/>
  <c r="C181" i="39"/>
  <c r="K181" i="39"/>
  <c r="AK181" i="39" s="1"/>
  <c r="D181" i="39"/>
  <c r="AJ181" i="39" s="1"/>
  <c r="L181" i="39"/>
  <c r="AQ181" i="39" s="1"/>
  <c r="E181" i="39"/>
  <c r="M181" i="39"/>
  <c r="AS181" i="39" s="1"/>
  <c r="F181" i="39"/>
  <c r="AM181" i="39" s="1"/>
  <c r="N181" i="39"/>
  <c r="G181" i="39"/>
  <c r="O181" i="39"/>
  <c r="H181" i="39"/>
  <c r="I181" i="39"/>
  <c r="P181" i="39"/>
  <c r="Z181" i="39"/>
  <c r="AP181" i="39" s="1"/>
  <c r="Q181" i="39"/>
  <c r="AU232" i="39"/>
  <c r="G232" i="39"/>
  <c r="H232" i="39"/>
  <c r="P232" i="39"/>
  <c r="B232" i="39"/>
  <c r="AF232" i="39" s="1"/>
  <c r="L232" i="39"/>
  <c r="AQ232" i="39" s="1"/>
  <c r="C232" i="39"/>
  <c r="M232" i="39"/>
  <c r="AS232" i="39" s="1"/>
  <c r="D232" i="39"/>
  <c r="AJ232" i="39" s="1"/>
  <c r="N232" i="39"/>
  <c r="F232" i="39"/>
  <c r="AM232" i="39" s="1"/>
  <c r="Q232" i="39"/>
  <c r="J232" i="39"/>
  <c r="AN232" i="39" s="1"/>
  <c r="K232" i="39"/>
  <c r="AK232" i="39" s="1"/>
  <c r="O232" i="39"/>
  <c r="I232" i="39"/>
  <c r="E232" i="39"/>
  <c r="AC75" i="39"/>
  <c r="AL75" i="39"/>
  <c r="AE75" i="39"/>
  <c r="AU211" i="39"/>
  <c r="D211" i="39"/>
  <c r="AJ211" i="39" s="1"/>
  <c r="L211" i="39"/>
  <c r="AQ211" i="39" s="1"/>
  <c r="E211" i="39"/>
  <c r="M211" i="39"/>
  <c r="AS211" i="39" s="1"/>
  <c r="F211" i="39"/>
  <c r="AM211" i="39" s="1"/>
  <c r="N211" i="39"/>
  <c r="G211" i="39"/>
  <c r="O211" i="39"/>
  <c r="H211" i="39"/>
  <c r="P211" i="39"/>
  <c r="I211" i="39"/>
  <c r="Z211" i="39" s="1"/>
  <c r="AP211" i="39" s="1"/>
  <c r="Q211" i="39"/>
  <c r="B211" i="39"/>
  <c r="AF211" i="39" s="1"/>
  <c r="J211" i="39"/>
  <c r="AN211" i="39" s="1"/>
  <c r="K211" i="39"/>
  <c r="AK211" i="39" s="1"/>
  <c r="C211" i="39"/>
  <c r="AC169" i="39"/>
  <c r="AL169" i="39"/>
  <c r="AE169" i="39"/>
  <c r="AC112" i="39"/>
  <c r="AL112" i="39"/>
  <c r="AE112" i="39"/>
  <c r="AU202" i="39"/>
  <c r="E202" i="39"/>
  <c r="M202" i="39"/>
  <c r="AS202" i="39" s="1"/>
  <c r="F202" i="39"/>
  <c r="AM202" i="39" s="1"/>
  <c r="N202" i="39"/>
  <c r="G202" i="39"/>
  <c r="O202" i="39"/>
  <c r="H202" i="39"/>
  <c r="P202" i="39"/>
  <c r="I202" i="39"/>
  <c r="Z202" i="39" s="1"/>
  <c r="AP202" i="39" s="1"/>
  <c r="Q202" i="39"/>
  <c r="B202" i="39"/>
  <c r="AF202" i="39" s="1"/>
  <c r="J202" i="39"/>
  <c r="AN202" i="39" s="1"/>
  <c r="C202" i="39"/>
  <c r="K202" i="39"/>
  <c r="AK202" i="39" s="1"/>
  <c r="L202" i="39"/>
  <c r="AQ202" i="39" s="1"/>
  <c r="D202" i="39"/>
  <c r="AJ202" i="39" s="1"/>
  <c r="AC160" i="39"/>
  <c r="AL160" i="39"/>
  <c r="AE160" i="39"/>
  <c r="AU136" i="39"/>
  <c r="D136" i="39"/>
  <c r="AJ136" i="39" s="1"/>
  <c r="L136" i="39"/>
  <c r="AQ136" i="39" s="1"/>
  <c r="E136" i="39"/>
  <c r="M136" i="39"/>
  <c r="AS136" i="39" s="1"/>
  <c r="F136" i="39"/>
  <c r="AM136" i="39" s="1"/>
  <c r="N136" i="39"/>
  <c r="G136" i="39"/>
  <c r="O136" i="39"/>
  <c r="B136" i="39"/>
  <c r="AF136" i="39" s="1"/>
  <c r="J136" i="39"/>
  <c r="AN136" i="39" s="1"/>
  <c r="K136" i="39"/>
  <c r="AK136" i="39" s="1"/>
  <c r="P136" i="39"/>
  <c r="Q136" i="39"/>
  <c r="C136" i="39"/>
  <c r="Z136" i="39"/>
  <c r="AP136" i="39" s="1"/>
  <c r="H136" i="39"/>
  <c r="I136" i="39"/>
  <c r="AU225" i="39"/>
  <c r="F225" i="39"/>
  <c r="AM225" i="39" s="1"/>
  <c r="N225" i="39"/>
  <c r="G225" i="39"/>
  <c r="O225" i="39"/>
  <c r="I225" i="39"/>
  <c r="Q225" i="39"/>
  <c r="Z225" i="39"/>
  <c r="AP225" i="39" s="1"/>
  <c r="C225" i="39"/>
  <c r="K225" i="39"/>
  <c r="AK225" i="39" s="1"/>
  <c r="P225" i="39"/>
  <c r="B225" i="39"/>
  <c r="AF225" i="39" s="1"/>
  <c r="D225" i="39"/>
  <c r="AJ225" i="39" s="1"/>
  <c r="E225" i="39"/>
  <c r="H225" i="39"/>
  <c r="L225" i="39"/>
  <c r="AQ225" i="39" s="1"/>
  <c r="M225" i="39"/>
  <c r="AS225" i="39" s="1"/>
  <c r="J225" i="39"/>
  <c r="AN225" i="39" s="1"/>
  <c r="AC183" i="39"/>
  <c r="AL183" i="39"/>
  <c r="AE183" i="39"/>
  <c r="AU161" i="39"/>
  <c r="F161" i="39"/>
  <c r="AM161" i="39" s="1"/>
  <c r="N161" i="39"/>
  <c r="G161" i="39"/>
  <c r="O161" i="39"/>
  <c r="H161" i="39"/>
  <c r="P161" i="39"/>
  <c r="I161" i="39"/>
  <c r="Q161" i="39"/>
  <c r="Z161" i="39"/>
  <c r="AP161" i="39" s="1"/>
  <c r="B161" i="39"/>
  <c r="AF161" i="39" s="1"/>
  <c r="J161" i="39"/>
  <c r="AN161" i="39" s="1"/>
  <c r="C161" i="39"/>
  <c r="K161" i="39"/>
  <c r="AK161" i="39" s="1"/>
  <c r="D161" i="39"/>
  <c r="AJ161" i="39" s="1"/>
  <c r="L161" i="39"/>
  <c r="AQ161" i="39" s="1"/>
  <c r="M161" i="39"/>
  <c r="AS161" i="39" s="1"/>
  <c r="E161" i="39"/>
  <c r="AC125" i="39"/>
  <c r="AL125" i="39"/>
  <c r="AE125" i="39"/>
  <c r="AC214" i="39"/>
  <c r="AL214" i="39"/>
  <c r="AE214" i="39"/>
  <c r="AU192" i="39"/>
  <c r="G192" i="39"/>
  <c r="O192" i="39"/>
  <c r="H192" i="39"/>
  <c r="P192" i="39"/>
  <c r="I192" i="39"/>
  <c r="Q192" i="39"/>
  <c r="Z192" i="39"/>
  <c r="AP192" i="39" s="1"/>
  <c r="B192" i="39"/>
  <c r="AF192" i="39" s="1"/>
  <c r="J192" i="39"/>
  <c r="AN192" i="39" s="1"/>
  <c r="C192" i="39"/>
  <c r="K192" i="39"/>
  <c r="AK192" i="39" s="1"/>
  <c r="D192" i="39"/>
  <c r="AJ192" i="39" s="1"/>
  <c r="L192" i="39"/>
  <c r="AQ192" i="39" s="1"/>
  <c r="M192" i="39"/>
  <c r="AS192" i="39" s="1"/>
  <c r="N192" i="39"/>
  <c r="E192" i="39"/>
  <c r="F192" i="39"/>
  <c r="AM192" i="39" s="1"/>
  <c r="AE150" i="39"/>
  <c r="AC150" i="39"/>
  <c r="AL150" i="39"/>
  <c r="AU215" i="39"/>
  <c r="H215" i="39"/>
  <c r="P215" i="39"/>
  <c r="I215" i="39"/>
  <c r="Q215" i="39"/>
  <c r="Z215" i="39"/>
  <c r="AP215" i="39" s="1"/>
  <c r="B215" i="39"/>
  <c r="AF215" i="39" s="1"/>
  <c r="J215" i="39"/>
  <c r="AN215" i="39" s="1"/>
  <c r="C215" i="39"/>
  <c r="K215" i="39"/>
  <c r="AK215" i="39" s="1"/>
  <c r="D215" i="39"/>
  <c r="AJ215" i="39" s="1"/>
  <c r="L215" i="39"/>
  <c r="AQ215" i="39" s="1"/>
  <c r="E215" i="39"/>
  <c r="M215" i="39"/>
  <c r="AS215" i="39" s="1"/>
  <c r="N215" i="39"/>
  <c r="O215" i="39"/>
  <c r="F215" i="39"/>
  <c r="AM215" i="39" s="1"/>
  <c r="G215" i="39"/>
  <c r="AE173" i="39"/>
  <c r="AC173" i="39"/>
  <c r="AL173" i="39"/>
  <c r="AU151" i="39"/>
  <c r="H151" i="39"/>
  <c r="P151" i="39"/>
  <c r="I151" i="39"/>
  <c r="Q151" i="39"/>
  <c r="Z151" i="39"/>
  <c r="AP151" i="39" s="1"/>
  <c r="B151" i="39"/>
  <c r="AF151" i="39" s="1"/>
  <c r="J151" i="39"/>
  <c r="AN151" i="39" s="1"/>
  <c r="C151" i="39"/>
  <c r="K151" i="39"/>
  <c r="AK151" i="39" s="1"/>
  <c r="D151" i="39"/>
  <c r="AJ151" i="39" s="1"/>
  <c r="L151" i="39"/>
  <c r="AQ151" i="39" s="1"/>
  <c r="E151" i="39"/>
  <c r="M151" i="39"/>
  <c r="AS151" i="39" s="1"/>
  <c r="N151" i="39"/>
  <c r="O151" i="39"/>
  <c r="F151" i="39"/>
  <c r="AM151" i="39" s="1"/>
  <c r="G151" i="39"/>
  <c r="AU214" i="39"/>
  <c r="I214" i="39"/>
  <c r="Q214" i="39"/>
  <c r="Z214" i="39"/>
  <c r="AP214" i="39" s="1"/>
  <c r="B214" i="39"/>
  <c r="AF214" i="39" s="1"/>
  <c r="J214" i="39"/>
  <c r="AN214" i="39" s="1"/>
  <c r="C214" i="39"/>
  <c r="K214" i="39"/>
  <c r="AK214" i="39" s="1"/>
  <c r="D214" i="39"/>
  <c r="AJ214" i="39" s="1"/>
  <c r="L214" i="39"/>
  <c r="AQ214" i="39" s="1"/>
  <c r="E214" i="39"/>
  <c r="M214" i="39"/>
  <c r="AS214" i="39" s="1"/>
  <c r="F214" i="39"/>
  <c r="AM214" i="39" s="1"/>
  <c r="N214" i="39"/>
  <c r="G214" i="39"/>
  <c r="H214" i="39"/>
  <c r="O214" i="39"/>
  <c r="P214" i="39"/>
  <c r="AE172" i="39"/>
  <c r="AL172" i="39"/>
  <c r="AC172" i="39"/>
  <c r="AC36" i="39"/>
  <c r="AL36" i="39"/>
  <c r="AE36" i="39"/>
  <c r="AC127" i="39"/>
  <c r="AL127" i="39"/>
  <c r="AE127" i="39"/>
  <c r="AU105" i="39"/>
  <c r="C105" i="39"/>
  <c r="K105" i="39"/>
  <c r="AK105" i="39" s="1"/>
  <c r="D105" i="39"/>
  <c r="AJ105" i="39" s="1"/>
  <c r="L105" i="39"/>
  <c r="AQ105" i="39" s="1"/>
  <c r="E105" i="39"/>
  <c r="M105" i="39"/>
  <c r="AS105" i="39" s="1"/>
  <c r="F105" i="39"/>
  <c r="AM105" i="39" s="1"/>
  <c r="N105" i="39"/>
  <c r="G105" i="39"/>
  <c r="O105" i="39"/>
  <c r="H105" i="39"/>
  <c r="P105" i="39"/>
  <c r="I105" i="39"/>
  <c r="Q105" i="39"/>
  <c r="Z105" i="39"/>
  <c r="AP105" i="39" s="1"/>
  <c r="B105" i="39"/>
  <c r="AF105" i="39" s="1"/>
  <c r="J105" i="39"/>
  <c r="AN105" i="39" s="1"/>
  <c r="AU82" i="39"/>
  <c r="F82" i="39"/>
  <c r="AM82" i="39" s="1"/>
  <c r="N82" i="39"/>
  <c r="G82" i="39"/>
  <c r="O82" i="39"/>
  <c r="B82" i="39"/>
  <c r="AF82" i="39" s="1"/>
  <c r="J82" i="39"/>
  <c r="AN82" i="39" s="1"/>
  <c r="C82" i="39"/>
  <c r="K82" i="39"/>
  <c r="AK82" i="39" s="1"/>
  <c r="E82" i="39"/>
  <c r="H82" i="39"/>
  <c r="I82" i="39"/>
  <c r="Z82" i="39" s="1"/>
  <c r="AP82" i="39" s="1"/>
  <c r="L82" i="39"/>
  <c r="AQ82" i="39" s="1"/>
  <c r="M82" i="39"/>
  <c r="AS82" i="39" s="1"/>
  <c r="P82" i="39"/>
  <c r="Q82" i="39"/>
  <c r="D82" i="39"/>
  <c r="AJ82" i="39" s="1"/>
  <c r="AC24" i="39"/>
  <c r="AL24" i="39"/>
  <c r="AE24" i="39"/>
  <c r="AE94" i="39"/>
  <c r="AC94" i="39"/>
  <c r="AL94" i="39"/>
  <c r="AU34" i="39"/>
  <c r="F34" i="39"/>
  <c r="AM34" i="39" s="1"/>
  <c r="N34" i="39"/>
  <c r="G34" i="39"/>
  <c r="O34" i="39"/>
  <c r="H34" i="39"/>
  <c r="P34" i="39"/>
  <c r="B34" i="39"/>
  <c r="AF34" i="39" s="1"/>
  <c r="J34" i="39"/>
  <c r="AN34" i="39" s="1"/>
  <c r="C34" i="39"/>
  <c r="K34" i="39"/>
  <c r="AK34" i="39" s="1"/>
  <c r="I34" i="39"/>
  <c r="Z34" i="39" s="1"/>
  <c r="AP34" i="39" s="1"/>
  <c r="L34" i="39"/>
  <c r="AQ34" i="39" s="1"/>
  <c r="M34" i="39"/>
  <c r="AS34" i="39" s="1"/>
  <c r="Q34" i="39"/>
  <c r="D34" i="39"/>
  <c r="AJ34" i="39" s="1"/>
  <c r="E34" i="39"/>
  <c r="AC140" i="39"/>
  <c r="AL140" i="39"/>
  <c r="AE140" i="39"/>
  <c r="AU118" i="39"/>
  <c r="F118" i="39"/>
  <c r="AM118" i="39" s="1"/>
  <c r="N118" i="39"/>
  <c r="G118" i="39"/>
  <c r="O118" i="39"/>
  <c r="H118" i="39"/>
  <c r="P118" i="39"/>
  <c r="I118" i="39"/>
  <c r="Q118" i="39"/>
  <c r="Z118" i="39"/>
  <c r="AP118" i="39" s="1"/>
  <c r="D118" i="39"/>
  <c r="AJ118" i="39" s="1"/>
  <c r="L118" i="39"/>
  <c r="AQ118" i="39" s="1"/>
  <c r="M118" i="39"/>
  <c r="AS118" i="39" s="1"/>
  <c r="B118" i="39"/>
  <c r="AF118" i="39" s="1"/>
  <c r="C118" i="39"/>
  <c r="E118" i="39"/>
  <c r="J118" i="39"/>
  <c r="AN118" i="39" s="1"/>
  <c r="K118" i="39"/>
  <c r="AK118" i="39" s="1"/>
  <c r="AC51" i="39"/>
  <c r="AL51" i="39"/>
  <c r="AE51" i="39"/>
  <c r="AU133" i="39"/>
  <c r="G133" i="39"/>
  <c r="O133" i="39"/>
  <c r="H133" i="39"/>
  <c r="P133" i="39"/>
  <c r="I133" i="39"/>
  <c r="Q133" i="39"/>
  <c r="Z133" i="39"/>
  <c r="AP133" i="39" s="1"/>
  <c r="B133" i="39"/>
  <c r="AF133" i="39" s="1"/>
  <c r="J133" i="39"/>
  <c r="AN133" i="39" s="1"/>
  <c r="E133" i="39"/>
  <c r="M133" i="39"/>
  <c r="AS133" i="39" s="1"/>
  <c r="C133" i="39"/>
  <c r="D133" i="39"/>
  <c r="AJ133" i="39" s="1"/>
  <c r="F133" i="39"/>
  <c r="AM133" i="39" s="1"/>
  <c r="K133" i="39"/>
  <c r="AK133" i="39" s="1"/>
  <c r="L133" i="39"/>
  <c r="AQ133" i="39" s="1"/>
  <c r="N133" i="39"/>
  <c r="AE91" i="39"/>
  <c r="AL91" i="39"/>
  <c r="AC91" i="39"/>
  <c r="AU140" i="39"/>
  <c r="H140" i="39"/>
  <c r="P140" i="39"/>
  <c r="I140" i="39"/>
  <c r="Q140" i="39"/>
  <c r="Z140" i="39"/>
  <c r="AP140" i="39" s="1"/>
  <c r="B140" i="39"/>
  <c r="AF140" i="39" s="1"/>
  <c r="J140" i="39"/>
  <c r="AN140" i="39" s="1"/>
  <c r="C140" i="39"/>
  <c r="K140" i="39"/>
  <c r="AK140" i="39" s="1"/>
  <c r="F140" i="39"/>
  <c r="AM140" i="39" s="1"/>
  <c r="N140" i="39"/>
  <c r="D140" i="39"/>
  <c r="AJ140" i="39" s="1"/>
  <c r="E140" i="39"/>
  <c r="G140" i="39"/>
  <c r="L140" i="39"/>
  <c r="AQ140" i="39" s="1"/>
  <c r="M140" i="39"/>
  <c r="AS140" i="39" s="1"/>
  <c r="O140" i="39"/>
  <c r="AC98" i="39"/>
  <c r="AL98" i="39"/>
  <c r="AE98" i="39"/>
  <c r="AU66" i="39"/>
  <c r="F66" i="39"/>
  <c r="AM66" i="39" s="1"/>
  <c r="N66" i="39"/>
  <c r="G66" i="39"/>
  <c r="O66" i="39"/>
  <c r="H66" i="39"/>
  <c r="P66" i="39"/>
  <c r="B66" i="39"/>
  <c r="AF66" i="39" s="1"/>
  <c r="J66" i="39"/>
  <c r="AN66" i="39" s="1"/>
  <c r="C66" i="39"/>
  <c r="K66" i="39"/>
  <c r="AK66" i="39" s="1"/>
  <c r="D66" i="39"/>
  <c r="AJ66" i="39" s="1"/>
  <c r="E66" i="39"/>
  <c r="I66" i="39"/>
  <c r="Z66" i="39" s="1"/>
  <c r="AP66" i="39" s="1"/>
  <c r="L66" i="39"/>
  <c r="AQ66" i="39" s="1"/>
  <c r="M66" i="39"/>
  <c r="AS66" i="39" s="1"/>
  <c r="Q66" i="39"/>
  <c r="AU147" i="39"/>
  <c r="I147" i="39"/>
  <c r="Q147" i="39"/>
  <c r="Z147" i="39"/>
  <c r="AP147" i="39" s="1"/>
  <c r="B147" i="39"/>
  <c r="AF147" i="39" s="1"/>
  <c r="J147" i="39"/>
  <c r="AN147" i="39" s="1"/>
  <c r="G147" i="39"/>
  <c r="O147" i="39"/>
  <c r="L147" i="39"/>
  <c r="AQ147" i="39" s="1"/>
  <c r="M147" i="39"/>
  <c r="AS147" i="39" s="1"/>
  <c r="C147" i="39"/>
  <c r="N147" i="39"/>
  <c r="D147" i="39"/>
  <c r="AJ147" i="39" s="1"/>
  <c r="P147" i="39"/>
  <c r="E147" i="39"/>
  <c r="F147" i="39"/>
  <c r="AM147" i="39" s="1"/>
  <c r="H147" i="39"/>
  <c r="K147" i="39"/>
  <c r="AK147" i="39" s="1"/>
  <c r="AC105" i="39"/>
  <c r="AL105" i="39"/>
  <c r="AE105" i="39"/>
  <c r="AE84" i="39"/>
  <c r="AL84" i="39"/>
  <c r="AC84" i="39"/>
  <c r="AU30" i="39"/>
  <c r="B30" i="39"/>
  <c r="AF30" i="39" s="1"/>
  <c r="J30" i="39"/>
  <c r="AN30" i="39" s="1"/>
  <c r="C30" i="39"/>
  <c r="K30" i="39"/>
  <c r="AK30" i="39" s="1"/>
  <c r="D30" i="39"/>
  <c r="AJ30" i="39" s="1"/>
  <c r="L30" i="39"/>
  <c r="AQ30" i="39" s="1"/>
  <c r="F30" i="39"/>
  <c r="AM30" i="39" s="1"/>
  <c r="N30" i="39"/>
  <c r="G30" i="39"/>
  <c r="O30" i="39"/>
  <c r="E30" i="39"/>
  <c r="H30" i="39"/>
  <c r="I30" i="39"/>
  <c r="Z30" i="39" s="1"/>
  <c r="AP30" i="39" s="1"/>
  <c r="M30" i="39"/>
  <c r="AS30" i="39" s="1"/>
  <c r="P30" i="39"/>
  <c r="Q30" i="39"/>
  <c r="AU68" i="39"/>
  <c r="D68" i="39"/>
  <c r="AJ68" i="39" s="1"/>
  <c r="L68" i="39"/>
  <c r="AQ68" i="39" s="1"/>
  <c r="E68" i="39"/>
  <c r="M68" i="39"/>
  <c r="AS68" i="39" s="1"/>
  <c r="F68" i="39"/>
  <c r="AM68" i="39" s="1"/>
  <c r="N68" i="39"/>
  <c r="H68" i="39"/>
  <c r="P68" i="39"/>
  <c r="I68" i="39"/>
  <c r="Z68" i="39" s="1"/>
  <c r="AP68" i="39" s="1"/>
  <c r="Q68" i="39"/>
  <c r="K68" i="39"/>
  <c r="AK68" i="39" s="1"/>
  <c r="O68" i="39"/>
  <c r="B68" i="39"/>
  <c r="AF68" i="39" s="1"/>
  <c r="C68" i="39"/>
  <c r="G68" i="39"/>
  <c r="J68" i="39"/>
  <c r="AN68" i="39" s="1"/>
  <c r="AC26" i="39"/>
  <c r="AL26" i="39"/>
  <c r="AE26" i="39"/>
  <c r="AC89" i="39"/>
  <c r="AL89" i="39"/>
  <c r="AE89" i="39"/>
  <c r="AU67" i="39"/>
  <c r="E67" i="39"/>
  <c r="M67" i="39"/>
  <c r="AS67" i="39" s="1"/>
  <c r="F67" i="39"/>
  <c r="AM67" i="39" s="1"/>
  <c r="N67" i="39"/>
  <c r="G67" i="39"/>
  <c r="O67" i="39"/>
  <c r="I67" i="39"/>
  <c r="Z67" i="39" s="1"/>
  <c r="AP67" i="39" s="1"/>
  <c r="Q67" i="39"/>
  <c r="B67" i="39"/>
  <c r="AF67" i="39" s="1"/>
  <c r="J67" i="39"/>
  <c r="AN67" i="39" s="1"/>
  <c r="P67" i="39"/>
  <c r="C67" i="39"/>
  <c r="D67" i="39"/>
  <c r="AJ67" i="39" s="1"/>
  <c r="H67" i="39"/>
  <c r="K67" i="39"/>
  <c r="AK67" i="39" s="1"/>
  <c r="L67" i="39"/>
  <c r="AQ67" i="39" s="1"/>
  <c r="AE25" i="39"/>
  <c r="AC25" i="39"/>
  <c r="AL25" i="39"/>
  <c r="AC71" i="39"/>
  <c r="AL71" i="39"/>
  <c r="AE71" i="39"/>
  <c r="AU49" i="39"/>
  <c r="G49" i="39"/>
  <c r="O49" i="39"/>
  <c r="H49" i="39"/>
  <c r="P49" i="39"/>
  <c r="I49" i="39"/>
  <c r="Z49" i="39" s="1"/>
  <c r="AP49" i="39" s="1"/>
  <c r="Q49" i="39"/>
  <c r="C49" i="39"/>
  <c r="K49" i="39"/>
  <c r="AK49" i="39" s="1"/>
  <c r="D49" i="39"/>
  <c r="AJ49" i="39" s="1"/>
  <c r="L49" i="39"/>
  <c r="AQ49" i="39" s="1"/>
  <c r="B49" i="39"/>
  <c r="AF49" i="39" s="1"/>
  <c r="E49" i="39"/>
  <c r="F49" i="39"/>
  <c r="AM49" i="39" s="1"/>
  <c r="J49" i="39"/>
  <c r="AN49" i="39" s="1"/>
  <c r="M49" i="39"/>
  <c r="AS49" i="39" s="1"/>
  <c r="N49" i="39"/>
  <c r="AC62" i="39"/>
  <c r="AL62" i="39"/>
  <c r="AE62" i="39"/>
  <c r="AU40" i="39"/>
  <c r="H40" i="39"/>
  <c r="P40" i="39"/>
  <c r="I40" i="39"/>
  <c r="Z40" i="39" s="1"/>
  <c r="AP40" i="39" s="1"/>
  <c r="Q40" i="39"/>
  <c r="B40" i="39"/>
  <c r="AF40" i="39" s="1"/>
  <c r="J40" i="39"/>
  <c r="AN40" i="39" s="1"/>
  <c r="D40" i="39"/>
  <c r="AJ40" i="39" s="1"/>
  <c r="L40" i="39"/>
  <c r="AQ40" i="39" s="1"/>
  <c r="E40" i="39"/>
  <c r="M40" i="39"/>
  <c r="AS40" i="39" s="1"/>
  <c r="G40" i="39"/>
  <c r="K40" i="39"/>
  <c r="AK40" i="39" s="1"/>
  <c r="N40" i="39"/>
  <c r="O40" i="39"/>
  <c r="C40" i="39"/>
  <c r="F40" i="39"/>
  <c r="AM40" i="39" s="1"/>
  <c r="AE77" i="39"/>
  <c r="AC77" i="39"/>
  <c r="AL77" i="39"/>
  <c r="AU55" i="39"/>
  <c r="I55" i="39"/>
  <c r="Z55" i="39" s="1"/>
  <c r="AP55" i="39" s="1"/>
  <c r="Q55" i="39"/>
  <c r="B55" i="39"/>
  <c r="AF55" i="39" s="1"/>
  <c r="J55" i="39"/>
  <c r="AN55" i="39" s="1"/>
  <c r="C55" i="39"/>
  <c r="K55" i="39"/>
  <c r="AK55" i="39" s="1"/>
  <c r="E55" i="39"/>
  <c r="M55" i="39"/>
  <c r="AS55" i="39" s="1"/>
  <c r="F55" i="39"/>
  <c r="AM55" i="39" s="1"/>
  <c r="N55" i="39"/>
  <c r="P55" i="39"/>
  <c r="D55" i="39"/>
  <c r="AJ55" i="39" s="1"/>
  <c r="G55" i="39"/>
  <c r="H55" i="39"/>
  <c r="L55" i="39"/>
  <c r="AQ55" i="39" s="1"/>
  <c r="O55" i="39"/>
  <c r="AC16" i="39"/>
  <c r="AL16" i="39"/>
  <c r="AE16" i="39"/>
  <c r="AC6" i="39"/>
  <c r="AL6" i="39"/>
  <c r="AE6" i="39"/>
  <c r="AU13" i="39"/>
  <c r="H13" i="39"/>
  <c r="P13" i="39"/>
  <c r="I13" i="39"/>
  <c r="Z13" i="39" s="1"/>
  <c r="AP13" i="39" s="1"/>
  <c r="Q13" i="39"/>
  <c r="B13" i="39"/>
  <c r="AF13" i="39" s="1"/>
  <c r="J13" i="39"/>
  <c r="AN13" i="39" s="1"/>
  <c r="D13" i="39"/>
  <c r="AJ13" i="39" s="1"/>
  <c r="L13" i="39"/>
  <c r="AQ13" i="39" s="1"/>
  <c r="E13" i="39"/>
  <c r="M13" i="39"/>
  <c r="AS13" i="39" s="1"/>
  <c r="N13" i="39"/>
  <c r="O13" i="39"/>
  <c r="C13" i="39"/>
  <c r="F13" i="39"/>
  <c r="AM13" i="39" s="1"/>
  <c r="G13" i="39"/>
  <c r="K13" i="39"/>
  <c r="AK13" i="39" s="1"/>
  <c r="AU144" i="39"/>
  <c r="D144" i="39"/>
  <c r="AJ144" i="39" s="1"/>
  <c r="L144" i="39"/>
  <c r="AQ144" i="39" s="1"/>
  <c r="E144" i="39"/>
  <c r="M144" i="39"/>
  <c r="AS144" i="39" s="1"/>
  <c r="F144" i="39"/>
  <c r="AM144" i="39" s="1"/>
  <c r="N144" i="39"/>
  <c r="G144" i="39"/>
  <c r="O144" i="39"/>
  <c r="B144" i="39"/>
  <c r="AF144" i="39" s="1"/>
  <c r="J144" i="39"/>
  <c r="AN144" i="39" s="1"/>
  <c r="C144" i="39"/>
  <c r="H144" i="39"/>
  <c r="I144" i="39"/>
  <c r="Z144" i="39"/>
  <c r="AP144" i="39" s="1"/>
  <c r="K144" i="39"/>
  <c r="AK144" i="39" s="1"/>
  <c r="P144" i="39"/>
  <c r="Q144" i="39"/>
  <c r="AC199" i="39"/>
  <c r="AL199" i="39"/>
  <c r="AE199" i="39"/>
  <c r="AC29" i="39"/>
  <c r="AL29" i="39"/>
  <c r="AE29" i="39"/>
  <c r="AU309" i="39"/>
  <c r="B309" i="39"/>
  <c r="AF309" i="39" s="1"/>
  <c r="J309" i="39"/>
  <c r="AN309" i="39" s="1"/>
  <c r="Q309" i="39"/>
  <c r="C309" i="39"/>
  <c r="K309" i="39"/>
  <c r="AK309" i="39" s="1"/>
  <c r="Z309" i="39"/>
  <c r="AP309" i="39" s="1"/>
  <c r="D309" i="39"/>
  <c r="AJ309" i="39" s="1"/>
  <c r="L309" i="39"/>
  <c r="AQ309" i="39" s="1"/>
  <c r="E309" i="39"/>
  <c r="M309" i="39"/>
  <c r="AS309" i="39" s="1"/>
  <c r="F309" i="39"/>
  <c r="AM309" i="39" s="1"/>
  <c r="N309" i="39"/>
  <c r="I309" i="39"/>
  <c r="G309" i="39"/>
  <c r="O309" i="39"/>
  <c r="H309" i="39"/>
  <c r="P309" i="39"/>
  <c r="AC266" i="39"/>
  <c r="AL266" i="39"/>
  <c r="AE266" i="39"/>
  <c r="AE245" i="39"/>
  <c r="AC245" i="39"/>
  <c r="AL245" i="39"/>
  <c r="AU315" i="39"/>
  <c r="D315" i="39"/>
  <c r="AJ315" i="39" s="1"/>
  <c r="L315" i="39"/>
  <c r="AQ315" i="39" s="1"/>
  <c r="E315" i="39"/>
  <c r="M315" i="39"/>
  <c r="AS315" i="39" s="1"/>
  <c r="F315" i="39"/>
  <c r="AM315" i="39" s="1"/>
  <c r="N315" i="39"/>
  <c r="C315" i="39"/>
  <c r="G315" i="39"/>
  <c r="O315" i="39"/>
  <c r="H315" i="39"/>
  <c r="P315" i="39"/>
  <c r="I315" i="39"/>
  <c r="Z315" i="39" s="1"/>
  <c r="AP315" i="39" s="1"/>
  <c r="Q315" i="39"/>
  <c r="K315" i="39"/>
  <c r="AK315" i="39" s="1"/>
  <c r="B315" i="39"/>
  <c r="AF315" i="39" s="1"/>
  <c r="J315" i="39"/>
  <c r="AN315" i="39" s="1"/>
  <c r="AU269" i="39"/>
  <c r="B269" i="39"/>
  <c r="AF269" i="39" s="1"/>
  <c r="J269" i="39"/>
  <c r="AN269" i="39" s="1"/>
  <c r="C269" i="39"/>
  <c r="K269" i="39"/>
  <c r="AK269" i="39" s="1"/>
  <c r="Z269" i="39"/>
  <c r="AP269" i="39" s="1"/>
  <c r="D269" i="39"/>
  <c r="AJ269" i="39" s="1"/>
  <c r="L269" i="39"/>
  <c r="AQ269" i="39" s="1"/>
  <c r="E269" i="39"/>
  <c r="M269" i="39"/>
  <c r="AS269" i="39" s="1"/>
  <c r="I269" i="39"/>
  <c r="F269" i="39"/>
  <c r="AM269" i="39" s="1"/>
  <c r="N269" i="39"/>
  <c r="G269" i="39"/>
  <c r="O269" i="39"/>
  <c r="Q269" i="39"/>
  <c r="H269" i="39"/>
  <c r="P269" i="39"/>
  <c r="AE306" i="39"/>
  <c r="AC306" i="39"/>
  <c r="AL306" i="39"/>
  <c r="AU284" i="39"/>
  <c r="C284" i="39"/>
  <c r="K284" i="39"/>
  <c r="AK284" i="39" s="1"/>
  <c r="D284" i="39"/>
  <c r="AJ284" i="39" s="1"/>
  <c r="L284" i="39"/>
  <c r="AQ284" i="39" s="1"/>
  <c r="B284" i="39"/>
  <c r="AF284" i="39" s="1"/>
  <c r="E284" i="39"/>
  <c r="M284" i="39"/>
  <c r="AS284" i="39" s="1"/>
  <c r="F284" i="39"/>
  <c r="AM284" i="39" s="1"/>
  <c r="N284" i="39"/>
  <c r="G284" i="39"/>
  <c r="O284" i="39"/>
  <c r="H284" i="39"/>
  <c r="P284" i="39"/>
  <c r="J284" i="39"/>
  <c r="AN284" i="39" s="1"/>
  <c r="I284" i="39"/>
  <c r="Q284" i="39"/>
  <c r="Z284" i="39"/>
  <c r="AP284" i="39" s="1"/>
  <c r="AU245" i="39"/>
  <c r="G245" i="39"/>
  <c r="O245" i="39"/>
  <c r="C245" i="39"/>
  <c r="L245" i="39"/>
  <c r="AQ245" i="39" s="1"/>
  <c r="D245" i="39"/>
  <c r="AJ245" i="39" s="1"/>
  <c r="M245" i="39"/>
  <c r="AS245" i="39" s="1"/>
  <c r="B245" i="39"/>
  <c r="AF245" i="39" s="1"/>
  <c r="E245" i="39"/>
  <c r="N245" i="39"/>
  <c r="F245" i="39"/>
  <c r="AM245" i="39" s="1"/>
  <c r="P245" i="39"/>
  <c r="Z245" i="39"/>
  <c r="AP245" i="39" s="1"/>
  <c r="H245" i="39"/>
  <c r="Q245" i="39"/>
  <c r="I245" i="39"/>
  <c r="J245" i="39"/>
  <c r="AN245" i="39" s="1"/>
  <c r="K245" i="39"/>
  <c r="AK245" i="39" s="1"/>
  <c r="AC313" i="39"/>
  <c r="AL313" i="39"/>
  <c r="AE313" i="39"/>
  <c r="AU291" i="39"/>
  <c r="D291" i="39"/>
  <c r="AJ291" i="39" s="1"/>
  <c r="L291" i="39"/>
  <c r="AQ291" i="39" s="1"/>
  <c r="K291" i="39"/>
  <c r="AK291" i="39" s="1"/>
  <c r="E291" i="39"/>
  <c r="M291" i="39"/>
  <c r="AS291" i="39" s="1"/>
  <c r="F291" i="39"/>
  <c r="AM291" i="39" s="1"/>
  <c r="N291" i="39"/>
  <c r="G291" i="39"/>
  <c r="O291" i="39"/>
  <c r="H291" i="39"/>
  <c r="P291" i="39"/>
  <c r="I291" i="39"/>
  <c r="Z291" i="39" s="1"/>
  <c r="AP291" i="39" s="1"/>
  <c r="Q291" i="39"/>
  <c r="C291" i="39"/>
  <c r="B291" i="39"/>
  <c r="AF291" i="39" s="1"/>
  <c r="J291" i="39"/>
  <c r="AN291" i="39" s="1"/>
  <c r="AC249" i="39"/>
  <c r="AL249" i="39"/>
  <c r="AE249" i="39"/>
  <c r="AU301" i="39"/>
  <c r="B301" i="39"/>
  <c r="AF301" i="39" s="1"/>
  <c r="J301" i="39"/>
  <c r="AN301" i="39" s="1"/>
  <c r="C301" i="39"/>
  <c r="K301" i="39"/>
  <c r="AK301" i="39" s="1"/>
  <c r="Q301" i="39"/>
  <c r="D301" i="39"/>
  <c r="AJ301" i="39" s="1"/>
  <c r="L301" i="39"/>
  <c r="AQ301" i="39" s="1"/>
  <c r="E301" i="39"/>
  <c r="M301" i="39"/>
  <c r="AS301" i="39" s="1"/>
  <c r="F301" i="39"/>
  <c r="AM301" i="39" s="1"/>
  <c r="N301" i="39"/>
  <c r="G301" i="39"/>
  <c r="O301" i="39"/>
  <c r="H301" i="39"/>
  <c r="P301" i="39"/>
  <c r="I301" i="39"/>
  <c r="Z301" i="39" s="1"/>
  <c r="AP301" i="39" s="1"/>
  <c r="AC304" i="39"/>
  <c r="AL304" i="39"/>
  <c r="AE304" i="39"/>
  <c r="AU282" i="39"/>
  <c r="E282" i="39"/>
  <c r="M282" i="39"/>
  <c r="AS282" i="39" s="1"/>
  <c r="L282" i="39"/>
  <c r="AQ282" i="39" s="1"/>
  <c r="F282" i="39"/>
  <c r="AM282" i="39" s="1"/>
  <c r="N282" i="39"/>
  <c r="G282" i="39"/>
  <c r="O282" i="39"/>
  <c r="H282" i="39"/>
  <c r="P282" i="39"/>
  <c r="I282" i="39"/>
  <c r="Q282" i="39"/>
  <c r="Z282" i="39"/>
  <c r="AP282" i="39" s="1"/>
  <c r="B282" i="39"/>
  <c r="AF282" i="39" s="1"/>
  <c r="J282" i="39"/>
  <c r="AN282" i="39" s="1"/>
  <c r="C282" i="39"/>
  <c r="K282" i="39"/>
  <c r="AK282" i="39" s="1"/>
  <c r="D282" i="39"/>
  <c r="AJ282" i="39" s="1"/>
  <c r="AU246" i="39"/>
  <c r="F246" i="39"/>
  <c r="AM246" i="39" s="1"/>
  <c r="N246" i="39"/>
  <c r="E246" i="39"/>
  <c r="O246" i="39"/>
  <c r="G246" i="39"/>
  <c r="P246" i="39"/>
  <c r="H246" i="39"/>
  <c r="Q246" i="39"/>
  <c r="M246" i="39"/>
  <c r="AS246" i="39" s="1"/>
  <c r="I246" i="39"/>
  <c r="Z246" i="39" s="1"/>
  <c r="AP246" i="39" s="1"/>
  <c r="J246" i="39"/>
  <c r="AN246" i="39" s="1"/>
  <c r="B246" i="39"/>
  <c r="AF246" i="39" s="1"/>
  <c r="K246" i="39"/>
  <c r="AK246" i="39" s="1"/>
  <c r="D246" i="39"/>
  <c r="AJ246" i="39" s="1"/>
  <c r="C246" i="39"/>
  <c r="L246" i="39"/>
  <c r="AQ246" i="39" s="1"/>
  <c r="AC275" i="39"/>
  <c r="AL275" i="39"/>
  <c r="AE275" i="39"/>
  <c r="AU297" i="39"/>
  <c r="F297" i="39"/>
  <c r="AM297" i="39" s="1"/>
  <c r="N297" i="39"/>
  <c r="M297" i="39"/>
  <c r="AS297" i="39" s="1"/>
  <c r="G297" i="39"/>
  <c r="O297" i="39"/>
  <c r="H297" i="39"/>
  <c r="P297" i="39"/>
  <c r="I297" i="39"/>
  <c r="Z297" i="39" s="1"/>
  <c r="AP297" i="39" s="1"/>
  <c r="Q297" i="39"/>
  <c r="B297" i="39"/>
  <c r="AF297" i="39" s="1"/>
  <c r="J297" i="39"/>
  <c r="AN297" i="39" s="1"/>
  <c r="C297" i="39"/>
  <c r="K297" i="39"/>
  <c r="AK297" i="39" s="1"/>
  <c r="D297" i="39"/>
  <c r="AJ297" i="39" s="1"/>
  <c r="L297" i="39"/>
  <c r="AQ297" i="39" s="1"/>
  <c r="E297" i="39"/>
  <c r="AE255" i="39"/>
  <c r="AC255" i="39"/>
  <c r="AL255" i="39"/>
  <c r="AC307" i="39"/>
  <c r="AL307" i="39"/>
  <c r="AE307" i="39"/>
  <c r="AC286" i="39"/>
  <c r="AL286" i="39"/>
  <c r="AE286" i="39"/>
  <c r="AU264" i="39"/>
  <c r="G264" i="39"/>
  <c r="O264" i="39"/>
  <c r="H264" i="39"/>
  <c r="P264" i="39"/>
  <c r="I264" i="39"/>
  <c r="Q264" i="39"/>
  <c r="Z264" i="39"/>
  <c r="AP264" i="39" s="1"/>
  <c r="N264" i="39"/>
  <c r="B264" i="39"/>
  <c r="AF264" i="39" s="1"/>
  <c r="J264" i="39"/>
  <c r="AN264" i="39" s="1"/>
  <c r="C264" i="39"/>
  <c r="K264" i="39"/>
  <c r="AK264" i="39" s="1"/>
  <c r="D264" i="39"/>
  <c r="AJ264" i="39" s="1"/>
  <c r="L264" i="39"/>
  <c r="AQ264" i="39" s="1"/>
  <c r="E264" i="39"/>
  <c r="M264" i="39"/>
  <c r="AS264" i="39" s="1"/>
  <c r="F264" i="39"/>
  <c r="AM264" i="39" s="1"/>
  <c r="AC243" i="39"/>
  <c r="AL243" i="39"/>
  <c r="AE243" i="39"/>
  <c r="AE285" i="39"/>
  <c r="AL285" i="39"/>
  <c r="AC285" i="39"/>
  <c r="AU263" i="39"/>
  <c r="H263" i="39"/>
  <c r="P263" i="39"/>
  <c r="G263" i="39"/>
  <c r="I263" i="39"/>
  <c r="Q263" i="39"/>
  <c r="Z263" i="39"/>
  <c r="AP263" i="39" s="1"/>
  <c r="O263" i="39"/>
  <c r="B263" i="39"/>
  <c r="AF263" i="39" s="1"/>
  <c r="J263" i="39"/>
  <c r="AN263" i="39" s="1"/>
  <c r="C263" i="39"/>
  <c r="K263" i="39"/>
  <c r="AK263" i="39" s="1"/>
  <c r="D263" i="39"/>
  <c r="AJ263" i="39" s="1"/>
  <c r="L263" i="39"/>
  <c r="AQ263" i="39" s="1"/>
  <c r="E263" i="39"/>
  <c r="M263" i="39"/>
  <c r="AS263" i="39" s="1"/>
  <c r="F263" i="39"/>
  <c r="AM263" i="39" s="1"/>
  <c r="N263" i="39"/>
  <c r="AU240" i="39"/>
  <c r="D240" i="39"/>
  <c r="AJ240" i="39" s="1"/>
  <c r="L240" i="39"/>
  <c r="AQ240" i="39" s="1"/>
  <c r="I240" i="39"/>
  <c r="J240" i="39"/>
  <c r="AN240" i="39" s="1"/>
  <c r="B240" i="39"/>
  <c r="AF240" i="39" s="1"/>
  <c r="K240" i="39"/>
  <c r="AK240" i="39" s="1"/>
  <c r="Q240" i="39"/>
  <c r="C240" i="39"/>
  <c r="M240" i="39"/>
  <c r="AS240" i="39" s="1"/>
  <c r="E240" i="39"/>
  <c r="N240" i="39"/>
  <c r="H240" i="39"/>
  <c r="F240" i="39"/>
  <c r="AM240" i="39" s="1"/>
  <c r="O240" i="39"/>
  <c r="G240" i="39"/>
  <c r="P240" i="39"/>
  <c r="Z240" i="39"/>
  <c r="AP240" i="39" s="1"/>
  <c r="AU310" i="39"/>
  <c r="I310" i="39"/>
  <c r="Q310" i="39"/>
  <c r="Z310" i="39"/>
  <c r="AP310" i="39" s="1"/>
  <c r="B310" i="39"/>
  <c r="AF310" i="39" s="1"/>
  <c r="J310" i="39"/>
  <c r="AN310" i="39" s="1"/>
  <c r="C310" i="39"/>
  <c r="K310" i="39"/>
  <c r="AK310" i="39" s="1"/>
  <c r="H310" i="39"/>
  <c r="D310" i="39"/>
  <c r="AJ310" i="39" s="1"/>
  <c r="L310" i="39"/>
  <c r="AQ310" i="39" s="1"/>
  <c r="E310" i="39"/>
  <c r="M310" i="39"/>
  <c r="AS310" i="39" s="1"/>
  <c r="F310" i="39"/>
  <c r="AM310" i="39" s="1"/>
  <c r="N310" i="39"/>
  <c r="P310" i="39"/>
  <c r="G310" i="39"/>
  <c r="O310" i="39"/>
  <c r="AE268" i="39"/>
  <c r="AC268" i="39"/>
  <c r="AL268" i="39"/>
  <c r="AC244" i="39"/>
  <c r="AL244" i="39"/>
  <c r="AE244" i="39"/>
  <c r="AC194" i="39"/>
  <c r="AE194" i="39"/>
  <c r="AL194" i="39"/>
  <c r="AU237" i="39"/>
  <c r="C237" i="39"/>
  <c r="G237" i="39"/>
  <c r="O237" i="39"/>
  <c r="J237" i="39"/>
  <c r="AN237" i="39" s="1"/>
  <c r="D237" i="39"/>
  <c r="AJ237" i="39" s="1"/>
  <c r="L237" i="39"/>
  <c r="AQ237" i="39" s="1"/>
  <c r="N237" i="39"/>
  <c r="B237" i="39"/>
  <c r="AF237" i="39" s="1"/>
  <c r="P237" i="39"/>
  <c r="E237" i="39"/>
  <c r="Q237" i="39"/>
  <c r="Z237" i="39"/>
  <c r="AP237" i="39" s="1"/>
  <c r="F237" i="39"/>
  <c r="AM237" i="39" s="1"/>
  <c r="H237" i="39"/>
  <c r="M237" i="39"/>
  <c r="AS237" i="39" s="1"/>
  <c r="I237" i="39"/>
  <c r="K237" i="39"/>
  <c r="AK237" i="39" s="1"/>
  <c r="AU188" i="39"/>
  <c r="C188" i="39"/>
  <c r="K188" i="39"/>
  <c r="AK188" i="39" s="1"/>
  <c r="D188" i="39"/>
  <c r="AJ188" i="39" s="1"/>
  <c r="L188" i="39"/>
  <c r="AQ188" i="39" s="1"/>
  <c r="E188" i="39"/>
  <c r="M188" i="39"/>
  <c r="AS188" i="39" s="1"/>
  <c r="F188" i="39"/>
  <c r="AM188" i="39" s="1"/>
  <c r="N188" i="39"/>
  <c r="G188" i="39"/>
  <c r="O188" i="39"/>
  <c r="H188" i="39"/>
  <c r="P188" i="39"/>
  <c r="Q188" i="39"/>
  <c r="I188" i="39"/>
  <c r="J188" i="39"/>
  <c r="AN188" i="39" s="1"/>
  <c r="B188" i="39"/>
  <c r="AF188" i="39" s="1"/>
  <c r="AC219" i="39"/>
  <c r="AL219" i="39"/>
  <c r="AE219" i="39"/>
  <c r="AU234" i="39"/>
  <c r="F234" i="39"/>
  <c r="AM234" i="39" s="1"/>
  <c r="N234" i="39"/>
  <c r="H234" i="39"/>
  <c r="Q234" i="39"/>
  <c r="I234" i="39"/>
  <c r="J234" i="39"/>
  <c r="AN234" i="39" s="1"/>
  <c r="C234" i="39"/>
  <c r="L234" i="39"/>
  <c r="AQ234" i="39" s="1"/>
  <c r="E234" i="39"/>
  <c r="O234" i="39"/>
  <c r="K234" i="39"/>
  <c r="AK234" i="39" s="1"/>
  <c r="M234" i="39"/>
  <c r="AS234" i="39" s="1"/>
  <c r="P234" i="39"/>
  <c r="G234" i="39"/>
  <c r="B234" i="39"/>
  <c r="AF234" i="39" s="1"/>
  <c r="Z234" i="39"/>
  <c r="AP234" i="39" s="1"/>
  <c r="D234" i="39"/>
  <c r="AJ234" i="39" s="1"/>
  <c r="AU243" i="39"/>
  <c r="I243" i="39"/>
  <c r="Q243" i="39"/>
  <c r="Z243" i="39"/>
  <c r="AP243" i="39" s="1"/>
  <c r="G243" i="39"/>
  <c r="P243" i="39"/>
  <c r="H243" i="39"/>
  <c r="J243" i="39"/>
  <c r="AN243" i="39" s="1"/>
  <c r="B243" i="39"/>
  <c r="AF243" i="39" s="1"/>
  <c r="K243" i="39"/>
  <c r="AK243" i="39" s="1"/>
  <c r="C243" i="39"/>
  <c r="L243" i="39"/>
  <c r="AQ243" i="39" s="1"/>
  <c r="D243" i="39"/>
  <c r="AJ243" i="39" s="1"/>
  <c r="M243" i="39"/>
  <c r="AS243" i="39" s="1"/>
  <c r="O243" i="39"/>
  <c r="E243" i="39"/>
  <c r="N243" i="39"/>
  <c r="F243" i="39"/>
  <c r="AM243" i="39" s="1"/>
  <c r="AE179" i="39"/>
  <c r="AL179" i="39"/>
  <c r="AC179" i="39"/>
  <c r="AU204" i="39"/>
  <c r="C204" i="39"/>
  <c r="K204" i="39"/>
  <c r="AK204" i="39" s="1"/>
  <c r="D204" i="39"/>
  <c r="AJ204" i="39" s="1"/>
  <c r="L204" i="39"/>
  <c r="AQ204" i="39" s="1"/>
  <c r="E204" i="39"/>
  <c r="M204" i="39"/>
  <c r="AS204" i="39" s="1"/>
  <c r="F204" i="39"/>
  <c r="AM204" i="39" s="1"/>
  <c r="N204" i="39"/>
  <c r="G204" i="39"/>
  <c r="O204" i="39"/>
  <c r="H204" i="39"/>
  <c r="P204" i="39"/>
  <c r="B204" i="39"/>
  <c r="AF204" i="39" s="1"/>
  <c r="I204" i="39"/>
  <c r="J204" i="39"/>
  <c r="AN204" i="39" s="1"/>
  <c r="Q204" i="39"/>
  <c r="AC48" i="39"/>
  <c r="AL48" i="39"/>
  <c r="AE48" i="39"/>
  <c r="AC209" i="39"/>
  <c r="AL209" i="39"/>
  <c r="AE209" i="39"/>
  <c r="AU187" i="39"/>
  <c r="D187" i="39"/>
  <c r="AJ187" i="39" s="1"/>
  <c r="L187" i="39"/>
  <c r="AQ187" i="39" s="1"/>
  <c r="E187" i="39"/>
  <c r="M187" i="39"/>
  <c r="AS187" i="39" s="1"/>
  <c r="F187" i="39"/>
  <c r="AM187" i="39" s="1"/>
  <c r="N187" i="39"/>
  <c r="G187" i="39"/>
  <c r="O187" i="39"/>
  <c r="H187" i="39"/>
  <c r="P187" i="39"/>
  <c r="I187" i="39"/>
  <c r="Q187" i="39"/>
  <c r="Z187" i="39"/>
  <c r="AP187" i="39" s="1"/>
  <c r="J187" i="39"/>
  <c r="AN187" i="39" s="1"/>
  <c r="K187" i="39"/>
  <c r="AK187" i="39" s="1"/>
  <c r="B187" i="39"/>
  <c r="AF187" i="39" s="1"/>
  <c r="C187" i="39"/>
  <c r="AC200" i="39"/>
  <c r="AL200" i="39"/>
  <c r="AE200" i="39"/>
  <c r="AU178" i="39"/>
  <c r="E178" i="39"/>
  <c r="M178" i="39"/>
  <c r="AS178" i="39" s="1"/>
  <c r="F178" i="39"/>
  <c r="AM178" i="39" s="1"/>
  <c r="N178" i="39"/>
  <c r="G178" i="39"/>
  <c r="O178" i="39"/>
  <c r="H178" i="39"/>
  <c r="P178" i="39"/>
  <c r="I178" i="39"/>
  <c r="Z178" i="39" s="1"/>
  <c r="AP178" i="39" s="1"/>
  <c r="Q178" i="39"/>
  <c r="B178" i="39"/>
  <c r="AF178" i="39" s="1"/>
  <c r="J178" i="39"/>
  <c r="AN178" i="39" s="1"/>
  <c r="K178" i="39"/>
  <c r="AK178" i="39" s="1"/>
  <c r="L178" i="39"/>
  <c r="AQ178" i="39" s="1"/>
  <c r="C178" i="39"/>
  <c r="D178" i="39"/>
  <c r="AJ178" i="39" s="1"/>
  <c r="AU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H130" i="39"/>
  <c r="P130" i="39"/>
  <c r="N130" i="39"/>
  <c r="O130" i="39"/>
  <c r="Q130" i="39"/>
  <c r="F130" i="39"/>
  <c r="AM130" i="39" s="1"/>
  <c r="Z130" i="39"/>
  <c r="AP130" i="39" s="1"/>
  <c r="G130" i="39"/>
  <c r="I130" i="39"/>
  <c r="AE223" i="39"/>
  <c r="AL223" i="39"/>
  <c r="AC223" i="39"/>
  <c r="AU201" i="39"/>
  <c r="F201" i="39"/>
  <c r="AM201" i="39" s="1"/>
  <c r="N201" i="39"/>
  <c r="G201" i="39"/>
  <c r="O201" i="39"/>
  <c r="H201" i="39"/>
  <c r="P201" i="39"/>
  <c r="I201" i="39"/>
  <c r="Z201" i="39" s="1"/>
  <c r="AP201" i="39" s="1"/>
  <c r="Q201" i="39"/>
  <c r="B201" i="39"/>
  <c r="AF201" i="39" s="1"/>
  <c r="J201" i="39"/>
  <c r="AN201" i="39" s="1"/>
  <c r="C201" i="39"/>
  <c r="K201" i="39"/>
  <c r="AK201" i="39" s="1"/>
  <c r="L201" i="39"/>
  <c r="AQ201" i="39" s="1"/>
  <c r="M201" i="39"/>
  <c r="AS201" i="39" s="1"/>
  <c r="D201" i="39"/>
  <c r="AJ201" i="39" s="1"/>
  <c r="E201" i="39"/>
  <c r="AC159" i="39"/>
  <c r="AL159" i="39"/>
  <c r="AE159" i="39"/>
  <c r="AC96" i="39"/>
  <c r="AL96" i="39"/>
  <c r="AE96" i="39"/>
  <c r="AC190" i="39"/>
  <c r="AL190" i="39"/>
  <c r="AE190" i="39"/>
  <c r="AU168" i="39"/>
  <c r="G168" i="39"/>
  <c r="O168" i="39"/>
  <c r="H168" i="39"/>
  <c r="P168" i="39"/>
  <c r="I168" i="39"/>
  <c r="Q168" i="39"/>
  <c r="Z168" i="39"/>
  <c r="AP168" i="39" s="1"/>
  <c r="B168" i="39"/>
  <c r="AF168" i="39" s="1"/>
  <c r="J168" i="39"/>
  <c r="AN168" i="39" s="1"/>
  <c r="C168" i="39"/>
  <c r="K168" i="39"/>
  <c r="AK168" i="39" s="1"/>
  <c r="D168" i="39"/>
  <c r="AJ168" i="39" s="1"/>
  <c r="L168" i="39"/>
  <c r="AQ168" i="39" s="1"/>
  <c r="E168" i="39"/>
  <c r="F168" i="39"/>
  <c r="AM168" i="39" s="1"/>
  <c r="M168" i="39"/>
  <c r="AS168" i="39" s="1"/>
  <c r="N168" i="39"/>
  <c r="AU150" i="39"/>
  <c r="F150" i="39"/>
  <c r="AM150" i="39" s="1"/>
  <c r="N150" i="39"/>
  <c r="H150" i="39"/>
  <c r="Q150" i="39"/>
  <c r="Z150" i="39"/>
  <c r="AP150" i="39" s="1"/>
  <c r="I150" i="39"/>
  <c r="J150" i="39"/>
  <c r="AN150" i="39" s="1"/>
  <c r="B150" i="39"/>
  <c r="AF150" i="39" s="1"/>
  <c r="K150" i="39"/>
  <c r="AK150" i="39" s="1"/>
  <c r="C150" i="39"/>
  <c r="L150" i="39"/>
  <c r="AQ150" i="39" s="1"/>
  <c r="D150" i="39"/>
  <c r="AJ150" i="39" s="1"/>
  <c r="M150" i="39"/>
  <c r="AS150" i="39" s="1"/>
  <c r="E150" i="39"/>
  <c r="G150" i="39"/>
  <c r="O150" i="39"/>
  <c r="P150" i="39"/>
  <c r="AE213" i="39"/>
  <c r="AC213" i="39"/>
  <c r="AL213" i="39"/>
  <c r="AU191" i="39"/>
  <c r="H191" i="39"/>
  <c r="P191" i="39"/>
  <c r="I191" i="39"/>
  <c r="Q191" i="39"/>
  <c r="Z191" i="39"/>
  <c r="AP191" i="39" s="1"/>
  <c r="B191" i="39"/>
  <c r="AF191" i="39" s="1"/>
  <c r="J191" i="39"/>
  <c r="AN191" i="39" s="1"/>
  <c r="C191" i="39"/>
  <c r="K191" i="39"/>
  <c r="AK191" i="39" s="1"/>
  <c r="D191" i="39"/>
  <c r="AJ191" i="39" s="1"/>
  <c r="L191" i="39"/>
  <c r="AQ191" i="39" s="1"/>
  <c r="E191" i="39"/>
  <c r="M191" i="39"/>
  <c r="AS191" i="39" s="1"/>
  <c r="F191" i="39"/>
  <c r="AM191" i="39" s="1"/>
  <c r="G191" i="39"/>
  <c r="N191" i="39"/>
  <c r="O191" i="39"/>
  <c r="AE141" i="39"/>
  <c r="AC141" i="39"/>
  <c r="AL141" i="39"/>
  <c r="AE212" i="39"/>
  <c r="AC212" i="39"/>
  <c r="AL212" i="39"/>
  <c r="AU190" i="39"/>
  <c r="I190" i="39"/>
  <c r="Q190" i="39"/>
  <c r="Z190" i="39"/>
  <c r="AP190" i="39" s="1"/>
  <c r="B190" i="39"/>
  <c r="AF190" i="39" s="1"/>
  <c r="J190" i="39"/>
  <c r="AN190" i="39" s="1"/>
  <c r="C190" i="39"/>
  <c r="K190" i="39"/>
  <c r="AK190" i="39" s="1"/>
  <c r="D190" i="39"/>
  <c r="AJ190" i="39" s="1"/>
  <c r="L190" i="39"/>
  <c r="AQ190" i="39" s="1"/>
  <c r="E190" i="39"/>
  <c r="M190" i="39"/>
  <c r="AS190" i="39" s="1"/>
  <c r="F190" i="39"/>
  <c r="AM190" i="39" s="1"/>
  <c r="N190" i="39"/>
  <c r="G190" i="39"/>
  <c r="H190" i="39"/>
  <c r="O190" i="39"/>
  <c r="P190" i="39"/>
  <c r="AU145" i="39"/>
  <c r="C145" i="39"/>
  <c r="K145" i="39"/>
  <c r="AK145" i="39" s="1"/>
  <c r="D145" i="39"/>
  <c r="AJ145" i="39" s="1"/>
  <c r="L145" i="39"/>
  <c r="AQ145" i="39" s="1"/>
  <c r="I145" i="39"/>
  <c r="Q145" i="39"/>
  <c r="Z145" i="39"/>
  <c r="AP145" i="39" s="1"/>
  <c r="J145" i="39"/>
  <c r="AN145" i="39" s="1"/>
  <c r="M145" i="39"/>
  <c r="AS145" i="39" s="1"/>
  <c r="N145" i="39"/>
  <c r="B145" i="39"/>
  <c r="AF145" i="39" s="1"/>
  <c r="O145" i="39"/>
  <c r="E145" i="39"/>
  <c r="P145" i="39"/>
  <c r="F145" i="39"/>
  <c r="AM145" i="39" s="1"/>
  <c r="G145" i="39"/>
  <c r="H145" i="39"/>
  <c r="AC103" i="39"/>
  <c r="AL103" i="39"/>
  <c r="AE103" i="39"/>
  <c r="AE80" i="39"/>
  <c r="AC80" i="39"/>
  <c r="AL80" i="39"/>
  <c r="AU112" i="39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Q112" i="39"/>
  <c r="Z112" i="39"/>
  <c r="AP112" i="39" s="1"/>
  <c r="B112" i="39"/>
  <c r="AF112" i="39" s="1"/>
  <c r="J112" i="39"/>
  <c r="AN112" i="39" s="1"/>
  <c r="C112" i="39"/>
  <c r="K112" i="39"/>
  <c r="AK112" i="39" s="1"/>
  <c r="AC19" i="39"/>
  <c r="AL19" i="39"/>
  <c r="AE19" i="39"/>
  <c r="AU95" i="39"/>
  <c r="E95" i="39"/>
  <c r="M95" i="39"/>
  <c r="AS95" i="39" s="1"/>
  <c r="F95" i="39"/>
  <c r="AM95" i="39" s="1"/>
  <c r="N95" i="39"/>
  <c r="G95" i="39"/>
  <c r="O95" i="39"/>
  <c r="H95" i="39"/>
  <c r="P95" i="39"/>
  <c r="I95" i="39"/>
  <c r="Q95" i="39"/>
  <c r="Z95" i="39"/>
  <c r="AP95" i="39" s="1"/>
  <c r="B95" i="39"/>
  <c r="AF95" i="39" s="1"/>
  <c r="J95" i="39"/>
  <c r="AN95" i="39" s="1"/>
  <c r="C95" i="39"/>
  <c r="K95" i="39"/>
  <c r="AK95" i="39" s="1"/>
  <c r="D95" i="39"/>
  <c r="AJ95" i="39" s="1"/>
  <c r="L95" i="39"/>
  <c r="AQ95" i="39" s="1"/>
  <c r="AU62" i="39"/>
  <c r="B62" i="39"/>
  <c r="AF62" i="39" s="1"/>
  <c r="J62" i="39"/>
  <c r="AN62" i="39" s="1"/>
  <c r="C62" i="39"/>
  <c r="K62" i="39"/>
  <c r="AK62" i="39" s="1"/>
  <c r="D62" i="39"/>
  <c r="AJ62" i="39" s="1"/>
  <c r="L62" i="39"/>
  <c r="AQ62" i="39" s="1"/>
  <c r="F62" i="39"/>
  <c r="AM62" i="39" s="1"/>
  <c r="N62" i="39"/>
  <c r="G62" i="39"/>
  <c r="O62" i="39"/>
  <c r="M62" i="39"/>
  <c r="AS62" i="39" s="1"/>
  <c r="P62" i="39"/>
  <c r="Q62" i="39"/>
  <c r="E62" i="39"/>
  <c r="H62" i="39"/>
  <c r="I62" i="39"/>
  <c r="Z62" i="39" s="1"/>
  <c r="AP62" i="39" s="1"/>
  <c r="AC116" i="39"/>
  <c r="AL116" i="39"/>
  <c r="AE116" i="39"/>
  <c r="AU94" i="39"/>
  <c r="F94" i="39"/>
  <c r="AM94" i="39" s="1"/>
  <c r="N94" i="39"/>
  <c r="G94" i="39"/>
  <c r="O94" i="39"/>
  <c r="H94" i="39"/>
  <c r="P94" i="39"/>
  <c r="I94" i="39"/>
  <c r="Q94" i="39"/>
  <c r="Z94" i="39"/>
  <c r="AP94" i="39" s="1"/>
  <c r="B94" i="39"/>
  <c r="AF94" i="39" s="1"/>
  <c r="J94" i="39"/>
  <c r="AN94" i="39" s="1"/>
  <c r="C94" i="39"/>
  <c r="K94" i="39"/>
  <c r="AK94" i="39" s="1"/>
  <c r="D94" i="39"/>
  <c r="AJ94" i="39" s="1"/>
  <c r="L94" i="39"/>
  <c r="AQ94" i="39" s="1"/>
  <c r="E94" i="39"/>
  <c r="M94" i="39"/>
  <c r="AS94" i="39" s="1"/>
  <c r="AU50" i="39"/>
  <c r="F50" i="39"/>
  <c r="AM50" i="39" s="1"/>
  <c r="N50" i="39"/>
  <c r="G50" i="39"/>
  <c r="O50" i="39"/>
  <c r="H50" i="39"/>
  <c r="P50" i="39"/>
  <c r="B50" i="39"/>
  <c r="AF50" i="39" s="1"/>
  <c r="J50" i="39"/>
  <c r="AN50" i="39" s="1"/>
  <c r="C50" i="39"/>
  <c r="K50" i="39"/>
  <c r="AK50" i="39" s="1"/>
  <c r="M50" i="39"/>
  <c r="AS50" i="39" s="1"/>
  <c r="Q50" i="39"/>
  <c r="D50" i="39"/>
  <c r="AJ50" i="39" s="1"/>
  <c r="E50" i="39"/>
  <c r="I50" i="39"/>
  <c r="L50" i="39"/>
  <c r="AQ50" i="39" s="1"/>
  <c r="AC131" i="39"/>
  <c r="AL131" i="39"/>
  <c r="AE131" i="39"/>
  <c r="AU109" i="39"/>
  <c r="G109" i="39"/>
  <c r="O109" i="39"/>
  <c r="H109" i="39"/>
  <c r="P109" i="39"/>
  <c r="I109" i="39"/>
  <c r="Q109" i="39"/>
  <c r="Z109" i="39"/>
  <c r="AP109" i="39" s="1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F109" i="39"/>
  <c r="AM109" i="39" s="1"/>
  <c r="N109" i="39"/>
  <c r="AC44" i="39"/>
  <c r="AL44" i="39"/>
  <c r="AE44" i="39"/>
  <c r="AE138" i="39"/>
  <c r="AC138" i="39"/>
  <c r="AL138" i="39"/>
  <c r="AU116" i="39"/>
  <c r="H116" i="39"/>
  <c r="P116" i="39"/>
  <c r="I116" i="39"/>
  <c r="Q116" i="39"/>
  <c r="Z116" i="39"/>
  <c r="AP116" i="39" s="1"/>
  <c r="B116" i="39"/>
  <c r="AF116" i="39" s="1"/>
  <c r="J116" i="39"/>
  <c r="AN116" i="39" s="1"/>
  <c r="C116" i="39"/>
  <c r="K116" i="39"/>
  <c r="AK116" i="39" s="1"/>
  <c r="F116" i="39"/>
  <c r="AM116" i="39" s="1"/>
  <c r="N116" i="39"/>
  <c r="D116" i="39"/>
  <c r="AJ116" i="39" s="1"/>
  <c r="E116" i="39"/>
  <c r="G116" i="39"/>
  <c r="L116" i="39"/>
  <c r="AQ116" i="39" s="1"/>
  <c r="M116" i="39"/>
  <c r="AS116" i="39" s="1"/>
  <c r="O116" i="39"/>
  <c r="AC145" i="39"/>
  <c r="AL145" i="39"/>
  <c r="AE145" i="39"/>
  <c r="AU123" i="39"/>
  <c r="I123" i="39"/>
  <c r="Q123" i="39"/>
  <c r="Z123" i="39"/>
  <c r="AP123" i="39" s="1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G123" i="39"/>
  <c r="O123" i="39"/>
  <c r="P123" i="39"/>
  <c r="E123" i="39"/>
  <c r="F123" i="39"/>
  <c r="AM123" i="39" s="1"/>
  <c r="H123" i="39"/>
  <c r="M123" i="39"/>
  <c r="AS123" i="39" s="1"/>
  <c r="N123" i="39"/>
  <c r="AC5" i="39"/>
  <c r="AL5" i="39"/>
  <c r="AE5" i="39"/>
  <c r="AC66" i="39"/>
  <c r="AL66" i="39"/>
  <c r="AE66" i="39"/>
  <c r="AU44" i="39"/>
  <c r="D44" i="39"/>
  <c r="AJ44" i="39" s="1"/>
  <c r="L44" i="39"/>
  <c r="AQ44" i="39" s="1"/>
  <c r="E44" i="39"/>
  <c r="M44" i="39"/>
  <c r="AS44" i="39" s="1"/>
  <c r="F44" i="39"/>
  <c r="AM44" i="39" s="1"/>
  <c r="N44" i="39"/>
  <c r="H44" i="39"/>
  <c r="P44" i="39"/>
  <c r="I44" i="39"/>
  <c r="Z44" i="39" s="1"/>
  <c r="AP44" i="39" s="1"/>
  <c r="Q44" i="39"/>
  <c r="O44" i="39"/>
  <c r="B44" i="39"/>
  <c r="AF44" i="39" s="1"/>
  <c r="C44" i="39"/>
  <c r="G44" i="39"/>
  <c r="J44" i="39"/>
  <c r="AN44" i="39" s="1"/>
  <c r="K44" i="39"/>
  <c r="AK44" i="39" s="1"/>
  <c r="AC65" i="39"/>
  <c r="AL65" i="39"/>
  <c r="AE65" i="39"/>
  <c r="AU43" i="39"/>
  <c r="E43" i="39"/>
  <c r="M43" i="39"/>
  <c r="AS43" i="39" s="1"/>
  <c r="F43" i="39"/>
  <c r="AM43" i="39" s="1"/>
  <c r="N43" i="39"/>
  <c r="G43" i="39"/>
  <c r="O43" i="39"/>
  <c r="I43" i="39"/>
  <c r="Z43" i="39" s="1"/>
  <c r="AP43" i="39" s="1"/>
  <c r="Q43" i="39"/>
  <c r="B43" i="39"/>
  <c r="AF43" i="39" s="1"/>
  <c r="J43" i="39"/>
  <c r="AN43" i="39" s="1"/>
  <c r="C43" i="39"/>
  <c r="D43" i="39"/>
  <c r="AJ43" i="39" s="1"/>
  <c r="H43" i="39"/>
  <c r="K43" i="39"/>
  <c r="AK43" i="39" s="1"/>
  <c r="L43" i="39"/>
  <c r="AQ43" i="39" s="1"/>
  <c r="P43" i="39"/>
  <c r="AE47" i="39"/>
  <c r="AL47" i="39"/>
  <c r="AC47" i="39"/>
  <c r="AU25" i="39"/>
  <c r="G25" i="39"/>
  <c r="O25" i="39"/>
  <c r="H25" i="39"/>
  <c r="P25" i="39"/>
  <c r="I25" i="39"/>
  <c r="Q25" i="39"/>
  <c r="C25" i="39"/>
  <c r="K25" i="39"/>
  <c r="AK25" i="39" s="1"/>
  <c r="D25" i="39"/>
  <c r="AJ25" i="39" s="1"/>
  <c r="L25" i="39"/>
  <c r="AQ25" i="39" s="1"/>
  <c r="B25" i="39"/>
  <c r="AF25" i="39" s="1"/>
  <c r="E25" i="39"/>
  <c r="F25" i="39"/>
  <c r="AM25" i="39" s="1"/>
  <c r="J25" i="39"/>
  <c r="AN25" i="39" s="1"/>
  <c r="M25" i="39"/>
  <c r="AS25" i="39" s="1"/>
  <c r="N25" i="39"/>
  <c r="AU80" i="39"/>
  <c r="H80" i="39"/>
  <c r="P80" i="39"/>
  <c r="I80" i="39"/>
  <c r="Q80" i="39"/>
  <c r="D80" i="39"/>
  <c r="AJ80" i="39" s="1"/>
  <c r="L80" i="39"/>
  <c r="AQ80" i="39" s="1"/>
  <c r="E80" i="39"/>
  <c r="M80" i="39"/>
  <c r="AS80" i="39" s="1"/>
  <c r="G80" i="39"/>
  <c r="J80" i="39"/>
  <c r="AN80" i="39" s="1"/>
  <c r="K80" i="39"/>
  <c r="AK80" i="39" s="1"/>
  <c r="N80" i="39"/>
  <c r="O80" i="39"/>
  <c r="B80" i="39"/>
  <c r="AF80" i="39" s="1"/>
  <c r="C80" i="39"/>
  <c r="F80" i="39"/>
  <c r="AM80" i="39" s="1"/>
  <c r="AC38" i="39"/>
  <c r="AL38" i="39"/>
  <c r="AE38" i="39"/>
  <c r="AC53" i="39"/>
  <c r="AL53" i="39"/>
  <c r="AE53" i="39"/>
  <c r="AU31" i="39"/>
  <c r="I31" i="39"/>
  <c r="Z31" i="39" s="1"/>
  <c r="AP31" i="39" s="1"/>
  <c r="Q31" i="39"/>
  <c r="B31" i="39"/>
  <c r="AF31" i="39" s="1"/>
  <c r="J31" i="39"/>
  <c r="AN31" i="39" s="1"/>
  <c r="C31" i="39"/>
  <c r="K31" i="39"/>
  <c r="AK31" i="39" s="1"/>
  <c r="E31" i="39"/>
  <c r="M31" i="39"/>
  <c r="AS31" i="39" s="1"/>
  <c r="F31" i="39"/>
  <c r="AM31" i="39" s="1"/>
  <c r="N31" i="39"/>
  <c r="D31" i="39"/>
  <c r="AJ31" i="39" s="1"/>
  <c r="G31" i="39"/>
  <c r="H31" i="39"/>
  <c r="L31" i="39"/>
  <c r="AQ31" i="39" s="1"/>
  <c r="O31" i="39"/>
  <c r="P31" i="39"/>
  <c r="AU9" i="39"/>
  <c r="D9" i="39"/>
  <c r="AJ9" i="39" s="1"/>
  <c r="L9" i="39"/>
  <c r="AQ9" i="39" s="1"/>
  <c r="E9" i="39"/>
  <c r="M9" i="39"/>
  <c r="AS9" i="39" s="1"/>
  <c r="F9" i="39"/>
  <c r="AM9" i="39" s="1"/>
  <c r="N9" i="39"/>
  <c r="H9" i="39"/>
  <c r="P9" i="39"/>
  <c r="I9" i="39"/>
  <c r="Q9" i="39"/>
  <c r="G9" i="39"/>
  <c r="J9" i="39"/>
  <c r="AN9" i="39" s="1"/>
  <c r="K9" i="39"/>
  <c r="AK9" i="39" s="1"/>
  <c r="O9" i="39"/>
  <c r="B9" i="39"/>
  <c r="AF9" i="39" s="1"/>
  <c r="C9" i="39"/>
  <c r="AC11" i="39"/>
  <c r="AL11" i="39"/>
  <c r="AE11" i="39"/>
  <c r="AU4" i="39"/>
  <c r="I4" i="39"/>
  <c r="Z4" i="39" s="1"/>
  <c r="AP4" i="39" s="1"/>
  <c r="Q4" i="39"/>
  <c r="B4" i="39"/>
  <c r="AF4" i="39" s="1"/>
  <c r="J4" i="39"/>
  <c r="AN4" i="39" s="1"/>
  <c r="C4" i="39"/>
  <c r="K4" i="39"/>
  <c r="AK4" i="39" s="1"/>
  <c r="E4" i="39"/>
  <c r="M4" i="39"/>
  <c r="AS4" i="39" s="1"/>
  <c r="F4" i="39"/>
  <c r="AM4" i="39" s="1"/>
  <c r="N4" i="39"/>
  <c r="D4" i="39"/>
  <c r="AJ4" i="39" s="1"/>
  <c r="G4" i="39"/>
  <c r="H4" i="39"/>
  <c r="L4" i="39"/>
  <c r="AQ4" i="39" s="1"/>
  <c r="O4" i="39"/>
  <c r="P4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R80" i="39" l="1"/>
  <c r="R80" i="39"/>
  <c r="AO168" i="39"/>
  <c r="AD168" i="39"/>
  <c r="X168" i="39"/>
  <c r="Y168" i="39"/>
  <c r="AO243" i="39"/>
  <c r="AD243" i="39"/>
  <c r="Y243" i="39"/>
  <c r="X243" i="39"/>
  <c r="AR237" i="39"/>
  <c r="R237" i="39"/>
  <c r="AR240" i="39"/>
  <c r="R240" i="39"/>
  <c r="AH150" i="39"/>
  <c r="AB150" i="39"/>
  <c r="AD201" i="39"/>
  <c r="AO201" i="39"/>
  <c r="X201" i="39"/>
  <c r="Y201" i="39"/>
  <c r="AD187" i="39"/>
  <c r="AO187" i="39"/>
  <c r="X187" i="39"/>
  <c r="Y187" i="39"/>
  <c r="AR284" i="39"/>
  <c r="R284" i="39"/>
  <c r="AD79" i="39"/>
  <c r="AO79" i="39"/>
  <c r="X79" i="39"/>
  <c r="Y79" i="39"/>
  <c r="AR50" i="39"/>
  <c r="R50" i="39"/>
  <c r="AB168" i="39"/>
  <c r="AH168" i="39"/>
  <c r="AH284" i="39"/>
  <c r="AB284" i="39"/>
  <c r="AR4" i="39"/>
  <c r="R4" i="39"/>
  <c r="AD109" i="39"/>
  <c r="AO109" i="39"/>
  <c r="X109" i="39"/>
  <c r="Y109" i="39"/>
  <c r="AH94" i="39"/>
  <c r="AB94" i="39"/>
  <c r="AD62" i="39"/>
  <c r="AO62" i="39"/>
  <c r="X62" i="39"/>
  <c r="Y62" i="39"/>
  <c r="AR62" i="39"/>
  <c r="R62" i="39"/>
  <c r="AH112" i="39"/>
  <c r="AB112" i="39"/>
  <c r="AR145" i="39"/>
  <c r="R145" i="39"/>
  <c r="AR150" i="39"/>
  <c r="R150" i="39"/>
  <c r="AR168" i="39"/>
  <c r="R168" i="39"/>
  <c r="AH201" i="39"/>
  <c r="AB201" i="39"/>
  <c r="AD130" i="39"/>
  <c r="AO130" i="39"/>
  <c r="Y130" i="39"/>
  <c r="X130" i="39"/>
  <c r="AB234" i="39"/>
  <c r="AH234" i="39"/>
  <c r="AD310" i="39"/>
  <c r="AO310" i="39"/>
  <c r="Y310" i="39"/>
  <c r="X310" i="39"/>
  <c r="AO240" i="39"/>
  <c r="AD240" i="39"/>
  <c r="X240" i="39"/>
  <c r="Y240" i="39"/>
  <c r="AO264" i="39"/>
  <c r="AD264" i="39"/>
  <c r="X264" i="39"/>
  <c r="Y264" i="39"/>
  <c r="AO297" i="39"/>
  <c r="AD297" i="39"/>
  <c r="X297" i="39"/>
  <c r="Y297" i="39"/>
  <c r="AR246" i="39"/>
  <c r="R246" i="39"/>
  <c r="AH282" i="39"/>
  <c r="AB282" i="39"/>
  <c r="AH301" i="39"/>
  <c r="AB301" i="39"/>
  <c r="AR269" i="39"/>
  <c r="R269" i="39"/>
  <c r="AH315" i="39"/>
  <c r="AB315" i="39"/>
  <c r="AR144" i="39"/>
  <c r="R144" i="39"/>
  <c r="AO55" i="39"/>
  <c r="AD55" i="39"/>
  <c r="X55" i="39"/>
  <c r="Y55" i="39"/>
  <c r="AR133" i="39"/>
  <c r="R133" i="39"/>
  <c r="AH118" i="39"/>
  <c r="AB118" i="39"/>
  <c r="AO34" i="39"/>
  <c r="AD34" i="39"/>
  <c r="X34" i="39"/>
  <c r="Y34" i="39"/>
  <c r="AR34" i="39"/>
  <c r="R34" i="39"/>
  <c r="AD82" i="39"/>
  <c r="AO82" i="39"/>
  <c r="X82" i="39"/>
  <c r="Y82" i="39"/>
  <c r="AR82" i="39"/>
  <c r="R82" i="39"/>
  <c r="AO105" i="39"/>
  <c r="AD105" i="39"/>
  <c r="X105" i="39"/>
  <c r="Y105" i="39"/>
  <c r="AH161" i="39"/>
  <c r="AB161" i="39"/>
  <c r="AR238" i="39"/>
  <c r="R238" i="39"/>
  <c r="AH238" i="39"/>
  <c r="AB238" i="39"/>
  <c r="AR270" i="39"/>
  <c r="R270" i="39"/>
  <c r="AH287" i="39"/>
  <c r="AB287" i="39"/>
  <c r="AD247" i="39"/>
  <c r="AO247" i="39"/>
  <c r="Y247" i="39"/>
  <c r="X247" i="39"/>
  <c r="AR308" i="39"/>
  <c r="R308" i="39"/>
  <c r="AR283" i="39"/>
  <c r="R283" i="39"/>
  <c r="AD231" i="39"/>
  <c r="AO231" i="39"/>
  <c r="Y231" i="39"/>
  <c r="X231" i="39"/>
  <c r="AB208" i="39"/>
  <c r="AH208" i="39"/>
  <c r="AH286" i="39"/>
  <c r="AB286" i="39"/>
  <c r="AH27" i="39"/>
  <c r="AB27" i="39"/>
  <c r="AB3" i="39"/>
  <c r="AH3" i="39"/>
  <c r="AR74" i="39"/>
  <c r="R74" i="39"/>
  <c r="AD96" i="39"/>
  <c r="AO96" i="39"/>
  <c r="X96" i="39"/>
  <c r="Y96" i="39"/>
  <c r="AD77" i="39"/>
  <c r="AO77" i="39"/>
  <c r="X77" i="39"/>
  <c r="Y77" i="39"/>
  <c r="AB174" i="39"/>
  <c r="AH174" i="39"/>
  <c r="AO175" i="39"/>
  <c r="AD175" i="39"/>
  <c r="Y175" i="39"/>
  <c r="X175" i="39"/>
  <c r="AR162" i="39"/>
  <c r="R162" i="39"/>
  <c r="AR235" i="39"/>
  <c r="R235" i="39"/>
  <c r="AR312" i="39"/>
  <c r="R312" i="39"/>
  <c r="AR98" i="39"/>
  <c r="R98" i="39"/>
  <c r="AB98" i="39"/>
  <c r="AH98" i="39"/>
  <c r="AH281" i="39"/>
  <c r="AB281" i="39"/>
  <c r="AR266" i="39"/>
  <c r="R266" i="39"/>
  <c r="AR290" i="39"/>
  <c r="R290" i="39"/>
  <c r="AD316" i="39"/>
  <c r="AO316" i="39"/>
  <c r="X316" i="39"/>
  <c r="Y316" i="39"/>
  <c r="AD230" i="39"/>
  <c r="AO230" i="39"/>
  <c r="Y230" i="39"/>
  <c r="X230" i="39"/>
  <c r="AH128" i="39"/>
  <c r="AB128" i="39"/>
  <c r="AR258" i="39"/>
  <c r="R258" i="39"/>
  <c r="AD24" i="39"/>
  <c r="AO24" i="39"/>
  <c r="Y24" i="39"/>
  <c r="X24" i="39"/>
  <c r="AR88" i="39"/>
  <c r="R88" i="39"/>
  <c r="AB131" i="39"/>
  <c r="AH131" i="39"/>
  <c r="AO124" i="39"/>
  <c r="AD124" i="39"/>
  <c r="Y124" i="39"/>
  <c r="X124" i="39"/>
  <c r="AO102" i="39"/>
  <c r="AD102" i="39"/>
  <c r="X102" i="39"/>
  <c r="Y102" i="39"/>
  <c r="AH199" i="39"/>
  <c r="AB199" i="39"/>
  <c r="AO176" i="39"/>
  <c r="AD176" i="39"/>
  <c r="X176" i="39"/>
  <c r="Y176" i="39"/>
  <c r="AH70" i="39"/>
  <c r="AB70" i="39"/>
  <c r="AR272" i="39"/>
  <c r="R272" i="39"/>
  <c r="AB305" i="39"/>
  <c r="AH305" i="39"/>
  <c r="AR252" i="39"/>
  <c r="R252" i="39"/>
  <c r="AD56" i="39"/>
  <c r="AO56" i="39"/>
  <c r="Y56" i="39"/>
  <c r="X56" i="39"/>
  <c r="AB19" i="39"/>
  <c r="AH19" i="39"/>
  <c r="AR75" i="39"/>
  <c r="R75" i="39"/>
  <c r="AO15" i="39"/>
  <c r="AD15" i="39"/>
  <c r="X15" i="39"/>
  <c r="Y15" i="39"/>
  <c r="AR141" i="39"/>
  <c r="R141" i="39"/>
  <c r="AR158" i="39"/>
  <c r="R158" i="39"/>
  <c r="AH158" i="39"/>
  <c r="AB158" i="39"/>
  <c r="AR159" i="39"/>
  <c r="R159" i="39"/>
  <c r="AR228" i="39"/>
  <c r="R228" i="39"/>
  <c r="AH278" i="39"/>
  <c r="AB278" i="39"/>
  <c r="AH295" i="39"/>
  <c r="AB295" i="39"/>
  <c r="AR296" i="39"/>
  <c r="R296" i="39"/>
  <c r="AB250" i="39"/>
  <c r="AH250" i="39"/>
  <c r="AB259" i="39"/>
  <c r="AH259" i="39"/>
  <c r="AR83" i="39"/>
  <c r="R83" i="39"/>
  <c r="AR244" i="39"/>
  <c r="R244" i="39"/>
  <c r="AD36" i="39"/>
  <c r="AO36" i="39"/>
  <c r="Y36" i="39"/>
  <c r="X36" i="39"/>
  <c r="AD115" i="39"/>
  <c r="AO115" i="39"/>
  <c r="X115" i="39"/>
  <c r="Y115" i="39"/>
  <c r="AO37" i="39"/>
  <c r="AD37" i="39"/>
  <c r="X37" i="39"/>
  <c r="Y37" i="39"/>
  <c r="AH108" i="39"/>
  <c r="AB108" i="39"/>
  <c r="AD101" i="39"/>
  <c r="AO101" i="39"/>
  <c r="X101" i="39"/>
  <c r="Y101" i="39"/>
  <c r="AH104" i="39"/>
  <c r="AB104" i="39"/>
  <c r="AR224" i="39"/>
  <c r="R224" i="39"/>
  <c r="AR170" i="39"/>
  <c r="R170" i="39"/>
  <c r="AR172" i="39"/>
  <c r="R172" i="39"/>
  <c r="AB172" i="39"/>
  <c r="AH172" i="39"/>
  <c r="AH138" i="39"/>
  <c r="AB138" i="39"/>
  <c r="AR92" i="39"/>
  <c r="R92" i="39"/>
  <c r="AH92" i="39"/>
  <c r="AB92" i="39"/>
  <c r="AR177" i="39"/>
  <c r="R177" i="39"/>
  <c r="AR154" i="39"/>
  <c r="R154" i="39"/>
  <c r="AD5" i="39"/>
  <c r="AO5" i="39"/>
  <c r="Y5" i="39"/>
  <c r="X5" i="39"/>
  <c r="AR32" i="39"/>
  <c r="R32" i="39"/>
  <c r="AO60" i="39"/>
  <c r="AD60" i="39"/>
  <c r="Y60" i="39"/>
  <c r="X60" i="39"/>
  <c r="AD139" i="39"/>
  <c r="AO139" i="39"/>
  <c r="X139" i="39"/>
  <c r="Y139" i="39"/>
  <c r="AH69" i="39"/>
  <c r="AB69" i="39"/>
  <c r="AR58" i="39"/>
  <c r="R58" i="39"/>
  <c r="AO97" i="39"/>
  <c r="AD97" i="39"/>
  <c r="X97" i="39"/>
  <c r="Y97" i="39"/>
  <c r="AR206" i="39"/>
  <c r="R206" i="39"/>
  <c r="AR122" i="39"/>
  <c r="R122" i="39"/>
  <c r="AR217" i="39"/>
  <c r="R217" i="39"/>
  <c r="AD277" i="39"/>
  <c r="AO277" i="39"/>
  <c r="X277" i="39"/>
  <c r="Y277" i="39"/>
  <c r="AB249" i="39"/>
  <c r="AH249" i="39"/>
  <c r="AR99" i="39"/>
  <c r="R99" i="39"/>
  <c r="AH99" i="39"/>
  <c r="AB99" i="39"/>
  <c r="AH44" i="39"/>
  <c r="AB44" i="39"/>
  <c r="AB123" i="39"/>
  <c r="AH123" i="39"/>
  <c r="AO116" i="39"/>
  <c r="AD116" i="39"/>
  <c r="Y116" i="39"/>
  <c r="X116" i="39"/>
  <c r="AO50" i="39"/>
  <c r="AD50" i="39"/>
  <c r="X50" i="39"/>
  <c r="Y50" i="39"/>
  <c r="AR264" i="39"/>
  <c r="R264" i="39"/>
  <c r="AR297" i="39"/>
  <c r="R297" i="39"/>
  <c r="AO94" i="39"/>
  <c r="AD94" i="39"/>
  <c r="X94" i="39"/>
  <c r="Y94" i="39"/>
  <c r="AB95" i="39"/>
  <c r="AH95" i="39"/>
  <c r="AD112" i="39"/>
  <c r="AO112" i="39"/>
  <c r="X112" i="39"/>
  <c r="Y112" i="39"/>
  <c r="AH31" i="39"/>
  <c r="AB31" i="39"/>
  <c r="AH25" i="39"/>
  <c r="AB25" i="39"/>
  <c r="AR43" i="39"/>
  <c r="R43" i="39"/>
  <c r="AR123" i="39"/>
  <c r="R123" i="39"/>
  <c r="AH62" i="39"/>
  <c r="AB62" i="39"/>
  <c r="AR95" i="39"/>
  <c r="R95" i="39"/>
  <c r="AH9" i="39"/>
  <c r="AB9" i="39"/>
  <c r="AD9" i="39"/>
  <c r="AO9" i="39"/>
  <c r="Y9" i="39"/>
  <c r="X9" i="39"/>
  <c r="AO80" i="39"/>
  <c r="AD80" i="39"/>
  <c r="Y80" i="39"/>
  <c r="X80" i="39"/>
  <c r="AD25" i="39"/>
  <c r="AO25" i="39"/>
  <c r="X25" i="39"/>
  <c r="Y25" i="39"/>
  <c r="AR44" i="39"/>
  <c r="R44" i="39"/>
  <c r="AH50" i="39"/>
  <c r="AB50" i="39"/>
  <c r="AR94" i="39"/>
  <c r="R94" i="39"/>
  <c r="AR112" i="39"/>
  <c r="R112" i="39"/>
  <c r="AO190" i="39"/>
  <c r="AD190" i="39"/>
  <c r="X190" i="39"/>
  <c r="Y190" i="39"/>
  <c r="AD150" i="39"/>
  <c r="AO150" i="39"/>
  <c r="X150" i="39"/>
  <c r="Y150" i="39"/>
  <c r="AR201" i="39"/>
  <c r="R201" i="39"/>
  <c r="AR130" i="39"/>
  <c r="R130" i="39"/>
  <c r="AR187" i="39"/>
  <c r="R187" i="39"/>
  <c r="AR243" i="39"/>
  <c r="R243" i="39"/>
  <c r="AR234" i="39"/>
  <c r="R234" i="39"/>
  <c r="AR310" i="39"/>
  <c r="R310" i="39"/>
  <c r="AO263" i="39"/>
  <c r="AD263" i="39"/>
  <c r="Y263" i="39"/>
  <c r="X263" i="39"/>
  <c r="AR282" i="39"/>
  <c r="R282" i="39"/>
  <c r="AR291" i="39"/>
  <c r="R291" i="39"/>
  <c r="AO284" i="39"/>
  <c r="AD284" i="39"/>
  <c r="X284" i="39"/>
  <c r="Y284" i="39"/>
  <c r="AR309" i="39"/>
  <c r="R309" i="39"/>
  <c r="AR13" i="39"/>
  <c r="R13" i="39"/>
  <c r="AD66" i="39"/>
  <c r="AO66" i="39"/>
  <c r="X66" i="39"/>
  <c r="Y66" i="39"/>
  <c r="AO140" i="39"/>
  <c r="AD140" i="39"/>
  <c r="Y140" i="39"/>
  <c r="X140" i="39"/>
  <c r="AR151" i="39"/>
  <c r="R151" i="39"/>
  <c r="AR161" i="39"/>
  <c r="R161" i="39"/>
  <c r="AB225" i="39"/>
  <c r="AH225" i="39"/>
  <c r="AR211" i="39"/>
  <c r="R211" i="39"/>
  <c r="AO181" i="39"/>
  <c r="AD181" i="39"/>
  <c r="X181" i="39"/>
  <c r="Y181" i="39"/>
  <c r="AR221" i="39"/>
  <c r="R221" i="39"/>
  <c r="AH221" i="39"/>
  <c r="AB221" i="39"/>
  <c r="AH270" i="39"/>
  <c r="AB270" i="39"/>
  <c r="AH317" i="39"/>
  <c r="AB317" i="39"/>
  <c r="AB283" i="39"/>
  <c r="AH283" i="39"/>
  <c r="AD54" i="39"/>
  <c r="AO54" i="39"/>
  <c r="X54" i="39"/>
  <c r="Y54" i="39"/>
  <c r="AB167" i="39"/>
  <c r="AH167" i="39"/>
  <c r="AR208" i="39"/>
  <c r="R208" i="39"/>
  <c r="AD303" i="39"/>
  <c r="AO303" i="39"/>
  <c r="Y303" i="39"/>
  <c r="X303" i="39"/>
  <c r="AO64" i="39"/>
  <c r="AD64" i="39"/>
  <c r="Y64" i="39"/>
  <c r="X64" i="39"/>
  <c r="AR27" i="39"/>
  <c r="R27" i="39"/>
  <c r="AD93" i="39"/>
  <c r="AO93" i="39"/>
  <c r="X93" i="39"/>
  <c r="Y93" i="39"/>
  <c r="AD29" i="39"/>
  <c r="AO29" i="39"/>
  <c r="X29" i="39"/>
  <c r="Y29" i="39"/>
  <c r="AD129" i="39"/>
  <c r="AO129" i="39"/>
  <c r="X129" i="39"/>
  <c r="Y129" i="39"/>
  <c r="AB129" i="39"/>
  <c r="AH129" i="39"/>
  <c r="AB152" i="39"/>
  <c r="AH152" i="39"/>
  <c r="AH185" i="39"/>
  <c r="AB185" i="39"/>
  <c r="AO235" i="39"/>
  <c r="AD235" i="39"/>
  <c r="Y235" i="39"/>
  <c r="X235" i="39"/>
  <c r="AD294" i="39"/>
  <c r="AO294" i="39"/>
  <c r="Y294" i="39"/>
  <c r="X294" i="39"/>
  <c r="AR311" i="39"/>
  <c r="R311" i="39"/>
  <c r="AH248" i="39"/>
  <c r="AB248" i="39"/>
  <c r="AD197" i="39"/>
  <c r="AO197" i="39"/>
  <c r="X197" i="39"/>
  <c r="Y197" i="39"/>
  <c r="AR268" i="39"/>
  <c r="R268" i="39"/>
  <c r="AD274" i="39"/>
  <c r="AO274" i="39"/>
  <c r="X274" i="39"/>
  <c r="Y274" i="39"/>
  <c r="AB71" i="39"/>
  <c r="AH71" i="39"/>
  <c r="AR230" i="39"/>
  <c r="R230" i="39"/>
  <c r="AD17" i="39"/>
  <c r="AO17" i="39"/>
  <c r="X17" i="39"/>
  <c r="Y17" i="39"/>
  <c r="AH39" i="39"/>
  <c r="AB39" i="39"/>
  <c r="AB51" i="39"/>
  <c r="AH51" i="39"/>
  <c r="AD51" i="39"/>
  <c r="AO51" i="39"/>
  <c r="X51" i="39"/>
  <c r="Y51" i="39"/>
  <c r="AR52" i="39"/>
  <c r="R52" i="39"/>
  <c r="AH42" i="39"/>
  <c r="AB42" i="39"/>
  <c r="AR90" i="39"/>
  <c r="R90" i="39"/>
  <c r="AB90" i="39"/>
  <c r="AH90" i="39"/>
  <c r="AD61" i="39"/>
  <c r="AO61" i="39"/>
  <c r="X61" i="39"/>
  <c r="Y61" i="39"/>
  <c r="AR61" i="39"/>
  <c r="R61" i="39"/>
  <c r="AR117" i="39"/>
  <c r="R117" i="39"/>
  <c r="AD103" i="39"/>
  <c r="AO103" i="39"/>
  <c r="X103" i="39"/>
  <c r="Y103" i="39"/>
  <c r="AR199" i="39"/>
  <c r="R199" i="39"/>
  <c r="AD209" i="39"/>
  <c r="AO209" i="39"/>
  <c r="X209" i="39"/>
  <c r="Y209" i="39"/>
  <c r="AH186" i="39"/>
  <c r="AB186" i="39"/>
  <c r="AD229" i="39"/>
  <c r="AO229" i="39"/>
  <c r="Y229" i="39"/>
  <c r="X229" i="39"/>
  <c r="AD318" i="39"/>
  <c r="AO318" i="39"/>
  <c r="Y318" i="39"/>
  <c r="X318" i="39"/>
  <c r="AO271" i="39"/>
  <c r="AD271" i="39"/>
  <c r="Y271" i="39"/>
  <c r="X271" i="39"/>
  <c r="AB226" i="39"/>
  <c r="AH226" i="39"/>
  <c r="AH292" i="39"/>
  <c r="AB292" i="39"/>
  <c r="AD314" i="39"/>
  <c r="AO314" i="39"/>
  <c r="X314" i="39"/>
  <c r="Y314" i="39"/>
  <c r="AD293" i="39"/>
  <c r="AO293" i="39"/>
  <c r="X293" i="39"/>
  <c r="Y293" i="39"/>
  <c r="AR19" i="39"/>
  <c r="R19" i="39"/>
  <c r="AO166" i="39"/>
  <c r="AD166" i="39"/>
  <c r="X166" i="39"/>
  <c r="Y166" i="39"/>
  <c r="AR6" i="39"/>
  <c r="R6" i="39"/>
  <c r="AR63" i="39"/>
  <c r="R63" i="39"/>
  <c r="AD63" i="39"/>
  <c r="AO63" i="39"/>
  <c r="X63" i="39"/>
  <c r="Y63" i="39"/>
  <c r="AR48" i="39"/>
  <c r="R48" i="39"/>
  <c r="AR7" i="39"/>
  <c r="R7" i="39"/>
  <c r="AD57" i="39"/>
  <c r="AO57" i="39"/>
  <c r="X57" i="39"/>
  <c r="Y57" i="39"/>
  <c r="AR91" i="39"/>
  <c r="R91" i="39"/>
  <c r="AH91" i="39"/>
  <c r="AB91" i="39"/>
  <c r="AD81" i="39"/>
  <c r="AO81" i="39"/>
  <c r="X81" i="39"/>
  <c r="Y81" i="39"/>
  <c r="AD148" i="39"/>
  <c r="AO148" i="39"/>
  <c r="Y148" i="39"/>
  <c r="X148" i="39"/>
  <c r="AR78" i="39"/>
  <c r="R78" i="39"/>
  <c r="AD46" i="39"/>
  <c r="AO46" i="39"/>
  <c r="X46" i="39"/>
  <c r="Y46" i="39"/>
  <c r="AR106" i="39"/>
  <c r="R106" i="39"/>
  <c r="AB106" i="39"/>
  <c r="AH106" i="39"/>
  <c r="AD223" i="39"/>
  <c r="AO223" i="39"/>
  <c r="Y223" i="39"/>
  <c r="X223" i="39"/>
  <c r="AR135" i="39"/>
  <c r="R135" i="39"/>
  <c r="AH200" i="39"/>
  <c r="AB200" i="39"/>
  <c r="AD169" i="39"/>
  <c r="AO169" i="39"/>
  <c r="X169" i="39"/>
  <c r="Y169" i="39"/>
  <c r="AR210" i="39"/>
  <c r="R210" i="39"/>
  <c r="AR155" i="39"/>
  <c r="R155" i="39"/>
  <c r="AH228" i="39"/>
  <c r="AB228" i="39"/>
  <c r="AR241" i="39"/>
  <c r="R241" i="39"/>
  <c r="AD265" i="39"/>
  <c r="AO265" i="39"/>
  <c r="X265" i="39"/>
  <c r="Y265" i="39"/>
  <c r="AD259" i="39"/>
  <c r="AO259" i="39"/>
  <c r="X259" i="39"/>
  <c r="Y259" i="39"/>
  <c r="AH244" i="39"/>
  <c r="AB244" i="39"/>
  <c r="AR87" i="39"/>
  <c r="R87" i="39"/>
  <c r="AD87" i="39"/>
  <c r="AO87" i="39"/>
  <c r="X87" i="39"/>
  <c r="Y87" i="39"/>
  <c r="AR72" i="39"/>
  <c r="R72" i="39"/>
  <c r="AB35" i="39"/>
  <c r="AH35" i="39"/>
  <c r="AH85" i="39"/>
  <c r="AB85" i="39"/>
  <c r="AR104" i="39"/>
  <c r="R104" i="39"/>
  <c r="AO182" i="39"/>
  <c r="AD182" i="39"/>
  <c r="X182" i="39"/>
  <c r="Y182" i="39"/>
  <c r="AB143" i="39"/>
  <c r="AH143" i="39"/>
  <c r="AD179" i="39"/>
  <c r="AO179" i="39"/>
  <c r="X179" i="39"/>
  <c r="Y179" i="39"/>
  <c r="AD302" i="39"/>
  <c r="AO302" i="39"/>
  <c r="X302" i="39"/>
  <c r="Y302" i="39"/>
  <c r="AD255" i="39"/>
  <c r="AO255" i="39"/>
  <c r="Y255" i="39"/>
  <c r="X255" i="39"/>
  <c r="AB289" i="39"/>
  <c r="AH289" i="39"/>
  <c r="AO218" i="39"/>
  <c r="AD218" i="39"/>
  <c r="X218" i="39"/>
  <c r="Y218" i="39"/>
  <c r="AD163" i="39"/>
  <c r="AO163" i="39"/>
  <c r="X163" i="39"/>
  <c r="Y163" i="39"/>
  <c r="AH273" i="39"/>
  <c r="AB273" i="39"/>
  <c r="AD47" i="39"/>
  <c r="AO47" i="39"/>
  <c r="Y47" i="39"/>
  <c r="X47" i="39"/>
  <c r="AR132" i="39"/>
  <c r="R132" i="39"/>
  <c r="AO26" i="39"/>
  <c r="AD26" i="39"/>
  <c r="X26" i="39"/>
  <c r="Y26" i="39"/>
  <c r="AH89" i="39"/>
  <c r="AB89" i="39"/>
  <c r="AO110" i="39"/>
  <c r="AD110" i="39"/>
  <c r="X110" i="39"/>
  <c r="Y110" i="39"/>
  <c r="AB111" i="39"/>
  <c r="AH111" i="39"/>
  <c r="AR207" i="39"/>
  <c r="R207" i="39"/>
  <c r="AH203" i="39"/>
  <c r="AB203" i="39"/>
  <c r="AR203" i="39"/>
  <c r="R203" i="39"/>
  <c r="AD212" i="39"/>
  <c r="AO212" i="39"/>
  <c r="X212" i="39"/>
  <c r="Y212" i="39"/>
  <c r="AD189" i="39"/>
  <c r="AO189" i="39"/>
  <c r="X189" i="39"/>
  <c r="Y189" i="39"/>
  <c r="AB233" i="39"/>
  <c r="AH233" i="39"/>
  <c r="AD164" i="39"/>
  <c r="AO164" i="39"/>
  <c r="X164" i="39"/>
  <c r="Y164" i="39"/>
  <c r="AD262" i="39"/>
  <c r="AO262" i="39"/>
  <c r="Y262" i="39"/>
  <c r="X262" i="39"/>
  <c r="AH279" i="39"/>
  <c r="AB279" i="39"/>
  <c r="AR261" i="39"/>
  <c r="R261" i="39"/>
  <c r="AB191" i="39"/>
  <c r="AH191" i="39"/>
  <c r="AD178" i="39"/>
  <c r="AO178" i="39"/>
  <c r="X178" i="39"/>
  <c r="Y178" i="39"/>
  <c r="AD204" i="39"/>
  <c r="AO204" i="39"/>
  <c r="X204" i="39"/>
  <c r="Y204" i="39"/>
  <c r="AO234" i="39"/>
  <c r="AD234" i="39"/>
  <c r="Y234" i="39"/>
  <c r="X234" i="39"/>
  <c r="AR263" i="39"/>
  <c r="R263" i="39"/>
  <c r="AB264" i="39"/>
  <c r="AH264" i="39"/>
  <c r="AD246" i="39"/>
  <c r="AO246" i="39"/>
  <c r="Y246" i="39"/>
  <c r="X246" i="39"/>
  <c r="AB291" i="39"/>
  <c r="AH291" i="39"/>
  <c r="AB269" i="39"/>
  <c r="AH269" i="39"/>
  <c r="AO309" i="39"/>
  <c r="AD309" i="39"/>
  <c r="X309" i="39"/>
  <c r="Y309" i="39"/>
  <c r="AO144" i="39"/>
  <c r="AD144" i="39"/>
  <c r="X144" i="39"/>
  <c r="Y144" i="39"/>
  <c r="AR40" i="39"/>
  <c r="R40" i="39"/>
  <c r="AR49" i="39"/>
  <c r="R49" i="39"/>
  <c r="AD68" i="39"/>
  <c r="AO68" i="39"/>
  <c r="Y68" i="39"/>
  <c r="X68" i="39"/>
  <c r="AH30" i="39"/>
  <c r="AB30" i="39"/>
  <c r="AB34" i="39"/>
  <c r="AH34" i="39"/>
  <c r="AR214" i="39"/>
  <c r="R214" i="39"/>
  <c r="AB214" i="39"/>
  <c r="AH214" i="39"/>
  <c r="AB151" i="39"/>
  <c r="AH151" i="39"/>
  <c r="AB192" i="39"/>
  <c r="AH192" i="39"/>
  <c r="AD136" i="39"/>
  <c r="AO136" i="39"/>
  <c r="X136" i="39"/>
  <c r="Y136" i="39"/>
  <c r="AH202" i="39"/>
  <c r="AB202" i="39"/>
  <c r="AB247" i="39"/>
  <c r="AH247" i="39"/>
  <c r="AO288" i="39"/>
  <c r="AD288" i="39"/>
  <c r="X288" i="39"/>
  <c r="Y288" i="39"/>
  <c r="AD257" i="39"/>
  <c r="AO257" i="39"/>
  <c r="X257" i="39"/>
  <c r="Y257" i="39"/>
  <c r="AD306" i="39"/>
  <c r="AO306" i="39"/>
  <c r="X306" i="39"/>
  <c r="Y306" i="39"/>
  <c r="AO251" i="39"/>
  <c r="AD251" i="39"/>
  <c r="X251" i="39"/>
  <c r="Y251" i="39"/>
  <c r="AB308" i="39"/>
  <c r="AH308" i="39"/>
  <c r="AR307" i="39"/>
  <c r="R307" i="39"/>
  <c r="AR167" i="39"/>
  <c r="R167" i="39"/>
  <c r="AH146" i="39"/>
  <c r="AB146" i="39"/>
  <c r="AR303" i="39"/>
  <c r="R303" i="39"/>
  <c r="AR79" i="39"/>
  <c r="R79" i="39"/>
  <c r="AR3" i="39"/>
  <c r="R3" i="39"/>
  <c r="AD21" i="39"/>
  <c r="AO21" i="39"/>
  <c r="X21" i="39"/>
  <c r="Y21" i="39"/>
  <c r="AH142" i="39"/>
  <c r="AB142" i="39"/>
  <c r="AD142" i="39"/>
  <c r="AO142" i="39"/>
  <c r="X142" i="39"/>
  <c r="Y142" i="39"/>
  <c r="AD74" i="39"/>
  <c r="AO74" i="39"/>
  <c r="X74" i="39"/>
  <c r="Y74" i="39"/>
  <c r="AH74" i="39"/>
  <c r="AB74" i="39"/>
  <c r="AR175" i="39"/>
  <c r="R175" i="39"/>
  <c r="AR152" i="39"/>
  <c r="R152" i="39"/>
  <c r="AR185" i="39"/>
  <c r="R185" i="39"/>
  <c r="AD171" i="39"/>
  <c r="AO171" i="39"/>
  <c r="X171" i="39"/>
  <c r="Y171" i="39"/>
  <c r="AH120" i="39"/>
  <c r="AB120" i="39"/>
  <c r="AR173" i="39"/>
  <c r="R173" i="39"/>
  <c r="AH173" i="39"/>
  <c r="AB173" i="39"/>
  <c r="AR294" i="39"/>
  <c r="R294" i="39"/>
  <c r="AH311" i="39"/>
  <c r="AB311" i="39"/>
  <c r="AR281" i="39"/>
  <c r="R281" i="39"/>
  <c r="AH268" i="39"/>
  <c r="AB268" i="39"/>
  <c r="AR285" i="39"/>
  <c r="R285" i="39"/>
  <c r="AD299" i="39"/>
  <c r="AO299" i="39"/>
  <c r="X299" i="39"/>
  <c r="Y299" i="39"/>
  <c r="AB11" i="39"/>
  <c r="AH11" i="39"/>
  <c r="AR71" i="39"/>
  <c r="R71" i="39"/>
  <c r="AR12" i="39"/>
  <c r="R12" i="39"/>
  <c r="AH12" i="39"/>
  <c r="AB12" i="39"/>
  <c r="AR33" i="39"/>
  <c r="R33" i="39"/>
  <c r="AR198" i="39"/>
  <c r="R198" i="39"/>
  <c r="AB198" i="39"/>
  <c r="AH198" i="39"/>
  <c r="AR186" i="39"/>
  <c r="R186" i="39"/>
  <c r="AR229" i="39"/>
  <c r="R229" i="39"/>
  <c r="AR220" i="39"/>
  <c r="R220" i="39"/>
  <c r="AH220" i="39"/>
  <c r="AB220" i="39"/>
  <c r="AR70" i="39"/>
  <c r="R70" i="39"/>
  <c r="AO272" i="39"/>
  <c r="AD272" i="39"/>
  <c r="X272" i="39"/>
  <c r="Y272" i="39"/>
  <c r="AH252" i="39"/>
  <c r="AB252" i="39"/>
  <c r="AO260" i="39"/>
  <c r="AD260" i="39"/>
  <c r="X260" i="39"/>
  <c r="Y260" i="39"/>
  <c r="AH6" i="39"/>
  <c r="AB6" i="39"/>
  <c r="AH75" i="39"/>
  <c r="AB75" i="39"/>
  <c r="AR15" i="39"/>
  <c r="R15" i="39"/>
  <c r="AR76" i="39"/>
  <c r="R76" i="39"/>
  <c r="AB81" i="39"/>
  <c r="AH81" i="39"/>
  <c r="AH148" i="39"/>
  <c r="AB148" i="39"/>
  <c r="AB46" i="39"/>
  <c r="AH46" i="39"/>
  <c r="AO113" i="39"/>
  <c r="AD113" i="39"/>
  <c r="X113" i="39"/>
  <c r="Y113" i="39"/>
  <c r="AD222" i="39"/>
  <c r="AO222" i="39"/>
  <c r="X222" i="39"/>
  <c r="Y222" i="39"/>
  <c r="AB114" i="39"/>
  <c r="AH114" i="39"/>
  <c r="AR200" i="39"/>
  <c r="R200" i="39"/>
  <c r="AO219" i="39"/>
  <c r="AD219" i="39"/>
  <c r="X219" i="39"/>
  <c r="Y219" i="39"/>
  <c r="AR295" i="39"/>
  <c r="R295" i="39"/>
  <c r="AR250" i="39"/>
  <c r="R250" i="39"/>
  <c r="AH83" i="39"/>
  <c r="AB83" i="39"/>
  <c r="AO83" i="39"/>
  <c r="AD83" i="39"/>
  <c r="X83" i="39"/>
  <c r="Y83" i="39"/>
  <c r="AD134" i="39"/>
  <c r="AO134" i="39"/>
  <c r="X134" i="39"/>
  <c r="Y134" i="39"/>
  <c r="AH10" i="39"/>
  <c r="AB10" i="39"/>
  <c r="AO23" i="39"/>
  <c r="AD23" i="39"/>
  <c r="Y23" i="39"/>
  <c r="X23" i="39"/>
  <c r="AD85" i="39"/>
  <c r="AO85" i="39"/>
  <c r="X85" i="39"/>
  <c r="Y85" i="39"/>
  <c r="AH160" i="39"/>
  <c r="AB160" i="39"/>
  <c r="AH224" i="39"/>
  <c r="AB224" i="39"/>
  <c r="AH193" i="39"/>
  <c r="AB193" i="39"/>
  <c r="AD119" i="39"/>
  <c r="AO119" i="39"/>
  <c r="X119" i="39"/>
  <c r="Y119" i="39"/>
  <c r="AH119" i="39"/>
  <c r="AB119" i="39"/>
  <c r="AR156" i="39"/>
  <c r="R156" i="39"/>
  <c r="AH156" i="39"/>
  <c r="AB156" i="39"/>
  <c r="AH127" i="39"/>
  <c r="AB127" i="39"/>
  <c r="AR205" i="39"/>
  <c r="R205" i="39"/>
  <c r="AH205" i="39"/>
  <c r="AB205" i="39"/>
  <c r="AR302" i="39"/>
  <c r="R302" i="39"/>
  <c r="AB239" i="39"/>
  <c r="AH239" i="39"/>
  <c r="AR256" i="39"/>
  <c r="R256" i="39"/>
  <c r="AR289" i="39"/>
  <c r="R289" i="39"/>
  <c r="AO227" i="39"/>
  <c r="AD227" i="39"/>
  <c r="X227" i="39"/>
  <c r="Y227" i="39"/>
  <c r="AR22" i="39"/>
  <c r="R22" i="39"/>
  <c r="AH22" i="39"/>
  <c r="AB22" i="39"/>
  <c r="AB32" i="39"/>
  <c r="AH32" i="39"/>
  <c r="AD59" i="39"/>
  <c r="AO59" i="39"/>
  <c r="X59" i="39"/>
  <c r="Y59" i="39"/>
  <c r="AR111" i="39"/>
  <c r="R111" i="39"/>
  <c r="AR69" i="39"/>
  <c r="R69" i="39"/>
  <c r="AH58" i="39"/>
  <c r="AB58" i="39"/>
  <c r="AB206" i="39"/>
  <c r="AH206" i="39"/>
  <c r="AH122" i="39"/>
  <c r="AB122" i="39"/>
  <c r="AB207" i="39"/>
  <c r="AH207" i="39"/>
  <c r="AO184" i="39"/>
  <c r="AD184" i="39"/>
  <c r="X184" i="39"/>
  <c r="Y184" i="39"/>
  <c r="AH153" i="39"/>
  <c r="AB153" i="39"/>
  <c r="AH194" i="39"/>
  <c r="AB194" i="39"/>
  <c r="AR236" i="39"/>
  <c r="R236" i="39"/>
  <c r="AR277" i="39"/>
  <c r="R277" i="39"/>
  <c r="AB261" i="39"/>
  <c r="AH261" i="39"/>
  <c r="AR249" i="39"/>
  <c r="R249" i="39"/>
  <c r="AO313" i="39"/>
  <c r="AD313" i="39"/>
  <c r="X313" i="39"/>
  <c r="Y313" i="39"/>
  <c r="AR298" i="39"/>
  <c r="R298" i="39"/>
  <c r="AD14" i="39"/>
  <c r="AO14" i="39"/>
  <c r="X14" i="39"/>
  <c r="Y14" i="39"/>
  <c r="AD65" i="39"/>
  <c r="AO65" i="39"/>
  <c r="X65" i="39"/>
  <c r="Y65" i="39"/>
  <c r="AD84" i="39"/>
  <c r="AO84" i="39"/>
  <c r="Y84" i="39"/>
  <c r="X84" i="39"/>
  <c r="AO304" i="39"/>
  <c r="AD304" i="39"/>
  <c r="X304" i="39"/>
  <c r="Y304" i="39"/>
  <c r="AB267" i="39"/>
  <c r="AH267" i="39"/>
  <c r="AH243" i="39"/>
  <c r="AB243" i="39"/>
  <c r="AR188" i="39"/>
  <c r="R188" i="39"/>
  <c r="AB188" i="39"/>
  <c r="AH188" i="39"/>
  <c r="AB310" i="39"/>
  <c r="AH310" i="39"/>
  <c r="AH240" i="39"/>
  <c r="AB240" i="39"/>
  <c r="AH263" i="39"/>
  <c r="AB263" i="39"/>
  <c r="AB297" i="39"/>
  <c r="AH297" i="39"/>
  <c r="AO301" i="39"/>
  <c r="AD301" i="39"/>
  <c r="X301" i="39"/>
  <c r="Y301" i="39"/>
  <c r="AH245" i="39"/>
  <c r="AB245" i="39"/>
  <c r="AD269" i="39"/>
  <c r="AO269" i="39"/>
  <c r="X269" i="39"/>
  <c r="Y269" i="39"/>
  <c r="AD315" i="39"/>
  <c r="AO315" i="39"/>
  <c r="X315" i="39"/>
  <c r="Y315" i="39"/>
  <c r="AH309" i="39"/>
  <c r="AB309" i="39"/>
  <c r="AB13" i="39"/>
  <c r="AH13" i="39"/>
  <c r="AR55" i="39"/>
  <c r="R55" i="39"/>
  <c r="AH55" i="39"/>
  <c r="AB55" i="39"/>
  <c r="AD40" i="39"/>
  <c r="AO40" i="39"/>
  <c r="Y40" i="39"/>
  <c r="X40" i="39"/>
  <c r="AH49" i="39"/>
  <c r="AB49" i="39"/>
  <c r="AR68" i="39"/>
  <c r="R68" i="39"/>
  <c r="AH147" i="39"/>
  <c r="AB147" i="39"/>
  <c r="AR118" i="39"/>
  <c r="R118" i="39"/>
  <c r="AR192" i="39"/>
  <c r="R192" i="39"/>
  <c r="AR202" i="39"/>
  <c r="R202" i="39"/>
  <c r="AD221" i="39"/>
  <c r="AO221" i="39"/>
  <c r="X221" i="39"/>
  <c r="Y221" i="39"/>
  <c r="AD238" i="39"/>
  <c r="AO238" i="39"/>
  <c r="X238" i="39"/>
  <c r="Y238" i="39"/>
  <c r="AD196" i="39"/>
  <c r="AO196" i="39"/>
  <c r="X196" i="39"/>
  <c r="Y196" i="39"/>
  <c r="AD283" i="39"/>
  <c r="AO283" i="39"/>
  <c r="X283" i="39"/>
  <c r="Y283" i="39"/>
  <c r="AR276" i="39"/>
  <c r="R276" i="39"/>
  <c r="AR231" i="39"/>
  <c r="R231" i="39"/>
  <c r="AH64" i="39"/>
  <c r="AB64" i="39"/>
  <c r="AR73" i="39"/>
  <c r="R73" i="39"/>
  <c r="AR86" i="39"/>
  <c r="R86" i="39"/>
  <c r="AD107" i="39"/>
  <c r="AO107" i="39"/>
  <c r="X107" i="39"/>
  <c r="Y107" i="39"/>
  <c r="AD100" i="39"/>
  <c r="AO100" i="39"/>
  <c r="Y100" i="39"/>
  <c r="X100" i="39"/>
  <c r="Z74" i="39"/>
  <c r="AP74" i="39" s="1"/>
  <c r="AH96" i="39"/>
  <c r="AB96" i="39"/>
  <c r="AH77" i="39"/>
  <c r="AB77" i="39"/>
  <c r="AH175" i="39"/>
  <c r="AB175" i="39"/>
  <c r="AD216" i="39"/>
  <c r="AO216" i="39"/>
  <c r="X216" i="39"/>
  <c r="Y216" i="39"/>
  <c r="AH294" i="39"/>
  <c r="AB294" i="39"/>
  <c r="AR248" i="39"/>
  <c r="R248" i="39"/>
  <c r="AO312" i="39"/>
  <c r="AD312" i="39"/>
  <c r="X312" i="39"/>
  <c r="Y312" i="39"/>
  <c r="AD266" i="39"/>
  <c r="AO266" i="39"/>
  <c r="X266" i="39"/>
  <c r="Y266" i="39"/>
  <c r="AH274" i="39"/>
  <c r="AB274" i="39"/>
  <c r="AD121" i="39"/>
  <c r="AO121" i="39"/>
  <c r="Y121" i="39"/>
  <c r="X121" i="39"/>
  <c r="AB121" i="39"/>
  <c r="AH121" i="39"/>
  <c r="AB24" i="39"/>
  <c r="AH24" i="39"/>
  <c r="AR24" i="39"/>
  <c r="R24" i="39"/>
  <c r="AH33" i="39"/>
  <c r="AB33" i="39"/>
  <c r="AR51" i="39"/>
  <c r="R51" i="39"/>
  <c r="AD90" i="39"/>
  <c r="AO90" i="39"/>
  <c r="X90" i="39"/>
  <c r="Y90" i="39"/>
  <c r="AR124" i="39"/>
  <c r="R124" i="39"/>
  <c r="AH124" i="39"/>
  <c r="AB124" i="39"/>
  <c r="Z61" i="39"/>
  <c r="AP61" i="39" s="1"/>
  <c r="AH102" i="39"/>
  <c r="AB102" i="39"/>
  <c r="AH176" i="39"/>
  <c r="AB176" i="39"/>
  <c r="AD149" i="39"/>
  <c r="AO149" i="39"/>
  <c r="X149" i="39"/>
  <c r="Y149" i="39"/>
  <c r="AH195" i="39"/>
  <c r="AB195" i="39"/>
  <c r="AR195" i="39"/>
  <c r="R195" i="39"/>
  <c r="AR318" i="39"/>
  <c r="R318" i="39"/>
  <c r="AR271" i="39"/>
  <c r="R271" i="39"/>
  <c r="AR305" i="39"/>
  <c r="R305" i="39"/>
  <c r="AO292" i="39"/>
  <c r="AD292" i="39"/>
  <c r="X292" i="39"/>
  <c r="Y292" i="39"/>
  <c r="AH314" i="39"/>
  <c r="AB314" i="39"/>
  <c r="AR56" i="39"/>
  <c r="R56" i="39"/>
  <c r="AB48" i="39"/>
  <c r="AH48" i="39"/>
  <c r="AH7" i="39"/>
  <c r="AB7" i="39"/>
  <c r="AD76" i="39"/>
  <c r="AO76" i="39"/>
  <c r="Y76" i="39"/>
  <c r="X76" i="39"/>
  <c r="AR148" i="39"/>
  <c r="R148" i="39"/>
  <c r="AR126" i="39"/>
  <c r="R126" i="39"/>
  <c r="AO241" i="39"/>
  <c r="AD241" i="39"/>
  <c r="X241" i="39"/>
  <c r="Y241" i="39"/>
  <c r="AB241" i="39"/>
  <c r="AH241" i="39"/>
  <c r="AR165" i="39"/>
  <c r="R165" i="39"/>
  <c r="AH165" i="39"/>
  <c r="AB165" i="39"/>
  <c r="AR16" i="39"/>
  <c r="R16" i="39"/>
  <c r="AD16" i="39"/>
  <c r="AO16" i="39"/>
  <c r="X16" i="39"/>
  <c r="Y16" i="39"/>
  <c r="AH72" i="39"/>
  <c r="AB72" i="39"/>
  <c r="AD35" i="39"/>
  <c r="AO35" i="39"/>
  <c r="X35" i="39"/>
  <c r="Y35" i="39"/>
  <c r="AR36" i="39"/>
  <c r="R36" i="39"/>
  <c r="AB115" i="39"/>
  <c r="AH115" i="39"/>
  <c r="AB101" i="39"/>
  <c r="AH101" i="39"/>
  <c r="AR160" i="39"/>
  <c r="R160" i="39"/>
  <c r="AR193" i="39"/>
  <c r="R193" i="39"/>
  <c r="AH179" i="39"/>
  <c r="AB179" i="39"/>
  <c r="AD172" i="39"/>
  <c r="AO172" i="39"/>
  <c r="X172" i="39"/>
  <c r="Y172" i="39"/>
  <c r="AD239" i="39"/>
  <c r="AO239" i="39"/>
  <c r="X239" i="39"/>
  <c r="Y239" i="39"/>
  <c r="AR273" i="39"/>
  <c r="R273" i="39"/>
  <c r="AR41" i="39"/>
  <c r="R41" i="39"/>
  <c r="AR60" i="39"/>
  <c r="R60" i="39"/>
  <c r="AB139" i="39"/>
  <c r="AH139" i="39"/>
  <c r="AO132" i="39"/>
  <c r="AD132" i="39"/>
  <c r="Y132" i="39"/>
  <c r="X132" i="39"/>
  <c r="Z26" i="39"/>
  <c r="AP26" i="39" s="1"/>
  <c r="AR89" i="39"/>
  <c r="R89" i="39"/>
  <c r="AR125" i="39"/>
  <c r="R125" i="39"/>
  <c r="AB38" i="39"/>
  <c r="AH38" i="39"/>
  <c r="AH53" i="39"/>
  <c r="AB53" i="39"/>
  <c r="AR153" i="39"/>
  <c r="R153" i="39"/>
  <c r="AR194" i="39"/>
  <c r="R194" i="39"/>
  <c r="AO233" i="39"/>
  <c r="AD233" i="39"/>
  <c r="X233" i="39"/>
  <c r="Y233" i="39"/>
  <c r="AR233" i="39"/>
  <c r="R233" i="39"/>
  <c r="AR262" i="39"/>
  <c r="R262" i="39"/>
  <c r="AD261" i="39"/>
  <c r="AO261" i="39"/>
  <c r="X261" i="39"/>
  <c r="Y261" i="39"/>
  <c r="AO280" i="39"/>
  <c r="AD280" i="39"/>
  <c r="X280" i="39"/>
  <c r="Y280" i="39"/>
  <c r="AR20" i="39"/>
  <c r="R20" i="39"/>
  <c r="AH20" i="39"/>
  <c r="AB20" i="39"/>
  <c r="AR109" i="39"/>
  <c r="R109" i="39"/>
  <c r="Z50" i="39"/>
  <c r="AP50" i="39" s="1"/>
  <c r="AR190" i="39"/>
  <c r="R190" i="39"/>
  <c r="AB190" i="39"/>
  <c r="AH190" i="39"/>
  <c r="AH82" i="39"/>
  <c r="AB82" i="39"/>
  <c r="AR105" i="39"/>
  <c r="R105" i="39"/>
  <c r="AH105" i="39"/>
  <c r="AB105" i="39"/>
  <c r="AD215" i="39"/>
  <c r="AO215" i="39"/>
  <c r="Y215" i="39"/>
  <c r="X215" i="39"/>
  <c r="AO225" i="39"/>
  <c r="AD225" i="39"/>
  <c r="X225" i="39"/>
  <c r="Y225" i="39"/>
  <c r="AR136" i="39"/>
  <c r="R136" i="39"/>
  <c r="AR232" i="39"/>
  <c r="R232" i="39"/>
  <c r="AR181" i="39"/>
  <c r="R181" i="39"/>
  <c r="AH181" i="39"/>
  <c r="AB181" i="39"/>
  <c r="AR247" i="39"/>
  <c r="R247" i="39"/>
  <c r="AB288" i="39"/>
  <c r="AH288" i="39"/>
  <c r="AB257" i="39"/>
  <c r="AH257" i="39"/>
  <c r="AD308" i="39"/>
  <c r="AO308" i="39"/>
  <c r="X308" i="39"/>
  <c r="Y308" i="39"/>
  <c r="AH276" i="39"/>
  <c r="AB276" i="39"/>
  <c r="AB54" i="39"/>
  <c r="AH54" i="39"/>
  <c r="AD146" i="39"/>
  <c r="AO146" i="39"/>
  <c r="Y146" i="39"/>
  <c r="X146" i="39"/>
  <c r="AH303" i="39"/>
  <c r="AB303" i="39"/>
  <c r="AB79" i="39"/>
  <c r="AH79" i="39"/>
  <c r="Z79" i="39"/>
  <c r="AP79" i="39" s="1"/>
  <c r="AB73" i="39"/>
  <c r="AH73" i="39"/>
  <c r="AR28" i="39"/>
  <c r="R28" i="39"/>
  <c r="AO28" i="39"/>
  <c r="AD28" i="39"/>
  <c r="Y28" i="39"/>
  <c r="X28" i="39"/>
  <c r="AB93" i="39"/>
  <c r="AH93" i="39"/>
  <c r="AR96" i="39"/>
  <c r="R96" i="39"/>
  <c r="AB29" i="39"/>
  <c r="AH29" i="39"/>
  <c r="AR129" i="39"/>
  <c r="R129" i="39"/>
  <c r="AD162" i="39"/>
  <c r="AO162" i="39"/>
  <c r="X162" i="39"/>
  <c r="Y162" i="39"/>
  <c r="AR120" i="39"/>
  <c r="R120" i="39"/>
  <c r="AD98" i="39"/>
  <c r="AO98" i="39"/>
  <c r="X98" i="39"/>
  <c r="Y98" i="39"/>
  <c r="AR275" i="39"/>
  <c r="R275" i="39"/>
  <c r="AR253" i="39"/>
  <c r="R253" i="39"/>
  <c r="AO268" i="39"/>
  <c r="AD268" i="39"/>
  <c r="X268" i="39"/>
  <c r="Y268" i="39"/>
  <c r="AD290" i="39"/>
  <c r="AO290" i="39"/>
  <c r="X290" i="39"/>
  <c r="Y290" i="39"/>
  <c r="AR11" i="39"/>
  <c r="R11" i="39"/>
  <c r="AR128" i="39"/>
  <c r="R128" i="39"/>
  <c r="AD258" i="39"/>
  <c r="AO258" i="39"/>
  <c r="X258" i="39"/>
  <c r="Y258" i="39"/>
  <c r="AH88" i="39"/>
  <c r="AB88" i="39"/>
  <c r="AH52" i="39"/>
  <c r="AB52" i="39"/>
  <c r="AD52" i="39"/>
  <c r="AO52" i="39"/>
  <c r="Y52" i="39"/>
  <c r="X52" i="39"/>
  <c r="AO42" i="39"/>
  <c r="AD42" i="39"/>
  <c r="X42" i="39"/>
  <c r="Y42" i="39"/>
  <c r="AR131" i="39"/>
  <c r="R131" i="39"/>
  <c r="AR102" i="39"/>
  <c r="R102" i="39"/>
  <c r="AB103" i="39"/>
  <c r="AH103" i="39"/>
  <c r="AR176" i="39"/>
  <c r="R176" i="39"/>
  <c r="AH209" i="39"/>
  <c r="AB209" i="39"/>
  <c r="AR149" i="39"/>
  <c r="R149" i="39"/>
  <c r="AR180" i="39"/>
  <c r="R180" i="39"/>
  <c r="AB180" i="39"/>
  <c r="AH180" i="39"/>
  <c r="AR157" i="39"/>
  <c r="R157" i="39"/>
  <c r="AB157" i="39"/>
  <c r="AH157" i="39"/>
  <c r="AD220" i="39"/>
  <c r="AO220" i="39"/>
  <c r="X220" i="39"/>
  <c r="Y220" i="39"/>
  <c r="AD254" i="39"/>
  <c r="AO254" i="39"/>
  <c r="Y254" i="39"/>
  <c r="X254" i="39"/>
  <c r="AB318" i="39"/>
  <c r="AH318" i="39"/>
  <c r="AH271" i="39"/>
  <c r="AB271" i="39"/>
  <c r="AH242" i="39"/>
  <c r="AB242" i="39"/>
  <c r="AR242" i="39"/>
  <c r="R242" i="39"/>
  <c r="AR293" i="39"/>
  <c r="R293" i="39"/>
  <c r="AD252" i="39"/>
  <c r="AO252" i="39"/>
  <c r="X252" i="39"/>
  <c r="Y252" i="39"/>
  <c r="AR166" i="39"/>
  <c r="R166" i="39"/>
  <c r="AB166" i="39"/>
  <c r="AH166" i="39"/>
  <c r="AB63" i="39"/>
  <c r="AH63" i="39"/>
  <c r="AD48" i="39"/>
  <c r="AO48" i="39"/>
  <c r="Y48" i="39"/>
  <c r="X48" i="39"/>
  <c r="AO7" i="39"/>
  <c r="AD7" i="39"/>
  <c r="X7" i="39"/>
  <c r="Y7" i="39"/>
  <c r="AH15" i="39"/>
  <c r="AB15" i="39"/>
  <c r="AB76" i="39"/>
  <c r="AH76" i="39"/>
  <c r="AB141" i="39"/>
  <c r="AH141" i="39"/>
  <c r="AO141" i="39"/>
  <c r="AD141" i="39"/>
  <c r="X141" i="39"/>
  <c r="Y141" i="39"/>
  <c r="AR46" i="39"/>
  <c r="R46" i="39"/>
  <c r="AR114" i="39"/>
  <c r="R114" i="39"/>
  <c r="AO159" i="39"/>
  <c r="AD159" i="39"/>
  <c r="Y159" i="39"/>
  <c r="X159" i="39"/>
  <c r="AB223" i="39"/>
  <c r="AH223" i="39"/>
  <c r="AH169" i="39"/>
  <c r="AB169" i="39"/>
  <c r="AH219" i="39"/>
  <c r="AB219" i="39"/>
  <c r="AD213" i="39"/>
  <c r="AO213" i="39"/>
  <c r="X213" i="39"/>
  <c r="Y213" i="39"/>
  <c r="AO296" i="39"/>
  <c r="AD296" i="39"/>
  <c r="X296" i="39"/>
  <c r="Y296" i="39"/>
  <c r="AB265" i="39"/>
  <c r="AH265" i="39"/>
  <c r="AH134" i="39"/>
  <c r="AB134" i="39"/>
  <c r="AR10" i="39"/>
  <c r="R10" i="39"/>
  <c r="AD244" i="39"/>
  <c r="AO244" i="39"/>
  <c r="Y244" i="39"/>
  <c r="X244" i="39"/>
  <c r="AB87" i="39"/>
  <c r="AH87" i="39"/>
  <c r="AO72" i="39"/>
  <c r="AD72" i="39"/>
  <c r="Y72" i="39"/>
  <c r="X72" i="39"/>
  <c r="AD18" i="39"/>
  <c r="AO18" i="39"/>
  <c r="X18" i="39"/>
  <c r="Y18" i="39"/>
  <c r="AH36" i="39"/>
  <c r="AB36" i="39"/>
  <c r="AR101" i="39"/>
  <c r="R101" i="39"/>
  <c r="AR137" i="39"/>
  <c r="R137" i="39"/>
  <c r="AD137" i="39"/>
  <c r="AO137" i="39"/>
  <c r="X137" i="39"/>
  <c r="Y137" i="39"/>
  <c r="AB137" i="39"/>
  <c r="AH137" i="39"/>
  <c r="AR182" i="39"/>
  <c r="R182" i="39"/>
  <c r="AB182" i="39"/>
  <c r="AH182" i="39"/>
  <c r="AO183" i="39"/>
  <c r="AD183" i="39"/>
  <c r="Y183" i="39"/>
  <c r="X183" i="39"/>
  <c r="AD170" i="39"/>
  <c r="AO170" i="39"/>
  <c r="X170" i="39"/>
  <c r="Y170" i="39"/>
  <c r="AD156" i="39"/>
  <c r="AO156" i="39"/>
  <c r="X156" i="39"/>
  <c r="Y156" i="39"/>
  <c r="AB302" i="39"/>
  <c r="AH302" i="39"/>
  <c r="AB255" i="39"/>
  <c r="AH255" i="39"/>
  <c r="AR239" i="39"/>
  <c r="R239" i="39"/>
  <c r="AR300" i="39"/>
  <c r="R300" i="39"/>
  <c r="AD177" i="39"/>
  <c r="AO177" i="39"/>
  <c r="X177" i="39"/>
  <c r="Y177" i="39"/>
  <c r="AD154" i="39"/>
  <c r="AO154" i="39"/>
  <c r="X154" i="39"/>
  <c r="Y154" i="39"/>
  <c r="AH218" i="39"/>
  <c r="AB218" i="39"/>
  <c r="AB227" i="39"/>
  <c r="AH227" i="39"/>
  <c r="AR227" i="39"/>
  <c r="R227" i="39"/>
  <c r="AH47" i="39"/>
  <c r="AB47" i="39"/>
  <c r="AD32" i="39"/>
  <c r="AO32" i="39"/>
  <c r="Y32" i="39"/>
  <c r="X32" i="39"/>
  <c r="AB41" i="39"/>
  <c r="AH41" i="39"/>
  <c r="AR59" i="39"/>
  <c r="R59" i="39"/>
  <c r="AB60" i="39"/>
  <c r="AH60" i="39"/>
  <c r="AH110" i="39"/>
  <c r="AB110" i="39"/>
  <c r="AO45" i="39"/>
  <c r="AD45" i="39"/>
  <c r="X45" i="39"/>
  <c r="Y45" i="39"/>
  <c r="AH45" i="39"/>
  <c r="AB45" i="39"/>
  <c r="AR97" i="39"/>
  <c r="R97" i="39"/>
  <c r="AH97" i="39"/>
  <c r="AB97" i="39"/>
  <c r="AO217" i="39"/>
  <c r="AD217" i="39"/>
  <c r="X217" i="39"/>
  <c r="Y217" i="39"/>
  <c r="AH262" i="39"/>
  <c r="AB262" i="39"/>
  <c r="AB277" i="39"/>
  <c r="AH277" i="39"/>
  <c r="AB280" i="39"/>
  <c r="AH280" i="39"/>
  <c r="AB313" i="39"/>
  <c r="AH313" i="39"/>
  <c r="AD298" i="39"/>
  <c r="AO298" i="39"/>
  <c r="X298" i="39"/>
  <c r="Y298" i="39"/>
  <c r="AR267" i="39"/>
  <c r="R267" i="39"/>
  <c r="AO145" i="39"/>
  <c r="AD145" i="39"/>
  <c r="X145" i="39"/>
  <c r="Y145" i="39"/>
  <c r="AR191" i="39"/>
  <c r="R191" i="39"/>
  <c r="AH178" i="39"/>
  <c r="AB178" i="39"/>
  <c r="AO4" i="39"/>
  <c r="AD4" i="39"/>
  <c r="Y4" i="39"/>
  <c r="X4" i="39"/>
  <c r="AH80" i="39"/>
  <c r="AB80" i="39"/>
  <c r="AD43" i="39"/>
  <c r="AO43" i="39"/>
  <c r="X43" i="39"/>
  <c r="Y43" i="39"/>
  <c r="AR25" i="39"/>
  <c r="R25" i="39"/>
  <c r="AH116" i="39"/>
  <c r="AB116" i="39"/>
  <c r="AB133" i="39"/>
  <c r="AH133" i="39"/>
  <c r="AO161" i="39"/>
  <c r="AD161" i="39"/>
  <c r="X161" i="39"/>
  <c r="Y161" i="39"/>
  <c r="AH136" i="39"/>
  <c r="AB136" i="39"/>
  <c r="AD211" i="39"/>
  <c r="AO211" i="39"/>
  <c r="X211" i="39"/>
  <c r="Y211" i="39"/>
  <c r="AO232" i="39"/>
  <c r="AD232" i="39"/>
  <c r="Y232" i="39"/>
  <c r="X232" i="39"/>
  <c r="AO287" i="39"/>
  <c r="AD287" i="39"/>
  <c r="Y287" i="39"/>
  <c r="X287" i="39"/>
  <c r="AH306" i="39"/>
  <c r="AB306" i="39"/>
  <c r="AD307" i="39"/>
  <c r="AO307" i="39"/>
  <c r="X307" i="39"/>
  <c r="Y307" i="39"/>
  <c r="AB231" i="39"/>
  <c r="AH231" i="39"/>
  <c r="AR146" i="39"/>
  <c r="R146" i="39"/>
  <c r="AO208" i="39"/>
  <c r="AD208" i="39"/>
  <c r="X208" i="39"/>
  <c r="Y208" i="39"/>
  <c r="AB8" i="39"/>
  <c r="AH8" i="39"/>
  <c r="AD8" i="39"/>
  <c r="AO8" i="39"/>
  <c r="X8" i="39"/>
  <c r="Y8" i="39"/>
  <c r="AH28" i="39"/>
  <c r="AB28" i="39"/>
  <c r="AD86" i="39"/>
  <c r="AO86" i="39"/>
  <c r="X86" i="39"/>
  <c r="Y86" i="39"/>
  <c r="AR93" i="39"/>
  <c r="R93" i="39"/>
  <c r="AO174" i="39"/>
  <c r="AD174" i="39"/>
  <c r="X174" i="39"/>
  <c r="Y174" i="39"/>
  <c r="AH312" i="39"/>
  <c r="AB312" i="39"/>
  <c r="AD281" i="39"/>
  <c r="AO281" i="39"/>
  <c r="X281" i="39"/>
  <c r="Y281" i="39"/>
  <c r="AH266" i="39"/>
  <c r="AB266" i="39"/>
  <c r="AB275" i="39"/>
  <c r="AH275" i="39"/>
  <c r="AD253" i="39"/>
  <c r="AO253" i="39"/>
  <c r="X253" i="39"/>
  <c r="Y253" i="39"/>
  <c r="AB285" i="39"/>
  <c r="AH285" i="39"/>
  <c r="AH299" i="39"/>
  <c r="AB299" i="39"/>
  <c r="AR316" i="39"/>
  <c r="R316" i="39"/>
  <c r="AB316" i="39"/>
  <c r="AH316" i="39"/>
  <c r="AR274" i="39"/>
  <c r="R274" i="39"/>
  <c r="AD128" i="39"/>
  <c r="AO128" i="39"/>
  <c r="X128" i="39"/>
  <c r="Y128" i="39"/>
  <c r="AD131" i="39"/>
  <c r="AO131" i="39"/>
  <c r="X131" i="39"/>
  <c r="Y131" i="39"/>
  <c r="AO117" i="39"/>
  <c r="AD117" i="39"/>
  <c r="X117" i="39"/>
  <c r="Y117" i="39"/>
  <c r="AR103" i="39"/>
  <c r="R103" i="39"/>
  <c r="AO199" i="39"/>
  <c r="AD199" i="39"/>
  <c r="Y199" i="39"/>
  <c r="X199" i="39"/>
  <c r="AR209" i="39"/>
  <c r="R209" i="39"/>
  <c r="AD70" i="39"/>
  <c r="AO70" i="39"/>
  <c r="X70" i="39"/>
  <c r="Y70" i="39"/>
  <c r="AR254" i="39"/>
  <c r="R254" i="39"/>
  <c r="AH254" i="39"/>
  <c r="AB254" i="39"/>
  <c r="AB272" i="39"/>
  <c r="AH272" i="39"/>
  <c r="AR314" i="39"/>
  <c r="R314" i="39"/>
  <c r="AB293" i="39"/>
  <c r="AH293" i="39"/>
  <c r="AB56" i="39"/>
  <c r="AH56" i="39"/>
  <c r="AD19" i="39"/>
  <c r="AO19" i="39"/>
  <c r="X19" i="39"/>
  <c r="Y19" i="39"/>
  <c r="AD6" i="39"/>
  <c r="AO6" i="39"/>
  <c r="X6" i="39"/>
  <c r="Y6" i="39"/>
  <c r="AR57" i="39"/>
  <c r="R57" i="39"/>
  <c r="AH126" i="39"/>
  <c r="AB126" i="39"/>
  <c r="AH78" i="39"/>
  <c r="AB78" i="39"/>
  <c r="AD106" i="39"/>
  <c r="AO106" i="39"/>
  <c r="X106" i="39"/>
  <c r="Y106" i="39"/>
  <c r="AO158" i="39"/>
  <c r="AD158" i="39"/>
  <c r="X158" i="39"/>
  <c r="Y158" i="39"/>
  <c r="AR222" i="39"/>
  <c r="R222" i="39"/>
  <c r="AH222" i="39"/>
  <c r="AB222" i="39"/>
  <c r="AR223" i="39"/>
  <c r="R223" i="39"/>
  <c r="AH135" i="39"/>
  <c r="AB135" i="39"/>
  <c r="AR169" i="39"/>
  <c r="R169" i="39"/>
  <c r="AD210" i="39"/>
  <c r="AO210" i="39"/>
  <c r="X210" i="39"/>
  <c r="Y210" i="39"/>
  <c r="AD155" i="39"/>
  <c r="AO155" i="39"/>
  <c r="X155" i="39"/>
  <c r="Y155" i="39"/>
  <c r="AO295" i="39"/>
  <c r="AD295" i="39"/>
  <c r="Y295" i="39"/>
  <c r="X295" i="39"/>
  <c r="AR265" i="39"/>
  <c r="R265" i="39"/>
  <c r="AO165" i="39"/>
  <c r="AD165" i="39"/>
  <c r="X165" i="39"/>
  <c r="Y165" i="39"/>
  <c r="AR259" i="39"/>
  <c r="R259" i="39"/>
  <c r="AD10" i="39"/>
  <c r="AO10" i="39"/>
  <c r="X10" i="39"/>
  <c r="Y10" i="39"/>
  <c r="AB16" i="39"/>
  <c r="AH16" i="39"/>
  <c r="AR23" i="39"/>
  <c r="R23" i="39"/>
  <c r="AH23" i="39"/>
  <c r="AB23" i="39"/>
  <c r="AR35" i="39"/>
  <c r="R35" i="39"/>
  <c r="AH37" i="39"/>
  <c r="AB37" i="39"/>
  <c r="AD108" i="39"/>
  <c r="AO108" i="39"/>
  <c r="Y108" i="39"/>
  <c r="X108" i="39"/>
  <c r="AR85" i="39"/>
  <c r="R85" i="39"/>
  <c r="AD104" i="39"/>
  <c r="AO104" i="39"/>
  <c r="X104" i="39"/>
  <c r="Y104" i="39"/>
  <c r="AR143" i="39"/>
  <c r="R143" i="39"/>
  <c r="AR179" i="39"/>
  <c r="R179" i="39"/>
  <c r="AD138" i="39"/>
  <c r="AO138" i="39"/>
  <c r="Y138" i="39"/>
  <c r="X138" i="39"/>
  <c r="AD127" i="39"/>
  <c r="AO127" i="39"/>
  <c r="X127" i="39"/>
  <c r="Y127" i="39"/>
  <c r="AR255" i="39"/>
  <c r="R255" i="39"/>
  <c r="AO256" i="39"/>
  <c r="AD256" i="39"/>
  <c r="X256" i="39"/>
  <c r="Y256" i="39"/>
  <c r="AB300" i="39"/>
  <c r="AH300" i="39"/>
  <c r="AD92" i="39"/>
  <c r="AO92" i="39"/>
  <c r="Y92" i="39"/>
  <c r="X92" i="39"/>
  <c r="AR218" i="39"/>
  <c r="R218" i="39"/>
  <c r="AB163" i="39"/>
  <c r="AH163" i="39"/>
  <c r="AR163" i="39"/>
  <c r="R163" i="39"/>
  <c r="AR5" i="39"/>
  <c r="R5" i="39"/>
  <c r="AR47" i="39"/>
  <c r="R47" i="39"/>
  <c r="AB59" i="39"/>
  <c r="AH59" i="39"/>
  <c r="AR26" i="39"/>
  <c r="R26" i="39"/>
  <c r="AO89" i="39"/>
  <c r="AD89" i="39"/>
  <c r="X89" i="39"/>
  <c r="Y89" i="39"/>
  <c r="AB125" i="39"/>
  <c r="AH125" i="39"/>
  <c r="AR38" i="39"/>
  <c r="R38" i="39"/>
  <c r="AR110" i="39"/>
  <c r="R110" i="39"/>
  <c r="AB184" i="39"/>
  <c r="AH184" i="39"/>
  <c r="AR53" i="39"/>
  <c r="R53" i="39"/>
  <c r="AD203" i="39"/>
  <c r="AO203" i="39"/>
  <c r="X203" i="39"/>
  <c r="Y203" i="39"/>
  <c r="AR164" i="39"/>
  <c r="R164" i="39"/>
  <c r="AB164" i="39"/>
  <c r="AH164" i="39"/>
  <c r="AD236" i="39"/>
  <c r="AO236" i="39"/>
  <c r="X236" i="39"/>
  <c r="Y236" i="39"/>
  <c r="AH236" i="39"/>
  <c r="AB236" i="39"/>
  <c r="AR279" i="39"/>
  <c r="R279" i="39"/>
  <c r="AO249" i="39"/>
  <c r="AD249" i="39"/>
  <c r="X249" i="39"/>
  <c r="Y249" i="39"/>
  <c r="AR84" i="39"/>
  <c r="R84" i="39"/>
  <c r="AD99" i="39"/>
  <c r="AO99" i="39"/>
  <c r="X99" i="39"/>
  <c r="Y99" i="39"/>
  <c r="AH304" i="39"/>
  <c r="AB304" i="39"/>
  <c r="AD95" i="39"/>
  <c r="AO95" i="39"/>
  <c r="X95" i="39"/>
  <c r="Y95" i="39"/>
  <c r="AD31" i="39"/>
  <c r="AO31" i="39"/>
  <c r="X31" i="39"/>
  <c r="Y31" i="39"/>
  <c r="AB144" i="39"/>
  <c r="AH144" i="39"/>
  <c r="AO67" i="39"/>
  <c r="AD67" i="39"/>
  <c r="X67" i="39"/>
  <c r="Y67" i="39"/>
  <c r="AB68" i="39"/>
  <c r="AH68" i="39"/>
  <c r="AR30" i="39"/>
  <c r="R30" i="39"/>
  <c r="AR66" i="39"/>
  <c r="R66" i="39"/>
  <c r="AH140" i="39"/>
  <c r="AB140" i="39"/>
  <c r="AO133" i="39"/>
  <c r="AD133" i="39"/>
  <c r="X133" i="39"/>
  <c r="Y133" i="39"/>
  <c r="AR245" i="39"/>
  <c r="R245" i="39"/>
  <c r="AR9" i="39"/>
  <c r="R9" i="39"/>
  <c r="AD13" i="39"/>
  <c r="AO13" i="39"/>
  <c r="Y13" i="39"/>
  <c r="X13" i="39"/>
  <c r="AH40" i="39"/>
  <c r="AB40" i="39"/>
  <c r="AD49" i="39"/>
  <c r="AO49" i="39"/>
  <c r="X49" i="39"/>
  <c r="Y49" i="39"/>
  <c r="AH67" i="39"/>
  <c r="AB67" i="39"/>
  <c r="AR67" i="39"/>
  <c r="R67" i="39"/>
  <c r="AH66" i="39"/>
  <c r="AB66" i="39"/>
  <c r="AR140" i="39"/>
  <c r="R140" i="39"/>
  <c r="AR225" i="39"/>
  <c r="R225" i="39"/>
  <c r="Z232" i="39"/>
  <c r="AP232" i="39" s="1"/>
  <c r="AR288" i="39"/>
  <c r="R288" i="39"/>
  <c r="AR257" i="39"/>
  <c r="R257" i="39"/>
  <c r="AR306" i="39"/>
  <c r="R306" i="39"/>
  <c r="AO167" i="39"/>
  <c r="AD167" i="39"/>
  <c r="Y167" i="39"/>
  <c r="X167" i="39"/>
  <c r="AD286" i="39"/>
  <c r="AO286" i="39"/>
  <c r="Y286" i="39"/>
  <c r="X286" i="39"/>
  <c r="AR107" i="39"/>
  <c r="R107" i="39"/>
  <c r="AH107" i="39"/>
  <c r="AB107" i="39"/>
  <c r="AR21" i="39"/>
  <c r="R21" i="39"/>
  <c r="AB21" i="39"/>
  <c r="AH21" i="39"/>
  <c r="AR100" i="39"/>
  <c r="R100" i="39"/>
  <c r="AH100" i="39"/>
  <c r="AB100" i="39"/>
  <c r="AR142" i="39"/>
  <c r="R142" i="39"/>
  <c r="AR29" i="39"/>
  <c r="R29" i="39"/>
  <c r="AR174" i="39"/>
  <c r="R174" i="39"/>
  <c r="AO152" i="39"/>
  <c r="AD152" i="39"/>
  <c r="X152" i="39"/>
  <c r="Y152" i="39"/>
  <c r="AH216" i="39"/>
  <c r="AB216" i="39"/>
  <c r="AD185" i="39"/>
  <c r="AO185" i="39"/>
  <c r="X185" i="39"/>
  <c r="Y185" i="39"/>
  <c r="AH171" i="39"/>
  <c r="AB171" i="39"/>
  <c r="AR171" i="39"/>
  <c r="R171" i="39"/>
  <c r="AD248" i="39"/>
  <c r="AO248" i="39"/>
  <c r="X248" i="39"/>
  <c r="Y248" i="39"/>
  <c r="AH253" i="39"/>
  <c r="AB253" i="39"/>
  <c r="AD285" i="39"/>
  <c r="AO285" i="39"/>
  <c r="X285" i="39"/>
  <c r="Y285" i="39"/>
  <c r="AH290" i="39"/>
  <c r="AB290" i="39"/>
  <c r="AR299" i="39"/>
  <c r="R299" i="39"/>
  <c r="AD71" i="39"/>
  <c r="AO71" i="39"/>
  <c r="X71" i="39"/>
  <c r="Y71" i="39"/>
  <c r="AR17" i="39"/>
  <c r="R17" i="39"/>
  <c r="AD39" i="39"/>
  <c r="AO39" i="39"/>
  <c r="X39" i="39"/>
  <c r="Y39" i="39"/>
  <c r="AD88" i="39"/>
  <c r="AO88" i="39"/>
  <c r="Y88" i="39"/>
  <c r="X88" i="39"/>
  <c r="AO33" i="39"/>
  <c r="AD33" i="39"/>
  <c r="X33" i="39"/>
  <c r="Y33" i="39"/>
  <c r="AB117" i="39"/>
  <c r="AH117" i="39"/>
  <c r="AD186" i="39"/>
  <c r="AO186" i="39"/>
  <c r="X186" i="39"/>
  <c r="Y186" i="39"/>
  <c r="AD180" i="39"/>
  <c r="AO180" i="39"/>
  <c r="X180" i="39"/>
  <c r="Y180" i="39"/>
  <c r="AD157" i="39"/>
  <c r="AO157" i="39"/>
  <c r="X157" i="39"/>
  <c r="Y157" i="39"/>
  <c r="AH229" i="39"/>
  <c r="AB229" i="39"/>
  <c r="AO305" i="39"/>
  <c r="AD305" i="39"/>
  <c r="X305" i="39"/>
  <c r="Y305" i="39"/>
  <c r="AO226" i="39"/>
  <c r="AD226" i="39"/>
  <c r="Y226" i="39"/>
  <c r="X226" i="39"/>
  <c r="AR260" i="39"/>
  <c r="R260" i="39"/>
  <c r="Z7" i="39"/>
  <c r="AP7" i="39" s="1"/>
  <c r="AB57" i="39"/>
  <c r="AH57" i="39"/>
  <c r="AO75" i="39"/>
  <c r="AD75" i="39"/>
  <c r="X75" i="39"/>
  <c r="Y75" i="39"/>
  <c r="AD91" i="39"/>
  <c r="AO91" i="39"/>
  <c r="X91" i="39"/>
  <c r="Y91" i="39"/>
  <c r="AR81" i="39"/>
  <c r="R81" i="39"/>
  <c r="AR113" i="39"/>
  <c r="R113" i="39"/>
  <c r="AH113" i="39"/>
  <c r="AB113" i="39"/>
  <c r="AO200" i="39"/>
  <c r="AD200" i="39"/>
  <c r="X200" i="39"/>
  <c r="Y200" i="39"/>
  <c r="AH210" i="39"/>
  <c r="AB210" i="39"/>
  <c r="AR219" i="39"/>
  <c r="R219" i="39"/>
  <c r="AD278" i="39"/>
  <c r="AO278" i="39"/>
  <c r="Y278" i="39"/>
  <c r="X278" i="39"/>
  <c r="AB296" i="39"/>
  <c r="AH296" i="39"/>
  <c r="AO250" i="39"/>
  <c r="AD250" i="39"/>
  <c r="X250" i="39"/>
  <c r="Y250" i="39"/>
  <c r="AR134" i="39"/>
  <c r="R134" i="39"/>
  <c r="AR18" i="39"/>
  <c r="R18" i="39"/>
  <c r="AH18" i="39"/>
  <c r="AB18" i="39"/>
  <c r="AR183" i="39"/>
  <c r="R183" i="39"/>
  <c r="AR119" i="39"/>
  <c r="R119" i="39"/>
  <c r="AR138" i="39"/>
  <c r="R138" i="39"/>
  <c r="AR127" i="39"/>
  <c r="R127" i="39"/>
  <c r="AD289" i="39"/>
  <c r="AO289" i="39"/>
  <c r="X289" i="39"/>
  <c r="Y289" i="39"/>
  <c r="AH132" i="39"/>
  <c r="AB132" i="39"/>
  <c r="AD38" i="39"/>
  <c r="AO38" i="39"/>
  <c r="X38" i="39"/>
  <c r="Y38" i="39"/>
  <c r="Z45" i="39"/>
  <c r="AP45" i="39" s="1"/>
  <c r="AR45" i="39"/>
  <c r="R45" i="39"/>
  <c r="AD111" i="39"/>
  <c r="AO111" i="39"/>
  <c r="X111" i="39"/>
  <c r="Y111" i="39"/>
  <c r="AD69" i="39"/>
  <c r="AO69" i="39"/>
  <c r="X69" i="39"/>
  <c r="Y69" i="39"/>
  <c r="AR184" i="39"/>
  <c r="R184" i="39"/>
  <c r="AD53" i="39"/>
  <c r="AO53" i="39"/>
  <c r="X53" i="39"/>
  <c r="Y53" i="39"/>
  <c r="AO279" i="39"/>
  <c r="AD279" i="39"/>
  <c r="Y279" i="39"/>
  <c r="X279" i="39"/>
  <c r="AR14" i="39"/>
  <c r="R14" i="39"/>
  <c r="AR65" i="39"/>
  <c r="R65" i="39"/>
  <c r="AR304" i="39"/>
  <c r="R304" i="39"/>
  <c r="AB109" i="39"/>
  <c r="AH109" i="39"/>
  <c r="AD147" i="39"/>
  <c r="AO147" i="39"/>
  <c r="X147" i="39"/>
  <c r="Y147" i="39"/>
  <c r="AD188" i="39"/>
  <c r="AO188" i="39"/>
  <c r="X188" i="39"/>
  <c r="Y188" i="39"/>
  <c r="AH237" i="39"/>
  <c r="AB237" i="39"/>
  <c r="AH246" i="39"/>
  <c r="AB246" i="39"/>
  <c r="AD282" i="39"/>
  <c r="AO282" i="39"/>
  <c r="X282" i="39"/>
  <c r="Y282" i="39"/>
  <c r="AD291" i="39"/>
  <c r="AO291" i="39"/>
  <c r="X291" i="39"/>
  <c r="Y291" i="39"/>
  <c r="AH130" i="39"/>
  <c r="AB130" i="39"/>
  <c r="AR178" i="39"/>
  <c r="R178" i="39"/>
  <c r="Z188" i="39"/>
  <c r="AP188" i="39" s="1"/>
  <c r="AD237" i="39"/>
  <c r="AO237" i="39"/>
  <c r="X237" i="39"/>
  <c r="Y237" i="39"/>
  <c r="AR215" i="39"/>
  <c r="R215" i="39"/>
  <c r="AH307" i="39"/>
  <c r="AB307" i="39"/>
  <c r="AR54" i="39"/>
  <c r="R54" i="39"/>
  <c r="AH4" i="39"/>
  <c r="AB4" i="39"/>
  <c r="Z9" i="39"/>
  <c r="AP9" i="39" s="1"/>
  <c r="AR31" i="39"/>
  <c r="R31" i="39"/>
  <c r="Z80" i="39"/>
  <c r="AP80" i="39" s="1"/>
  <c r="Z25" i="39"/>
  <c r="AP25" i="39" s="1"/>
  <c r="AB43" i="39"/>
  <c r="AH43" i="39"/>
  <c r="AD44" i="39"/>
  <c r="AO44" i="39"/>
  <c r="Y44" i="39"/>
  <c r="X44" i="39"/>
  <c r="AD123" i="39"/>
  <c r="AO123" i="39"/>
  <c r="X123" i="39"/>
  <c r="Y123" i="39"/>
  <c r="AR116" i="39"/>
  <c r="R116" i="39"/>
  <c r="AB145" i="39"/>
  <c r="AH145" i="39"/>
  <c r="AO191" i="39"/>
  <c r="AD191" i="39"/>
  <c r="Y191" i="39"/>
  <c r="X191" i="39"/>
  <c r="AH187" i="39"/>
  <c r="AB187" i="39"/>
  <c r="Z204" i="39"/>
  <c r="AP204" i="39" s="1"/>
  <c r="AR204" i="39"/>
  <c r="R204" i="39"/>
  <c r="AB204" i="39"/>
  <c r="AH204" i="39"/>
  <c r="AR301" i="39"/>
  <c r="R301" i="39"/>
  <c r="AD245" i="39"/>
  <c r="AO245" i="39"/>
  <c r="X245" i="39"/>
  <c r="Y245" i="39"/>
  <c r="AR315" i="39"/>
  <c r="R315" i="39"/>
  <c r="AD30" i="39"/>
  <c r="AO30" i="39"/>
  <c r="X30" i="39"/>
  <c r="Y30" i="39"/>
  <c r="AR147" i="39"/>
  <c r="R147" i="39"/>
  <c r="AD118" i="39"/>
  <c r="AO118" i="39"/>
  <c r="X118" i="39"/>
  <c r="Y118" i="39"/>
  <c r="AO214" i="39"/>
  <c r="AD214" i="39"/>
  <c r="X214" i="39"/>
  <c r="Y214" i="39"/>
  <c r="AO151" i="39"/>
  <c r="AD151" i="39"/>
  <c r="Y151" i="39"/>
  <c r="X151" i="39"/>
  <c r="AB215" i="39"/>
  <c r="AH215" i="39"/>
  <c r="AO192" i="39"/>
  <c r="AD192" i="39"/>
  <c r="X192" i="39"/>
  <c r="Y192" i="39"/>
  <c r="AD202" i="39"/>
  <c r="AO202" i="39"/>
  <c r="X202" i="39"/>
  <c r="Y202" i="39"/>
  <c r="AH211" i="39"/>
  <c r="AB211" i="39"/>
  <c r="AH232" i="39"/>
  <c r="AB232" i="39"/>
  <c r="AR196" i="39"/>
  <c r="R196" i="39"/>
  <c r="AB196" i="39"/>
  <c r="AH196" i="39"/>
  <c r="AD270" i="39"/>
  <c r="AO270" i="39"/>
  <c r="Y270" i="39"/>
  <c r="X270" i="39"/>
  <c r="AR287" i="39"/>
  <c r="R287" i="39"/>
  <c r="AR317" i="39"/>
  <c r="R317" i="39"/>
  <c r="AO317" i="39"/>
  <c r="AD317" i="39"/>
  <c r="X317" i="39"/>
  <c r="Y317" i="39"/>
  <c r="AB251" i="39"/>
  <c r="AH251" i="39"/>
  <c r="AR251" i="39"/>
  <c r="R251" i="39"/>
  <c r="AO276" i="39"/>
  <c r="AD276" i="39"/>
  <c r="X276" i="39"/>
  <c r="Y276" i="39"/>
  <c r="AR286" i="39"/>
  <c r="R286" i="39"/>
  <c r="Z303" i="39"/>
  <c r="AP303" i="39" s="1"/>
  <c r="AR8" i="39"/>
  <c r="R8" i="39"/>
  <c r="AR64" i="39"/>
  <c r="R64" i="39"/>
  <c r="Z64" i="39"/>
  <c r="AP64" i="39" s="1"/>
  <c r="AD73" i="39"/>
  <c r="AO73" i="39"/>
  <c r="X73" i="39"/>
  <c r="Y73" i="39"/>
  <c r="AD27" i="39"/>
  <c r="AO27" i="39"/>
  <c r="X27" i="39"/>
  <c r="Y27" i="39"/>
  <c r="AD3" i="39"/>
  <c r="AO3" i="39"/>
  <c r="X3" i="39"/>
  <c r="Y3" i="39"/>
  <c r="AH86" i="39"/>
  <c r="AB86" i="39"/>
  <c r="AR77" i="39"/>
  <c r="R77" i="39"/>
  <c r="AR216" i="39"/>
  <c r="R216" i="39"/>
  <c r="AH162" i="39"/>
  <c r="AB162" i="39"/>
  <c r="AB235" i="39"/>
  <c r="AH235" i="39"/>
  <c r="AO120" i="39"/>
  <c r="AD120" i="39"/>
  <c r="X120" i="39"/>
  <c r="Y120" i="39"/>
  <c r="AD173" i="39"/>
  <c r="AO173" i="39"/>
  <c r="X173" i="39"/>
  <c r="Y173" i="39"/>
  <c r="Z294" i="39"/>
  <c r="AP294" i="39" s="1"/>
  <c r="AD311" i="39"/>
  <c r="AO311" i="39"/>
  <c r="Y311" i="39"/>
  <c r="X311" i="39"/>
  <c r="AR197" i="39"/>
  <c r="R197" i="39"/>
  <c r="AH197" i="39"/>
  <c r="AB197" i="39"/>
  <c r="AD275" i="39"/>
  <c r="AO275" i="39"/>
  <c r="X275" i="39"/>
  <c r="Y275" i="39"/>
  <c r="AD11" i="39"/>
  <c r="AO11" i="39"/>
  <c r="X11" i="39"/>
  <c r="Y11" i="39"/>
  <c r="AR121" i="39"/>
  <c r="R121" i="39"/>
  <c r="AH230" i="39"/>
  <c r="AB230" i="39"/>
  <c r="AH258" i="39"/>
  <c r="AB258" i="39"/>
  <c r="AO12" i="39"/>
  <c r="AD12" i="39"/>
  <c r="X12" i="39"/>
  <c r="Y12" i="39"/>
  <c r="AH17" i="39"/>
  <c r="AB17" i="39"/>
  <c r="Z17" i="39"/>
  <c r="AP17" i="39" s="1"/>
  <c r="AR39" i="39"/>
  <c r="R39" i="39"/>
  <c r="Z51" i="39"/>
  <c r="AP51" i="39" s="1"/>
  <c r="AR42" i="39"/>
  <c r="R42" i="39"/>
  <c r="AH61" i="39"/>
  <c r="AB61" i="39"/>
  <c r="AO198" i="39"/>
  <c r="AD198" i="39"/>
  <c r="X198" i="39"/>
  <c r="Y198" i="39"/>
  <c r="Z209" i="39"/>
  <c r="AP209" i="39" s="1"/>
  <c r="AB149" i="39"/>
  <c r="AH149" i="39"/>
  <c r="AD195" i="39"/>
  <c r="AO195" i="39"/>
  <c r="X195" i="39"/>
  <c r="Y195" i="39"/>
  <c r="Z229" i="39"/>
  <c r="AP229" i="39" s="1"/>
  <c r="Z70" i="39"/>
  <c r="AP70" i="39" s="1"/>
  <c r="Z318" i="39"/>
  <c r="AP318" i="39" s="1"/>
  <c r="AR226" i="39"/>
  <c r="R226" i="39"/>
  <c r="AR292" i="39"/>
  <c r="R292" i="39"/>
  <c r="Z314" i="39"/>
  <c r="AP314" i="39" s="1"/>
  <c r="AO242" i="39"/>
  <c r="AD242" i="39"/>
  <c r="X242" i="39"/>
  <c r="Y242" i="39"/>
  <c r="AH260" i="39"/>
  <c r="AB260" i="39"/>
  <c r="Z63" i="39"/>
  <c r="AP63" i="39" s="1"/>
  <c r="Z57" i="39"/>
  <c r="AP57" i="39" s="1"/>
  <c r="AD126" i="39"/>
  <c r="AO126" i="39"/>
  <c r="X126" i="39"/>
  <c r="Y126" i="39"/>
  <c r="AD78" i="39"/>
  <c r="AO78" i="39"/>
  <c r="X78" i="39"/>
  <c r="Y78" i="39"/>
  <c r="AD114" i="39"/>
  <c r="AO114" i="39"/>
  <c r="X114" i="39"/>
  <c r="Y114" i="39"/>
  <c r="AB159" i="39"/>
  <c r="AH159" i="39"/>
  <c r="AD135" i="39"/>
  <c r="AO135" i="39"/>
  <c r="X135" i="39"/>
  <c r="Y135" i="39"/>
  <c r="AH155" i="39"/>
  <c r="AB155" i="39"/>
  <c r="AR213" i="39"/>
  <c r="R213" i="39"/>
  <c r="AH213" i="39"/>
  <c r="AB213" i="39"/>
  <c r="AD228" i="39"/>
  <c r="AO228" i="39"/>
  <c r="Y228" i="39"/>
  <c r="X228" i="39"/>
  <c r="AR278" i="39"/>
  <c r="R278" i="39"/>
  <c r="Z241" i="39"/>
  <c r="AP241" i="39" s="1"/>
  <c r="Z10" i="39"/>
  <c r="AP10" i="39" s="1"/>
  <c r="AR115" i="39"/>
  <c r="R115" i="39"/>
  <c r="AR37" i="39"/>
  <c r="R37" i="39"/>
  <c r="AR108" i="39"/>
  <c r="R108" i="39"/>
  <c r="AB183" i="39"/>
  <c r="AH183" i="39"/>
  <c r="AO160" i="39"/>
  <c r="AD160" i="39"/>
  <c r="X160" i="39"/>
  <c r="Y160" i="39"/>
  <c r="AO224" i="39"/>
  <c r="AD224" i="39"/>
  <c r="X224" i="39"/>
  <c r="Y224" i="39"/>
  <c r="AD193" i="39"/>
  <c r="AO193" i="39"/>
  <c r="X193" i="39"/>
  <c r="Y193" i="39"/>
  <c r="AH170" i="39"/>
  <c r="AB170" i="39"/>
  <c r="AO143" i="39"/>
  <c r="AD143" i="39"/>
  <c r="X143" i="39"/>
  <c r="Y143" i="39"/>
  <c r="Z179" i="39"/>
  <c r="AP179" i="39" s="1"/>
  <c r="AO205" i="39"/>
  <c r="AD205" i="39"/>
  <c r="X205" i="39"/>
  <c r="Y205" i="39"/>
  <c r="Z302" i="39"/>
  <c r="AP302" i="39" s="1"/>
  <c r="AB256" i="39"/>
  <c r="AH256" i="39"/>
  <c r="AD300" i="39"/>
  <c r="AO300" i="39"/>
  <c r="X300" i="39"/>
  <c r="Y300" i="39"/>
  <c r="AH177" i="39"/>
  <c r="AB177" i="39"/>
  <c r="AH154" i="39"/>
  <c r="AB154" i="39"/>
  <c r="AD273" i="39"/>
  <c r="AO273" i="39"/>
  <c r="X273" i="39"/>
  <c r="Y273" i="39"/>
  <c r="AB5" i="39"/>
  <c r="AH5" i="39"/>
  <c r="AD22" i="39"/>
  <c r="AO22" i="39"/>
  <c r="X22" i="39"/>
  <c r="Y22" i="39"/>
  <c r="Z47" i="39"/>
  <c r="AP47" i="39" s="1"/>
  <c r="AD41" i="39"/>
  <c r="AO41" i="39"/>
  <c r="X41" i="39"/>
  <c r="Y41" i="39"/>
  <c r="AR139" i="39"/>
  <c r="R139" i="39"/>
  <c r="AB26" i="39"/>
  <c r="AH26" i="39"/>
  <c r="AO125" i="39"/>
  <c r="AD125" i="39"/>
  <c r="X125" i="39"/>
  <c r="Y125" i="39"/>
  <c r="AO58" i="39"/>
  <c r="AD58" i="39"/>
  <c r="X58" i="39"/>
  <c r="Y58" i="39"/>
  <c r="AO206" i="39"/>
  <c r="AD206" i="39"/>
  <c r="X206" i="39"/>
  <c r="Y206" i="39"/>
  <c r="AO122" i="39"/>
  <c r="AD122" i="39"/>
  <c r="Y122" i="39"/>
  <c r="X122" i="39"/>
  <c r="AO207" i="39"/>
  <c r="AD207" i="39"/>
  <c r="Y207" i="39"/>
  <c r="X207" i="39"/>
  <c r="AO153" i="39"/>
  <c r="AD153" i="39"/>
  <c r="X153" i="39"/>
  <c r="Y153" i="39"/>
  <c r="AB217" i="39"/>
  <c r="AH217" i="39"/>
  <c r="AD194" i="39"/>
  <c r="AO194" i="39"/>
  <c r="X194" i="39"/>
  <c r="Y194" i="39"/>
  <c r="AR212" i="39"/>
  <c r="R212" i="39"/>
  <c r="AB212" i="39"/>
  <c r="AH212" i="39"/>
  <c r="AR189" i="39"/>
  <c r="R189" i="39"/>
  <c r="AH189" i="39"/>
  <c r="AB189" i="39"/>
  <c r="AR280" i="39"/>
  <c r="R280" i="39"/>
  <c r="AR313" i="39"/>
  <c r="R313" i="39"/>
  <c r="AB298" i="39"/>
  <c r="AH298" i="39"/>
  <c r="AH14" i="39"/>
  <c r="AB14" i="39"/>
  <c r="AB65" i="39"/>
  <c r="AH65" i="39"/>
  <c r="AO20" i="39"/>
  <c r="AD20" i="39"/>
  <c r="X20" i="39"/>
  <c r="Y20" i="39"/>
  <c r="AB84" i="39"/>
  <c r="AH84" i="39"/>
  <c r="AD267" i="39"/>
  <c r="AO267" i="39"/>
  <c r="X267" i="39"/>
  <c r="Y267" i="39"/>
  <c r="S2" i="39"/>
  <c r="AE2" i="39" s="1"/>
  <c r="A26" i="43"/>
  <c r="A2" i="39"/>
  <c r="P2" i="39" s="1"/>
  <c r="T2" i="39"/>
  <c r="A17" i="43"/>
  <c r="AI256" i="39" l="1"/>
  <c r="W256" i="39"/>
  <c r="V256" i="39"/>
  <c r="AI197" i="39"/>
  <c r="V197" i="39"/>
  <c r="W197" i="39"/>
  <c r="AI204" i="39"/>
  <c r="V204" i="39"/>
  <c r="W204" i="39"/>
  <c r="AI237" i="39"/>
  <c r="V237" i="39"/>
  <c r="W237" i="39"/>
  <c r="AI57" i="39"/>
  <c r="V57" i="39"/>
  <c r="W57" i="39"/>
  <c r="AI290" i="39"/>
  <c r="V290" i="39"/>
  <c r="W290" i="39"/>
  <c r="AI100" i="39"/>
  <c r="V100" i="39"/>
  <c r="W100" i="39"/>
  <c r="AI107" i="39"/>
  <c r="V107" i="39"/>
  <c r="W107" i="39"/>
  <c r="AI16" i="39"/>
  <c r="V16" i="39"/>
  <c r="W16" i="39"/>
  <c r="AI272" i="39"/>
  <c r="W272" i="39"/>
  <c r="V272" i="39"/>
  <c r="AI316" i="39"/>
  <c r="V316" i="39"/>
  <c r="W316" i="39"/>
  <c r="AI133" i="39"/>
  <c r="V133" i="39"/>
  <c r="W133" i="39"/>
  <c r="AI280" i="39"/>
  <c r="W280" i="39"/>
  <c r="V280" i="39"/>
  <c r="AI137" i="39"/>
  <c r="V137" i="39"/>
  <c r="W137" i="39"/>
  <c r="AI63" i="39"/>
  <c r="V63" i="39"/>
  <c r="W63" i="39"/>
  <c r="AI180" i="39"/>
  <c r="V180" i="39"/>
  <c r="W180" i="39"/>
  <c r="AI93" i="39"/>
  <c r="V93" i="39"/>
  <c r="W93" i="39"/>
  <c r="AI73" i="39"/>
  <c r="V73" i="39"/>
  <c r="W73" i="39"/>
  <c r="AI181" i="39"/>
  <c r="V181" i="39"/>
  <c r="W181" i="39"/>
  <c r="AI105" i="39"/>
  <c r="V105" i="39"/>
  <c r="W105" i="39"/>
  <c r="AI38" i="39"/>
  <c r="W38" i="39"/>
  <c r="V38" i="39"/>
  <c r="AI195" i="39"/>
  <c r="V195" i="39"/>
  <c r="W195" i="39"/>
  <c r="AI102" i="39"/>
  <c r="W102" i="39"/>
  <c r="V102" i="39"/>
  <c r="AI194" i="39"/>
  <c r="V194" i="39"/>
  <c r="W194" i="39"/>
  <c r="AI156" i="39"/>
  <c r="V156" i="39"/>
  <c r="W156" i="39"/>
  <c r="AI10" i="39"/>
  <c r="V10" i="39"/>
  <c r="W10" i="39"/>
  <c r="AI12" i="39"/>
  <c r="V12" i="39"/>
  <c r="W12" i="39"/>
  <c r="AI142" i="39"/>
  <c r="W142" i="39"/>
  <c r="V142" i="39"/>
  <c r="AI273" i="39"/>
  <c r="W273" i="39"/>
  <c r="V273" i="39"/>
  <c r="AI85" i="39"/>
  <c r="V85" i="39"/>
  <c r="W85" i="39"/>
  <c r="AI228" i="39"/>
  <c r="W228" i="39"/>
  <c r="V228" i="39"/>
  <c r="AI39" i="39"/>
  <c r="V39" i="39"/>
  <c r="W39" i="39"/>
  <c r="AI185" i="39"/>
  <c r="W185" i="39"/>
  <c r="V185" i="39"/>
  <c r="AI270" i="39"/>
  <c r="V270" i="39"/>
  <c r="W270" i="39"/>
  <c r="AI44" i="39"/>
  <c r="V44" i="39"/>
  <c r="W44" i="39"/>
  <c r="AI69" i="39"/>
  <c r="V69" i="39"/>
  <c r="W69" i="39"/>
  <c r="AI138" i="39"/>
  <c r="V138" i="39"/>
  <c r="W138" i="39"/>
  <c r="AI108" i="39"/>
  <c r="V108" i="39"/>
  <c r="W108" i="39"/>
  <c r="AI295" i="39"/>
  <c r="V295" i="39"/>
  <c r="W295" i="39"/>
  <c r="AI158" i="39"/>
  <c r="V158" i="39"/>
  <c r="W158" i="39"/>
  <c r="AI70" i="39"/>
  <c r="W70" i="39"/>
  <c r="V70" i="39"/>
  <c r="AI281" i="39"/>
  <c r="W281" i="39"/>
  <c r="V281" i="39"/>
  <c r="AI286" i="39"/>
  <c r="V286" i="39"/>
  <c r="W286" i="39"/>
  <c r="AI287" i="39"/>
  <c r="V287" i="39"/>
  <c r="W287" i="39"/>
  <c r="AI161" i="39"/>
  <c r="W161" i="39"/>
  <c r="V161" i="39"/>
  <c r="AI301" i="39"/>
  <c r="V301" i="39"/>
  <c r="W301" i="39"/>
  <c r="AI150" i="39"/>
  <c r="V150" i="39"/>
  <c r="W150" i="39"/>
  <c r="AI84" i="39"/>
  <c r="V84" i="39"/>
  <c r="W84" i="39"/>
  <c r="AI307" i="39"/>
  <c r="V307" i="39"/>
  <c r="W307" i="39"/>
  <c r="AI18" i="39"/>
  <c r="V18" i="39"/>
  <c r="W18" i="39"/>
  <c r="AI113" i="39"/>
  <c r="V113" i="39"/>
  <c r="W113" i="39"/>
  <c r="AI40" i="39"/>
  <c r="V40" i="39"/>
  <c r="W40" i="39"/>
  <c r="AI254" i="39"/>
  <c r="V254" i="39"/>
  <c r="W254" i="39"/>
  <c r="AI136" i="39"/>
  <c r="V136" i="39"/>
  <c r="W136" i="39"/>
  <c r="AI116" i="39"/>
  <c r="W116" i="39"/>
  <c r="V116" i="39"/>
  <c r="AI80" i="39"/>
  <c r="V80" i="39"/>
  <c r="W80" i="39"/>
  <c r="AI97" i="39"/>
  <c r="V97" i="39"/>
  <c r="W97" i="39"/>
  <c r="AI36" i="39"/>
  <c r="V36" i="39"/>
  <c r="W36" i="39"/>
  <c r="AI169" i="39"/>
  <c r="W169" i="39"/>
  <c r="V169" i="39"/>
  <c r="AI88" i="39"/>
  <c r="W88" i="39"/>
  <c r="V88" i="39"/>
  <c r="AI101" i="39"/>
  <c r="V101" i="39"/>
  <c r="W101" i="39"/>
  <c r="AI274" i="39"/>
  <c r="V274" i="39"/>
  <c r="W274" i="39"/>
  <c r="AI13" i="39"/>
  <c r="V13" i="39"/>
  <c r="W13" i="39"/>
  <c r="AI310" i="39"/>
  <c r="V310" i="39"/>
  <c r="W310" i="39"/>
  <c r="AI267" i="39"/>
  <c r="V267" i="39"/>
  <c r="W267" i="39"/>
  <c r="AI207" i="39"/>
  <c r="V207" i="39"/>
  <c r="W207" i="39"/>
  <c r="AI32" i="39"/>
  <c r="V32" i="39"/>
  <c r="W32" i="39"/>
  <c r="AI46" i="39"/>
  <c r="W46" i="39"/>
  <c r="V46" i="39"/>
  <c r="AI214" i="39"/>
  <c r="V214" i="39"/>
  <c r="W214" i="39"/>
  <c r="AI269" i="39"/>
  <c r="V269" i="39"/>
  <c r="W269" i="39"/>
  <c r="AI264" i="39"/>
  <c r="W264" i="39"/>
  <c r="V264" i="39"/>
  <c r="AI191" i="39"/>
  <c r="V191" i="39"/>
  <c r="W191" i="39"/>
  <c r="AI143" i="39"/>
  <c r="V143" i="39"/>
  <c r="W143" i="39"/>
  <c r="AI226" i="39"/>
  <c r="V226" i="39"/>
  <c r="W226" i="39"/>
  <c r="AI71" i="39"/>
  <c r="V71" i="39"/>
  <c r="W71" i="39"/>
  <c r="AI131" i="39"/>
  <c r="V131" i="39"/>
  <c r="W131" i="39"/>
  <c r="AI174" i="39"/>
  <c r="V174" i="39"/>
  <c r="W174" i="39"/>
  <c r="AI5" i="39"/>
  <c r="V5" i="39"/>
  <c r="W5" i="39"/>
  <c r="AI164" i="39"/>
  <c r="V164" i="39"/>
  <c r="W164" i="39"/>
  <c r="AI125" i="39"/>
  <c r="V125" i="39"/>
  <c r="W125" i="39"/>
  <c r="AI59" i="39"/>
  <c r="V59" i="39"/>
  <c r="W59" i="39"/>
  <c r="AI163" i="39"/>
  <c r="V163" i="39"/>
  <c r="W163" i="39"/>
  <c r="AI300" i="39"/>
  <c r="V300" i="39"/>
  <c r="W300" i="39"/>
  <c r="AI56" i="39"/>
  <c r="V56" i="39"/>
  <c r="W56" i="39"/>
  <c r="AI277" i="39"/>
  <c r="V277" i="39"/>
  <c r="W277" i="39"/>
  <c r="AI41" i="39"/>
  <c r="V41" i="39"/>
  <c r="W41" i="39"/>
  <c r="AI141" i="39"/>
  <c r="V141" i="39"/>
  <c r="W141" i="39"/>
  <c r="AI166" i="39"/>
  <c r="V166" i="39"/>
  <c r="W166" i="39"/>
  <c r="AI318" i="39"/>
  <c r="V318" i="39"/>
  <c r="W318" i="39"/>
  <c r="AI103" i="39"/>
  <c r="V103" i="39"/>
  <c r="W103" i="39"/>
  <c r="AI179" i="39"/>
  <c r="V179" i="39"/>
  <c r="W179" i="39"/>
  <c r="AI72" i="39"/>
  <c r="V72" i="39"/>
  <c r="W72" i="39"/>
  <c r="AI165" i="39"/>
  <c r="V165" i="39"/>
  <c r="W165" i="39"/>
  <c r="AI314" i="39"/>
  <c r="V314" i="39"/>
  <c r="W314" i="39"/>
  <c r="AI24" i="39"/>
  <c r="V24" i="39"/>
  <c r="W24" i="39"/>
  <c r="AI147" i="39"/>
  <c r="V147" i="39"/>
  <c r="W147" i="39"/>
  <c r="AI309" i="39"/>
  <c r="V309" i="39"/>
  <c r="W309" i="39"/>
  <c r="AI153" i="39"/>
  <c r="W153" i="39"/>
  <c r="V153" i="39"/>
  <c r="AI122" i="39"/>
  <c r="V122" i="39"/>
  <c r="W122" i="39"/>
  <c r="AI22" i="39"/>
  <c r="V22" i="39"/>
  <c r="W22" i="39"/>
  <c r="AI205" i="39"/>
  <c r="V205" i="39"/>
  <c r="W205" i="39"/>
  <c r="AI193" i="39"/>
  <c r="W193" i="39"/>
  <c r="V193" i="39"/>
  <c r="AI83" i="39"/>
  <c r="V83" i="39"/>
  <c r="W83" i="39"/>
  <c r="AI148" i="39"/>
  <c r="V148" i="39"/>
  <c r="W148" i="39"/>
  <c r="AI75" i="39"/>
  <c r="V75" i="39"/>
  <c r="W75" i="39"/>
  <c r="AI252" i="39"/>
  <c r="V252" i="39"/>
  <c r="W252" i="39"/>
  <c r="AI220" i="39"/>
  <c r="V220" i="39"/>
  <c r="W220" i="39"/>
  <c r="AI311" i="39"/>
  <c r="V311" i="39"/>
  <c r="W311" i="39"/>
  <c r="AI120" i="39"/>
  <c r="V120" i="39"/>
  <c r="W120" i="39"/>
  <c r="AI203" i="39"/>
  <c r="V203" i="39"/>
  <c r="W203" i="39"/>
  <c r="AI200" i="39"/>
  <c r="V200" i="39"/>
  <c r="W200" i="39"/>
  <c r="AI221" i="39"/>
  <c r="V221" i="39"/>
  <c r="W221" i="39"/>
  <c r="AI50" i="39"/>
  <c r="W50" i="39"/>
  <c r="V50" i="39"/>
  <c r="AI9" i="39"/>
  <c r="V9" i="39"/>
  <c r="W9" i="39"/>
  <c r="AI99" i="39"/>
  <c r="V99" i="39"/>
  <c r="W99" i="39"/>
  <c r="AI104" i="39"/>
  <c r="V104" i="39"/>
  <c r="W104" i="39"/>
  <c r="AI278" i="39"/>
  <c r="V278" i="39"/>
  <c r="W278" i="39"/>
  <c r="AI128" i="39"/>
  <c r="V128" i="39"/>
  <c r="W128" i="39"/>
  <c r="AI118" i="39"/>
  <c r="W118" i="39"/>
  <c r="V118" i="39"/>
  <c r="AI282" i="39"/>
  <c r="V282" i="39"/>
  <c r="W282" i="39"/>
  <c r="AI211" i="39"/>
  <c r="V211" i="39"/>
  <c r="W211" i="39"/>
  <c r="AI258" i="39"/>
  <c r="V258" i="39"/>
  <c r="W258" i="39"/>
  <c r="AI217" i="39"/>
  <c r="W217" i="39"/>
  <c r="V217" i="39"/>
  <c r="AI260" i="39"/>
  <c r="V260" i="39"/>
  <c r="W260" i="39"/>
  <c r="AI162" i="39"/>
  <c r="V162" i="39"/>
  <c r="W162" i="39"/>
  <c r="AI145" i="39"/>
  <c r="V145" i="39"/>
  <c r="W145" i="39"/>
  <c r="AI109" i="39"/>
  <c r="V109" i="39"/>
  <c r="W109" i="39"/>
  <c r="AI132" i="39"/>
  <c r="W132" i="39"/>
  <c r="V132" i="39"/>
  <c r="AI210" i="39"/>
  <c r="V210" i="39"/>
  <c r="W210" i="39"/>
  <c r="AI117" i="39"/>
  <c r="V117" i="39"/>
  <c r="W117" i="39"/>
  <c r="AI67" i="39"/>
  <c r="V67" i="39"/>
  <c r="W67" i="39"/>
  <c r="AI236" i="39"/>
  <c r="V236" i="39"/>
  <c r="W236" i="39"/>
  <c r="AI23" i="39"/>
  <c r="V23" i="39"/>
  <c r="W23" i="39"/>
  <c r="AI135" i="39"/>
  <c r="V135" i="39"/>
  <c r="W135" i="39"/>
  <c r="AI78" i="39"/>
  <c r="W78" i="39"/>
  <c r="V78" i="39"/>
  <c r="AI299" i="39"/>
  <c r="V299" i="39"/>
  <c r="W299" i="39"/>
  <c r="AI312" i="39"/>
  <c r="W312" i="39"/>
  <c r="V312" i="39"/>
  <c r="AI306" i="39"/>
  <c r="V306" i="39"/>
  <c r="W306" i="39"/>
  <c r="AI262" i="39"/>
  <c r="V262" i="39"/>
  <c r="W262" i="39"/>
  <c r="AI110" i="39"/>
  <c r="W110" i="39"/>
  <c r="V110" i="39"/>
  <c r="AI134" i="39"/>
  <c r="W134" i="39"/>
  <c r="V134" i="39"/>
  <c r="AI79" i="39"/>
  <c r="V79" i="39"/>
  <c r="W79" i="39"/>
  <c r="AI54" i="39"/>
  <c r="W54" i="39"/>
  <c r="V54" i="39"/>
  <c r="AI257" i="39"/>
  <c r="W257" i="39"/>
  <c r="V257" i="39"/>
  <c r="AI139" i="39"/>
  <c r="W139" i="39"/>
  <c r="V139" i="39"/>
  <c r="AI115" i="39"/>
  <c r="V115" i="39"/>
  <c r="W115" i="39"/>
  <c r="AI124" i="39"/>
  <c r="W124" i="39"/>
  <c r="V124" i="39"/>
  <c r="AI175" i="39"/>
  <c r="V175" i="39"/>
  <c r="W175" i="39"/>
  <c r="AI297" i="39"/>
  <c r="W297" i="39"/>
  <c r="V297" i="39"/>
  <c r="AI188" i="39"/>
  <c r="V188" i="39"/>
  <c r="W188" i="39"/>
  <c r="AI261" i="39"/>
  <c r="V261" i="39"/>
  <c r="W261" i="39"/>
  <c r="AI198" i="39"/>
  <c r="V198" i="39"/>
  <c r="W198" i="39"/>
  <c r="AI308" i="39"/>
  <c r="V308" i="39"/>
  <c r="W308" i="39"/>
  <c r="AI291" i="39"/>
  <c r="V291" i="39"/>
  <c r="W291" i="39"/>
  <c r="AI289" i="39"/>
  <c r="W289" i="39"/>
  <c r="V289" i="39"/>
  <c r="AI35" i="39"/>
  <c r="V35" i="39"/>
  <c r="W35" i="39"/>
  <c r="AI106" i="39"/>
  <c r="V106" i="39"/>
  <c r="W106" i="39"/>
  <c r="AI90" i="39"/>
  <c r="V90" i="39"/>
  <c r="W90" i="39"/>
  <c r="AI152" i="39"/>
  <c r="V152" i="39"/>
  <c r="W152" i="39"/>
  <c r="AI172" i="39"/>
  <c r="V172" i="39"/>
  <c r="W172" i="39"/>
  <c r="AI259" i="39"/>
  <c r="V259" i="39"/>
  <c r="W259" i="39"/>
  <c r="AI98" i="39"/>
  <c r="V98" i="39"/>
  <c r="W98" i="39"/>
  <c r="AI208" i="39"/>
  <c r="V208" i="39"/>
  <c r="W208" i="39"/>
  <c r="AI235" i="39"/>
  <c r="V235" i="39"/>
  <c r="W235" i="39"/>
  <c r="AI170" i="39"/>
  <c r="V170" i="39"/>
  <c r="W170" i="39"/>
  <c r="AI159" i="39"/>
  <c r="V159" i="39"/>
  <c r="W159" i="39"/>
  <c r="AI61" i="39"/>
  <c r="V61" i="39"/>
  <c r="W61" i="39"/>
  <c r="AI17" i="39"/>
  <c r="V17" i="39"/>
  <c r="W17" i="39"/>
  <c r="AI230" i="39"/>
  <c r="W230" i="39"/>
  <c r="V230" i="39"/>
  <c r="AI196" i="39"/>
  <c r="V196" i="39"/>
  <c r="W196" i="39"/>
  <c r="AI215" i="39"/>
  <c r="V215" i="39"/>
  <c r="W215" i="39"/>
  <c r="AI187" i="39"/>
  <c r="V187" i="39"/>
  <c r="W187" i="39"/>
  <c r="AI130" i="39"/>
  <c r="V130" i="39"/>
  <c r="W130" i="39"/>
  <c r="AI296" i="39"/>
  <c r="W296" i="39"/>
  <c r="V296" i="39"/>
  <c r="AI229" i="39"/>
  <c r="V229" i="39"/>
  <c r="W229" i="39"/>
  <c r="AI216" i="39"/>
  <c r="V216" i="39"/>
  <c r="W216" i="39"/>
  <c r="AI144" i="39"/>
  <c r="V144" i="39"/>
  <c r="W144" i="39"/>
  <c r="AI184" i="39"/>
  <c r="V184" i="39"/>
  <c r="W184" i="39"/>
  <c r="AI293" i="39"/>
  <c r="V293" i="39"/>
  <c r="W293" i="39"/>
  <c r="AI275" i="39"/>
  <c r="V275" i="39"/>
  <c r="W275" i="39"/>
  <c r="AI227" i="39"/>
  <c r="V227" i="39"/>
  <c r="W227" i="39"/>
  <c r="AI255" i="39"/>
  <c r="V255" i="39"/>
  <c r="W255" i="39"/>
  <c r="AI182" i="39"/>
  <c r="V182" i="39"/>
  <c r="W182" i="39"/>
  <c r="AI87" i="39"/>
  <c r="V87" i="39"/>
  <c r="W87" i="39"/>
  <c r="AI223" i="39"/>
  <c r="V223" i="39"/>
  <c r="W223" i="39"/>
  <c r="AI76" i="39"/>
  <c r="V76" i="39"/>
  <c r="W76" i="39"/>
  <c r="AI157" i="39"/>
  <c r="V157" i="39"/>
  <c r="W157" i="39"/>
  <c r="AI29" i="39"/>
  <c r="V29" i="39"/>
  <c r="W29" i="39"/>
  <c r="AI303" i="39"/>
  <c r="V303" i="39"/>
  <c r="W303" i="39"/>
  <c r="AI276" i="39"/>
  <c r="V276" i="39"/>
  <c r="W276" i="39"/>
  <c r="AI82" i="39"/>
  <c r="W82" i="39"/>
  <c r="V82" i="39"/>
  <c r="AI7" i="39"/>
  <c r="W7" i="39"/>
  <c r="V7" i="39"/>
  <c r="AI121" i="39"/>
  <c r="V121" i="39"/>
  <c r="W121" i="39"/>
  <c r="AI55" i="39"/>
  <c r="V55" i="39"/>
  <c r="W55" i="39"/>
  <c r="AI245" i="39"/>
  <c r="V245" i="39"/>
  <c r="W245" i="39"/>
  <c r="AI263" i="39"/>
  <c r="V263" i="39"/>
  <c r="W263" i="39"/>
  <c r="AI119" i="39"/>
  <c r="V119" i="39"/>
  <c r="W119" i="39"/>
  <c r="AI224" i="39"/>
  <c r="V224" i="39"/>
  <c r="W224" i="39"/>
  <c r="AI6" i="39"/>
  <c r="V6" i="39"/>
  <c r="W6" i="39"/>
  <c r="AI146" i="39"/>
  <c r="V146" i="39"/>
  <c r="W146" i="39"/>
  <c r="AI279" i="39"/>
  <c r="V279" i="39"/>
  <c r="W279" i="39"/>
  <c r="AI89" i="39"/>
  <c r="V89" i="39"/>
  <c r="W89" i="39"/>
  <c r="AI244" i="39"/>
  <c r="V244" i="39"/>
  <c r="W244" i="39"/>
  <c r="AI91" i="39"/>
  <c r="V91" i="39"/>
  <c r="W91" i="39"/>
  <c r="AI248" i="39"/>
  <c r="W248" i="39"/>
  <c r="V248" i="39"/>
  <c r="AI25" i="39"/>
  <c r="V25" i="39"/>
  <c r="W25" i="39"/>
  <c r="AI92" i="39"/>
  <c r="V92" i="39"/>
  <c r="W92" i="39"/>
  <c r="AI238" i="39"/>
  <c r="W238" i="39"/>
  <c r="V238" i="39"/>
  <c r="AI315" i="39"/>
  <c r="V315" i="39"/>
  <c r="W315" i="39"/>
  <c r="AI201" i="39"/>
  <c r="W201" i="39"/>
  <c r="V201" i="39"/>
  <c r="AI112" i="39"/>
  <c r="V112" i="39"/>
  <c r="W112" i="39"/>
  <c r="AI94" i="39"/>
  <c r="W94" i="39"/>
  <c r="V94" i="39"/>
  <c r="AI284" i="39"/>
  <c r="V284" i="39"/>
  <c r="W284" i="39"/>
  <c r="AI298" i="39"/>
  <c r="V298" i="39"/>
  <c r="W298" i="39"/>
  <c r="AI177" i="39"/>
  <c r="W177" i="39"/>
  <c r="V177" i="39"/>
  <c r="AI213" i="39"/>
  <c r="V213" i="39"/>
  <c r="W213" i="39"/>
  <c r="AI183" i="39"/>
  <c r="V183" i="39"/>
  <c r="W183" i="39"/>
  <c r="AI212" i="39"/>
  <c r="V212" i="39"/>
  <c r="W212" i="39"/>
  <c r="AI65" i="39"/>
  <c r="W65" i="39"/>
  <c r="V65" i="39"/>
  <c r="AI26" i="39"/>
  <c r="W26" i="39"/>
  <c r="V26" i="39"/>
  <c r="AI155" i="39"/>
  <c r="V155" i="39"/>
  <c r="W155" i="39"/>
  <c r="AI4" i="39"/>
  <c r="V4" i="39"/>
  <c r="W4" i="39"/>
  <c r="AI21" i="39"/>
  <c r="V21" i="39"/>
  <c r="W21" i="39"/>
  <c r="AI304" i="39"/>
  <c r="W304" i="39"/>
  <c r="V304" i="39"/>
  <c r="AI126" i="39"/>
  <c r="W126" i="39"/>
  <c r="V126" i="39"/>
  <c r="AI266" i="39"/>
  <c r="V266" i="39"/>
  <c r="W266" i="39"/>
  <c r="AI45" i="39"/>
  <c r="V45" i="39"/>
  <c r="W45" i="39"/>
  <c r="AI218" i="39"/>
  <c r="V218" i="39"/>
  <c r="W218" i="39"/>
  <c r="AI15" i="39"/>
  <c r="W15" i="39"/>
  <c r="V15" i="39"/>
  <c r="AI242" i="39"/>
  <c r="W242" i="39"/>
  <c r="V242" i="39"/>
  <c r="AI209" i="39"/>
  <c r="W209" i="39"/>
  <c r="V209" i="39"/>
  <c r="AI288" i="39"/>
  <c r="W288" i="39"/>
  <c r="V288" i="39"/>
  <c r="AI20" i="39"/>
  <c r="V20" i="39"/>
  <c r="W20" i="39"/>
  <c r="AI53" i="39"/>
  <c r="V53" i="39"/>
  <c r="W53" i="39"/>
  <c r="AI33" i="39"/>
  <c r="V33" i="39"/>
  <c r="W33" i="39"/>
  <c r="AI294" i="39"/>
  <c r="V294" i="39"/>
  <c r="W294" i="39"/>
  <c r="AI77" i="39"/>
  <c r="V77" i="39"/>
  <c r="W77" i="39"/>
  <c r="AI206" i="39"/>
  <c r="V206" i="39"/>
  <c r="W206" i="39"/>
  <c r="AI81" i="39"/>
  <c r="V81" i="39"/>
  <c r="W81" i="39"/>
  <c r="AI247" i="39"/>
  <c r="V247" i="39"/>
  <c r="W247" i="39"/>
  <c r="AI192" i="39"/>
  <c r="V192" i="39"/>
  <c r="W192" i="39"/>
  <c r="AI34" i="39"/>
  <c r="W34" i="39"/>
  <c r="V34" i="39"/>
  <c r="AI129" i="39"/>
  <c r="V129" i="39"/>
  <c r="W129" i="39"/>
  <c r="AI283" i="39"/>
  <c r="V283" i="39"/>
  <c r="W283" i="39"/>
  <c r="AI225" i="39"/>
  <c r="W225" i="39"/>
  <c r="V225" i="39"/>
  <c r="AI95" i="39"/>
  <c r="V95" i="39"/>
  <c r="W95" i="39"/>
  <c r="AI250" i="39"/>
  <c r="V250" i="39"/>
  <c r="W250" i="39"/>
  <c r="AI19" i="39"/>
  <c r="V19" i="39"/>
  <c r="W19" i="39"/>
  <c r="AI305" i="39"/>
  <c r="W305" i="39"/>
  <c r="V305" i="39"/>
  <c r="AI3" i="39"/>
  <c r="W3" i="39"/>
  <c r="V3" i="39"/>
  <c r="AI86" i="39"/>
  <c r="W86" i="39"/>
  <c r="V86" i="39"/>
  <c r="AI14" i="39"/>
  <c r="V14" i="39"/>
  <c r="W14" i="39"/>
  <c r="AI189" i="39"/>
  <c r="V189" i="39"/>
  <c r="W189" i="39"/>
  <c r="AI149" i="39"/>
  <c r="V149" i="39"/>
  <c r="W149" i="39"/>
  <c r="AI251" i="39"/>
  <c r="V251" i="39"/>
  <c r="W251" i="39"/>
  <c r="AI246" i="39"/>
  <c r="W246" i="39"/>
  <c r="V246" i="39"/>
  <c r="AI253" i="39"/>
  <c r="V253" i="39"/>
  <c r="W253" i="39"/>
  <c r="AI171" i="39"/>
  <c r="V171" i="39"/>
  <c r="W171" i="39"/>
  <c r="AI68" i="39"/>
  <c r="V68" i="39"/>
  <c r="W68" i="39"/>
  <c r="AI285" i="39"/>
  <c r="V285" i="39"/>
  <c r="W285" i="39"/>
  <c r="AI8" i="39"/>
  <c r="V8" i="39"/>
  <c r="W8" i="39"/>
  <c r="AI231" i="39"/>
  <c r="W231" i="39"/>
  <c r="V231" i="39"/>
  <c r="AI313" i="39"/>
  <c r="W313" i="39"/>
  <c r="V313" i="39"/>
  <c r="AI60" i="39"/>
  <c r="V60" i="39"/>
  <c r="W60" i="39"/>
  <c r="AI302" i="39"/>
  <c r="V302" i="39"/>
  <c r="W302" i="39"/>
  <c r="AI265" i="39"/>
  <c r="W265" i="39"/>
  <c r="V265" i="39"/>
  <c r="AI176" i="39"/>
  <c r="V176" i="39"/>
  <c r="W176" i="39"/>
  <c r="AI64" i="39"/>
  <c r="V64" i="39"/>
  <c r="W64" i="39"/>
  <c r="AI49" i="39"/>
  <c r="V49" i="39"/>
  <c r="W49" i="39"/>
  <c r="AI240" i="39"/>
  <c r="V240" i="39"/>
  <c r="W240" i="39"/>
  <c r="AI243" i="39"/>
  <c r="V243" i="39"/>
  <c r="W243" i="39"/>
  <c r="AI58" i="39"/>
  <c r="W58" i="39"/>
  <c r="V58" i="39"/>
  <c r="AI127" i="39"/>
  <c r="V127" i="39"/>
  <c r="W127" i="39"/>
  <c r="AI160" i="39"/>
  <c r="V160" i="39"/>
  <c r="W160" i="39"/>
  <c r="AI268" i="39"/>
  <c r="V268" i="39"/>
  <c r="W268" i="39"/>
  <c r="AI173" i="39"/>
  <c r="V173" i="39"/>
  <c r="W173" i="39"/>
  <c r="AI74" i="39"/>
  <c r="W74" i="39"/>
  <c r="V74" i="39"/>
  <c r="AI202" i="39"/>
  <c r="V202" i="39"/>
  <c r="W202" i="39"/>
  <c r="AI30" i="39"/>
  <c r="W30" i="39"/>
  <c r="V30" i="39"/>
  <c r="AI292" i="39"/>
  <c r="V292" i="39"/>
  <c r="W292" i="39"/>
  <c r="AI186" i="39"/>
  <c r="V186" i="39"/>
  <c r="W186" i="39"/>
  <c r="AI42" i="39"/>
  <c r="W42" i="39"/>
  <c r="V42" i="39"/>
  <c r="AI317" i="39"/>
  <c r="V317" i="39"/>
  <c r="W317" i="39"/>
  <c r="AI62" i="39"/>
  <c r="W62" i="39"/>
  <c r="V62" i="39"/>
  <c r="AI31" i="39"/>
  <c r="V31" i="39"/>
  <c r="W31" i="39"/>
  <c r="AI199" i="39"/>
  <c r="V199" i="39"/>
  <c r="W199" i="39"/>
  <c r="AI27" i="39"/>
  <c r="V27" i="39"/>
  <c r="W27" i="39"/>
  <c r="AI154" i="39"/>
  <c r="V154" i="39"/>
  <c r="W154" i="39"/>
  <c r="AI232" i="39"/>
  <c r="V232" i="39"/>
  <c r="W232" i="39"/>
  <c r="AI43" i="39"/>
  <c r="V43" i="39"/>
  <c r="W43" i="39"/>
  <c r="AI66" i="39"/>
  <c r="W66" i="39"/>
  <c r="V66" i="39"/>
  <c r="AI140" i="39"/>
  <c r="W140" i="39"/>
  <c r="V140" i="39"/>
  <c r="AI37" i="39"/>
  <c r="V37" i="39"/>
  <c r="W37" i="39"/>
  <c r="AI222" i="39"/>
  <c r="V222" i="39"/>
  <c r="W222" i="39"/>
  <c r="AI28" i="39"/>
  <c r="V28" i="39"/>
  <c r="W28" i="39"/>
  <c r="AI178" i="39"/>
  <c r="V178" i="39"/>
  <c r="W178" i="39"/>
  <c r="AI47" i="39"/>
  <c r="V47" i="39"/>
  <c r="W47" i="39"/>
  <c r="AI219" i="39"/>
  <c r="V219" i="39"/>
  <c r="W219" i="39"/>
  <c r="AI271" i="39"/>
  <c r="V271" i="39"/>
  <c r="W271" i="39"/>
  <c r="AI52" i="39"/>
  <c r="V52" i="39"/>
  <c r="W52" i="39"/>
  <c r="AI190" i="39"/>
  <c r="V190" i="39"/>
  <c r="W190" i="39"/>
  <c r="AI241" i="39"/>
  <c r="V241" i="39"/>
  <c r="W241" i="39"/>
  <c r="AI48" i="39"/>
  <c r="V48" i="39"/>
  <c r="W48" i="39"/>
  <c r="AI96" i="39"/>
  <c r="V96" i="39"/>
  <c r="W96" i="39"/>
  <c r="AI239" i="39"/>
  <c r="V239" i="39"/>
  <c r="W239" i="39"/>
  <c r="AI114" i="39"/>
  <c r="V114" i="39"/>
  <c r="W114" i="39"/>
  <c r="AI11" i="39"/>
  <c r="W11" i="39"/>
  <c r="V11" i="39"/>
  <c r="AI151" i="39"/>
  <c r="V151" i="39"/>
  <c r="W151" i="39"/>
  <c r="AI233" i="39"/>
  <c r="V233" i="39"/>
  <c r="W233" i="39"/>
  <c r="AI111" i="39"/>
  <c r="V111" i="39"/>
  <c r="W111" i="39"/>
  <c r="AI51" i="39"/>
  <c r="V51" i="39"/>
  <c r="W51" i="39"/>
  <c r="AI167" i="39"/>
  <c r="V167" i="39"/>
  <c r="W167" i="39"/>
  <c r="AI123" i="39"/>
  <c r="V123" i="39"/>
  <c r="W123" i="39"/>
  <c r="AI249" i="39"/>
  <c r="W249" i="39"/>
  <c r="V249" i="39"/>
  <c r="AI234" i="39"/>
  <c r="W234" i="39"/>
  <c r="V234" i="39"/>
  <c r="AI168" i="39"/>
  <c r="V168" i="39"/>
  <c r="W168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198" i="39" l="1"/>
  <c r="AV198" i="39"/>
  <c r="AW198" i="39"/>
  <c r="AT299" i="39"/>
  <c r="AW299" i="39"/>
  <c r="AV299" i="39"/>
  <c r="AT282" i="39"/>
  <c r="AV282" i="39"/>
  <c r="AW282" i="39"/>
  <c r="AW125" i="39"/>
  <c r="AV125" i="39"/>
  <c r="AT125" i="39"/>
  <c r="AV310" i="39"/>
  <c r="AT310" i="39"/>
  <c r="AW310" i="39"/>
  <c r="AW194" i="39"/>
  <c r="AT194" i="39"/>
  <c r="AV194" i="39"/>
  <c r="AV107" i="39"/>
  <c r="AW107" i="39"/>
  <c r="AT107" i="39"/>
  <c r="AT233" i="39"/>
  <c r="AV233" i="39"/>
  <c r="AW233" i="39"/>
  <c r="AT190" i="39"/>
  <c r="AV190" i="39"/>
  <c r="AW190" i="39"/>
  <c r="AW37" i="39"/>
  <c r="AT37" i="39"/>
  <c r="AV37" i="39"/>
  <c r="AT31" i="39"/>
  <c r="AV31" i="39"/>
  <c r="AW31" i="39"/>
  <c r="AW58" i="39"/>
  <c r="AT58" i="39"/>
  <c r="AV58" i="39"/>
  <c r="AT49" i="39"/>
  <c r="AV49" i="39"/>
  <c r="AW49" i="39"/>
  <c r="AT8" i="39"/>
  <c r="AV8" i="39"/>
  <c r="AW8" i="39"/>
  <c r="AV246" i="39"/>
  <c r="AT246" i="39"/>
  <c r="AW246" i="39"/>
  <c r="AV189" i="39"/>
  <c r="AT189" i="39"/>
  <c r="AW189" i="39"/>
  <c r="AV77" i="39"/>
  <c r="AW77" i="39"/>
  <c r="AT77" i="39"/>
  <c r="AT288" i="39"/>
  <c r="AV288" i="39"/>
  <c r="AW288" i="39"/>
  <c r="AW304" i="39"/>
  <c r="AT304" i="39"/>
  <c r="AV304" i="39"/>
  <c r="AW155" i="39"/>
  <c r="AT155" i="39"/>
  <c r="AV155" i="39"/>
  <c r="AV284" i="39"/>
  <c r="AW284" i="39"/>
  <c r="AT284" i="39"/>
  <c r="AV238" i="39"/>
  <c r="AT238" i="39"/>
  <c r="AW238" i="39"/>
  <c r="AW119" i="39"/>
  <c r="AT119" i="39"/>
  <c r="AV119" i="39"/>
  <c r="AW7" i="39"/>
  <c r="AT7" i="39"/>
  <c r="AV7" i="39"/>
  <c r="AT303" i="39"/>
  <c r="AV303" i="39"/>
  <c r="AW303" i="39"/>
  <c r="AW227" i="39"/>
  <c r="AT227" i="39"/>
  <c r="AV227" i="39"/>
  <c r="AV130" i="39"/>
  <c r="AT130" i="39"/>
  <c r="AW130" i="39"/>
  <c r="AW170" i="39"/>
  <c r="AT170" i="39"/>
  <c r="AV170" i="39"/>
  <c r="AT106" i="39"/>
  <c r="AV106" i="39"/>
  <c r="AW106" i="39"/>
  <c r="AV257" i="39"/>
  <c r="AW257" i="39"/>
  <c r="AT257" i="39"/>
  <c r="AW23" i="39"/>
  <c r="AT23" i="39"/>
  <c r="AV23" i="39"/>
  <c r="AT132" i="39"/>
  <c r="AV132" i="39"/>
  <c r="AW132" i="39"/>
  <c r="AT162" i="39"/>
  <c r="AW162" i="39"/>
  <c r="AV162" i="39"/>
  <c r="AT278" i="39"/>
  <c r="AV278" i="39"/>
  <c r="AW278" i="39"/>
  <c r="AT120" i="39"/>
  <c r="AV120" i="39"/>
  <c r="AW120" i="39"/>
  <c r="AV205" i="39"/>
  <c r="AT205" i="39"/>
  <c r="AW205" i="39"/>
  <c r="AV165" i="39"/>
  <c r="AT165" i="39"/>
  <c r="AW165" i="39"/>
  <c r="AV277" i="39"/>
  <c r="AT277" i="39"/>
  <c r="AW277" i="39"/>
  <c r="AT174" i="39"/>
  <c r="AV174" i="39"/>
  <c r="AW174" i="39"/>
  <c r="AT214" i="39"/>
  <c r="AV214" i="39"/>
  <c r="AW214" i="39"/>
  <c r="AT101" i="39"/>
  <c r="AV101" i="39"/>
  <c r="AW101" i="39"/>
  <c r="AV254" i="39"/>
  <c r="AT254" i="39"/>
  <c r="AW254" i="39"/>
  <c r="AV138" i="39"/>
  <c r="AT138" i="39"/>
  <c r="AW138" i="39"/>
  <c r="AT57" i="39"/>
  <c r="AV57" i="39"/>
  <c r="AW57" i="39"/>
  <c r="AV114" i="39"/>
  <c r="AT114" i="39"/>
  <c r="AW114" i="39"/>
  <c r="AW219" i="39"/>
  <c r="AT219" i="39"/>
  <c r="AV219" i="39"/>
  <c r="AT43" i="39"/>
  <c r="AV43" i="39"/>
  <c r="AW43" i="39"/>
  <c r="AT74" i="39"/>
  <c r="AV74" i="39"/>
  <c r="AW74" i="39"/>
  <c r="AT160" i="39"/>
  <c r="AV160" i="39"/>
  <c r="AW160" i="39"/>
  <c r="AV171" i="39"/>
  <c r="AT171" i="39"/>
  <c r="AW171" i="39"/>
  <c r="AT225" i="39"/>
  <c r="AV225" i="39"/>
  <c r="AW225" i="39"/>
  <c r="AT53" i="39"/>
  <c r="AV53" i="39"/>
  <c r="AW53" i="39"/>
  <c r="AW15" i="39"/>
  <c r="AT15" i="39"/>
  <c r="AV15" i="39"/>
  <c r="AT266" i="39"/>
  <c r="AW266" i="39"/>
  <c r="AV266" i="39"/>
  <c r="AV212" i="39"/>
  <c r="AT212" i="39"/>
  <c r="AW212" i="39"/>
  <c r="AV248" i="39"/>
  <c r="AT248" i="39"/>
  <c r="AW248" i="39"/>
  <c r="AW89" i="39"/>
  <c r="AT89" i="39"/>
  <c r="AV89" i="39"/>
  <c r="AV55" i="39"/>
  <c r="AW55" i="39"/>
  <c r="AT55" i="39"/>
  <c r="AT76" i="39"/>
  <c r="AV76" i="39"/>
  <c r="AW76" i="39"/>
  <c r="AW184" i="39"/>
  <c r="AT184" i="39"/>
  <c r="AV184" i="39"/>
  <c r="AV196" i="39"/>
  <c r="AT196" i="39"/>
  <c r="AW196" i="39"/>
  <c r="AT98" i="39"/>
  <c r="AV98" i="39"/>
  <c r="AW98" i="39"/>
  <c r="AT291" i="39"/>
  <c r="AW291" i="39"/>
  <c r="AV291" i="39"/>
  <c r="AT297" i="39"/>
  <c r="AV297" i="39"/>
  <c r="AW297" i="39"/>
  <c r="AT115" i="39"/>
  <c r="AW115" i="39"/>
  <c r="AV115" i="39"/>
  <c r="AT134" i="39"/>
  <c r="AV134" i="39"/>
  <c r="AW134" i="39"/>
  <c r="AV306" i="39"/>
  <c r="AW306" i="39"/>
  <c r="AT306" i="39"/>
  <c r="AW117" i="39"/>
  <c r="AT117" i="39"/>
  <c r="AV117" i="39"/>
  <c r="AT258" i="39"/>
  <c r="AV258" i="39"/>
  <c r="AW258" i="39"/>
  <c r="AV9" i="39"/>
  <c r="AW9" i="39"/>
  <c r="AT9" i="39"/>
  <c r="AT252" i="39"/>
  <c r="AW252" i="39"/>
  <c r="AV252" i="39"/>
  <c r="AT103" i="39"/>
  <c r="AV103" i="39"/>
  <c r="AW103" i="39"/>
  <c r="AV163" i="39"/>
  <c r="AW163" i="39"/>
  <c r="AT163" i="39"/>
  <c r="AT226" i="39"/>
  <c r="AV226" i="39"/>
  <c r="AW226" i="39"/>
  <c r="AT207" i="39"/>
  <c r="AV207" i="39"/>
  <c r="AW207" i="39"/>
  <c r="AT36" i="39"/>
  <c r="AV36" i="39"/>
  <c r="AW36" i="39"/>
  <c r="AT18" i="39"/>
  <c r="AV18" i="39"/>
  <c r="AW18" i="39"/>
  <c r="AW161" i="39"/>
  <c r="AT161" i="39"/>
  <c r="AV161" i="39"/>
  <c r="AT270" i="39"/>
  <c r="AV270" i="39"/>
  <c r="AW270" i="39"/>
  <c r="AV273" i="39"/>
  <c r="AW273" i="39"/>
  <c r="AT273" i="39"/>
  <c r="AT10" i="39"/>
  <c r="AV10" i="39"/>
  <c r="AW10" i="39"/>
  <c r="AT38" i="39"/>
  <c r="AV38" i="39"/>
  <c r="AW38" i="39"/>
  <c r="AT73" i="39"/>
  <c r="AV73" i="39"/>
  <c r="AW73" i="39"/>
  <c r="AT280" i="39"/>
  <c r="AV280" i="39"/>
  <c r="AW280" i="39"/>
  <c r="AV197" i="39"/>
  <c r="AT197" i="39"/>
  <c r="AW197" i="39"/>
  <c r="AT234" i="39"/>
  <c r="AV234" i="39"/>
  <c r="AW234" i="39"/>
  <c r="AT11" i="39"/>
  <c r="AV11" i="39"/>
  <c r="AW11" i="39"/>
  <c r="AW178" i="39"/>
  <c r="AT178" i="39"/>
  <c r="AV178" i="39"/>
  <c r="AW221" i="39"/>
  <c r="AT221" i="39"/>
  <c r="AV221" i="39"/>
  <c r="AV148" i="39"/>
  <c r="AT148" i="39"/>
  <c r="AW148" i="39"/>
  <c r="AW147" i="39"/>
  <c r="AT147" i="39"/>
  <c r="AV147" i="39"/>
  <c r="AT166" i="39"/>
  <c r="AV166" i="39"/>
  <c r="AW166" i="39"/>
  <c r="AT191" i="39"/>
  <c r="AV191" i="39"/>
  <c r="AW191" i="39"/>
  <c r="AT249" i="39"/>
  <c r="AV249" i="39"/>
  <c r="AW249" i="39"/>
  <c r="AT51" i="39"/>
  <c r="AV51" i="39"/>
  <c r="AW51" i="39"/>
  <c r="AT48" i="39"/>
  <c r="AV48" i="39"/>
  <c r="AW48" i="39"/>
  <c r="AW28" i="39"/>
  <c r="AT28" i="39"/>
  <c r="AV28" i="39"/>
  <c r="AT27" i="39"/>
  <c r="AV27" i="39"/>
  <c r="AW27" i="39"/>
  <c r="AV42" i="39"/>
  <c r="AW42" i="39"/>
  <c r="AT42" i="39"/>
  <c r="AW243" i="39"/>
  <c r="AT243" i="39"/>
  <c r="AV243" i="39"/>
  <c r="AV265" i="39"/>
  <c r="AW265" i="39"/>
  <c r="AT265" i="39"/>
  <c r="AW251" i="39"/>
  <c r="AT251" i="39"/>
  <c r="AV251" i="39"/>
  <c r="AT3" i="39"/>
  <c r="AV3" i="39"/>
  <c r="AW3" i="39"/>
  <c r="AT250" i="39"/>
  <c r="AV250" i="39"/>
  <c r="AW250" i="39"/>
  <c r="AT34" i="39"/>
  <c r="AV34" i="39"/>
  <c r="AW34" i="39"/>
  <c r="AT81" i="39"/>
  <c r="AV81" i="39"/>
  <c r="AW81" i="39"/>
  <c r="AT21" i="39"/>
  <c r="AV21" i="39"/>
  <c r="AW21" i="39"/>
  <c r="AT201" i="39"/>
  <c r="AW201" i="39"/>
  <c r="AV201" i="39"/>
  <c r="AT92" i="39"/>
  <c r="AV92" i="39"/>
  <c r="AW92" i="39"/>
  <c r="AT6" i="39"/>
  <c r="AV6" i="39"/>
  <c r="AW6" i="39"/>
  <c r="AT182" i="39"/>
  <c r="AV182" i="39"/>
  <c r="AW182" i="39"/>
  <c r="AW229" i="39"/>
  <c r="AV229" i="39"/>
  <c r="AT229" i="39"/>
  <c r="AV61" i="39"/>
  <c r="AW61" i="39"/>
  <c r="AT61" i="39"/>
  <c r="AT152" i="39"/>
  <c r="AV152" i="39"/>
  <c r="AW152" i="39"/>
  <c r="AV261" i="39"/>
  <c r="AW261" i="39"/>
  <c r="AT261" i="39"/>
  <c r="AT109" i="39"/>
  <c r="AV109" i="39"/>
  <c r="AW109" i="39"/>
  <c r="AW200" i="39"/>
  <c r="AT200" i="39"/>
  <c r="AV200" i="39"/>
  <c r="AW83" i="39"/>
  <c r="AT83" i="39"/>
  <c r="AV83" i="39"/>
  <c r="AW153" i="39"/>
  <c r="AT153" i="39"/>
  <c r="AV153" i="39"/>
  <c r="AT24" i="39"/>
  <c r="AV24" i="39"/>
  <c r="AW24" i="39"/>
  <c r="AW141" i="39"/>
  <c r="AV141" i="39"/>
  <c r="AT141" i="39"/>
  <c r="AV164" i="39"/>
  <c r="AW164" i="39"/>
  <c r="AT164" i="39"/>
  <c r="AT13" i="39"/>
  <c r="AV13" i="39"/>
  <c r="AW13" i="39"/>
  <c r="AV150" i="39"/>
  <c r="AT150" i="39"/>
  <c r="AW150" i="39"/>
  <c r="AV281" i="39"/>
  <c r="AW281" i="39"/>
  <c r="AT281" i="39"/>
  <c r="AW295" i="39"/>
  <c r="AT295" i="39"/>
  <c r="AV295" i="39"/>
  <c r="AT63" i="39"/>
  <c r="AV63" i="39"/>
  <c r="AW63" i="39"/>
  <c r="AT272" i="39"/>
  <c r="AV272" i="39"/>
  <c r="AW272" i="39"/>
  <c r="AT100" i="39"/>
  <c r="AV100" i="39"/>
  <c r="AW100" i="39"/>
  <c r="AT167" i="39"/>
  <c r="AV167" i="39"/>
  <c r="AW167" i="39"/>
  <c r="AT96" i="39"/>
  <c r="AV96" i="39"/>
  <c r="AW96" i="39"/>
  <c r="AT66" i="39"/>
  <c r="AV66" i="39"/>
  <c r="AW66" i="39"/>
  <c r="AV86" i="39"/>
  <c r="AW86" i="39"/>
  <c r="AT86" i="39"/>
  <c r="AW168" i="39"/>
  <c r="AT168" i="39"/>
  <c r="AV168" i="39"/>
  <c r="AT151" i="39"/>
  <c r="AV151" i="39"/>
  <c r="AW151" i="39"/>
  <c r="AV52" i="39"/>
  <c r="AW52" i="39"/>
  <c r="AT52" i="39"/>
  <c r="AV30" i="39"/>
  <c r="AW30" i="39"/>
  <c r="AT30" i="39"/>
  <c r="AV173" i="39"/>
  <c r="AT173" i="39"/>
  <c r="AW173" i="39"/>
  <c r="AV64" i="39"/>
  <c r="AW64" i="39"/>
  <c r="AT64" i="39"/>
  <c r="AT313" i="39"/>
  <c r="AV313" i="39"/>
  <c r="AW313" i="39"/>
  <c r="AV285" i="39"/>
  <c r="AT285" i="39"/>
  <c r="AW285" i="39"/>
  <c r="AT14" i="39"/>
  <c r="AV14" i="39"/>
  <c r="AW14" i="39"/>
  <c r="AT283" i="39"/>
  <c r="AW283" i="39"/>
  <c r="AV283" i="39"/>
  <c r="AT294" i="39"/>
  <c r="AV294" i="39"/>
  <c r="AW294" i="39"/>
  <c r="AT209" i="39"/>
  <c r="AW209" i="39"/>
  <c r="AV209" i="39"/>
  <c r="AT218" i="39"/>
  <c r="AV218" i="39"/>
  <c r="AW218" i="39"/>
  <c r="AT177" i="39"/>
  <c r="AW177" i="39"/>
  <c r="AV177" i="39"/>
  <c r="AV91" i="39"/>
  <c r="AW91" i="39"/>
  <c r="AT91" i="39"/>
  <c r="AW263" i="39"/>
  <c r="AT263" i="39"/>
  <c r="AV263" i="39"/>
  <c r="AT82" i="39"/>
  <c r="AV82" i="39"/>
  <c r="AW82" i="39"/>
  <c r="AT29" i="39"/>
  <c r="AW29" i="39"/>
  <c r="AV29" i="39"/>
  <c r="AT275" i="39"/>
  <c r="AW275" i="39"/>
  <c r="AV275" i="39"/>
  <c r="AV187" i="39"/>
  <c r="AW187" i="39"/>
  <c r="AT187" i="39"/>
  <c r="AW235" i="39"/>
  <c r="AT235" i="39"/>
  <c r="AV235" i="39"/>
  <c r="AT35" i="39"/>
  <c r="AV35" i="39"/>
  <c r="AW35" i="39"/>
  <c r="AT175" i="39"/>
  <c r="AV175" i="39"/>
  <c r="AW175" i="39"/>
  <c r="AT54" i="39"/>
  <c r="AV54" i="39"/>
  <c r="AW54" i="39"/>
  <c r="AT78" i="39"/>
  <c r="AV78" i="39"/>
  <c r="AW78" i="39"/>
  <c r="AT236" i="39"/>
  <c r="AW236" i="39"/>
  <c r="AV236" i="39"/>
  <c r="AV260" i="39"/>
  <c r="AW260" i="39"/>
  <c r="AT260" i="39"/>
  <c r="AT118" i="39"/>
  <c r="AV118" i="39"/>
  <c r="AW118" i="39"/>
  <c r="AT104" i="39"/>
  <c r="AV104" i="39"/>
  <c r="AW104" i="39"/>
  <c r="AT311" i="39"/>
  <c r="AV311" i="39"/>
  <c r="AW311" i="39"/>
  <c r="AT22" i="39"/>
  <c r="AV22" i="39"/>
  <c r="AW22" i="39"/>
  <c r="AV72" i="39"/>
  <c r="AW72" i="39"/>
  <c r="AT72" i="39"/>
  <c r="AT56" i="39"/>
  <c r="AV56" i="39"/>
  <c r="AW56" i="39"/>
  <c r="AT131" i="39"/>
  <c r="AW131" i="39"/>
  <c r="AV131" i="39"/>
  <c r="AT264" i="39"/>
  <c r="AV264" i="39"/>
  <c r="AW264" i="39"/>
  <c r="AT116" i="39"/>
  <c r="AV116" i="39"/>
  <c r="AW116" i="39"/>
  <c r="AT40" i="39"/>
  <c r="AV40" i="39"/>
  <c r="AW40" i="39"/>
  <c r="AW287" i="39"/>
  <c r="AT287" i="39"/>
  <c r="AV287" i="39"/>
  <c r="AV69" i="39"/>
  <c r="AW69" i="39"/>
  <c r="AT69" i="39"/>
  <c r="AT228" i="39"/>
  <c r="AW228" i="39"/>
  <c r="AV228" i="39"/>
  <c r="AV102" i="39"/>
  <c r="AW102" i="39"/>
  <c r="AT102" i="39"/>
  <c r="AW105" i="39"/>
  <c r="AT105" i="39"/>
  <c r="AV105" i="39"/>
  <c r="AW133" i="39"/>
  <c r="AT133" i="39"/>
  <c r="AV133" i="39"/>
  <c r="AW237" i="39"/>
  <c r="AT237" i="39"/>
  <c r="AV237" i="39"/>
  <c r="AT154" i="39"/>
  <c r="AW154" i="39"/>
  <c r="AV154" i="39"/>
  <c r="AV292" i="39"/>
  <c r="AW292" i="39"/>
  <c r="AT292" i="39"/>
  <c r="AV60" i="39"/>
  <c r="AW60" i="39"/>
  <c r="AT60" i="39"/>
  <c r="AT19" i="39"/>
  <c r="AV19" i="39"/>
  <c r="AW19" i="39"/>
  <c r="AV247" i="39"/>
  <c r="AT247" i="39"/>
  <c r="AW247" i="39"/>
  <c r="AT65" i="39"/>
  <c r="AV65" i="39"/>
  <c r="AW65" i="39"/>
  <c r="AT146" i="39"/>
  <c r="AW146" i="39"/>
  <c r="AV146" i="39"/>
  <c r="AT87" i="39"/>
  <c r="AV87" i="39"/>
  <c r="AW87" i="39"/>
  <c r="AV216" i="39"/>
  <c r="AT216" i="39"/>
  <c r="AW216" i="39"/>
  <c r="AV172" i="39"/>
  <c r="AT172" i="39"/>
  <c r="AW172" i="39"/>
  <c r="AT123" i="39"/>
  <c r="AW123" i="39"/>
  <c r="AV123" i="39"/>
  <c r="AV239" i="39"/>
  <c r="AT239" i="39"/>
  <c r="AW239" i="39"/>
  <c r="AV47" i="39"/>
  <c r="AW47" i="39"/>
  <c r="AT47" i="39"/>
  <c r="AT140" i="39"/>
  <c r="AV140" i="39"/>
  <c r="AW140" i="39"/>
  <c r="AV232" i="39"/>
  <c r="AT232" i="39"/>
  <c r="AW232" i="39"/>
  <c r="AT62" i="39"/>
  <c r="AV62" i="39"/>
  <c r="AW62" i="39"/>
  <c r="AW186" i="39"/>
  <c r="AV186" i="39"/>
  <c r="AT186" i="39"/>
  <c r="AW127" i="39"/>
  <c r="AV127" i="39"/>
  <c r="AT127" i="39"/>
  <c r="AV302" i="39"/>
  <c r="AT302" i="39"/>
  <c r="AW302" i="39"/>
  <c r="AW253" i="39"/>
  <c r="AT253" i="39"/>
  <c r="AV253" i="39"/>
  <c r="AW192" i="39"/>
  <c r="AT192" i="39"/>
  <c r="AV192" i="39"/>
  <c r="AV20" i="39"/>
  <c r="AW20" i="39"/>
  <c r="AT20" i="39"/>
  <c r="AT26" i="39"/>
  <c r="AV26" i="39"/>
  <c r="AW26" i="39"/>
  <c r="AT183" i="39"/>
  <c r="AV183" i="39"/>
  <c r="AW183" i="39"/>
  <c r="AV94" i="39"/>
  <c r="AW94" i="39"/>
  <c r="AT94" i="39"/>
  <c r="AT315" i="39"/>
  <c r="AV315" i="39"/>
  <c r="AW315" i="39"/>
  <c r="AW279" i="39"/>
  <c r="AT279" i="39"/>
  <c r="AV279" i="39"/>
  <c r="AV121" i="39"/>
  <c r="AW121" i="39"/>
  <c r="AT121" i="39"/>
  <c r="AV223" i="39"/>
  <c r="AT223" i="39"/>
  <c r="AW223" i="39"/>
  <c r="AT144" i="39"/>
  <c r="AV144" i="39"/>
  <c r="AW144" i="39"/>
  <c r="AT259" i="39"/>
  <c r="AW259" i="39"/>
  <c r="AV259" i="39"/>
  <c r="AT308" i="39"/>
  <c r="AW308" i="39"/>
  <c r="AV308" i="39"/>
  <c r="AV110" i="39"/>
  <c r="AW110" i="39"/>
  <c r="AT110" i="39"/>
  <c r="AW210" i="39"/>
  <c r="AT210" i="39"/>
  <c r="AV210" i="39"/>
  <c r="AV211" i="39"/>
  <c r="AT211" i="39"/>
  <c r="AW211" i="39"/>
  <c r="AW75" i="39"/>
  <c r="AT75" i="39"/>
  <c r="AV75" i="39"/>
  <c r="AV309" i="39"/>
  <c r="AW309" i="39"/>
  <c r="AT309" i="39"/>
  <c r="AV318" i="39"/>
  <c r="AT318" i="39"/>
  <c r="AW318" i="39"/>
  <c r="AT59" i="39"/>
  <c r="AW59" i="39"/>
  <c r="AV59" i="39"/>
  <c r="AT143" i="39"/>
  <c r="AV143" i="39"/>
  <c r="AW143" i="39"/>
  <c r="AT46" i="39"/>
  <c r="AV46" i="39"/>
  <c r="AW46" i="39"/>
  <c r="AT267" i="39"/>
  <c r="AW267" i="39"/>
  <c r="AV267" i="39"/>
  <c r="AT88" i="39"/>
  <c r="AV88" i="39"/>
  <c r="AW88" i="39"/>
  <c r="AW97" i="39"/>
  <c r="AT97" i="39"/>
  <c r="AV97" i="39"/>
  <c r="AT307" i="39"/>
  <c r="AV307" i="39"/>
  <c r="AW307" i="39"/>
  <c r="AT142" i="39"/>
  <c r="AV142" i="39"/>
  <c r="AW142" i="39"/>
  <c r="AV156" i="39"/>
  <c r="AT156" i="39"/>
  <c r="AW156" i="39"/>
  <c r="AT93" i="39"/>
  <c r="AV93" i="39"/>
  <c r="AW93" i="39"/>
  <c r="AT16" i="39"/>
  <c r="AV16" i="39"/>
  <c r="AW16" i="39"/>
  <c r="AV17" i="39"/>
  <c r="AW17" i="39"/>
  <c r="AT17" i="39"/>
  <c r="AT217" i="39"/>
  <c r="AV217" i="39"/>
  <c r="AW217" i="39"/>
  <c r="AT111" i="39"/>
  <c r="AV111" i="39"/>
  <c r="AW111" i="39"/>
  <c r="AT241" i="39"/>
  <c r="AV241" i="39"/>
  <c r="AW241" i="39"/>
  <c r="AV222" i="39"/>
  <c r="AT222" i="39"/>
  <c r="AW222" i="39"/>
  <c r="AT199" i="39"/>
  <c r="AV199" i="39"/>
  <c r="AW199" i="39"/>
  <c r="AW202" i="39"/>
  <c r="AV202" i="39"/>
  <c r="AT202" i="39"/>
  <c r="AV240" i="39"/>
  <c r="AT240" i="39"/>
  <c r="AW240" i="39"/>
  <c r="AV149" i="39"/>
  <c r="AT149" i="39"/>
  <c r="AW149" i="39"/>
  <c r="AT305" i="39"/>
  <c r="AV305" i="39"/>
  <c r="AW305" i="39"/>
  <c r="AT95" i="39"/>
  <c r="AV95" i="39"/>
  <c r="AW95" i="39"/>
  <c r="AT206" i="39"/>
  <c r="AV206" i="39"/>
  <c r="AW206" i="39"/>
  <c r="AT126" i="39"/>
  <c r="AV126" i="39"/>
  <c r="AW126" i="39"/>
  <c r="AV4" i="39"/>
  <c r="AW4" i="39"/>
  <c r="AT4" i="39"/>
  <c r="AV298" i="39"/>
  <c r="AW298" i="39"/>
  <c r="AT298" i="39"/>
  <c r="AV25" i="39"/>
  <c r="AW25" i="39"/>
  <c r="AT25" i="39"/>
  <c r="AV224" i="39"/>
  <c r="AT224" i="39"/>
  <c r="AW224" i="39"/>
  <c r="AV276" i="39"/>
  <c r="AW276" i="39"/>
  <c r="AT276" i="39"/>
  <c r="AT255" i="39"/>
  <c r="AV255" i="39"/>
  <c r="AW255" i="39"/>
  <c r="AV230" i="39"/>
  <c r="AW230" i="39"/>
  <c r="AT230" i="39"/>
  <c r="AT159" i="39"/>
  <c r="AV159" i="39"/>
  <c r="AW159" i="39"/>
  <c r="AT90" i="39"/>
  <c r="AV90" i="39"/>
  <c r="AW90" i="39"/>
  <c r="AV188" i="39"/>
  <c r="AW188" i="39"/>
  <c r="AT188" i="39"/>
  <c r="AT139" i="39"/>
  <c r="AW139" i="39"/>
  <c r="AV139" i="39"/>
  <c r="AT79" i="39"/>
  <c r="AV79" i="39"/>
  <c r="AW79" i="39"/>
  <c r="AW312" i="39"/>
  <c r="AT312" i="39"/>
  <c r="AV312" i="39"/>
  <c r="AW135" i="39"/>
  <c r="AT135" i="39"/>
  <c r="AV135" i="39"/>
  <c r="AW145" i="39"/>
  <c r="AT145" i="39"/>
  <c r="AV145" i="39"/>
  <c r="AT128" i="39"/>
  <c r="AV128" i="39"/>
  <c r="AW128" i="39"/>
  <c r="AW50" i="39"/>
  <c r="AT50" i="39"/>
  <c r="AV50" i="39"/>
  <c r="AV203" i="39"/>
  <c r="AW203" i="39"/>
  <c r="AT203" i="39"/>
  <c r="AV314" i="39"/>
  <c r="AW314" i="39"/>
  <c r="AT314" i="39"/>
  <c r="AT41" i="39"/>
  <c r="AV41" i="39"/>
  <c r="AW41" i="39"/>
  <c r="AT5" i="39"/>
  <c r="AV5" i="39"/>
  <c r="AW5" i="39"/>
  <c r="AV269" i="39"/>
  <c r="AT269" i="39"/>
  <c r="AW269" i="39"/>
  <c r="AT274" i="39"/>
  <c r="AV274" i="39"/>
  <c r="AW274" i="39"/>
  <c r="AT136" i="39"/>
  <c r="AV136" i="39"/>
  <c r="AW136" i="39"/>
  <c r="AV301" i="39"/>
  <c r="AW301" i="39"/>
  <c r="AT301" i="39"/>
  <c r="AT70" i="39"/>
  <c r="AV70" i="39"/>
  <c r="AW70" i="39"/>
  <c r="AT108" i="39"/>
  <c r="AV108" i="39"/>
  <c r="AW108" i="39"/>
  <c r="AT185" i="39"/>
  <c r="AW185" i="39"/>
  <c r="AV185" i="39"/>
  <c r="AV85" i="39"/>
  <c r="AT85" i="39"/>
  <c r="AW85" i="39"/>
  <c r="AV195" i="39"/>
  <c r="AT195" i="39"/>
  <c r="AW195" i="39"/>
  <c r="AV137" i="39"/>
  <c r="AW137" i="39"/>
  <c r="AT137" i="39"/>
  <c r="AT290" i="39"/>
  <c r="AV290" i="39"/>
  <c r="AW290" i="39"/>
  <c r="AT256" i="39"/>
  <c r="AV256" i="39"/>
  <c r="AW256" i="39"/>
  <c r="AV213" i="39"/>
  <c r="AT213" i="39"/>
  <c r="AW213" i="39"/>
  <c r="AV289" i="39"/>
  <c r="AW289" i="39"/>
  <c r="AT289" i="39"/>
  <c r="AT124" i="39"/>
  <c r="AV124" i="39"/>
  <c r="AW124" i="39"/>
  <c r="AT169" i="39"/>
  <c r="AW169" i="39"/>
  <c r="AV169" i="39"/>
  <c r="AV80" i="39"/>
  <c r="AW80" i="39"/>
  <c r="AT80" i="39"/>
  <c r="AV84" i="39"/>
  <c r="AW84" i="39"/>
  <c r="AT84" i="39"/>
  <c r="AV158" i="39"/>
  <c r="AT158" i="39"/>
  <c r="AW158" i="39"/>
  <c r="AV39" i="39"/>
  <c r="AW39" i="39"/>
  <c r="AT39" i="39"/>
  <c r="AV180" i="39"/>
  <c r="AT180" i="39"/>
  <c r="AW180" i="39"/>
  <c r="AW271" i="39"/>
  <c r="AT271" i="39"/>
  <c r="AV271" i="39"/>
  <c r="AV317" i="39"/>
  <c r="AW317" i="39"/>
  <c r="AT317" i="39"/>
  <c r="AV268" i="39"/>
  <c r="AW268" i="39"/>
  <c r="AT268" i="39"/>
  <c r="AW176" i="39"/>
  <c r="AT176" i="39"/>
  <c r="AV176" i="39"/>
  <c r="AV231" i="39"/>
  <c r="AW231" i="39"/>
  <c r="AT231" i="39"/>
  <c r="AT68" i="39"/>
  <c r="AV68" i="39"/>
  <c r="AW68" i="39"/>
  <c r="AV129" i="39"/>
  <c r="AW129" i="39"/>
  <c r="AT129" i="39"/>
  <c r="AV33" i="39"/>
  <c r="AW33" i="39"/>
  <c r="AT33" i="39"/>
  <c r="AT242" i="39"/>
  <c r="AV242" i="39"/>
  <c r="AW242" i="39"/>
  <c r="AW45" i="39"/>
  <c r="AT45" i="39"/>
  <c r="AV45" i="39"/>
  <c r="AT112" i="39"/>
  <c r="AV112" i="39"/>
  <c r="AW112" i="39"/>
  <c r="AT244" i="39"/>
  <c r="AW244" i="39"/>
  <c r="AV244" i="39"/>
  <c r="AW245" i="39"/>
  <c r="AT245" i="39"/>
  <c r="AV245" i="39"/>
  <c r="AV157" i="39"/>
  <c r="AT157" i="39"/>
  <c r="AW157" i="39"/>
  <c r="AV293" i="39"/>
  <c r="AW293" i="39"/>
  <c r="AT293" i="39"/>
  <c r="AW296" i="39"/>
  <c r="AT296" i="39"/>
  <c r="AV296" i="39"/>
  <c r="AV215" i="39"/>
  <c r="AT215" i="39"/>
  <c r="AW215" i="39"/>
  <c r="AW208" i="39"/>
  <c r="AT208" i="39"/>
  <c r="AV208" i="39"/>
  <c r="AT262" i="39"/>
  <c r="AV262" i="39"/>
  <c r="AW262" i="39"/>
  <c r="AW67" i="39"/>
  <c r="AT67" i="39"/>
  <c r="AV67" i="39"/>
  <c r="AV99" i="39"/>
  <c r="AW99" i="39"/>
  <c r="AT99" i="39"/>
  <c r="AT220" i="39"/>
  <c r="AW220" i="39"/>
  <c r="AV220" i="39"/>
  <c r="AT193" i="39"/>
  <c r="AW193" i="39"/>
  <c r="AV193" i="39"/>
  <c r="AV122" i="39"/>
  <c r="AT122" i="39"/>
  <c r="AW122" i="39"/>
  <c r="AV179" i="39"/>
  <c r="AT179" i="39"/>
  <c r="AW179" i="39"/>
  <c r="AT300" i="39"/>
  <c r="AW300" i="39"/>
  <c r="AV300" i="39"/>
  <c r="AT71" i="39"/>
  <c r="AV71" i="39"/>
  <c r="AW71" i="39"/>
  <c r="AT32" i="39"/>
  <c r="AV32" i="39"/>
  <c r="AW32" i="39"/>
  <c r="AW113" i="39"/>
  <c r="AT113" i="39"/>
  <c r="AV113" i="39"/>
  <c r="AT286" i="39"/>
  <c r="AV286" i="39"/>
  <c r="AW286" i="39"/>
  <c r="AT44" i="39"/>
  <c r="AV44" i="39"/>
  <c r="AW44" i="39"/>
  <c r="AV12" i="39"/>
  <c r="AW12" i="39"/>
  <c r="AT12" i="39"/>
  <c r="AV181" i="39"/>
  <c r="AT181" i="39"/>
  <c r="AW181" i="39"/>
  <c r="AT316" i="39"/>
  <c r="AW316" i="39"/>
  <c r="AV316" i="39"/>
  <c r="AV204" i="39"/>
  <c r="AW204" i="39"/>
  <c r="AT204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<sst xmlns="http://schemas.openxmlformats.org/spreadsheetml/2006/main" count="40202" uniqueCount="30147">
  <si>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</si>
  <si>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</si>
  <si>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</si>
  <si>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</si>
  <si>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</si>
  <si>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</si>
  <si>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</si>
  <si>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</si>
  <si>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</si>
  <si>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</si>
  <si>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</si>
  <si>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</si>
  <si>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</si>
  <si>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</si>
  <si>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</si>
  <si>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</si>
  <si>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</si>
  <si>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</si>
  <si>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</si>
  <si>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</si>
  <si>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</si>
  <si>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</si>
  <si>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</si>
  <si>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</si>
  <si>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</si>
  <si>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</si>
  <si>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</si>
  <si>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</si>
  <si>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</si>
  <si>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</si>
  <si>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</si>
  <si>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</si>
  <si>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</si>
  <si>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</si>
  <si>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</si>
  <si>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</si>
  <si>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</si>
  <si>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</si>
  <si>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</si>
  <si>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</si>
  <si>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</si>
  <si>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</si>
  <si>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</si>
  <si>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</si>
  <si>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</si>
  <si>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</si>
  <si>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</si>
  <si>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</si>
  <si>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</si>
  <si>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</si>
  <si>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</si>
  <si>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</si>
  <si>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</si>
  <si>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</si>
  <si>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</si>
  <si>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</si>
  <si>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</si>
  <si>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</si>
  <si>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</si>
  <si>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</si>
  <si>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</si>
  <si>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</si>
  <si>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</si>
  <si>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</si>
  <si>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</si>
  <si>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</si>
  <si>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</si>
  <si>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</si>
  <si>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</si>
  <si>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</si>
  <si>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</si>
  <si>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</si>
  <si>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</si>
  <si>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</si>
  <si>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</si>
  <si>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</si>
  <si>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</si>
  <si>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</si>
  <si>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</si>
  <si>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</si>
  <si>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</si>
  <si>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</si>
  <si>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</si>
  <si>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</si>
  <si>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</si>
  <si>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</si>
  <si>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</si>
  <si>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</si>
  <si>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</si>
  <si>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</si>
  <si>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</si>
  <si>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</si>
  <si>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</si>
  <si>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</si>
  <si>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</si>
  <si>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</si>
  <si>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</si>
  <si>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</si>
  <si>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</si>
  <si>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</si>
  <si>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</si>
  <si>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</si>
  <si>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</si>
  <si>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</si>
  <si>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</si>
  <si>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</si>
  <si>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</si>
  <si>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</si>
  <si>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</si>
  <si>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</si>
  <si>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</si>
  <si>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</si>
  <si>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</si>
  <si>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</si>
  <si>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</si>
  <si>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</si>
  <si>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</si>
  <si>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</si>
  <si>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</si>
  <si>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</si>
  <si>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</si>
  <si>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</si>
  <si>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</si>
  <si>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</si>
  <si>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</si>
  <si>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</si>
  <si>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</si>
  <si>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</si>
  <si>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</si>
  <si>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</si>
  <si>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</si>
  <si>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</si>
  <si>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</si>
  <si>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</si>
  <si>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</si>
  <si>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</si>
  <si>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</si>
  <si>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</si>
  <si>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</si>
  <si>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</si>
  <si>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</si>
  <si>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</si>
  <si>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</si>
  <si>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</si>
  <si>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</si>
  <si>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</si>
  <si>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</si>
  <si>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</si>
  <si>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</si>
  <si>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</si>
  <si>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</si>
  <si>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</si>
  <si>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</si>
  <si>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</si>
  <si>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</si>
  <si>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</si>
  <si>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</si>
  <si>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</si>
  <si>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</si>
  <si>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</si>
  <si>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</si>
  <si>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</si>
  <si>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</si>
  <si>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</si>
  <si>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</si>
  <si>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</si>
  <si>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</si>
  <si>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</si>
  <si>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</si>
  <si>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</si>
  <si>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</si>
  <si>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</si>
  <si>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</si>
  <si>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</si>
  <si>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</si>
  <si>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</si>
  <si>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</si>
  <si>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</si>
  <si>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</si>
  <si>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</si>
  <si>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</si>
  <si>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</si>
  <si>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</si>
  <si>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</si>
  <si>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</si>
  <si>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</si>
  <si>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</si>
  <si>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</si>
  <si>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</si>
  <si>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</si>
  <si>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</si>
  <si>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</si>
  <si>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</si>
  <si>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</si>
  <si>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</si>
  <si>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</si>
  <si>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</si>
  <si>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</si>
  <si>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</si>
  <si>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</si>
  <si>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</si>
  <si>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</si>
  <si>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</si>
  <si>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</si>
  <si>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</si>
  <si>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</si>
  <si>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</si>
  <si>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</si>
  <si>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</si>
  <si>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</si>
  <si>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</si>
  <si>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</si>
  <si>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</si>
  <si>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</si>
  <si>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</si>
  <si>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</si>
  <si>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</si>
  <si>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</si>
  <si>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</si>
  <si>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</si>
  <si>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</si>
  <si>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</si>
  <si>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</si>
  <si>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</si>
  <si>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</si>
  <si>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</si>
  <si>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</si>
  <si>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</si>
  <si>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</si>
  <si>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</si>
  <si>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</si>
  <si>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</si>
  <si>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</si>
  <si>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</si>
  <si>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</si>
  <si>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</si>
  <si>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</si>
  <si>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</si>
  <si>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</si>
  <si>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</si>
  <si>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</si>
  <si>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</si>
  <si>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</si>
  <si>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</si>
  <si>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</si>
  <si>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</si>
  <si>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</si>
  <si>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</si>
  <si>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</si>
  <si>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</si>
  <si>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</si>
  <si>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</si>
  <si>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</si>
  <si>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</si>
  <si>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</si>
  <si>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</si>
  <si>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</si>
  <si>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</si>
  <si>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</si>
  <si>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</si>
  <si>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</si>
  <si>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</si>
  <si>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</si>
  <si>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</si>
  <si>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</si>
  <si>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</si>
  <si>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</si>
  <si>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</si>
  <si>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</si>
  <si>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</si>
  <si>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</si>
  <si>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</si>
  <si>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</si>
  <si>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</si>
  <si>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</si>
  <si>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</si>
  <si>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</si>
  <si>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</si>
  <si>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</si>
  <si>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</si>
  <si>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</si>
  <si>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</si>
  <si>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</si>
  <si>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</si>
  <si>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</si>
  <si>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</si>
  <si>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</si>
  <si>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</si>
  <si>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</si>
  <si>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</si>
  <si>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</si>
  <si>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</si>
  <si>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</si>
  <si>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</si>
  <si>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</si>
  <si>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</si>
  <si>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</si>
  <si>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</si>
  <si>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</si>
  <si>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</si>
  <si>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</si>
  <si>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</si>
  <si>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</si>
  <si>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</si>
  <si>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</si>
  <si>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</si>
  <si>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</si>
  <si>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</si>
  <si>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</si>
  <si>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</si>
  <si>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</si>
  <si>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</si>
  <si>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</si>
  <si>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</si>
  <si>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</si>
  <si>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</si>
  <si>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</si>
  <si>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</si>
  <si>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</si>
  <si>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</si>
  <si>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</si>
  <si>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</si>
  <si>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</si>
  <si>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</si>
  <si>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</si>
  <si>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</si>
  <si>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</si>
  <si>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</si>
  <si>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</si>
  <si>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</si>
  <si>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</si>
  <si>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</si>
  <si>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</si>
  <si>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</si>
  <si>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</si>
  <si>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</si>
  <si>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</si>
  <si>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</si>
  <si>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</si>
  <si>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</si>
  <si>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</si>
  <si>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</si>
  <si>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</si>
  <si>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</si>
  <si>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</si>
  <si>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</si>
  <si>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</si>
  <si>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</si>
  <si>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</si>
  <si>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</si>
  <si>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</si>
  <si>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</si>
  <si>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</si>
  <si>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</si>
  <si>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</si>
  <si>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</si>
  <si>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</si>
  <si>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</si>
  <si>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</si>
  <si>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</si>
  <si>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</si>
  <si>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</si>
  <si>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</si>
  <si>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</si>
  <si>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</si>
  <si>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</si>
  <si>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</si>
  <si>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</si>
  <si>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</si>
  <si>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</si>
  <si>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</si>
  <si>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</si>
  <si>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</si>
  <si>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</si>
  <si>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</si>
  <si>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</si>
  <si>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</si>
  <si>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</si>
  <si>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</si>
  <si>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</si>
  <si>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</si>
  <si>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</si>
  <si>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</si>
  <si>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</si>
  <si>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</si>
  <si>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</si>
  <si>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</si>
  <si>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</si>
  <si>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</si>
  <si>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</si>
  <si>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</si>
  <si>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</si>
  <si>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</si>
  <si>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</si>
  <si>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</si>
  <si>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</si>
  <si>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</si>
  <si>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</si>
  <si>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</si>
  <si>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</si>
  <si>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</si>
  <si>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</si>
  <si>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</si>
  <si>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</si>
  <si>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</si>
  <si>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</si>
  <si>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</si>
  <si>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</si>
  <si>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</si>
  <si>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</si>
  <si>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</si>
  <si>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</si>
  <si>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</si>
  <si>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</si>
  <si>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</si>
  <si>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</si>
  <si>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</si>
  <si>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</si>
  <si>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</si>
  <si>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</si>
  <si>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</si>
  <si>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</si>
  <si>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</si>
  <si>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</si>
  <si>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</si>
  <si>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</si>
  <si>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</si>
  <si>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</si>
  <si>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</si>
  <si>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</si>
  <si>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</si>
  <si>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</si>
  <si>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</si>
  <si>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</si>
  <si>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</si>
  <si>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</si>
  <si>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</si>
  <si>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</si>
  <si>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</si>
  <si>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</si>
  <si>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</si>
  <si>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</si>
  <si>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</si>
  <si>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</si>
  <si>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</si>
  <si>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</si>
  <si>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</si>
  <si>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</si>
  <si>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</si>
  <si>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</si>
  <si>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</si>
  <si>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</si>
  <si>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</si>
  <si>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</si>
  <si>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</si>
  <si>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</si>
  <si>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</si>
  <si>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</si>
  <si>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</si>
  <si>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</si>
  <si>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</si>
  <si>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</si>
  <si>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</si>
  <si>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</si>
  <si>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</si>
  <si>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</si>
  <si>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</si>
  <si>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</si>
  <si>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</si>
  <si>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</si>
  <si>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</si>
  <si>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</si>
  <si>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</si>
  <si>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</si>
  <si>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</si>
  <si>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</si>
  <si>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</si>
  <si>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</si>
  <si>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</si>
  <si>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</si>
  <si>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</si>
  <si>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</si>
  <si>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</si>
  <si>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</si>
  <si>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</si>
  <si>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</si>
  <si>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</si>
  <si>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</si>
  <si>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</si>
  <si>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</si>
  <si>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</si>
  <si>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</si>
  <si>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</si>
  <si>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</si>
  <si>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</si>
  <si>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</si>
  <si>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</si>
  <si>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</si>
  <si>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</si>
  <si>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</si>
  <si>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</si>
  <si>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</si>
  <si>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</si>
  <si>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</si>
  <si>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</si>
  <si>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</si>
  <si>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</si>
  <si>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</si>
  <si>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</si>
  <si>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</si>
  <si>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</si>
  <si>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</si>
  <si>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</si>
  <si>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</si>
  <si>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</si>
  <si>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</si>
  <si>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</si>
  <si>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</si>
  <si>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</si>
  <si>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</si>
  <si>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</si>
  <si>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</si>
  <si>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</si>
  <si>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</si>
  <si>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</si>
  <si>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</si>
  <si>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</si>
  <si>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</si>
  <si>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</si>
  <si>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</si>
  <si>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</si>
  <si>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</si>
  <si>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</si>
  <si>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</si>
  <si>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</si>
  <si>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</si>
  <si>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</si>
  <si>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</si>
  <si>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</si>
  <si>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</si>
  <si>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</si>
  <si>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</si>
  <si>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</si>
  <si>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</si>
  <si>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</si>
  <si>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</si>
  <si>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</si>
  <si>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</si>
  <si>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</si>
  <si>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</si>
  <si>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</si>
  <si>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</si>
  <si>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</si>
  <si>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</si>
  <si>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</si>
  <si>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</si>
  <si>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</si>
  <si>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</si>
  <si>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</si>
  <si>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</si>
  <si>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</si>
  <si>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</si>
  <si>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</si>
  <si>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</si>
  <si>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</si>
  <si>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</si>
  <si>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</si>
  <si>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</si>
  <si>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</si>
  <si>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</si>
  <si>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</si>
  <si>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</si>
  <si>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</si>
  <si>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</si>
  <si>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</si>
  <si>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</si>
  <si>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</si>
  <si>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</si>
  <si>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</si>
  <si>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</si>
  <si>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</si>
  <si>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</si>
  <si>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</si>
  <si>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</si>
  <si>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</si>
  <si>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</si>
  <si>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</si>
  <si>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</si>
  <si>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</si>
  <si>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</si>
  <si>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</si>
  <si>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</si>
  <si>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</si>
  <si>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</si>
  <si>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</si>
  <si>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</si>
  <si>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</si>
  <si>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</si>
  <si>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</si>
  <si>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</si>
  <si>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</si>
  <si>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</si>
  <si>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</si>
  <si>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</si>
  <si>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</si>
  <si>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</si>
  <si>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</si>
  <si>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</si>
  <si>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</si>
  <si>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</si>
  <si>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</si>
  <si>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</si>
  <si>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</si>
  <si>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</si>
  <si>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</si>
  <si>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</si>
  <si>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</si>
  <si>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</si>
  <si>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</si>
  <si>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</si>
  <si>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</si>
  <si>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</si>
  <si>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</si>
  <si>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</si>
  <si>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</si>
  <si>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</si>
  <si>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</si>
  <si>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</si>
  <si>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</si>
  <si>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</si>
  <si>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</si>
  <si>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</si>
  <si>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</si>
  <si>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</si>
  <si>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</si>
  <si>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</si>
  <si>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</si>
  <si>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</si>
  <si>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</si>
  <si>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</si>
  <si>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</si>
  <si>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</si>
  <si>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</si>
  <si>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</si>
  <si>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</si>
  <si>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</si>
  <si>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</si>
  <si>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</si>
  <si>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</si>
  <si>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</si>
  <si>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</si>
  <si>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</si>
  <si>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</si>
  <si>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</si>
  <si>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</si>
  <si>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</si>
  <si>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</si>
  <si>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</si>
  <si>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</si>
  <si>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</si>
  <si>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</si>
  <si>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</si>
  <si>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</si>
  <si>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</si>
  <si>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</si>
  <si>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</si>
  <si>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</si>
  <si>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</si>
  <si>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</si>
  <si>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</si>
  <si>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</si>
  <si>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</si>
  <si>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</si>
  <si>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</si>
  <si>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</si>
  <si>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</si>
  <si>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</si>
  <si>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</si>
  <si>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</si>
  <si>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</si>
  <si>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</si>
  <si>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</si>
  <si>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</si>
  <si>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</si>
  <si>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</si>
  <si>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</si>
  <si>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</si>
  <si>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</si>
  <si>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</si>
  <si>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</si>
  <si>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</si>
  <si>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</si>
  <si>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</si>
  <si>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</si>
  <si>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</si>
  <si>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</si>
  <si>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</si>
  <si>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</si>
  <si>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</si>
  <si>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</si>
  <si>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</si>
  <si>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</si>
  <si>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</si>
  <si>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</si>
  <si>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</si>
  <si>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</si>
  <si>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</si>
  <si>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</si>
  <si>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</si>
  <si>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</si>
  <si>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</si>
  <si>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</si>
  <si>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</si>
  <si>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</si>
  <si>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</si>
  <si>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</si>
  <si>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</si>
  <si>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</si>
  <si>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</si>
  <si>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</si>
  <si>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</si>
  <si>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</si>
  <si>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</si>
  <si>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</si>
  <si>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</si>
  <si>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</si>
  <si>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</si>
  <si>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</si>
  <si>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</si>
  <si>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</si>
  <si>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</si>
  <si>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</si>
  <si>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</si>
  <si>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</si>
  <si>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</si>
  <si>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</si>
  <si>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</si>
  <si>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</si>
  <si>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</si>
  <si>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</si>
  <si>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</si>
  <si>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</si>
  <si>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</si>
  <si>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</si>
  <si>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</si>
  <si>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</si>
  <si>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</si>
  <si>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</si>
  <si>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</si>
  <si>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</si>
  <si>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</si>
  <si>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</si>
  <si>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</si>
  <si>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</si>
  <si>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</si>
  <si>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</si>
  <si>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</si>
  <si>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</si>
  <si>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</si>
  <si>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</si>
  <si>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</si>
  <si>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</si>
  <si>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</si>
  <si>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</si>
  <si>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</si>
  <si>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</si>
  <si>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</si>
  <si>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</si>
  <si>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</si>
  <si>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</si>
  <si>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</si>
  <si>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</si>
  <si>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</si>
  <si>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</si>
  <si>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</si>
  <si>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</si>
  <si>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</si>
  <si>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</si>
  <si>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</si>
  <si>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</si>
  <si>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</si>
  <si>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</si>
  <si>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</si>
  <si>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</si>
  <si>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</si>
  <si>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</si>
  <si>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</si>
  <si>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</si>
  <si>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</si>
  <si>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</si>
  <si>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</si>
  <si>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</si>
  <si>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</si>
  <si>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</si>
  <si>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</si>
  <si>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</si>
  <si>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</si>
  <si>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</si>
  <si>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</si>
  <si>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</si>
  <si>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</si>
  <si>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</si>
  <si>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</si>
  <si>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</si>
  <si>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</si>
  <si>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</si>
  <si>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</si>
  <si>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</si>
  <si>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</si>
  <si>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</si>
  <si>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</si>
  <si>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</si>
  <si>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</si>
  <si>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</si>
  <si>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</si>
  <si>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</si>
  <si>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</si>
  <si>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</si>
  <si>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</si>
  <si>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</si>
  <si>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</si>
  <si>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</si>
  <si>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</si>
  <si>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</si>
  <si>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</si>
  <si>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</si>
  <si>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</si>
  <si>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</si>
  <si>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</si>
  <si>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</si>
  <si>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</si>
  <si>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</si>
  <si>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</si>
  <si>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</si>
  <si>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</si>
  <si>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</si>
  <si>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</si>
  <si>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</si>
  <si>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</si>
  <si>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</si>
  <si>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</si>
  <si>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</si>
  <si>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</si>
  <si>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</si>
  <si>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</si>
  <si>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</si>
  <si>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</si>
  <si>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</si>
  <si>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</si>
  <si>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</si>
  <si>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</si>
  <si>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</si>
  <si>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</si>
  <si>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</si>
  <si>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</si>
  <si>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</si>
  <si>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</si>
  <si>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</si>
  <si>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</si>
  <si>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</si>
  <si>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</si>
  <si>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</si>
  <si>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</si>
  <si>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</si>
  <si>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</si>
  <si>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</si>
  <si>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</si>
  <si>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</si>
  <si>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</si>
  <si>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</si>
  <si>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</si>
  <si>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</si>
  <si>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</si>
  <si>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</si>
  <si>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</si>
  <si>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</si>
  <si>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</si>
  <si>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</si>
  <si>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</si>
  <si>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</si>
  <si>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</si>
  <si>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</si>
  <si>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</si>
  <si>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</si>
  <si>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</si>
  <si>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</si>
  <si>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</si>
  <si>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</si>
  <si>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</si>
  <si>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</si>
  <si>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</si>
  <si>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</si>
  <si>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</si>
  <si>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</si>
  <si>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</si>
  <si>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</si>
  <si>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</si>
  <si>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</si>
  <si>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</si>
  <si>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</si>
  <si>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</si>
  <si>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</si>
  <si>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</si>
  <si>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</si>
  <si>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</si>
  <si>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</si>
  <si>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</si>
  <si>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</si>
  <si>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</si>
  <si>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</si>
  <si>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</si>
  <si>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</si>
  <si>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</si>
  <si>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</si>
  <si>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</si>
  <si>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</si>
  <si>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</si>
  <si>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</si>
  <si>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</si>
  <si>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</si>
  <si>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</si>
  <si>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</si>
  <si>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</si>
  <si>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</si>
  <si>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</si>
  <si>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</si>
  <si>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</si>
  <si>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</si>
  <si>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</si>
  <si>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</si>
  <si>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</si>
  <si>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</si>
  <si>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</si>
  <si>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</si>
  <si>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</si>
  <si>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</si>
  <si>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</si>
  <si>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</si>
  <si>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</si>
  <si>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</si>
  <si>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</si>
  <si>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</si>
  <si>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</si>
  <si>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</si>
  <si>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</si>
  <si>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</si>
  <si>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</si>
  <si>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</si>
  <si>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</si>
  <si>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</si>
  <si>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</si>
  <si>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</si>
  <si>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</si>
  <si>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</si>
  <si>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</si>
  <si>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</si>
  <si>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</si>
  <si>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</si>
  <si>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</si>
  <si>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</si>
  <si>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</si>
  <si>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</si>
  <si>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</si>
  <si>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</si>
  <si>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</si>
  <si>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</si>
  <si>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</si>
  <si>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</si>
  <si>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</si>
  <si>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</si>
  <si>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</si>
  <si>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</si>
  <si>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</si>
  <si>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</si>
  <si>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</si>
  <si>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</si>
  <si>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</si>
  <si>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</si>
  <si>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</si>
  <si>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</si>
  <si>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</si>
  <si>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</si>
  <si>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</si>
  <si>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</si>
  <si>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</si>
  <si>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</si>
  <si>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</si>
  <si>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</si>
  <si>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</si>
  <si>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</si>
  <si>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</si>
  <si>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</si>
  <si>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</si>
  <si>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</si>
  <si>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</si>
  <si>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</si>
  <si>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</si>
  <si>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</si>
  <si>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</si>
  <si>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</si>
  <si>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</si>
  <si>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</si>
  <si>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</si>
  <si>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</si>
  <si>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</si>
  <si>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</si>
  <si>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</si>
  <si>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</si>
  <si>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</si>
  <si>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</si>
  <si>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</si>
  <si>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</si>
  <si>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</si>
  <si>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</si>
  <si>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</si>
  <si>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</si>
  <si>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</si>
  <si>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</si>
  <si>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</si>
  <si>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</si>
  <si>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</si>
  <si>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</si>
  <si>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</si>
  <si>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</si>
  <si>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</si>
  <si>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</si>
  <si>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</si>
  <si>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</si>
  <si>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</si>
  <si>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</si>
  <si>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</si>
  <si>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</si>
  <si>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</si>
  <si>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</si>
  <si>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</si>
  <si>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</si>
  <si>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</si>
  <si>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</si>
  <si>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</si>
  <si>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</si>
  <si>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</si>
  <si>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</si>
  <si>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</si>
  <si>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</si>
  <si>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</si>
  <si>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</si>
  <si>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</si>
  <si>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</si>
  <si>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</si>
  <si>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</si>
  <si>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</si>
  <si>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</si>
  <si>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</si>
  <si>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</si>
  <si>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</si>
  <si>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</si>
  <si>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</si>
  <si>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</si>
  <si>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</si>
  <si>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</si>
  <si>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</si>
  <si>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</si>
  <si>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</si>
  <si>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</si>
  <si>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</si>
  <si>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</si>
  <si>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</si>
  <si>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</si>
  <si>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</si>
  <si>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</si>
  <si>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</si>
  <si>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</si>
  <si>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</si>
  <si>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</si>
  <si>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</si>
  <si>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</si>
  <si>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</si>
  <si>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</si>
  <si>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</si>
  <si>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</si>
  <si>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</si>
  <si>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</si>
  <si>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</si>
  <si>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</si>
  <si>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</si>
  <si>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</si>
  <si>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</si>
  <si>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</si>
  <si>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</si>
  <si>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</si>
  <si>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</si>
  <si>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</si>
  <si>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</si>
  <si>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</si>
  <si>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</si>
  <si>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</si>
  <si>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</si>
  <si>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</si>
  <si>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</si>
  <si>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</si>
  <si>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</si>
  <si>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</si>
  <si>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</si>
  <si>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</si>
  <si>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</si>
  <si>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</si>
  <si>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</si>
  <si>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</si>
  <si>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</si>
  <si>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</si>
  <si>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</si>
  <si>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</si>
  <si>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</si>
  <si>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</si>
  <si>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</si>
  <si>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</si>
  <si>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</si>
  <si>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</si>
  <si>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</si>
  <si>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</si>
  <si>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</si>
  <si>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</si>
  <si>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</si>
  <si>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</si>
  <si>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</si>
  <si>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</si>
  <si>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</si>
  <si>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</si>
  <si>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</si>
  <si>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</si>
  <si>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</si>
  <si>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</si>
  <si>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</si>
  <si>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</si>
  <si>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</si>
  <si>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</si>
  <si>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</si>
  <si>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</si>
  <si>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</si>
  <si>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</si>
  <si>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</si>
  <si>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</si>
  <si>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</si>
  <si>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</si>
  <si>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</si>
  <si>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</si>
  <si>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</si>
  <si>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</si>
  <si>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</si>
  <si>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</si>
  <si>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</si>
  <si>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</si>
  <si>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</si>
  <si>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</si>
  <si>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</si>
  <si>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</si>
  <si>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</si>
  <si>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</si>
  <si>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</si>
  <si>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</si>
  <si>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</si>
  <si>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</si>
  <si>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</si>
  <si>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</si>
  <si>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</si>
  <si>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</si>
  <si>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</si>
  <si>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</si>
  <si>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</si>
  <si>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</si>
  <si>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</si>
  <si>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</si>
  <si>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</si>
  <si>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</si>
  <si>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</si>
  <si>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</si>
  <si>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</si>
  <si>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</si>
  <si>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</si>
  <si>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</si>
  <si>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</si>
  <si>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</si>
  <si>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</si>
  <si>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</si>
  <si>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</si>
  <si>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</si>
  <si>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</si>
  <si>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</si>
  <si>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</si>
  <si>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</si>
  <si>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</si>
  <si>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</si>
  <si>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</si>
  <si>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</si>
  <si>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</si>
  <si>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</si>
  <si>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</si>
  <si>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</si>
  <si>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</si>
  <si>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</si>
  <si>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</si>
  <si>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</si>
  <si>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</si>
  <si>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</si>
  <si>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</si>
  <si>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</si>
  <si>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</si>
  <si>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</si>
  <si>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</si>
  <si>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</si>
  <si>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</si>
  <si>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</si>
  <si>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</si>
  <si>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</si>
  <si>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</si>
  <si>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</si>
  <si>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</si>
  <si>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</si>
  <si>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</si>
  <si>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</si>
  <si>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</si>
  <si>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</si>
  <si>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</si>
  <si>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</si>
  <si>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</si>
  <si>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</si>
  <si>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</si>
  <si>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</si>
  <si>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</si>
  <si>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</si>
  <si>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</si>
  <si>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</si>
  <si>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</si>
  <si>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</si>
  <si>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</si>
  <si>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</si>
  <si>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</si>
  <si>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</si>
  <si>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</si>
  <si>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</si>
  <si>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</si>
  <si>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</si>
  <si>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</si>
  <si>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</si>
  <si>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</si>
  <si>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</si>
  <si>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</si>
  <si>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</si>
  <si>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</si>
  <si>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</si>
  <si>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</si>
  <si>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</si>
  <si>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</si>
  <si>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</si>
  <si>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</si>
  <si>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</si>
  <si>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</si>
  <si>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</si>
  <si>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</si>
  <si>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</si>
  <si>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</si>
  <si>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</si>
  <si>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</si>
  <si>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</si>
  <si>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</si>
  <si>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</si>
  <si>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</si>
  <si>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</si>
  <si>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</si>
  <si>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</si>
  <si>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</si>
  <si>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</si>
  <si>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</si>
  <si>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</si>
  <si>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</si>
  <si>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</si>
  <si>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</si>
  <si>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</si>
  <si>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</si>
  <si>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</si>
  <si>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</si>
  <si>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</si>
  <si>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</si>
  <si>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</si>
  <si>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</si>
  <si>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</si>
  <si>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</si>
  <si>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</si>
  <si>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</si>
  <si>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</si>
  <si>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</si>
  <si>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</si>
  <si>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</si>
  <si>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</si>
  <si>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</si>
  <si>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</si>
  <si>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</si>
  <si>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</si>
  <si>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</si>
  <si>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</si>
  <si>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</si>
  <si>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</si>
  <si>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</si>
  <si>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</si>
  <si>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</si>
  <si>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</si>
  <si>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</si>
  <si>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</si>
  <si>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</si>
  <si>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</si>
  <si>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</si>
  <si>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</si>
  <si>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</si>
  <si>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</si>
  <si>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</si>
  <si>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</si>
  <si>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</si>
  <si>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</si>
  <si>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</si>
  <si>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</si>
  <si>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</si>
  <si>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</si>
  <si>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</si>
  <si>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</si>
  <si>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</si>
  <si>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</si>
  <si>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</si>
  <si>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</si>
  <si>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</si>
  <si>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</si>
  <si>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</si>
  <si>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</si>
  <si>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</si>
  <si>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</si>
  <si>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</si>
  <si>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</si>
  <si>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</si>
  <si>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</si>
  <si>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</si>
  <si>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</si>
  <si>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</si>
  <si>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</si>
  <si>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</si>
  <si>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</si>
  <si>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</si>
  <si>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</si>
  <si>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</si>
  <si>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</si>
  <si>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</si>
  <si>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</si>
  <si>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</si>
  <si>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</si>
  <si>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</si>
  <si>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</si>
  <si>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</si>
  <si>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</si>
  <si>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</si>
  <si>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</si>
  <si>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</si>
  <si>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</si>
  <si>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</si>
  <si>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</si>
  <si>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</si>
  <si>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</si>
  <si>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</si>
  <si>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</si>
  <si>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</si>
  <si>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</si>
  <si>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</si>
  <si>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</si>
  <si>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</si>
  <si>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</si>
  <si>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</si>
  <si>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</si>
  <si>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</si>
  <si>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</si>
  <si>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</si>
  <si>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</si>
  <si>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</si>
  <si>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</si>
  <si>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</si>
  <si>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</si>
  <si>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</si>
  <si>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</si>
  <si>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</si>
  <si>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</si>
  <si>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</si>
  <si>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</si>
  <si>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</si>
  <si>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</si>
  <si>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</si>
  <si>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</si>
  <si>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</si>
  <si>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</si>
  <si>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</si>
  <si>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</si>
  <si>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</si>
  <si>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</si>
  <si>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</si>
  <si>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</si>
  <si>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</si>
  <si>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</si>
  <si>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</si>
  <si>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</si>
  <si>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</si>
  <si>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</si>
  <si>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</si>
  <si>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</si>
  <si>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</si>
  <si>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</si>
  <si>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</si>
  <si>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</si>
  <si>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</si>
  <si>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</si>
  <si>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</si>
  <si>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</si>
  <si>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</si>
  <si>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</si>
  <si>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</si>
  <si>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</si>
  <si>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</si>
  <si>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</si>
  <si>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</si>
  <si>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</si>
  <si>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</si>
  <si>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</si>
  <si>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</si>
  <si>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</si>
  <si>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</si>
  <si>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</si>
  <si>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</si>
  <si>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</si>
  <si>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</si>
  <si>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</si>
  <si>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</si>
  <si>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</si>
  <si>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</si>
  <si>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</si>
  <si>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</si>
  <si>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</si>
  <si>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</si>
  <si>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</si>
  <si>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</si>
  <si>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</si>
  <si>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</si>
  <si>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</si>
  <si>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</si>
  <si>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</si>
  <si>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</si>
  <si>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</si>
  <si>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</si>
  <si>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</si>
  <si>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</si>
  <si>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</si>
  <si>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</si>
  <si>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</si>
  <si>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</si>
  <si>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</si>
  <si>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</si>
  <si>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</si>
  <si>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</si>
  <si>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</si>
  <si>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</si>
  <si>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</si>
  <si>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</si>
  <si>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</si>
  <si>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</si>
  <si>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</si>
  <si>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</si>
  <si>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</si>
  <si>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</si>
  <si>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</si>
  <si>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</si>
  <si>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</si>
  <si>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</si>
  <si>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</si>
  <si>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</si>
  <si>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</si>
  <si>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</si>
  <si>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</si>
  <si>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</si>
  <si>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</si>
  <si>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</si>
  <si>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</si>
  <si>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</si>
  <si>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</si>
  <si>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</si>
  <si>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</si>
  <si>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</si>
  <si>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</si>
  <si>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</si>
  <si>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</si>
  <si>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</si>
  <si>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</si>
  <si>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</si>
  <si>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</si>
  <si>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</si>
  <si>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</si>
  <si>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</si>
  <si>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</si>
  <si>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</si>
  <si>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</si>
  <si>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</si>
  <si>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</si>
  <si>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</si>
  <si>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</si>
  <si>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</si>
  <si>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</si>
  <si>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</si>
  <si>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</si>
  <si>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</si>
  <si>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</si>
  <si>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</si>
  <si>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</si>
  <si>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</si>
  <si>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</si>
  <si>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</si>
  <si>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</si>
  <si>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</si>
  <si>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</si>
  <si>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</si>
  <si>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</si>
  <si>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</si>
  <si>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</si>
  <si>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</si>
  <si>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</si>
  <si>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</si>
  <si>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</si>
  <si>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</si>
  <si>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</si>
  <si>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</si>
  <si>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</si>
  <si>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</si>
  <si>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</si>
  <si>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</si>
  <si>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</si>
  <si>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</si>
  <si>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</si>
  <si>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</si>
  <si>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</si>
  <si>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</si>
  <si>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</si>
  <si>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</si>
  <si>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</si>
  <si>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</si>
  <si>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</si>
  <si>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</si>
  <si>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</si>
  <si>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</si>
  <si>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</si>
  <si>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</si>
  <si>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</si>
  <si>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</si>
  <si>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</si>
  <si>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</si>
  <si>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</si>
  <si>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</si>
  <si>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</si>
  <si>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</si>
  <si>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</si>
  <si>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</si>
  <si>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</si>
  <si>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</si>
  <si>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</si>
  <si>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</si>
  <si>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</si>
  <si>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</si>
  <si>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</si>
  <si>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</si>
  <si>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</si>
  <si>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</si>
  <si>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</si>
  <si>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</si>
  <si>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</si>
  <si>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</si>
  <si>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</si>
  <si>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</si>
  <si>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</si>
  <si>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</si>
  <si>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</si>
  <si>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</si>
  <si>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</si>
  <si>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</si>
  <si>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</si>
  <si>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</si>
  <si>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</si>
  <si>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</si>
  <si>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</si>
  <si>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</si>
  <si>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</si>
  <si>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</si>
  <si>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</si>
  <si>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</si>
  <si>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</si>
  <si>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</si>
  <si>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</si>
  <si>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</si>
  <si>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</si>
  <si>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</si>
  <si>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</si>
  <si>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</si>
  <si>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</si>
  <si>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</si>
  <si>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</si>
  <si>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</si>
  <si>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</si>
  <si>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</si>
  <si>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</si>
  <si>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</si>
  <si>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</si>
  <si>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</si>
  <si>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</si>
  <si>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</si>
  <si>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</si>
  <si>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</si>
  <si>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</si>
  <si>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</si>
  <si>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</si>
  <si>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</si>
  <si>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</si>
  <si>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</si>
  <si>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</si>
  <si>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</si>
  <si>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</si>
  <si>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</si>
  <si>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</si>
  <si>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</si>
  <si>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</si>
  <si>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</si>
  <si>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</si>
  <si>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</si>
  <si>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</si>
  <si>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</si>
  <si>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</si>
  <si>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</si>
  <si>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</si>
  <si>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</si>
  <si>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</si>
  <si>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</si>
  <si>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</si>
  <si>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</si>
  <si>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</si>
  <si>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</si>
  <si>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</si>
  <si>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</si>
  <si>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</si>
  <si>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</si>
  <si>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</si>
  <si>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</si>
  <si>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</si>
  <si>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</si>
  <si>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</si>
  <si>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</si>
  <si>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</si>
  <si>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</si>
  <si>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</si>
  <si>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</si>
  <si>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</si>
  <si>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</si>
  <si>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</si>
  <si>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</si>
  <si>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</si>
  <si>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</si>
  <si>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</si>
  <si>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</si>
  <si>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</si>
  <si>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</si>
  <si>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</si>
  <si>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</si>
  <si>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</si>
  <si>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</si>
  <si>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</si>
  <si>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</si>
  <si>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</si>
  <si>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</si>
  <si>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</si>
  <si>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</si>
  <si>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</si>
  <si>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</si>
  <si>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</si>
  <si>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</si>
  <si>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</si>
  <si>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</si>
  <si>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</si>
  <si>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</si>
  <si>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</si>
  <si>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</si>
  <si>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</si>
  <si>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</si>
  <si>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</si>
  <si>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</si>
  <si>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</si>
  <si>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</si>
  <si>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</si>
  <si>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</si>
  <si>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</si>
  <si>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</si>
  <si>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</si>
  <si>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</si>
  <si>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</si>
  <si>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</si>
  <si>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</si>
  <si>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</si>
  <si>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</si>
  <si>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</si>
  <si>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</si>
  <si>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</si>
  <si>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</si>
  <si>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</si>
  <si>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</si>
  <si>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</si>
  <si>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</si>
  <si>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</si>
  <si>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</si>
  <si>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</si>
  <si>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</si>
  <si>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</si>
  <si>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</si>
  <si>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</si>
  <si>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</si>
  <si>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</si>
  <si>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</si>
  <si>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</si>
  <si>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</si>
  <si>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</si>
  <si>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</si>
  <si>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</si>
  <si>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</si>
  <si>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</si>
  <si>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</si>
  <si>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</si>
  <si>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</si>
  <si>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</si>
  <si>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</si>
  <si>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</si>
  <si>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</si>
  <si>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</si>
  <si>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</si>
  <si>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</si>
  <si>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</si>
  <si>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</si>
  <si>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</si>
  <si>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</si>
  <si>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</si>
  <si>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</si>
  <si>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</si>
  <si>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</si>
  <si>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</si>
  <si>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</si>
  <si>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</si>
  <si>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</si>
  <si>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</si>
  <si>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</si>
  <si>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</si>
  <si>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</si>
  <si>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</si>
  <si>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</si>
  <si>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</si>
  <si>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</si>
  <si>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</si>
  <si>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</si>
  <si>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</si>
  <si>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</si>
  <si>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</si>
  <si>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</si>
  <si>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</si>
  <si>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</si>
  <si>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</si>
  <si>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</si>
  <si>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</si>
  <si>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</si>
  <si>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</si>
  <si>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</si>
  <si>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</si>
  <si>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</si>
  <si>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</si>
  <si>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</si>
  <si>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</si>
  <si>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</si>
  <si>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</si>
  <si>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</si>
  <si>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</si>
  <si>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</si>
  <si>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</si>
  <si>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</si>
  <si>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</si>
  <si>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</si>
  <si>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</si>
  <si>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</si>
  <si>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</si>
  <si>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</si>
  <si>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</si>
  <si>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</si>
  <si>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</si>
  <si>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</si>
  <si>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</si>
  <si>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</si>
  <si>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</si>
  <si>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</si>
  <si>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</si>
  <si>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</si>
  <si>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</si>
  <si>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</si>
  <si>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</si>
  <si>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</si>
  <si>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</si>
  <si>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</si>
  <si>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</si>
  <si>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</si>
  <si>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</si>
  <si>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</si>
  <si>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</si>
  <si>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</si>
  <si>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</si>
  <si>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</si>
  <si>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</si>
  <si>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</si>
  <si>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</si>
  <si>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</si>
  <si>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</si>
  <si>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</si>
  <si>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</si>
  <si>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</si>
  <si>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</si>
  <si>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</si>
  <si>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</si>
  <si>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</si>
  <si>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</si>
  <si>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</si>
  <si>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</si>
  <si>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</si>
  <si>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</si>
  <si>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</si>
  <si>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</si>
  <si>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</si>
  <si>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</si>
  <si>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</si>
  <si>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</si>
  <si>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</si>
  <si>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</si>
  <si>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</si>
  <si>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</si>
  <si>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</si>
  <si>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</si>
  <si>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</si>
  <si>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</si>
  <si>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</si>
  <si>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</si>
  <si>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</si>
  <si>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</si>
  <si>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</si>
  <si>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</si>
  <si>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</si>
  <si>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</si>
  <si>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</si>
  <si>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</si>
  <si>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</si>
  <si>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</si>
  <si>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</si>
  <si>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</si>
  <si>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</si>
  <si>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</si>
  <si>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</si>
  <si>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</si>
  <si>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</si>
  <si>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</si>
  <si>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</si>
  <si>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</si>
  <si>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</si>
  <si>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</si>
  <si>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</si>
  <si>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</si>
  <si>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</si>
  <si>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</si>
  <si>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</si>
  <si>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</si>
  <si>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</si>
  <si>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</si>
  <si>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</si>
  <si>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</si>
  <si>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</si>
  <si>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</si>
  <si>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</si>
  <si>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</si>
  <si>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</si>
  <si>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</si>
  <si>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</si>
  <si>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</si>
  <si>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</si>
  <si>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</si>
  <si>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</si>
  <si>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</si>
  <si>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</si>
  <si>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</si>
  <si>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</si>
  <si>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</si>
  <si>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</si>
  <si>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</si>
  <si>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</si>
  <si>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</si>
  <si>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</si>
  <si>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</si>
  <si>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</si>
  <si>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</si>
  <si>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</si>
  <si>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</si>
  <si>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</si>
  <si>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</si>
  <si>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</si>
  <si>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</si>
  <si>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</si>
  <si>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</si>
  <si>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</si>
  <si>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</si>
  <si>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</si>
  <si>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</si>
  <si>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</si>
  <si>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</si>
  <si>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</si>
  <si>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</si>
  <si>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</si>
  <si>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</si>
  <si>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</si>
  <si>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</si>
  <si>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</si>
  <si>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</si>
  <si>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</si>
  <si>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</si>
  <si>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</si>
  <si>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</si>
  <si>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</si>
  <si>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</si>
  <si>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</si>
  <si>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</si>
  <si>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</si>
  <si>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</si>
  <si>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</si>
  <si>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</si>
  <si>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</si>
  <si>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</si>
  <si>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</si>
  <si>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</si>
  <si>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</si>
  <si>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</si>
  <si>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</si>
  <si>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</si>
  <si>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</si>
  <si>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</si>
  <si>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</si>
  <si>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</si>
  <si>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</si>
  <si>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</si>
  <si>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</si>
  <si>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</si>
  <si>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</si>
  <si>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</si>
  <si>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</si>
  <si>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</si>
  <si>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</si>
  <si>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</si>
  <si>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</si>
  <si>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</si>
  <si>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</si>
  <si>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</si>
  <si>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</si>
  <si>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</si>
  <si>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</si>
  <si>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</si>
  <si>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</si>
  <si>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</si>
  <si>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</si>
  <si>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</si>
  <si>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</si>
  <si>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</si>
  <si>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</si>
  <si>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</si>
  <si>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</si>
  <si>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</si>
  <si>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</si>
  <si>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</si>
  <si>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</si>
  <si>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</si>
  <si>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</si>
  <si>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</si>
  <si>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</si>
  <si>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</si>
  <si>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</si>
  <si>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</si>
  <si>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</si>
  <si>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</si>
  <si>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</si>
  <si>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</si>
  <si>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</si>
  <si>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</si>
  <si>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</si>
  <si>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</si>
  <si>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</si>
  <si>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</si>
  <si>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</si>
  <si>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</si>
  <si>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</si>
  <si>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</si>
  <si>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</si>
  <si>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</si>
  <si>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</si>
  <si>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</si>
  <si>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</si>
  <si>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</si>
  <si>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</si>
  <si>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</si>
  <si>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</si>
  <si>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</si>
  <si>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</si>
  <si>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</si>
  <si>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</si>
  <si>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</si>
  <si>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</si>
  <si>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</si>
  <si>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</si>
  <si>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</si>
  <si>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</si>
  <si>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</si>
  <si>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</si>
  <si>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</si>
  <si>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</si>
  <si>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</si>
  <si>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</si>
  <si>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</si>
  <si>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</si>
  <si>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</si>
  <si>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</si>
  <si>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</si>
  <si>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</si>
  <si>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</si>
  <si>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</si>
  <si>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</si>
  <si>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</si>
  <si>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</si>
  <si>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</si>
  <si>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</si>
  <si>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</si>
  <si>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</si>
  <si>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</si>
  <si>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</si>
  <si>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</si>
  <si>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</si>
  <si>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</si>
  <si>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</si>
  <si>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</si>
  <si>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</si>
  <si>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</si>
  <si>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</si>
  <si>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</si>
  <si>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</si>
  <si>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</si>
  <si>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</si>
  <si>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</si>
  <si>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</si>
  <si>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</si>
  <si>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</si>
  <si>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</si>
  <si>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</si>
  <si>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</si>
  <si>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</si>
  <si>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</si>
  <si>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</si>
  <si>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</si>
  <si>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</si>
  <si>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</si>
  <si>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</si>
  <si>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</si>
  <si>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</si>
  <si>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</si>
  <si>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</si>
  <si>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</si>
  <si>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</si>
  <si>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</si>
  <si>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</si>
  <si>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</si>
  <si>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</si>
  <si>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</si>
  <si>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</si>
  <si>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</si>
  <si>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</si>
  <si>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</si>
  <si>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</si>
  <si>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</si>
  <si>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</si>
  <si>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</si>
  <si>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</si>
  <si>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</si>
  <si>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</si>
  <si>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</si>
  <si>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</si>
  <si>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</si>
  <si>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</si>
  <si>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</si>
  <si>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</si>
  <si>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</si>
  <si>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</si>
  <si>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</si>
  <si>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</si>
  <si>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</si>
  <si>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</si>
  <si>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</si>
  <si>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</si>
  <si>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</si>
  <si>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</si>
  <si>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</si>
  <si>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</si>
  <si>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</si>
  <si>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</si>
  <si>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</si>
  <si>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</si>
  <si>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</si>
  <si>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</si>
  <si>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</si>
  <si>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</si>
  <si>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</si>
  <si>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</si>
  <si>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</si>
  <si>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</si>
  <si>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</si>
  <si>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</si>
  <si>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</si>
  <si>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</si>
  <si>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</si>
  <si>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</si>
  <si>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</si>
  <si>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</si>
  <si>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</si>
  <si>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</si>
  <si>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</si>
  <si>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</si>
  <si>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</si>
  <si>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</si>
  <si>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</si>
  <si>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</si>
  <si>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</si>
  <si>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</si>
  <si>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</si>
  <si>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</si>
  <si>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</si>
  <si>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</si>
  <si>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</si>
  <si>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</si>
  <si>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</si>
  <si>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</si>
  <si>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</si>
  <si>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</si>
  <si>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</si>
  <si>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</si>
  <si>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</si>
  <si>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</si>
  <si>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</si>
  <si>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</si>
  <si>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</si>
  <si>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</si>
  <si>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</si>
  <si>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</si>
  <si>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</si>
  <si>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</si>
  <si>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</si>
  <si>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</si>
  <si>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</si>
  <si>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</si>
  <si>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</si>
  <si>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</si>
  <si>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</si>
  <si>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</si>
  <si>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</si>
  <si>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</si>
  <si>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</si>
  <si>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</si>
  <si>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</si>
  <si>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</si>
  <si>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</si>
  <si>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</si>
  <si>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</si>
  <si>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</si>
  <si>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</si>
  <si>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</si>
  <si>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</si>
  <si>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</si>
  <si>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</si>
  <si>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</si>
  <si>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</si>
  <si>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</si>
  <si>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</si>
  <si>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</si>
  <si>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</si>
  <si>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</si>
  <si>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</si>
  <si>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</si>
  <si>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</si>
  <si>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</si>
  <si>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</si>
  <si>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</si>
  <si>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</si>
  <si>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</si>
  <si>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</si>
  <si>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</si>
  <si>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</si>
  <si>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</si>
  <si>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</si>
  <si>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</si>
  <si>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</si>
  <si>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</si>
  <si>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</si>
  <si>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</si>
  <si>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</si>
  <si>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</si>
  <si>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</si>
  <si>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</si>
  <si>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</si>
  <si>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</si>
  <si>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</si>
  <si>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</si>
  <si>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</si>
  <si>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</si>
  <si>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</si>
  <si>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</si>
  <si>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</si>
  <si>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</si>
  <si>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</si>
  <si>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</si>
  <si>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</si>
  <si>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</si>
  <si>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</si>
  <si>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</si>
  <si>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</si>
  <si>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</si>
  <si>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</si>
  <si>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</si>
  <si>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</si>
  <si>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</si>
  <si>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</si>
  <si>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</si>
  <si>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</si>
  <si>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</si>
  <si>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</si>
  <si>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</si>
  <si>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</si>
  <si>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</si>
  <si>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</si>
  <si>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</si>
  <si>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</si>
  <si>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</si>
  <si>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</si>
  <si>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</si>
  <si>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</si>
  <si>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</si>
  <si>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</si>
  <si>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</si>
  <si>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</si>
  <si>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</si>
  <si>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</si>
  <si>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</si>
  <si>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</si>
  <si>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</si>
  <si>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</si>
  <si>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</si>
  <si>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</si>
  <si>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</si>
  <si>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</si>
  <si>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</si>
  <si>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</si>
  <si>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</si>
  <si>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</si>
  <si>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</si>
  <si>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</si>
  <si>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</si>
  <si>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</si>
  <si>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</si>
  <si>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</si>
  <si>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</si>
  <si>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</si>
  <si>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</si>
  <si>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</si>
  <si>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</si>
  <si>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</si>
  <si>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</si>
  <si>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</si>
  <si>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</si>
  <si>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</si>
  <si>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</si>
  <si>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</si>
  <si>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</si>
  <si>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</si>
  <si>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</si>
  <si>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</si>
  <si>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</si>
  <si>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</si>
  <si>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</si>
  <si>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</si>
  <si>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</si>
  <si>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</si>
  <si>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</si>
  <si>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</si>
  <si>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</si>
  <si>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</si>
  <si>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</si>
  <si>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</si>
  <si>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</si>
  <si>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</si>
  <si>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</si>
  <si>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</si>
  <si>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</si>
  <si>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</si>
  <si>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</si>
  <si>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</si>
  <si>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</si>
  <si>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</si>
  <si>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</si>
  <si>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</si>
  <si>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</si>
  <si>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</si>
  <si>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</si>
  <si>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</si>
  <si>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</si>
  <si>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</si>
  <si>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</si>
  <si>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</si>
  <si>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</si>
  <si>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</si>
  <si>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</si>
  <si>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</si>
  <si>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</si>
  <si>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</si>
  <si>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</si>
  <si>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</si>
  <si>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</si>
  <si>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</si>
  <si>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</si>
  <si>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</si>
  <si>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</si>
  <si>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</si>
  <si>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</si>
  <si>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</si>
  <si>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</si>
  <si>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</si>
  <si>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</si>
  <si>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</si>
  <si>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</si>
  <si>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</si>
  <si>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</si>
  <si>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</si>
  <si>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</si>
  <si>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</si>
  <si>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</si>
  <si>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</si>
  <si>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</si>
  <si>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</si>
  <si>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</si>
  <si>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</si>
  <si>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</si>
  <si>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</si>
  <si>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</si>
  <si>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</si>
  <si>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</si>
  <si>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</si>
  <si>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</si>
  <si>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</si>
  <si>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</si>
  <si>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</si>
  <si>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</si>
  <si>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</si>
  <si>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</si>
  <si>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</si>
  <si>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</si>
  <si>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</si>
  <si>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</si>
  <si>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</si>
  <si>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</si>
  <si>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</si>
  <si>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</si>
  <si>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</si>
  <si>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</si>
  <si>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</si>
  <si>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</si>
  <si>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</si>
  <si>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</si>
  <si>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</si>
  <si>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</si>
  <si>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</si>
  <si>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</si>
  <si>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</si>
  <si>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</si>
  <si>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</si>
  <si>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</si>
  <si>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</si>
  <si>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</si>
  <si>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</si>
  <si>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</si>
  <si>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</si>
  <si>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</si>
  <si>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</si>
  <si>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</si>
  <si>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</si>
  <si>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</si>
  <si>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</si>
  <si>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</si>
  <si>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</si>
  <si>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</si>
  <si>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</si>
  <si>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</si>
  <si>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</si>
  <si>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</si>
  <si>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</si>
  <si>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</si>
  <si>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</si>
  <si>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</si>
  <si>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</si>
  <si>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</si>
  <si>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</si>
  <si>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</si>
  <si>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</si>
  <si>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</si>
  <si>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</si>
  <si>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</si>
  <si>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</si>
  <si>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</si>
  <si>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</si>
  <si>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</si>
  <si>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</si>
  <si>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</si>
  <si>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</si>
  <si>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</si>
  <si>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</si>
  <si>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</si>
  <si>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</si>
  <si>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</si>
  <si>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</si>
  <si>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</si>
  <si>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</si>
  <si>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</si>
  <si>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</si>
  <si>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</si>
  <si>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</si>
  <si>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</si>
  <si>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</si>
  <si>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</si>
  <si>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</si>
  <si>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</si>
  <si>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</si>
  <si>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</si>
  <si>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</si>
  <si>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</si>
  <si>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</si>
  <si>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</si>
  <si>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</si>
  <si>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</si>
  <si>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</si>
  <si>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</si>
  <si>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</si>
  <si>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</si>
  <si>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</si>
  <si>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</si>
  <si>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</si>
  <si>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</si>
  <si>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</si>
  <si>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</si>
  <si>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</si>
  <si>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</si>
  <si>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</si>
  <si>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</si>
  <si>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</si>
  <si>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</si>
  <si>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</si>
  <si>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</si>
  <si>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</si>
  <si>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</si>
  <si>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</si>
  <si>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</si>
  <si>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</si>
  <si>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</si>
  <si>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</si>
  <si>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</si>
  <si>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</si>
  <si>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</si>
  <si>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</si>
  <si>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</si>
  <si>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</si>
  <si>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</si>
  <si>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</si>
  <si>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</si>
  <si>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</si>
  <si>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</si>
  <si>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</si>
  <si>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</si>
  <si>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</si>
  <si>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</si>
  <si>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</si>
  <si>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</si>
  <si>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</si>
  <si>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</si>
  <si>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</si>
  <si>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</si>
  <si>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</si>
  <si>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</si>
  <si>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</si>
  <si>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</si>
  <si>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</si>
  <si>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</si>
  <si>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</si>
  <si>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</si>
  <si>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</si>
  <si>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</si>
  <si>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</si>
  <si>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</si>
  <si>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</si>
  <si>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</si>
  <si>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</si>
  <si>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</si>
  <si>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</si>
  <si>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</si>
  <si>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</si>
  <si>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</si>
  <si>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</si>
  <si>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</si>
  <si>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</si>
  <si>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</si>
  <si>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</si>
  <si>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</si>
  <si>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</si>
  <si>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</si>
  <si>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</si>
  <si>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</si>
  <si>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</si>
  <si>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</si>
  <si>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</si>
  <si>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</si>
  <si>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</si>
  <si>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</si>
  <si>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</si>
  <si>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</si>
  <si>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</si>
  <si>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</si>
  <si>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</si>
  <si>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</si>
  <si>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</si>
  <si>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</si>
  <si>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</si>
  <si>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</si>
  <si>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</si>
  <si>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</si>
  <si>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</si>
  <si>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</si>
  <si>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</si>
  <si>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</si>
  <si>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</si>
  <si>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</si>
  <si>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</si>
  <si>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</si>
  <si>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</si>
  <si>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</si>
  <si>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</si>
  <si>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</si>
  <si>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</si>
  <si>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</si>
  <si>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</si>
  <si>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</si>
  <si>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</si>
  <si>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</si>
  <si>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</si>
  <si>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</si>
  <si>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</si>
  <si>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</si>
  <si>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</si>
  <si>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</si>
  <si>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</si>
  <si>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</si>
  <si>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</si>
  <si>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</si>
  <si>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</si>
  <si>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</si>
  <si>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</si>
  <si>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</si>
  <si>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</si>
  <si>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</si>
  <si>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</si>
  <si>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</si>
  <si>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</si>
  <si>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</si>
  <si>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</si>
  <si>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</si>
  <si>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</si>
  <si>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</si>
  <si>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</si>
  <si>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</si>
  <si>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</si>
  <si>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</si>
  <si>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</si>
  <si>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</si>
  <si>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</si>
  <si>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</si>
  <si>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</si>
  <si>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</si>
  <si>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</si>
  <si>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</si>
  <si>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</si>
  <si>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</si>
  <si>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</si>
  <si>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</si>
  <si>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</si>
  <si>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</si>
  <si>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</si>
  <si>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</si>
  <si>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</si>
  <si>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</si>
  <si>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</si>
  <si>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</si>
  <si>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</si>
  <si>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</si>
  <si>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</si>
  <si>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</si>
  <si>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</si>
  <si>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</si>
  <si>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</si>
  <si>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</si>
  <si>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</si>
  <si>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</si>
  <si>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</si>
  <si>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</si>
  <si>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</si>
  <si>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</si>
  <si>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</si>
  <si>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</si>
  <si>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</si>
  <si>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</si>
  <si>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</si>
  <si>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</si>
  <si>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</si>
  <si>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</si>
  <si>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</si>
  <si>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</si>
  <si>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</si>
  <si>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</si>
  <si>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</si>
  <si>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</si>
  <si>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</si>
  <si>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</si>
  <si>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</si>
  <si>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</si>
  <si>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</si>
  <si>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</si>
  <si>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</si>
  <si>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</si>
  <si>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</si>
  <si>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</si>
  <si>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</si>
  <si>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</si>
  <si>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</si>
  <si>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</si>
  <si>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</si>
  <si>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</si>
  <si>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</si>
  <si>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</si>
  <si>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</si>
  <si>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</si>
  <si>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</si>
  <si>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</si>
  <si>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</si>
  <si>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</si>
  <si>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</si>
  <si>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</si>
  <si>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</si>
  <si>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</si>
  <si>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</si>
  <si>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</si>
  <si>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</si>
  <si>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</si>
  <si>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</si>
  <si>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</si>
  <si>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</si>
  <si>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</si>
  <si>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</si>
  <si>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</si>
  <si>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</si>
  <si>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</si>
  <si>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</si>
  <si>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</si>
  <si>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</si>
  <si>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</si>
  <si>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</si>
  <si>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</si>
  <si>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</si>
  <si>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</si>
  <si>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</si>
  <si>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</si>
  <si>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</si>
  <si>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</si>
  <si>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</si>
  <si>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</si>
  <si>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</si>
  <si>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</si>
  <si>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</si>
  <si>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</si>
  <si>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</si>
  <si>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</si>
  <si>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</si>
  <si>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</si>
  <si>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</si>
  <si>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</si>
  <si>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</si>
  <si>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</si>
  <si>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</si>
  <si>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</si>
  <si>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</si>
  <si>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</si>
  <si>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</si>
  <si>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</si>
  <si>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</si>
  <si>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</si>
  <si>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</si>
  <si>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</si>
  <si>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</si>
  <si>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</si>
  <si>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</si>
  <si>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</si>
  <si>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</si>
  <si>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</si>
  <si>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</si>
  <si>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</si>
  <si>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</si>
  <si>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</si>
  <si>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</si>
  <si>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</si>
  <si>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</si>
  <si>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</si>
  <si>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</si>
  <si>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</si>
  <si>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</si>
  <si>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</si>
  <si>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</si>
  <si>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</si>
  <si>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</si>
  <si>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</si>
  <si>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</si>
  <si>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</si>
  <si>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</si>
  <si>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</si>
  <si>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</si>
  <si>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</si>
  <si>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</si>
  <si>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</si>
  <si>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</si>
  <si>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</si>
  <si>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</si>
  <si>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</si>
  <si>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</si>
  <si>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</si>
  <si>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</si>
  <si>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</si>
  <si>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</si>
  <si>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</si>
  <si>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</si>
  <si>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</si>
  <si>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</si>
  <si>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</si>
  <si>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</si>
  <si>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</si>
  <si>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</si>
  <si>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</si>
  <si>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</si>
  <si>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</si>
  <si>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</si>
  <si>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</si>
  <si>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</si>
  <si>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</si>
  <si>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</si>
  <si>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</si>
  <si>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</si>
  <si>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</si>
  <si>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</si>
  <si>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</si>
  <si>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</si>
  <si>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</si>
  <si>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</si>
  <si>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</si>
  <si>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</si>
  <si>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</si>
  <si>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</si>
  <si>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</si>
  <si>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</si>
  <si>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</si>
  <si>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</si>
  <si>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</si>
  <si>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</si>
  <si>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</si>
  <si>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</si>
  <si>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</si>
  <si>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</si>
  <si>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</si>
  <si>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</si>
  <si>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</si>
  <si>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</si>
  <si>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</si>
  <si>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</si>
  <si>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</si>
  <si>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</si>
  <si>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</si>
  <si>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</si>
  <si>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</si>
  <si>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</si>
  <si>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</si>
  <si>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</si>
  <si>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</si>
  <si>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</si>
  <si>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</si>
  <si>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</si>
  <si>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</si>
  <si>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</si>
  <si>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</si>
  <si>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</si>
  <si>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</si>
  <si>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</si>
  <si>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</si>
  <si>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</si>
  <si>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</si>
  <si>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</si>
  <si>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</si>
  <si>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</si>
  <si>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</si>
  <si>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</si>
  <si>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</si>
  <si>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</si>
  <si>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</si>
  <si>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</si>
  <si>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</si>
  <si>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</si>
  <si>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</si>
  <si>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</si>
  <si>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</si>
  <si>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</si>
  <si>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</si>
  <si>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</si>
  <si>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</si>
  <si>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</si>
  <si>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</si>
  <si>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</si>
  <si>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</si>
  <si>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</si>
  <si>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</si>
  <si>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</si>
  <si>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</si>
  <si>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</si>
  <si>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</si>
  <si>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</si>
  <si>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</si>
  <si>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</si>
  <si>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</si>
  <si>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</si>
  <si>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</si>
  <si>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</si>
  <si>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</si>
  <si>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</si>
  <si>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</si>
  <si>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</si>
  <si>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</si>
  <si>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</si>
  <si>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</si>
  <si>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</si>
  <si>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</si>
  <si>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</si>
  <si>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</si>
  <si>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</si>
  <si>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</si>
  <si>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</si>
  <si>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</si>
  <si>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</si>
  <si>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</si>
  <si>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</si>
  <si>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</si>
  <si>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</si>
  <si>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</si>
  <si>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</si>
  <si>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</si>
  <si>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</si>
  <si>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</si>
  <si>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</si>
  <si>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</si>
  <si>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</si>
  <si>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</si>
  <si>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</si>
  <si>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</si>
  <si>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</si>
  <si>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</si>
  <si>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</si>
  <si>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</si>
  <si>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</si>
  <si>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</si>
  <si>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</si>
  <si>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</si>
  <si>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</si>
  <si>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</si>
  <si>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</si>
  <si>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</si>
  <si>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</si>
  <si>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</si>
  <si>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</si>
  <si>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</si>
  <si>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</si>
  <si>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</si>
  <si>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</si>
  <si>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</si>
  <si>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</si>
  <si>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</si>
  <si>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</si>
  <si>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</si>
  <si>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</si>
  <si>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</si>
  <si>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</si>
  <si>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</si>
  <si>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</si>
  <si>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</si>
  <si>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</si>
  <si>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</si>
  <si>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</si>
  <si>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</si>
  <si>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</si>
  <si>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</si>
  <si>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</si>
  <si>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</si>
  <si>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</si>
  <si>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</si>
  <si>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</si>
  <si>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</si>
  <si>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</si>
  <si>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</si>
  <si>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</si>
  <si>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</si>
  <si>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</si>
  <si>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</si>
  <si>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</si>
  <si>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</si>
  <si>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</si>
  <si>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</si>
  <si>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</si>
  <si>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</si>
  <si>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</si>
  <si>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</si>
  <si>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</si>
  <si>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</si>
  <si>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</si>
  <si>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</si>
  <si>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</si>
  <si>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</si>
  <si>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</si>
  <si>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</si>
  <si>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</si>
  <si>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</si>
  <si>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</si>
  <si>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</si>
  <si>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</si>
  <si>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</si>
  <si>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</si>
  <si>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</si>
  <si>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</si>
  <si>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</si>
  <si>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</si>
  <si>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</si>
  <si>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</si>
  <si>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</si>
  <si>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</si>
  <si>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</si>
  <si>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</si>
  <si>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</si>
  <si>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</si>
  <si>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</si>
  <si>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</si>
  <si>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</si>
  <si>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</si>
  <si>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</si>
  <si>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</si>
  <si>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</si>
  <si>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</si>
  <si>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</si>
  <si>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</si>
  <si>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</si>
  <si>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</si>
  <si>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</si>
  <si>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</si>
  <si>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</si>
  <si>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</si>
  <si>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</si>
  <si>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</si>
  <si>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</si>
  <si>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</si>
  <si>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</si>
  <si>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</si>
  <si>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</si>
  <si>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</si>
  <si>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</si>
  <si>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</si>
  <si>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</si>
  <si>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</si>
  <si>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</si>
  <si>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</si>
  <si>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</si>
  <si>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</si>
  <si>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</si>
  <si>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</si>
  <si>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</si>
  <si>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</si>
  <si>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</si>
  <si>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</si>
  <si>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</si>
  <si>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</si>
  <si>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</si>
  <si>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</si>
  <si>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</si>
  <si>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</si>
  <si>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</si>
  <si>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</si>
  <si>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</si>
  <si>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</si>
  <si>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</si>
  <si>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</si>
  <si>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</si>
  <si>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</si>
  <si>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</si>
  <si>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</si>
  <si>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</si>
  <si>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</si>
  <si>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</si>
  <si>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</si>
  <si>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</si>
  <si>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</si>
  <si>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</si>
  <si>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</si>
  <si>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</si>
  <si>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</si>
  <si>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</si>
  <si>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</si>
  <si>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</si>
  <si>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</si>
  <si>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</si>
  <si>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</si>
  <si>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</si>
  <si>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</si>
  <si>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</si>
  <si>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</si>
  <si>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</si>
  <si>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</si>
  <si>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</si>
  <si>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</si>
  <si>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</si>
  <si>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</si>
  <si>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</si>
  <si>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</si>
  <si>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</si>
  <si>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</si>
  <si>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</si>
  <si>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</si>
  <si>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</si>
  <si>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</si>
  <si>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</si>
  <si>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</si>
  <si>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</si>
  <si>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</si>
  <si>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</si>
  <si>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</si>
  <si>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</si>
  <si>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</si>
  <si>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</si>
  <si>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</si>
  <si>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</si>
  <si>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</si>
  <si>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</si>
  <si>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</si>
  <si>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</si>
  <si>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</si>
  <si>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</si>
  <si>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</si>
  <si>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</si>
  <si>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</si>
  <si>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</si>
  <si>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</si>
  <si>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</si>
  <si>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</si>
  <si>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</si>
  <si>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</si>
  <si>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</si>
  <si>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</si>
  <si>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</si>
  <si>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</si>
  <si>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</si>
  <si>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</si>
  <si>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</si>
  <si>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</si>
  <si>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</si>
  <si>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</si>
  <si>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</si>
  <si>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</si>
  <si>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</si>
  <si>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</si>
  <si>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</si>
  <si>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</si>
  <si>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</si>
  <si>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</si>
  <si>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</si>
  <si>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</si>
  <si>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</si>
  <si>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</si>
  <si>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</si>
  <si>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</si>
  <si>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</si>
  <si>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</si>
  <si>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</si>
  <si>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</si>
  <si>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</si>
  <si>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</si>
  <si>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</si>
  <si>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</si>
  <si>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</si>
  <si>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</si>
  <si>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</si>
  <si>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</si>
  <si>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</si>
  <si>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</si>
  <si>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</si>
  <si>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</si>
  <si>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</si>
  <si>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</si>
  <si>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</si>
  <si>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</si>
  <si>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</si>
  <si>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</si>
  <si>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</si>
  <si>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</si>
  <si>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</si>
  <si>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</si>
  <si>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</si>
  <si>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</si>
  <si>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</si>
  <si>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</si>
  <si>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</si>
  <si>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</si>
  <si>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</si>
  <si>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</si>
  <si>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</si>
  <si>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</si>
  <si>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</si>
  <si>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</si>
  <si>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</si>
  <si>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</si>
  <si>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</si>
  <si>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</si>
  <si>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</si>
  <si>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</si>
  <si>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</si>
  <si>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</si>
  <si>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</si>
  <si>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</si>
  <si>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</si>
  <si>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</si>
  <si>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</si>
  <si>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</si>
  <si>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</si>
  <si>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</si>
  <si>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</si>
  <si>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</si>
  <si>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</si>
  <si>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</si>
  <si>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</si>
  <si>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</si>
  <si>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</si>
  <si>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</si>
  <si>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</si>
  <si>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</si>
  <si>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</si>
  <si>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</si>
  <si>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</si>
  <si>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</si>
  <si>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</si>
  <si>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</si>
  <si>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</si>
  <si>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</si>
  <si>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</si>
  <si>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</si>
  <si>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</si>
  <si>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</si>
  <si>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</si>
  <si>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</si>
  <si>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</si>
  <si>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</si>
  <si>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</si>
  <si>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</si>
  <si>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</si>
  <si>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</si>
  <si>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</si>
  <si>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</si>
  <si>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</si>
  <si>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</si>
  <si>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</si>
  <si>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</si>
  <si>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</si>
  <si>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</si>
  <si>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</si>
  <si>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</si>
  <si>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</si>
  <si>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</si>
  <si>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</si>
  <si>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</si>
  <si>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</si>
  <si>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</si>
  <si>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</si>
  <si>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</si>
  <si>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</si>
  <si>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</si>
  <si>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</si>
  <si>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</si>
  <si>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</si>
  <si>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</si>
  <si>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</si>
  <si>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</si>
  <si>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</si>
  <si>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</si>
  <si>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</si>
  <si>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</si>
  <si>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</si>
  <si>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</si>
  <si>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</si>
  <si>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</si>
  <si>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</si>
  <si>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</si>
  <si>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</si>
  <si>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</si>
  <si>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</si>
  <si>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</si>
  <si>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</si>
  <si>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</si>
  <si>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</si>
  <si>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</si>
  <si>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</si>
  <si>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</si>
  <si>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</si>
  <si>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</si>
  <si>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</si>
  <si>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</si>
  <si>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</si>
  <si>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</si>
  <si>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</si>
  <si>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</si>
  <si>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</si>
  <si>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</si>
  <si>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</si>
  <si>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</si>
  <si>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</si>
  <si>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</si>
  <si>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</si>
  <si>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</si>
  <si>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</si>
  <si>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</si>
  <si>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</si>
  <si>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</si>
  <si>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</si>
  <si>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</si>
  <si>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</si>
  <si>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</si>
  <si>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</si>
  <si>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</si>
  <si>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</si>
  <si>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</si>
  <si>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</si>
  <si>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</si>
  <si>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</si>
  <si>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</si>
  <si>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</si>
  <si>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</si>
  <si>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</si>
  <si>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</si>
  <si>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</si>
  <si>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</si>
  <si>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</si>
  <si>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</si>
  <si>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</si>
  <si>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</si>
  <si>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</si>
  <si>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</si>
  <si>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</si>
  <si>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</si>
  <si>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</si>
  <si>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</si>
  <si>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</si>
  <si>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</si>
  <si>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</si>
  <si>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</si>
  <si>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</si>
  <si>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</si>
  <si>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</si>
  <si>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</si>
  <si>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</si>
  <si>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</si>
  <si>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</si>
  <si>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</si>
  <si>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</si>
  <si>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</si>
  <si>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</si>
  <si>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</si>
  <si>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</si>
  <si>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</si>
  <si>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</si>
  <si>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</si>
  <si>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</si>
  <si>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</si>
  <si>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</si>
  <si>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</si>
  <si>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</si>
  <si>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</si>
  <si>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</si>
  <si>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</si>
  <si>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</si>
  <si>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</si>
  <si>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</si>
  <si>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</si>
  <si>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</si>
  <si>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</si>
  <si>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</si>
  <si>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</si>
  <si>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</si>
  <si>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</si>
  <si>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</si>
  <si>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</si>
  <si>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</si>
  <si>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</si>
  <si>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</si>
  <si>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</si>
  <si>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</si>
  <si>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</si>
  <si>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</si>
  <si>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</si>
  <si>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</si>
  <si>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</si>
  <si>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</si>
  <si>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</si>
  <si>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</si>
  <si>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</si>
  <si>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</si>
  <si>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</si>
  <si>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</si>
  <si>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</si>
  <si>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</si>
  <si>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</si>
  <si>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</si>
  <si>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</si>
  <si>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</si>
  <si>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</si>
  <si>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</si>
  <si>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</si>
  <si>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</si>
  <si>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</si>
  <si>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</si>
  <si>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</si>
  <si>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</si>
  <si>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</si>
  <si>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</si>
  <si>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</si>
  <si>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</si>
  <si>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</si>
  <si>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</si>
  <si>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</si>
  <si>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</si>
  <si>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</si>
  <si>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</si>
  <si>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</si>
  <si>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</si>
  <si>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</si>
  <si>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</si>
  <si>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</si>
  <si>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</si>
  <si>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</si>
  <si>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</si>
  <si>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</si>
  <si>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</si>
  <si>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</si>
  <si>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</si>
  <si>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</si>
  <si>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</si>
  <si>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</si>
  <si>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</si>
  <si>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</si>
  <si>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</si>
  <si>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</si>
  <si>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</si>
  <si>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</si>
  <si>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</si>
  <si>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</si>
  <si>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</si>
  <si>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</si>
  <si>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</si>
  <si>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</si>
  <si>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</si>
  <si>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</si>
  <si>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</si>
  <si>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</si>
  <si>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</si>
  <si>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</si>
  <si>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</si>
  <si>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</si>
  <si>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</si>
  <si>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</si>
  <si>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</si>
  <si>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</si>
  <si>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</si>
  <si>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</si>
  <si>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</si>
  <si>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</si>
  <si>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</si>
  <si>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</si>
  <si>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</si>
  <si>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</si>
  <si>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</si>
  <si>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</si>
  <si>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</si>
  <si>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</si>
  <si>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</si>
  <si>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</si>
  <si>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</si>
  <si>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</si>
  <si>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</si>
  <si>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</si>
  <si>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</si>
  <si>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</si>
  <si>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</si>
  <si>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</si>
  <si>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</si>
  <si>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</si>
  <si>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</si>
  <si>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</si>
  <si>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</si>
  <si>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</si>
  <si>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</si>
  <si>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</si>
  <si>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</si>
  <si>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</si>
  <si>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</si>
  <si>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</si>
  <si>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</si>
  <si>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</si>
  <si>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</si>
  <si>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</si>
  <si>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</si>
  <si>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</si>
  <si>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</si>
  <si>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</si>
  <si>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</si>
  <si>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</si>
  <si>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</si>
  <si>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</si>
  <si>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</si>
  <si>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</si>
  <si>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</si>
  <si>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</si>
  <si>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</si>
  <si>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</si>
  <si>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</si>
  <si>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</si>
  <si>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</si>
  <si>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</si>
  <si>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</si>
  <si>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</si>
  <si>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</si>
  <si>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</si>
  <si>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</si>
  <si>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</si>
  <si>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</si>
  <si>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</si>
  <si>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</si>
  <si>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</si>
  <si>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</si>
  <si>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</si>
  <si>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</si>
  <si>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</si>
  <si>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</si>
  <si>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</si>
  <si>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</si>
  <si>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</si>
  <si>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</si>
  <si>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</si>
  <si>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</si>
  <si>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</si>
  <si>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</si>
  <si>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</si>
  <si>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</si>
  <si>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</si>
  <si>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</si>
  <si>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</si>
  <si>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</si>
  <si>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</si>
  <si>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</si>
  <si>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</si>
  <si>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</si>
  <si>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</si>
  <si>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</si>
  <si>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</si>
  <si>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</si>
  <si>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</si>
  <si>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</si>
  <si>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</si>
  <si>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</si>
  <si>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</si>
  <si>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</si>
  <si>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</si>
  <si>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</si>
  <si>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</si>
  <si>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</si>
  <si>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</si>
  <si>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</si>
  <si>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</si>
  <si>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</si>
  <si>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</si>
  <si>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</si>
  <si>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</si>
  <si>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</si>
  <si>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</si>
  <si>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</si>
  <si>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</si>
  <si>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</si>
  <si>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</si>
  <si>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</si>
  <si>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</si>
  <si>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</si>
  <si>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</si>
  <si>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</si>
  <si>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</si>
  <si>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</si>
  <si>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</si>
  <si>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</si>
  <si>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</si>
  <si>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</si>
  <si>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</si>
  <si>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</si>
  <si>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</si>
  <si>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</si>
  <si>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</si>
  <si>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</si>
  <si>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</si>
  <si>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</si>
  <si>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</si>
  <si>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</si>
  <si>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</si>
  <si>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</si>
  <si>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</si>
  <si>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</si>
  <si>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</si>
  <si>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</si>
  <si>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</si>
  <si>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</si>
  <si>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</si>
  <si>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</si>
  <si>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</si>
  <si>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</si>
  <si>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</si>
  <si>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</si>
  <si>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</si>
  <si>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</si>
  <si>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</si>
  <si>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</si>
  <si>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</si>
  <si>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</si>
  <si>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</si>
  <si>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</si>
  <si>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</si>
  <si>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</si>
  <si>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</si>
  <si>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</si>
  <si>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</si>
  <si>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</si>
  <si>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</si>
  <si>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</si>
  <si>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</si>
  <si>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</si>
  <si>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</si>
  <si>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</si>
  <si>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</si>
  <si>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</si>
  <si>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</si>
  <si>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</si>
  <si>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</si>
  <si>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</si>
  <si>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</si>
  <si>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</si>
  <si>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</si>
  <si>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</si>
  <si>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</si>
  <si>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</si>
  <si>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</si>
  <si>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</si>
  <si>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</si>
  <si>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</si>
  <si>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</si>
  <si>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</si>
  <si>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</si>
  <si>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</si>
  <si>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</si>
  <si>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</si>
  <si>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</si>
  <si>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</si>
  <si>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</si>
  <si>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</si>
  <si>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</si>
  <si>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</si>
  <si>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</si>
  <si>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</si>
  <si>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</si>
  <si>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</si>
  <si>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</si>
  <si>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</si>
  <si>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</si>
  <si>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</si>
  <si>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</si>
  <si>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</si>
  <si>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</si>
  <si>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</si>
  <si>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</si>
  <si>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</si>
  <si>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</si>
  <si>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</si>
  <si>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</si>
  <si>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</si>
  <si>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</si>
  <si>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</si>
  <si>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</si>
  <si>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</si>
  <si>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</si>
  <si>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</si>
  <si>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</si>
  <si>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</si>
  <si>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</si>
  <si>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</si>
  <si>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</si>
  <si>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</si>
  <si>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</si>
  <si>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</si>
  <si>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</si>
  <si>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</si>
  <si>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</si>
  <si>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</si>
  <si>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</si>
  <si>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</si>
  <si>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</si>
  <si>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</si>
  <si>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</si>
  <si>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</si>
  <si>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</si>
  <si>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</si>
  <si>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</si>
  <si>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</si>
  <si>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</si>
  <si>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</si>
  <si>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</si>
  <si>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</si>
  <si>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</si>
  <si>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</si>
  <si>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</si>
  <si>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</si>
  <si>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</si>
  <si>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</si>
  <si>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</si>
  <si>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</si>
  <si>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</si>
  <si>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</si>
  <si>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</si>
  <si>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</si>
  <si>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</si>
  <si>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</si>
  <si>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</si>
  <si>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</si>
  <si>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</si>
  <si>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</si>
  <si>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</si>
  <si>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</si>
  <si>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</si>
  <si>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</si>
  <si>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</si>
  <si>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</si>
  <si>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</si>
  <si>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</si>
  <si>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</si>
  <si>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</si>
  <si>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</si>
  <si>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</si>
  <si>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</si>
  <si>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</si>
  <si>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</si>
  <si>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</si>
  <si>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</si>
  <si>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</si>
  <si>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</si>
  <si>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</si>
  <si>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</si>
  <si>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</si>
  <si>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</si>
  <si>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</si>
  <si>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</si>
  <si>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</si>
  <si>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</si>
  <si>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</si>
  <si>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</si>
  <si>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</si>
  <si>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</si>
  <si>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</si>
  <si>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</si>
  <si>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</si>
  <si>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</si>
  <si>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</si>
  <si>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</si>
  <si>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</si>
  <si>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</si>
  <si>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</si>
  <si>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</si>
  <si>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</si>
  <si>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</si>
  <si>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</si>
  <si>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</si>
  <si>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</si>
  <si>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</si>
  <si>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</si>
  <si>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</si>
  <si>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</si>
  <si>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</si>
  <si>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</si>
  <si>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</si>
  <si>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</si>
  <si>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</si>
  <si>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</si>
  <si>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</si>
  <si>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</si>
  <si>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</si>
  <si>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</si>
  <si>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</si>
  <si>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</si>
  <si>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</si>
  <si>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</si>
  <si>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</si>
  <si>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</si>
  <si>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</si>
  <si>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</si>
  <si>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</si>
  <si>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</si>
  <si>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</si>
  <si>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</si>
  <si>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</si>
  <si>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</si>
  <si>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</si>
  <si>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</si>
  <si>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</si>
  <si>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</si>
  <si>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</si>
  <si>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</si>
  <si>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</si>
  <si>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</si>
  <si>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</si>
  <si>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</si>
  <si>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</si>
  <si>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</si>
  <si>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</si>
  <si>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</si>
  <si>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</si>
  <si>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</si>
  <si>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</si>
  <si>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</si>
  <si>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</si>
  <si>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</si>
  <si>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</si>
  <si>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</si>
  <si>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</si>
  <si>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</si>
  <si>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</si>
  <si>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</si>
  <si>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</si>
  <si>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</si>
  <si>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</si>
  <si>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</si>
  <si>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</si>
  <si>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</si>
  <si>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</si>
  <si>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</si>
  <si>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</si>
  <si>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</si>
  <si>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</si>
  <si>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</si>
  <si>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</si>
  <si>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</si>
  <si>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</si>
  <si>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</si>
  <si>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</si>
  <si>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</si>
  <si>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</si>
  <si>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</si>
  <si>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</si>
  <si>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</si>
  <si>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</si>
  <si>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</si>
  <si>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</si>
  <si>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</si>
  <si>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</si>
  <si>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</si>
  <si>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</si>
  <si>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</si>
  <si>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</si>
  <si>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</si>
  <si>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</si>
  <si>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</si>
  <si>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</si>
  <si>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</si>
  <si>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</si>
  <si>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</si>
  <si>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</si>
  <si>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</si>
  <si>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</si>
  <si>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</si>
  <si>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</si>
  <si>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</si>
  <si>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</si>
  <si>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</si>
  <si>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</si>
  <si>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</si>
  <si>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</si>
  <si>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</si>
  <si>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</si>
  <si>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</si>
  <si>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</si>
  <si>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</si>
  <si>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</si>
  <si>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</si>
  <si>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</si>
  <si>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</si>
  <si>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</si>
  <si>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</si>
  <si>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</si>
  <si>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</si>
  <si>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</si>
  <si>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</si>
  <si>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</si>
  <si>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</si>
  <si>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</si>
  <si>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</si>
  <si>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</si>
  <si>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</si>
  <si>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</si>
  <si>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</si>
  <si>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</si>
  <si>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</si>
  <si>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</si>
  <si>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</si>
  <si>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</si>
  <si>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</si>
  <si>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</si>
  <si>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</si>
  <si>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</si>
  <si>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</si>
  <si>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</si>
  <si>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</si>
  <si>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</si>
  <si>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</si>
  <si>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</si>
  <si>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</si>
  <si>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</si>
  <si>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</si>
  <si>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</si>
  <si>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</si>
  <si>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</si>
  <si>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</si>
  <si>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</si>
  <si>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</si>
  <si>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</si>
  <si>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</si>
  <si>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</si>
  <si>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</si>
  <si>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</si>
  <si>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</si>
  <si>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</si>
  <si>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</si>
  <si>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</si>
  <si>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</si>
  <si>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</si>
  <si>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</si>
  <si>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</si>
  <si>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</si>
  <si>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</si>
  <si>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</si>
  <si>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</si>
  <si>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</si>
  <si>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</si>
  <si>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</si>
  <si>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</si>
  <si>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</si>
  <si>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</si>
  <si>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</si>
  <si>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</si>
  <si>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</si>
  <si>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</si>
  <si>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</si>
  <si>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</si>
  <si>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</si>
  <si>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</si>
  <si>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</si>
  <si>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</si>
  <si>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</si>
  <si>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</si>
  <si>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</si>
  <si>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</si>
  <si>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</si>
  <si>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</si>
  <si>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</si>
  <si>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</si>
  <si>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</si>
  <si>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</si>
  <si>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</si>
  <si>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</si>
  <si>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</si>
  <si>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</si>
  <si>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</si>
  <si>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</si>
  <si>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</si>
  <si>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</si>
  <si>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</si>
  <si>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</si>
  <si>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</si>
  <si>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</si>
  <si>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</si>
  <si>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</si>
  <si>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</si>
  <si>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</si>
  <si>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</si>
  <si>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</si>
  <si>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</si>
  <si>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</si>
  <si>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</si>
  <si>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</si>
  <si>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</si>
  <si>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</si>
  <si>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</si>
  <si>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</si>
  <si>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</si>
  <si>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</si>
  <si>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</si>
  <si>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</si>
  <si>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</si>
  <si>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</si>
  <si>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</si>
  <si>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</si>
  <si>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</si>
  <si>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</si>
  <si>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</si>
  <si>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</si>
  <si>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</si>
  <si>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</si>
  <si>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</si>
  <si>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</si>
  <si>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</si>
  <si>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</si>
  <si>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</si>
  <si>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</si>
  <si>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</si>
  <si>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</si>
  <si>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</si>
  <si>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</si>
  <si>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</si>
  <si>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</si>
  <si>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</si>
  <si>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</si>
  <si>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</si>
  <si>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</si>
  <si>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</si>
  <si>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</si>
  <si>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</si>
  <si>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</si>
  <si>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</si>
  <si>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</si>
  <si>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</si>
  <si>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</si>
  <si>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</si>
  <si>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</si>
  <si>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</si>
  <si>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</si>
  <si>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</si>
  <si>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</si>
  <si>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</si>
  <si>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</si>
  <si>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</si>
  <si>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</si>
  <si>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</si>
  <si>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</si>
  <si>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</si>
  <si>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</si>
  <si>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</si>
  <si>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</si>
  <si>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</si>
  <si>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</si>
  <si>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</si>
  <si>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</si>
  <si>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</si>
  <si>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</si>
  <si>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</si>
  <si>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</si>
  <si>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</si>
  <si>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</si>
  <si>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</si>
  <si>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</si>
  <si>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</si>
  <si>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</si>
  <si>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</si>
  <si>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</si>
  <si>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</si>
  <si>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</si>
  <si>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</si>
  <si>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</si>
  <si>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</si>
  <si>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</si>
  <si>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</si>
  <si>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</si>
  <si>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</si>
  <si>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</si>
  <si>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</si>
  <si>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</si>
  <si>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</si>
  <si>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</si>
  <si>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</si>
  <si>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</si>
  <si>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</si>
  <si>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</si>
  <si>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</si>
  <si>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</si>
  <si>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</si>
  <si>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</si>
  <si>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</si>
  <si>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</si>
  <si>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</si>
  <si>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</si>
  <si>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</si>
  <si>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</si>
  <si>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</si>
  <si>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</si>
  <si>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</si>
  <si>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</si>
  <si>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</si>
  <si>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</si>
  <si>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</si>
  <si>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</si>
  <si>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</si>
  <si>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</si>
  <si>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</si>
  <si>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</si>
  <si>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</si>
  <si>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</si>
  <si>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</si>
  <si>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</si>
  <si>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</si>
  <si>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</si>
  <si>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</si>
  <si>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</si>
  <si>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</si>
  <si>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</si>
  <si>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</si>
  <si>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</si>
  <si>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</si>
  <si>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</si>
  <si>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</si>
  <si>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</si>
  <si>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</si>
  <si>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</si>
  <si>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</si>
  <si>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</si>
  <si>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</si>
  <si>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</si>
  <si>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</si>
  <si>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</si>
  <si>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</si>
  <si>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</si>
  <si>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</si>
  <si>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</si>
  <si>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</si>
  <si>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</si>
  <si>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</si>
  <si>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</si>
  <si>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</si>
  <si>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</si>
  <si>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</si>
  <si>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</si>
  <si>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</si>
  <si>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</si>
  <si>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</si>
  <si>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</si>
  <si>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</si>
  <si>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</si>
  <si>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</si>
  <si>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</si>
  <si>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</si>
  <si>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</si>
  <si>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</si>
  <si>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</si>
  <si>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</si>
  <si>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</si>
  <si>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</si>
  <si>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</si>
  <si>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</si>
  <si>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</si>
  <si>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</si>
  <si>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</si>
  <si>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</si>
  <si>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</si>
  <si>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</si>
  <si>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</si>
  <si>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</si>
  <si>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</si>
  <si>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</si>
  <si>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</si>
  <si>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</si>
  <si>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</si>
  <si>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</si>
  <si>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</si>
  <si>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</si>
  <si>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</si>
  <si>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</si>
  <si>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</si>
  <si>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</si>
  <si>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</si>
  <si>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</si>
  <si>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</si>
  <si>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</si>
  <si>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</si>
  <si>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</si>
  <si>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</si>
  <si>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</si>
  <si>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</si>
  <si>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</si>
  <si>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</si>
  <si>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</si>
  <si>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</si>
  <si>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</si>
  <si>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</si>
  <si>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</si>
  <si>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</si>
  <si>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</si>
  <si>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</si>
  <si>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</si>
  <si>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</si>
  <si>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</si>
  <si>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</si>
  <si>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</si>
  <si>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</si>
  <si>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</si>
  <si>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</si>
  <si>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</si>
  <si>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</si>
  <si>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</si>
  <si>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</si>
  <si>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</si>
  <si>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</si>
  <si>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</si>
  <si>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</si>
  <si>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</si>
  <si>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</si>
  <si>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</si>
  <si>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</si>
  <si>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</si>
  <si>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</si>
  <si>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</si>
  <si>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</si>
  <si>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</si>
  <si>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</si>
  <si>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</si>
  <si>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</si>
  <si>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</si>
  <si>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</si>
  <si>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</si>
  <si>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</si>
  <si>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</si>
  <si>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</si>
  <si>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</si>
  <si>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</si>
  <si>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</si>
  <si>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</si>
  <si>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</si>
  <si>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</si>
  <si>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</si>
  <si>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</si>
  <si>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</si>
  <si>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</si>
  <si>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</si>
  <si>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</si>
  <si>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</si>
  <si>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</si>
  <si>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</si>
  <si>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</si>
  <si>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</si>
  <si>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</si>
  <si>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</si>
  <si>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</si>
  <si>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</si>
  <si>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</si>
  <si>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</si>
  <si>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</si>
  <si>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</si>
  <si>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</si>
  <si>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</si>
  <si>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</si>
  <si>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</si>
  <si>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</si>
  <si>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</si>
  <si>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</si>
  <si>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</si>
  <si>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</si>
  <si>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</si>
  <si>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</si>
  <si>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</si>
  <si>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</si>
  <si>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</si>
  <si>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</si>
  <si>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</si>
  <si>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</si>
  <si>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</si>
  <si>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</si>
  <si>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</si>
  <si>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</si>
  <si>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</si>
  <si>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</si>
  <si>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</si>
  <si>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</si>
  <si>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</si>
  <si>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</si>
  <si>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</si>
  <si>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</si>
  <si>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</si>
  <si>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</si>
  <si>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</si>
  <si>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</si>
  <si>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</si>
  <si>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</si>
  <si>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</si>
  <si>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</si>
  <si>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</si>
  <si>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</si>
  <si>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</si>
  <si>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</si>
  <si>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</si>
  <si>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</si>
  <si>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</si>
  <si>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</si>
  <si>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</si>
  <si>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</si>
  <si>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</si>
  <si>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</si>
  <si>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</si>
  <si>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</si>
  <si>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</si>
  <si>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</si>
  <si>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</si>
  <si>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</si>
  <si>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</si>
  <si>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</si>
  <si>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</si>
  <si>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</si>
  <si>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</si>
  <si>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</si>
  <si>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</si>
  <si>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</si>
  <si>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</si>
  <si>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</si>
  <si>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</si>
  <si>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</si>
  <si>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</si>
  <si>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</si>
  <si>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</si>
  <si>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</si>
  <si>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</si>
  <si>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</si>
  <si>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</si>
  <si>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</si>
  <si>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</si>
  <si>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</si>
  <si>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</si>
  <si>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</si>
  <si>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</si>
  <si>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</si>
  <si>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</si>
  <si>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</si>
  <si>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</si>
  <si>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</si>
  <si>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</si>
  <si>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</si>
  <si>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</si>
  <si>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</si>
  <si>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</si>
  <si>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</si>
  <si>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</si>
  <si>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</si>
  <si>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</si>
  <si>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</si>
  <si>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</si>
  <si>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</si>
  <si>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</si>
  <si>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</si>
  <si>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</si>
  <si>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</si>
  <si>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</si>
  <si>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</si>
  <si>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</si>
  <si>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</si>
  <si>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</si>
  <si>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</si>
  <si>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</si>
  <si>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</si>
  <si>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</si>
  <si>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</si>
  <si>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</si>
  <si>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</si>
  <si>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</si>
  <si>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</si>
  <si>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</si>
  <si>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</si>
  <si>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</si>
  <si>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</si>
  <si>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</si>
  <si>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</si>
  <si>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</si>
  <si>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</si>
  <si>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</si>
  <si>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</si>
  <si>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</si>
  <si>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</si>
  <si>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</si>
  <si>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</si>
  <si>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</si>
  <si>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</si>
  <si>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</si>
  <si>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</si>
  <si>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</si>
  <si>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</si>
  <si>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</si>
  <si>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</si>
  <si>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</si>
  <si>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</si>
  <si>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</si>
  <si>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</si>
  <si>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</si>
  <si>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</si>
  <si>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</si>
  <si>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</si>
  <si>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</si>
  <si>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</si>
  <si>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</si>
  <si>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</si>
  <si>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</si>
  <si>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</si>
  <si>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</si>
  <si>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</si>
  <si>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</si>
  <si>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</si>
  <si>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</si>
  <si>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</si>
  <si>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</si>
  <si>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</si>
  <si>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</si>
  <si>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</si>
  <si>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</si>
  <si>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</si>
  <si>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</si>
  <si>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</si>
  <si>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</si>
  <si>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</si>
  <si>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</si>
  <si>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</si>
  <si>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</si>
  <si>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</si>
  <si>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</si>
  <si>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</si>
  <si>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</si>
  <si>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</si>
  <si>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</si>
  <si>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</si>
  <si>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</si>
  <si>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</si>
  <si>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</si>
  <si>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</si>
  <si>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</si>
  <si>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</si>
  <si>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</si>
  <si>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</si>
  <si>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</si>
  <si>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</si>
  <si>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</si>
  <si>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</si>
  <si>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</si>
  <si>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</si>
  <si>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</si>
  <si>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</si>
  <si>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</si>
  <si>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</si>
  <si>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</si>
  <si>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</si>
  <si>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</si>
  <si>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</si>
  <si>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</si>
  <si>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</si>
  <si>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</si>
  <si>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</si>
  <si>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</si>
  <si>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</si>
  <si>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</si>
  <si>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</si>
  <si>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</si>
  <si>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</si>
  <si>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</si>
  <si>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</si>
  <si>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</si>
  <si>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</si>
  <si>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</si>
  <si>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</si>
  <si>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</si>
  <si>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</si>
  <si>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</si>
  <si>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</si>
  <si>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</si>
  <si>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</si>
  <si>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</si>
  <si>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</si>
  <si>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</si>
  <si>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</si>
  <si>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</si>
  <si>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</si>
  <si>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</si>
  <si>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</si>
  <si>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</si>
  <si>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</si>
  <si>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</si>
  <si>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</si>
  <si>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</si>
  <si>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</si>
  <si>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</si>
  <si>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</si>
  <si>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</si>
  <si>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</si>
  <si>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</si>
  <si>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</si>
  <si>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</si>
  <si>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</si>
  <si>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</si>
  <si>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</si>
  <si>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</si>
  <si>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</si>
  <si>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</si>
  <si>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</si>
  <si>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</si>
  <si>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</si>
  <si>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</si>
  <si>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</si>
  <si>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</si>
  <si>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</si>
  <si>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</si>
  <si>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</si>
  <si>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</si>
  <si>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</si>
  <si>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</si>
  <si>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</si>
  <si>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</si>
  <si>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</si>
  <si>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</si>
  <si>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</si>
  <si>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</si>
  <si>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</si>
  <si>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</si>
  <si>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</si>
  <si>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</si>
  <si>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</si>
  <si>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</si>
  <si>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</si>
  <si>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</si>
  <si>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</si>
  <si>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</si>
  <si>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</si>
  <si>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</si>
  <si>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</si>
  <si>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</si>
  <si>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</si>
  <si>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</si>
  <si>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</si>
  <si>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</si>
  <si>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</si>
  <si>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</si>
  <si>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</si>
  <si>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</si>
  <si>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</si>
  <si>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</si>
  <si>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</si>
  <si>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</si>
  <si>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</si>
  <si>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</si>
  <si>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</si>
  <si>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</si>
  <si>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</si>
  <si>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</si>
  <si>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</si>
  <si>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</si>
  <si>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</si>
  <si>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</si>
  <si>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</si>
  <si>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</si>
  <si>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</si>
  <si>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</si>
  <si>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</si>
  <si>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</si>
  <si>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</si>
  <si>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</si>
  <si>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</si>
  <si>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</si>
  <si>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</si>
  <si>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</si>
  <si>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</si>
  <si>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</si>
  <si>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</si>
  <si>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</si>
  <si>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</si>
  <si>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</si>
  <si>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</si>
  <si>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</si>
  <si>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</si>
  <si>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</si>
  <si>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</si>
  <si>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</si>
  <si>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</si>
  <si>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</si>
  <si>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</si>
  <si>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</si>
  <si>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</si>
  <si>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</si>
  <si>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</si>
  <si>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</si>
  <si>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</si>
  <si>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</si>
  <si>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</si>
  <si>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</si>
  <si>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</si>
  <si>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</si>
  <si>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</si>
  <si>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</si>
  <si>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</si>
  <si>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</si>
  <si>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</si>
  <si>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</si>
  <si>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</si>
  <si>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</si>
  <si>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</si>
  <si>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</si>
  <si>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</si>
  <si>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</si>
  <si>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</si>
  <si>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</si>
  <si>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</si>
  <si>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</si>
  <si>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</si>
  <si>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</si>
  <si>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</si>
  <si>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</si>
  <si>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</si>
  <si>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</si>
  <si>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</si>
  <si>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</si>
  <si>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</si>
  <si>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</si>
  <si>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</si>
  <si>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</si>
  <si>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</si>
  <si>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</si>
  <si>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</si>
  <si>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</si>
  <si>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</si>
  <si>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</si>
  <si>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</si>
  <si>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</si>
  <si>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</si>
  <si>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</si>
  <si>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</si>
  <si>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</si>
  <si>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</si>
  <si>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</si>
  <si>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</si>
  <si>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</si>
  <si>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</si>
  <si>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</si>
  <si>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</si>
  <si>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</si>
  <si>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</si>
  <si>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</si>
  <si>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</si>
  <si>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</si>
  <si>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</si>
  <si>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</si>
  <si>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</si>
  <si>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</si>
  <si>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</si>
  <si>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</si>
  <si>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</si>
  <si>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</si>
  <si>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</si>
  <si>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</si>
  <si>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</si>
  <si>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</si>
  <si>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</si>
  <si>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</si>
  <si>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</si>
  <si>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</si>
  <si>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</si>
  <si>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</si>
  <si>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</si>
  <si>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</si>
  <si>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</si>
  <si>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</si>
  <si>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</si>
  <si>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</si>
  <si>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</si>
  <si>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</si>
  <si>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</si>
  <si>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</si>
  <si>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</si>
  <si>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</si>
  <si>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</si>
  <si>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</si>
  <si>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</si>
  <si>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</si>
  <si>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</si>
  <si>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</si>
  <si>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</si>
  <si>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</si>
  <si>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</si>
  <si>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</si>
  <si>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</si>
  <si>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</si>
  <si>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</si>
  <si>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</si>
  <si>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</si>
  <si>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</si>
  <si>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</si>
  <si>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</si>
  <si>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</si>
  <si>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</si>
  <si>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</si>
  <si>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</si>
  <si>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</si>
  <si>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</si>
  <si>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</si>
  <si>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</si>
  <si>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</si>
  <si>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</si>
  <si>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</si>
  <si>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</si>
  <si>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</si>
  <si>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</si>
  <si>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</si>
  <si>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</si>
  <si>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</si>
  <si>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</si>
  <si>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</si>
  <si>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</si>
  <si>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</si>
  <si>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</si>
  <si>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</si>
  <si>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</si>
  <si>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</si>
  <si>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</si>
  <si>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</si>
  <si>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</si>
  <si>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</si>
  <si>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</si>
  <si>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</si>
  <si>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</si>
  <si>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</si>
  <si>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</si>
  <si>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</si>
  <si>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</si>
  <si>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</si>
  <si>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</si>
  <si>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</si>
  <si>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</si>
  <si>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</si>
  <si>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</si>
  <si>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</si>
  <si>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</si>
  <si>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</si>
  <si>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</si>
  <si>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</si>
  <si>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</si>
  <si>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</si>
  <si>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</si>
  <si>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</si>
  <si>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</si>
  <si>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</si>
  <si>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</si>
  <si>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</si>
  <si>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</si>
  <si>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</si>
  <si>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</si>
  <si>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</si>
  <si>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</si>
  <si>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</si>
  <si>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</si>
  <si>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</si>
  <si>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</si>
  <si>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</si>
  <si>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</si>
  <si>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</si>
  <si>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</si>
  <si>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</si>
  <si>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</si>
  <si>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</si>
  <si>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</si>
  <si>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</si>
  <si>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</si>
  <si>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</si>
  <si>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</si>
  <si>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</si>
  <si>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</si>
  <si>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</si>
  <si>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</si>
  <si>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</si>
  <si>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</si>
  <si>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</si>
  <si>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</si>
  <si>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</si>
  <si>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</si>
  <si>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</si>
  <si>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</si>
  <si>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</si>
  <si>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</si>
  <si>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</si>
  <si>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</si>
  <si>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</si>
  <si>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</si>
  <si>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</si>
  <si>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</si>
  <si>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</si>
  <si>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</si>
  <si>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</si>
  <si>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</si>
  <si>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</si>
  <si>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</si>
  <si>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</si>
  <si>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</si>
  <si>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</si>
  <si>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</si>
  <si>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</si>
  <si>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</si>
  <si>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</si>
  <si>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</si>
  <si>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</si>
  <si>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</si>
  <si>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</si>
  <si>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</si>
  <si>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</si>
  <si>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</si>
  <si>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</si>
  <si>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</si>
  <si>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</si>
  <si>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</si>
  <si>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</si>
  <si>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</si>
  <si>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</si>
  <si>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</si>
  <si>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</si>
  <si>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</si>
  <si>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</si>
  <si>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</si>
  <si>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</si>
  <si>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</si>
  <si>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</si>
  <si>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</si>
  <si>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</si>
  <si>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</si>
  <si>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</si>
  <si>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</si>
  <si>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</si>
  <si>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</si>
  <si>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</si>
  <si>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</si>
  <si>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</si>
  <si>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</si>
  <si>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</si>
  <si>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</si>
  <si>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</si>
  <si>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</si>
  <si>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</si>
  <si>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</si>
  <si>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</si>
  <si>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</si>
  <si>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</si>
  <si>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</si>
  <si>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</si>
  <si>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</si>
  <si>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</si>
  <si>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</si>
  <si>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</si>
  <si>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</si>
  <si>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</si>
  <si>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</si>
  <si>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</si>
  <si>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</si>
  <si>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</si>
  <si>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</si>
  <si>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</si>
  <si>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</si>
  <si>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</si>
  <si>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</si>
  <si>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</si>
  <si>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</si>
  <si>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</si>
  <si>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</si>
  <si>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</si>
  <si>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</si>
  <si>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</si>
  <si>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</si>
  <si>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</si>
  <si>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</si>
  <si>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</si>
  <si>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</si>
  <si>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</si>
  <si>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</si>
  <si>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</si>
  <si>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</si>
  <si>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</si>
  <si>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</si>
  <si>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</si>
  <si>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</si>
  <si>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</si>
  <si>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</si>
  <si>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</si>
  <si>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</si>
  <si>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</si>
  <si>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</si>
  <si>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</si>
  <si>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</si>
  <si>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</si>
  <si>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</si>
  <si>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</si>
  <si>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</si>
  <si>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</si>
  <si>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</si>
  <si>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</si>
  <si>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</si>
  <si>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</si>
  <si>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</si>
  <si>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</si>
  <si>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</si>
  <si>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</si>
  <si>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</si>
  <si>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</si>
  <si>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</si>
  <si>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</si>
  <si>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</si>
  <si>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</si>
  <si>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</si>
  <si>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</si>
  <si>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</si>
  <si>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</si>
  <si>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</si>
  <si>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</si>
  <si>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</si>
  <si>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</si>
  <si>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</si>
  <si>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</si>
  <si>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</si>
  <si>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</si>
  <si>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</si>
  <si>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</si>
  <si>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</si>
  <si>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</si>
  <si>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</si>
  <si>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</si>
  <si>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</si>
  <si>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</si>
  <si>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</si>
  <si>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</si>
  <si>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</si>
  <si>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</si>
  <si>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</si>
  <si>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</si>
  <si>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</si>
  <si>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</si>
  <si>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</si>
  <si>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</si>
  <si>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</si>
  <si>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</si>
  <si>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</si>
  <si>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</si>
  <si>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</si>
  <si>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</si>
  <si>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</si>
  <si>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</si>
  <si>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</si>
  <si>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</si>
  <si>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</si>
  <si>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</si>
  <si>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</si>
  <si>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</si>
  <si>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</si>
  <si>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</si>
  <si>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</si>
  <si>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</si>
  <si>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</si>
  <si>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</si>
  <si>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</si>
  <si>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</si>
  <si>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</si>
  <si>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</si>
  <si>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</si>
  <si>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</si>
  <si>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</si>
  <si>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</si>
  <si>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</si>
  <si>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</si>
  <si>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</si>
  <si>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</si>
  <si>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</si>
  <si>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</si>
  <si>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</si>
  <si>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</si>
  <si>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</si>
  <si>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</si>
  <si>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</si>
  <si>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</si>
  <si>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</si>
  <si>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</si>
  <si>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</si>
  <si>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</si>
  <si>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</si>
  <si>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</si>
  <si>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</si>
  <si>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</si>
  <si>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</si>
  <si>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</si>
  <si>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</si>
  <si>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</si>
  <si>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</si>
  <si>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</si>
  <si>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</si>
  <si>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</si>
  <si>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</si>
  <si>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</si>
  <si>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</si>
  <si>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</si>
  <si>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</si>
  <si>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</si>
  <si>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</si>
  <si>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</si>
  <si>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</si>
  <si>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</si>
  <si>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</si>
  <si>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</si>
  <si>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</si>
  <si>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</si>
  <si>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</si>
  <si>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</si>
  <si>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</si>
  <si>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</si>
  <si>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</si>
  <si>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</si>
  <si>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</si>
  <si>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</si>
  <si>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</si>
  <si>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</si>
  <si>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</si>
  <si>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</si>
  <si>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</si>
  <si>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</si>
  <si>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</si>
  <si>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</si>
  <si>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</si>
  <si>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</si>
  <si>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</si>
  <si>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</si>
  <si>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</si>
  <si>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</si>
  <si>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</si>
  <si>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</si>
  <si>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</si>
  <si>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</si>
  <si>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</si>
  <si>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</si>
  <si>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</si>
  <si>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</si>
  <si>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</si>
  <si>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</si>
  <si>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</si>
  <si>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</si>
  <si>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</si>
  <si>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</si>
  <si>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</si>
  <si>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</si>
  <si>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</si>
  <si>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</si>
  <si>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</si>
  <si>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</si>
  <si>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</si>
  <si>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</si>
  <si>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</si>
  <si>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</si>
  <si>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</si>
  <si>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</si>
  <si>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</si>
  <si>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</si>
  <si>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</si>
  <si>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</si>
  <si>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</si>
  <si>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</si>
  <si>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</si>
  <si>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</si>
  <si>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</si>
  <si>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</si>
  <si>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</si>
  <si>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</si>
  <si>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</si>
  <si>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</si>
  <si>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</si>
  <si>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</si>
  <si>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</si>
  <si>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</si>
  <si>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</si>
  <si>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</si>
  <si>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</si>
  <si>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</si>
  <si>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</si>
  <si>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</si>
  <si>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</si>
  <si>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</si>
  <si>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</si>
  <si>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</si>
  <si>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</si>
  <si>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</si>
  <si>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</si>
  <si>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</si>
  <si>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</si>
  <si>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</si>
  <si>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</si>
  <si>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</si>
  <si>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</si>
  <si>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</si>
  <si>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</si>
  <si>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</si>
  <si>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</si>
  <si>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</si>
  <si>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</si>
  <si>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</si>
  <si>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</si>
  <si>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</si>
  <si>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</si>
  <si>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</si>
  <si>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</si>
  <si>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</si>
  <si>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</si>
  <si>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</si>
  <si>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</si>
  <si>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</si>
  <si>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</si>
  <si>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</si>
  <si>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</si>
  <si>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</si>
  <si>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</si>
  <si>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</si>
  <si>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</si>
  <si>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</si>
  <si>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</si>
  <si>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</si>
  <si>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</si>
  <si>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</si>
  <si>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</si>
  <si>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</si>
  <si>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</si>
  <si>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</si>
  <si>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</si>
  <si>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</si>
  <si>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</si>
  <si>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</si>
  <si>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</si>
  <si>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</si>
  <si>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</si>
  <si>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</si>
  <si>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</si>
  <si>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</si>
  <si>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</si>
  <si>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</si>
  <si>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</si>
  <si>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</si>
  <si>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</si>
  <si>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</si>
  <si>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</si>
  <si>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</si>
  <si>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</si>
  <si>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</si>
  <si>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</si>
  <si>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</si>
  <si>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</si>
  <si>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</si>
  <si>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</si>
  <si>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</si>
  <si>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</si>
  <si>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</si>
  <si>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</si>
  <si>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</si>
  <si>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</si>
  <si>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</si>
  <si>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</si>
  <si>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</si>
  <si>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</si>
  <si>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</si>
  <si>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</si>
  <si>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</si>
  <si>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</si>
  <si>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</si>
  <si>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</si>
  <si>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</si>
  <si>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</si>
  <si>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</si>
  <si>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</si>
  <si>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</si>
  <si>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</si>
  <si>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</si>
  <si>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</si>
  <si>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</si>
  <si>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</si>
  <si>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</si>
  <si>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</si>
  <si>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</si>
  <si>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</si>
  <si>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</si>
  <si>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</si>
  <si>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</si>
  <si>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</si>
  <si>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</si>
  <si>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</si>
  <si>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</si>
  <si>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</si>
  <si>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</si>
  <si>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</si>
  <si>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</si>
  <si>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</si>
  <si>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</si>
  <si>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</si>
  <si>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</si>
  <si>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</si>
  <si>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</si>
  <si>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</si>
  <si>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</si>
  <si>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</si>
  <si>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</si>
  <si>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</si>
  <si>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</si>
  <si>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</si>
  <si>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</si>
  <si>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</si>
  <si>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</si>
  <si>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</si>
  <si>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</si>
  <si>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</si>
  <si>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</si>
  <si>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</si>
  <si>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</si>
  <si>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</si>
  <si>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</si>
  <si>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</si>
  <si>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</si>
  <si>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</si>
  <si>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</si>
  <si>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</si>
  <si>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</si>
  <si>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</si>
  <si>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</si>
  <si>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</si>
  <si>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</si>
  <si>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</si>
  <si>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</si>
  <si>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</si>
  <si>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</si>
  <si>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</si>
  <si>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</si>
  <si>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</si>
  <si>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</si>
  <si>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</si>
  <si>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</si>
  <si>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</si>
  <si>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</si>
  <si>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</si>
  <si>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</si>
  <si>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</si>
  <si>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</si>
  <si>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</si>
  <si>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</si>
  <si>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</si>
  <si>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</si>
  <si>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</si>
  <si>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</si>
  <si>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</si>
  <si>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</si>
  <si>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</si>
  <si>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</si>
  <si>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</si>
  <si>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</si>
  <si>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</si>
  <si>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</si>
  <si>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</si>
  <si>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</si>
  <si>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</si>
  <si>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</si>
  <si>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</si>
  <si>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</si>
  <si>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</si>
  <si>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</si>
  <si>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</si>
  <si>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</si>
  <si>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</si>
  <si>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</si>
  <si>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</si>
  <si>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</si>
  <si>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</si>
  <si>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</si>
  <si>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</si>
  <si>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</si>
  <si>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</si>
  <si>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</si>
  <si>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</si>
  <si>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</si>
  <si>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</si>
  <si>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</si>
  <si>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</si>
  <si>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</si>
  <si>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</si>
  <si>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</si>
  <si>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</si>
  <si>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</si>
  <si>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</si>
  <si>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</si>
  <si>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</si>
  <si>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</si>
  <si>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</si>
  <si>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</si>
  <si>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</si>
  <si>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</si>
  <si>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</si>
  <si>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</si>
  <si>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</si>
  <si>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</si>
  <si>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</si>
  <si>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</si>
  <si>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</si>
  <si>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</si>
  <si>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</si>
  <si>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</si>
  <si>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</si>
  <si>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</si>
  <si>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</si>
  <si>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</si>
  <si>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</si>
  <si>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</si>
  <si>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</si>
  <si>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</si>
  <si>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</si>
  <si>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</si>
  <si>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</si>
  <si>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</si>
  <si>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</si>
  <si>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</si>
  <si>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</si>
  <si>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</si>
  <si>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</si>
  <si>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</si>
  <si>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</si>
  <si>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</si>
  <si>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</si>
  <si>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</si>
  <si>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</si>
  <si>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</si>
  <si>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</si>
  <si>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</si>
  <si>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</si>
  <si>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</si>
  <si>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</si>
  <si>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</si>
  <si>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</si>
  <si>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</si>
  <si>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</si>
  <si>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</si>
  <si>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</si>
  <si>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</si>
  <si>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</si>
  <si>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</si>
  <si>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</si>
  <si>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</si>
  <si>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</si>
  <si>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</si>
  <si>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</si>
  <si>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</si>
  <si>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</si>
  <si>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</si>
  <si>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</si>
  <si>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</si>
  <si>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</si>
  <si>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</si>
  <si>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</si>
  <si>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</si>
  <si>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</si>
  <si>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</si>
  <si>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</si>
  <si>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</si>
  <si>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</si>
  <si>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</si>
  <si>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</si>
  <si>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</si>
  <si>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</si>
  <si>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</si>
  <si>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</si>
  <si>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</si>
  <si>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</si>
  <si>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</si>
  <si>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</si>
  <si>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</si>
  <si>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</si>
  <si>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</si>
  <si>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</si>
  <si>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</si>
  <si>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</si>
  <si>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</si>
  <si>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</si>
  <si>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</si>
  <si>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</si>
  <si>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</si>
  <si>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</si>
  <si>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</si>
  <si>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</si>
  <si>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</si>
  <si>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</si>
  <si>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</si>
  <si>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</si>
  <si>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</si>
  <si>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</si>
  <si>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</si>
  <si>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</si>
  <si>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</si>
  <si>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</si>
  <si>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</si>
  <si>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</si>
  <si>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</si>
  <si>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</si>
  <si>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</si>
  <si>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</si>
  <si>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</si>
  <si>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</si>
  <si>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</si>
  <si>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</si>
  <si>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</si>
  <si>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</si>
  <si>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</si>
  <si>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</si>
  <si>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</si>
  <si>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</si>
  <si>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</si>
  <si>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</si>
  <si>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</si>
  <si>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</si>
  <si>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</si>
  <si>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</si>
  <si>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</si>
  <si>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</si>
  <si>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</si>
  <si>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</si>
  <si>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</si>
  <si>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</si>
  <si>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</si>
  <si>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</si>
  <si>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</si>
  <si>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</si>
  <si>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</si>
  <si>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</si>
  <si>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</si>
  <si>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</si>
  <si>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</si>
  <si>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</si>
  <si>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</si>
  <si>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</si>
  <si>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</si>
  <si>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</si>
  <si>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</si>
  <si>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</si>
  <si>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</si>
  <si>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</si>
  <si>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</si>
  <si>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</si>
  <si>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</si>
  <si>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</si>
  <si>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</si>
  <si>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</si>
  <si>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</si>
  <si>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</si>
  <si>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</si>
  <si>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</si>
  <si>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</si>
  <si>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</si>
  <si>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</si>
  <si>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</si>
  <si>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</si>
  <si>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</si>
  <si>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</si>
  <si>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</si>
  <si>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</si>
  <si>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</si>
  <si>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</si>
  <si>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</si>
  <si>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</si>
  <si>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</si>
  <si>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</si>
  <si>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</si>
  <si>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</si>
  <si>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</si>
  <si>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</si>
  <si>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</si>
  <si>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</si>
  <si>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</si>
  <si>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</si>
  <si>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</si>
  <si>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</si>
  <si>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</si>
  <si>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</si>
  <si>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</si>
  <si>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</si>
  <si>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</si>
  <si>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</si>
  <si>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</si>
  <si>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</si>
  <si>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</si>
  <si>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</si>
  <si>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</si>
  <si>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</si>
  <si>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</si>
  <si>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</si>
  <si>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</si>
  <si>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</si>
  <si>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</si>
  <si>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</si>
  <si>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</si>
  <si>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</si>
  <si>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</si>
  <si>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</si>
  <si>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</si>
  <si>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</si>
  <si>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</si>
  <si>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</si>
  <si>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</si>
  <si>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</si>
  <si>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</si>
  <si>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</si>
  <si>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</si>
  <si>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</si>
  <si>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</si>
  <si>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</si>
  <si>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</si>
  <si>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</si>
  <si>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</si>
  <si>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</si>
  <si>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</si>
  <si>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</si>
  <si>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</si>
  <si>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</si>
  <si>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</si>
  <si>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</si>
  <si>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</si>
  <si>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</si>
  <si>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</si>
  <si>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</si>
  <si>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</si>
  <si>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</si>
  <si>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</si>
  <si>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</si>
  <si>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</si>
  <si>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</si>
  <si>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</si>
  <si>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</si>
  <si>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</si>
  <si>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</si>
  <si>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</si>
  <si>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</si>
  <si>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</si>
  <si>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</si>
  <si>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</si>
  <si>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</si>
  <si>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</si>
  <si>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</si>
  <si>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</si>
  <si>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</si>
  <si>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</si>
  <si>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</si>
  <si>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</si>
  <si>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</si>
  <si>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</si>
  <si>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</si>
  <si>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</si>
  <si>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</si>
  <si>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</si>
  <si>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</si>
  <si>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</si>
  <si>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</si>
  <si>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</si>
  <si>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</si>
  <si>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</si>
  <si>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</si>
  <si>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</si>
  <si>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</si>
  <si>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</si>
  <si>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</si>
  <si>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</si>
  <si>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</si>
  <si>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</si>
  <si>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</si>
  <si>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</si>
  <si>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</si>
  <si>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</si>
  <si>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</si>
  <si>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</si>
  <si>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</si>
  <si>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</si>
  <si>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</si>
  <si>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</si>
  <si>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</si>
  <si>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</si>
  <si>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</si>
  <si>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</si>
  <si>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</si>
  <si>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</si>
  <si>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</si>
  <si>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</si>
  <si>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</si>
  <si>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</si>
  <si>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</si>
  <si>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</si>
  <si>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</si>
  <si>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</si>
  <si>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</si>
  <si>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</si>
  <si>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</si>
  <si>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</si>
  <si>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</si>
  <si>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</si>
  <si>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</si>
  <si>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</si>
  <si>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</si>
  <si>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</si>
  <si>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</si>
  <si>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</si>
  <si>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</si>
  <si>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</si>
  <si>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</si>
  <si>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</si>
  <si>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</si>
  <si>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</si>
  <si>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</si>
  <si>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</si>
  <si>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</si>
  <si>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</si>
  <si>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</si>
  <si>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</si>
  <si>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</si>
  <si>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</si>
  <si>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</si>
  <si>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</si>
  <si>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</si>
  <si>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</si>
  <si>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</si>
  <si>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</si>
  <si>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</si>
  <si>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</si>
  <si>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</si>
  <si>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</si>
  <si>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</si>
  <si>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</si>
  <si>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</si>
  <si>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</si>
  <si>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</si>
  <si>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</si>
  <si>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</si>
  <si>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</si>
  <si>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</si>
  <si>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</si>
  <si>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</si>
  <si>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</si>
  <si>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</si>
  <si>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</si>
  <si>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</si>
  <si>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</si>
  <si>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</si>
  <si>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</si>
  <si>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</si>
  <si>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</si>
  <si>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</si>
  <si>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</si>
  <si>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</si>
  <si>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</si>
  <si>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</si>
  <si>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</si>
  <si>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</si>
  <si>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</si>
  <si>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</si>
  <si>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</si>
  <si>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</si>
  <si>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</si>
  <si>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</si>
  <si>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</si>
  <si>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</si>
  <si>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</si>
  <si>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</si>
  <si>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</si>
  <si>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</si>
  <si>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</si>
  <si>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</si>
  <si>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</si>
  <si>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</si>
  <si>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</si>
  <si>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</si>
  <si>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</si>
  <si>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</si>
  <si>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</si>
  <si>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</si>
  <si>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</si>
  <si>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</si>
  <si>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</si>
  <si>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</si>
  <si>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</si>
  <si>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</si>
  <si>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</si>
  <si>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</si>
  <si>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</si>
  <si>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</si>
  <si>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</si>
  <si>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</si>
  <si>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</si>
  <si>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</si>
  <si>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</si>
  <si>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</si>
  <si>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</si>
  <si>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</si>
  <si>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</si>
  <si>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</si>
  <si>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</si>
  <si>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</si>
  <si>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</si>
  <si>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</si>
  <si>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</si>
  <si>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</si>
  <si>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</si>
  <si>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</si>
  <si>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</si>
  <si>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</si>
  <si>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</si>
  <si>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</si>
  <si>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</si>
  <si>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</si>
  <si>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</si>
  <si>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</si>
  <si>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</si>
  <si>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</si>
  <si>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</si>
  <si>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</si>
  <si>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</si>
  <si>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</si>
  <si>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</si>
  <si>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</si>
  <si>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</si>
  <si>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</si>
  <si>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</si>
  <si>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</si>
  <si>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</si>
  <si>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</si>
  <si>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</si>
  <si>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</si>
  <si>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</si>
  <si>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</si>
  <si>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</si>
  <si>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</si>
  <si>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</si>
  <si>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</si>
  <si>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</si>
  <si>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</si>
  <si>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</si>
  <si>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</si>
  <si>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</si>
  <si>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</si>
  <si>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</si>
  <si>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</si>
  <si>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</si>
  <si>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</si>
  <si>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</si>
  <si>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</si>
  <si>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</si>
  <si>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</si>
  <si>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</si>
  <si>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</si>
  <si>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</si>
  <si>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</si>
  <si>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</si>
  <si>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</si>
  <si>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</si>
  <si>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</si>
  <si>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</si>
  <si>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</si>
  <si>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</si>
  <si>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</si>
  <si>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</si>
  <si>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</si>
  <si>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</si>
  <si>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</si>
  <si>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</si>
  <si>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</si>
  <si>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</si>
  <si>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</si>
  <si>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</si>
  <si>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</si>
  <si>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</si>
  <si>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</si>
  <si>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</si>
  <si>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</si>
  <si>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</si>
  <si>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</si>
  <si>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</si>
  <si>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</si>
  <si>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</si>
  <si>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</si>
  <si>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</si>
  <si>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</si>
  <si>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</si>
  <si>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</si>
  <si>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</si>
  <si>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</si>
  <si>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</si>
  <si>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</si>
  <si>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</si>
  <si>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</si>
  <si>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</si>
  <si>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</si>
  <si>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</si>
  <si>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</si>
  <si>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</si>
  <si>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</si>
  <si>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</si>
  <si>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</si>
  <si>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</si>
  <si>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</si>
  <si>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</si>
  <si>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</si>
  <si>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</si>
  <si>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</si>
  <si>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</si>
  <si>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</si>
  <si>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</si>
  <si>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</si>
  <si>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</si>
  <si>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</si>
  <si>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</si>
  <si>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</si>
  <si>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</si>
  <si>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</si>
  <si>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</si>
  <si>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</si>
  <si>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</si>
  <si>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</si>
  <si>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</si>
  <si>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</si>
  <si>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</si>
  <si>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</si>
  <si>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</si>
  <si>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</si>
  <si>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</si>
  <si>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</si>
  <si>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</si>
  <si>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</si>
  <si>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</si>
  <si>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</si>
  <si>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</si>
  <si>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</si>
  <si>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</si>
  <si>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</si>
  <si>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</si>
  <si>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</si>
  <si>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</si>
  <si>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</si>
  <si>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</si>
  <si>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</si>
  <si>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</si>
  <si>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</si>
  <si>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</si>
  <si>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</si>
  <si>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</si>
  <si>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</si>
  <si>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</si>
  <si>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</si>
  <si>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</si>
  <si>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</si>
  <si>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</si>
  <si>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</si>
  <si>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</si>
  <si>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</si>
  <si>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</si>
  <si>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</si>
  <si>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</si>
  <si>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</si>
  <si>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</si>
  <si>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</si>
  <si>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</si>
  <si>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</si>
  <si>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</si>
  <si>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</si>
  <si>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</si>
  <si>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</si>
  <si>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</si>
  <si>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</si>
  <si>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</si>
  <si>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</si>
  <si>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</si>
  <si>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</si>
  <si>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</si>
  <si>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</si>
  <si>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</si>
  <si>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</si>
  <si>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</si>
  <si>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</si>
  <si>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</si>
  <si>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</si>
  <si>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</si>
  <si>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</si>
  <si>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</si>
  <si>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</si>
  <si>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</si>
  <si>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</si>
  <si>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</si>
  <si>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</si>
  <si>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</si>
  <si>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</si>
  <si>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</si>
  <si>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</si>
  <si>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</si>
  <si>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</si>
  <si>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</si>
  <si>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</si>
  <si>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</si>
  <si>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</si>
  <si>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</si>
  <si>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</si>
  <si>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</si>
  <si>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</si>
  <si>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</si>
  <si>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</si>
  <si>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</si>
  <si>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</si>
  <si>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</si>
  <si>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</si>
  <si>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</si>
  <si>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</si>
  <si>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</si>
  <si>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</si>
  <si>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</si>
  <si>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</si>
  <si>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</si>
  <si>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</si>
  <si>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</si>
  <si>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</si>
  <si>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</si>
  <si>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</si>
  <si>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</si>
  <si>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</si>
  <si>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</si>
  <si>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</si>
  <si>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</si>
  <si>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</si>
  <si>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</si>
  <si>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</si>
  <si>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</si>
  <si>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</si>
  <si>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</si>
  <si>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</si>
  <si>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</si>
  <si>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</si>
  <si>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</si>
  <si>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</si>
  <si>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</si>
  <si>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</si>
  <si>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</si>
  <si>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</si>
  <si>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</si>
  <si>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</si>
  <si>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</si>
  <si>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</si>
  <si>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</si>
  <si>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</si>
  <si>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</si>
  <si>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</si>
  <si>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</si>
  <si>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</si>
  <si>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</si>
  <si>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</si>
  <si>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</si>
  <si>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</si>
  <si>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</si>
  <si>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</si>
  <si>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</si>
  <si>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</si>
  <si>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</si>
  <si>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</si>
  <si>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</si>
  <si>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</si>
  <si>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</si>
  <si>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</si>
  <si>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</si>
  <si>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</si>
  <si>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</si>
  <si>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</si>
  <si>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</si>
  <si>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</si>
  <si>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</si>
  <si>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</si>
  <si>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</si>
  <si>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</si>
  <si>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</si>
  <si>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</si>
  <si>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</si>
  <si>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</si>
  <si>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</si>
  <si>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</si>
  <si>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</si>
  <si>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</si>
  <si>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</si>
  <si>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</si>
  <si>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</si>
  <si>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</si>
  <si>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</si>
  <si>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</si>
  <si>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</si>
  <si>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</si>
  <si>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</si>
  <si>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</si>
  <si>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</si>
  <si>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</si>
  <si>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</si>
  <si>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</si>
  <si>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</si>
  <si>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</si>
  <si>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</si>
  <si>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</si>
  <si>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</si>
  <si>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</si>
  <si>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</si>
  <si>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</si>
  <si>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</si>
  <si>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</si>
  <si>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</si>
  <si>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</si>
  <si>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</si>
  <si>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</si>
  <si>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</si>
  <si>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</si>
  <si>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</si>
  <si>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</si>
  <si>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</si>
  <si>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</si>
  <si>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</si>
  <si>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</si>
  <si>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</si>
  <si>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</si>
  <si>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</si>
  <si>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</si>
  <si>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</si>
  <si>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</si>
  <si>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</si>
  <si>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</si>
  <si>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</si>
  <si>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</si>
  <si>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</si>
  <si>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</si>
  <si>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</si>
  <si>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</si>
  <si>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</si>
  <si>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</si>
  <si>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</si>
  <si>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</si>
  <si>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</si>
  <si>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</si>
  <si>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</si>
  <si>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</si>
  <si>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</si>
  <si>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</si>
  <si>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</si>
  <si>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</si>
  <si>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</si>
  <si>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</si>
  <si>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</si>
  <si>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</si>
  <si>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</si>
  <si>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</si>
  <si>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</si>
  <si>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</si>
  <si>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</si>
  <si>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</si>
  <si>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</si>
  <si>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</si>
  <si>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</si>
  <si>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</si>
  <si>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</si>
  <si>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</si>
  <si>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</si>
  <si>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</si>
  <si>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</si>
  <si>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</si>
  <si>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</si>
  <si>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</si>
  <si>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</si>
  <si>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</si>
  <si>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</si>
  <si>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</si>
  <si>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</si>
  <si>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</si>
  <si>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</si>
  <si>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</si>
  <si>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</si>
  <si>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</si>
  <si>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</si>
  <si>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</si>
  <si>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</si>
  <si>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</si>
  <si>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</si>
  <si>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</si>
  <si>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</si>
  <si>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</si>
  <si>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</si>
  <si>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</si>
  <si>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</si>
  <si>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</si>
  <si>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</si>
  <si>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</si>
  <si>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</si>
  <si>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</si>
  <si>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</si>
  <si>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</si>
  <si>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</si>
  <si>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</si>
  <si>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</si>
  <si>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</si>
  <si>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</si>
  <si>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</si>
  <si>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</si>
  <si>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</si>
  <si>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</si>
  <si>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</si>
  <si>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</si>
  <si>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</si>
  <si>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</si>
  <si>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</si>
  <si>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</si>
  <si>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</si>
  <si>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</si>
  <si>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</si>
  <si>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</si>
  <si>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</si>
  <si>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</si>
  <si>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</si>
  <si>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</si>
  <si>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</si>
  <si>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</si>
  <si>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</si>
  <si>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</si>
  <si>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</si>
  <si>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</si>
  <si>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</si>
  <si>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</si>
  <si>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</si>
  <si>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</si>
  <si>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</si>
  <si>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</si>
  <si>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</si>
  <si>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</si>
  <si>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</si>
  <si>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</si>
  <si>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</si>
  <si>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</si>
  <si>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</si>
  <si>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</si>
  <si>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</si>
  <si>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</si>
  <si>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</si>
  <si>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</si>
  <si>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</si>
  <si>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</si>
  <si>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</si>
  <si>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</si>
  <si>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</si>
  <si>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</si>
  <si>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</si>
  <si>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</si>
  <si>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</si>
  <si>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</si>
  <si>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</si>
  <si>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</si>
  <si>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</si>
  <si>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</si>
  <si>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</si>
  <si>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</si>
  <si>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</si>
  <si>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</si>
  <si>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</si>
  <si>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</si>
  <si>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</si>
  <si>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</si>
  <si>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</si>
  <si>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</si>
  <si>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</si>
  <si>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</si>
  <si>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</si>
  <si>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</si>
  <si>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</si>
  <si>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</si>
  <si>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</si>
  <si>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</si>
  <si>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</si>
  <si>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</si>
  <si>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</si>
  <si>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</si>
  <si>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</si>
  <si>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</si>
  <si>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</si>
  <si>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</si>
  <si>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</si>
  <si>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</si>
  <si>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</si>
  <si>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</si>
  <si>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</si>
  <si>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</si>
  <si>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</si>
  <si>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</si>
  <si>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</si>
  <si>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</si>
  <si>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</si>
  <si>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</si>
  <si>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</si>
  <si>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</si>
  <si>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</si>
  <si>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</si>
  <si>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</si>
  <si>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</si>
  <si>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</si>
  <si>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</si>
  <si>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</si>
  <si>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</si>
  <si>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</si>
  <si>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</si>
  <si>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</si>
  <si>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</si>
  <si>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</si>
  <si>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</si>
  <si>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</si>
  <si>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</si>
  <si>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</si>
  <si>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</si>
  <si>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</si>
  <si>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</si>
  <si>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</si>
  <si>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</si>
  <si>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</si>
  <si>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</si>
  <si>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</si>
  <si>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</si>
  <si>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</si>
  <si>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</si>
  <si>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</si>
  <si>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</si>
  <si>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</si>
  <si>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</si>
  <si>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</si>
  <si>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</si>
  <si>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</si>
  <si>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</si>
  <si>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</si>
  <si>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</si>
  <si>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</si>
  <si>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</si>
  <si>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</si>
  <si>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</si>
  <si>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</si>
  <si>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</si>
  <si>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</si>
  <si>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</si>
  <si>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</si>
  <si>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</si>
  <si>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</si>
  <si>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</si>
  <si>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</si>
  <si>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</si>
  <si>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</si>
  <si>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</si>
  <si>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</si>
  <si>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</si>
  <si>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</si>
  <si>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</si>
  <si>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</si>
  <si>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</si>
  <si>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</si>
  <si>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</si>
  <si>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</si>
  <si>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</si>
  <si>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</si>
  <si>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</si>
  <si>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</si>
  <si>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</si>
  <si>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</si>
  <si>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</si>
  <si>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</si>
  <si>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</si>
  <si>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</si>
  <si>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</si>
  <si>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</si>
  <si>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</si>
  <si>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</si>
  <si>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</si>
  <si>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</si>
  <si>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</si>
  <si>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</si>
  <si>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</si>
  <si>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</si>
  <si>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</si>
  <si>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</si>
  <si>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</si>
  <si>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</si>
  <si>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</si>
  <si>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</si>
  <si>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</si>
  <si>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</si>
  <si>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</si>
  <si>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</si>
  <si>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</si>
  <si>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</si>
  <si>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</si>
  <si>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</si>
  <si>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</si>
  <si>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</si>
  <si>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</si>
  <si>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</si>
  <si>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</si>
  <si>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</si>
  <si>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</si>
  <si>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</si>
  <si>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</si>
  <si>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</si>
  <si>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</si>
  <si>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</si>
  <si>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</si>
  <si>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</si>
  <si>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</si>
  <si>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</si>
  <si>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</si>
  <si>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</si>
  <si>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</si>
  <si>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</si>
  <si>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</si>
  <si>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</si>
  <si>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</si>
  <si>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</si>
  <si>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</si>
  <si>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</si>
  <si>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</si>
  <si>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</si>
  <si>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</si>
  <si>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</si>
  <si>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</si>
  <si>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</si>
  <si>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</si>
  <si>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</si>
  <si>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</si>
  <si>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</si>
  <si>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</si>
  <si>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</si>
  <si>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</si>
  <si>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</si>
  <si>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</si>
  <si>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</si>
  <si>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</si>
  <si>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</si>
  <si>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</si>
  <si>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</si>
  <si>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</si>
  <si>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</si>
  <si>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</si>
  <si>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</si>
  <si>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</si>
  <si>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</si>
  <si>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</si>
  <si>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</si>
  <si>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</si>
  <si>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</si>
  <si>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</si>
  <si>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</si>
  <si>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</si>
  <si>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</si>
  <si>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</si>
  <si>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</si>
  <si>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</si>
  <si>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</si>
  <si>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</si>
  <si>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</si>
  <si>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</si>
  <si>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</si>
  <si>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</si>
  <si>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</si>
  <si>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</si>
  <si>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</si>
  <si>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</si>
  <si>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</si>
  <si>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</si>
  <si>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</si>
  <si>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</si>
  <si>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</si>
  <si>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</si>
  <si>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</si>
  <si>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</si>
  <si>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</si>
  <si>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</si>
  <si>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</si>
  <si>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</si>
  <si>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</si>
  <si>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</si>
  <si>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</si>
  <si>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</si>
  <si>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</si>
  <si>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</si>
  <si>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</si>
  <si>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</si>
  <si>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</si>
  <si>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</si>
  <si>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</si>
  <si>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</si>
  <si>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</si>
  <si>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</si>
  <si>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</si>
  <si>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</si>
  <si>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</si>
  <si>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</si>
  <si>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</si>
  <si>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</si>
  <si>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</si>
  <si>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</si>
  <si>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</si>
  <si>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</si>
  <si>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</si>
  <si>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</si>
  <si>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</si>
  <si>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</si>
  <si>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</si>
  <si>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</si>
  <si>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</si>
  <si>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</si>
  <si>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</si>
  <si>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</si>
  <si>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</si>
  <si>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</si>
  <si>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</si>
  <si>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</si>
  <si>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</si>
  <si>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</si>
  <si>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</si>
  <si>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</si>
  <si>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</si>
  <si>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</si>
  <si>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</si>
  <si>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</si>
  <si>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</si>
  <si>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</si>
  <si>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</si>
  <si>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</si>
  <si>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</si>
  <si>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</si>
  <si>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</si>
  <si>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</si>
  <si>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</si>
  <si>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</si>
  <si>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</si>
  <si>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</si>
  <si>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</si>
  <si>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</si>
  <si>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</si>
  <si>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</si>
  <si>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</si>
  <si>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</si>
  <si>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</si>
  <si>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</si>
  <si>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</si>
  <si>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</si>
  <si>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</si>
  <si>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</si>
  <si>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</si>
  <si>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</si>
  <si>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</si>
  <si>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</si>
  <si>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</si>
  <si>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</si>
  <si>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</si>
  <si>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</si>
  <si>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</si>
  <si>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</si>
  <si>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</si>
  <si>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</si>
  <si>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</si>
  <si>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</si>
  <si>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</si>
  <si>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</si>
  <si>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</si>
  <si>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</si>
  <si>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</si>
  <si>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</si>
  <si>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</si>
  <si>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</si>
  <si>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</si>
  <si>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</si>
  <si>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</si>
  <si>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</si>
  <si>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</si>
  <si>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</si>
  <si>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</si>
  <si>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</si>
  <si>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</si>
  <si>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</si>
  <si>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</si>
  <si>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</si>
  <si>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</si>
  <si>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</si>
  <si>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</si>
  <si>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</si>
  <si>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</si>
  <si>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</si>
  <si>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</si>
  <si>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</si>
  <si>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</si>
  <si>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</si>
  <si>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</si>
  <si>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</si>
  <si>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</si>
  <si>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</si>
  <si>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</si>
  <si>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</si>
  <si>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</si>
  <si>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</si>
  <si>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</si>
  <si>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</si>
  <si>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</si>
  <si>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</si>
  <si>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</si>
  <si>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</si>
  <si>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</si>
  <si>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</si>
  <si>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</si>
  <si>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</si>
  <si>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</si>
  <si>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</si>
  <si>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</si>
  <si>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</si>
  <si>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</si>
  <si>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</si>
  <si>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</si>
  <si>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</si>
  <si>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</si>
  <si>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</si>
  <si>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</si>
  <si>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</si>
  <si>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</si>
  <si>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</si>
  <si>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</si>
  <si>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</si>
  <si>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</si>
  <si>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</si>
  <si>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</si>
  <si>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</si>
  <si>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</si>
  <si>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</si>
  <si>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</si>
  <si>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</si>
  <si>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</si>
  <si>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</si>
  <si>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</si>
  <si>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</si>
  <si>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</si>
  <si>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</si>
  <si>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</si>
  <si>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</si>
  <si>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</si>
  <si>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</si>
  <si>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</si>
  <si>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</si>
  <si>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</si>
  <si>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</si>
  <si>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</si>
  <si>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</si>
  <si>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</si>
  <si>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</si>
  <si>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</si>
  <si>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</si>
  <si>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</si>
  <si>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</si>
  <si>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</si>
  <si>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</si>
  <si>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</si>
  <si>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</si>
  <si>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</si>
  <si>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</si>
  <si>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</si>
  <si>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</si>
  <si>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</si>
  <si>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</si>
  <si>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</si>
  <si>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</si>
  <si>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</si>
  <si>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</si>
  <si>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</si>
  <si>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</si>
  <si>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</si>
  <si>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</si>
  <si>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</si>
  <si>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</si>
  <si>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</si>
  <si>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</si>
  <si>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</si>
  <si>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</si>
  <si>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</si>
  <si>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</si>
  <si>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</si>
  <si>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</si>
  <si>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</si>
  <si>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</si>
  <si>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</si>
  <si>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</si>
  <si>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</si>
  <si>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</si>
  <si>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</si>
  <si>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</si>
  <si>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</si>
  <si>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</si>
  <si>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</si>
  <si>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</si>
  <si>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</si>
  <si>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</si>
  <si>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</si>
  <si>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</si>
  <si>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</si>
  <si>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</si>
  <si>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</si>
  <si>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</si>
  <si>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</si>
  <si>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</si>
  <si>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</si>
  <si>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</si>
  <si>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</si>
  <si>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</si>
  <si>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</si>
  <si>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</si>
  <si>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</si>
  <si>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</si>
  <si>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</si>
  <si>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</si>
  <si>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</si>
  <si>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</si>
  <si>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</si>
  <si>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</si>
  <si>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</si>
  <si>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</si>
  <si>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</si>
  <si>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</si>
  <si>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</si>
  <si>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</si>
  <si>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</si>
  <si>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</si>
  <si>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</si>
  <si>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</si>
  <si>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</si>
  <si>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</si>
  <si>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</si>
  <si>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</si>
  <si>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</si>
  <si>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</si>
  <si>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</si>
  <si>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</si>
  <si>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</si>
  <si>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</si>
  <si>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</si>
  <si>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</si>
  <si>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</si>
  <si>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</si>
  <si>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</si>
  <si>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</si>
  <si>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</si>
  <si>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</si>
  <si>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</si>
  <si>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</si>
  <si>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</si>
  <si>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</si>
  <si>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</si>
  <si>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</si>
  <si>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</si>
  <si>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</si>
  <si>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</si>
  <si>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</si>
  <si>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</si>
  <si>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</si>
  <si>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</si>
  <si>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</si>
  <si>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</si>
  <si>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</si>
  <si>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</si>
  <si>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</si>
  <si>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</si>
  <si>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</si>
  <si>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</si>
  <si>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</si>
  <si>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</si>
  <si>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</si>
  <si>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</si>
  <si>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</si>
  <si>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</si>
  <si>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</si>
  <si>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</si>
  <si>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</si>
  <si>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</si>
  <si>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</si>
  <si>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</si>
  <si>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</si>
  <si>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</si>
  <si>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</si>
  <si>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</si>
  <si>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</si>
  <si>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</si>
  <si>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</si>
  <si>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</si>
  <si>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</si>
  <si>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</si>
  <si>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</si>
  <si>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</si>
  <si>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</si>
  <si>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</si>
  <si>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</si>
  <si>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</si>
  <si>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</si>
  <si>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</si>
  <si>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</si>
  <si>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</si>
  <si>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</si>
  <si>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</si>
  <si>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</si>
  <si>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</si>
  <si>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</si>
  <si>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</si>
  <si>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</si>
  <si>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</si>
  <si>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</si>
  <si>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</si>
  <si>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</si>
  <si>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</si>
  <si>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</si>
  <si>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</si>
  <si>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</si>
  <si>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</si>
  <si>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</si>
  <si>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</si>
  <si>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</si>
  <si>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</si>
  <si>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</si>
  <si>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</si>
  <si>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</si>
  <si>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</si>
  <si>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</si>
  <si>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</si>
  <si>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</si>
  <si>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</si>
  <si>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</si>
  <si>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</si>
  <si>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</si>
  <si>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</si>
  <si>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</si>
  <si>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</si>
  <si>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</si>
  <si>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</si>
  <si>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</si>
  <si>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</si>
  <si>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</si>
  <si>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</si>
  <si>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</si>
  <si>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</si>
  <si>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</si>
  <si>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</si>
  <si>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</si>
  <si>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</si>
  <si>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</si>
  <si>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</si>
  <si>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</si>
  <si>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</si>
  <si>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</si>
  <si>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</si>
  <si>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</si>
  <si>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</si>
  <si>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</si>
  <si>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</si>
  <si>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</si>
  <si>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</si>
  <si>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</si>
  <si>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</si>
  <si>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</si>
  <si>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</si>
  <si>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</si>
  <si>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</si>
  <si>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</si>
  <si>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</si>
  <si>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</si>
  <si>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</si>
  <si>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</si>
  <si>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</si>
  <si>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</si>
  <si>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</si>
  <si>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</si>
  <si>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</si>
  <si>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</si>
  <si>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</si>
  <si>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</si>
  <si>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</si>
  <si>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</si>
  <si>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</si>
  <si>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</si>
  <si>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</si>
  <si>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</si>
  <si>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</si>
  <si>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</si>
  <si>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</si>
  <si>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</si>
  <si>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</si>
  <si>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</si>
  <si>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</si>
  <si>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</si>
  <si>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</si>
  <si>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</si>
  <si>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</si>
  <si>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</si>
  <si>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</si>
  <si>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</si>
  <si>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</si>
  <si>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</si>
  <si>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</si>
  <si>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</si>
  <si>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</si>
  <si>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</si>
  <si>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</si>
  <si>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</si>
  <si>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</si>
  <si>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</si>
  <si>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</si>
  <si>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</si>
  <si>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</si>
  <si>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</si>
  <si>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</si>
  <si>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</si>
  <si>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</si>
  <si>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</si>
  <si>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</si>
  <si>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</si>
  <si>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</si>
  <si>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</si>
  <si>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</si>
  <si>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</si>
  <si>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</si>
  <si>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</si>
  <si>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</si>
  <si>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</si>
  <si>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</si>
  <si>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</si>
  <si>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</si>
  <si>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</si>
  <si>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</si>
  <si>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</si>
  <si>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</si>
  <si>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</si>
  <si>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</si>
  <si>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</si>
  <si>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</si>
  <si>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</si>
  <si>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</si>
  <si>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</si>
  <si>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</si>
  <si>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</si>
  <si>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</si>
  <si>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</si>
  <si>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</si>
  <si>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</si>
  <si>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</si>
  <si>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</si>
  <si>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</si>
  <si>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</si>
  <si>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</si>
  <si>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</si>
  <si>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</si>
  <si>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</si>
  <si>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</si>
  <si>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</si>
  <si>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</si>
  <si>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</si>
  <si>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</si>
  <si>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</si>
  <si>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</si>
  <si>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</si>
  <si>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</si>
  <si>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</si>
  <si>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</si>
  <si>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</si>
  <si>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</si>
  <si>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</si>
  <si>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</si>
  <si>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</si>
  <si>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</si>
  <si>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</si>
  <si>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</si>
  <si>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</si>
  <si>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</si>
  <si>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</si>
  <si>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</si>
  <si>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</si>
  <si>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</si>
  <si>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</si>
  <si>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</si>
  <si>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</si>
  <si>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</si>
  <si>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</si>
  <si>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</si>
  <si>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</si>
  <si>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</si>
  <si>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</si>
  <si>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</si>
  <si>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</si>
  <si>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</si>
  <si>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</si>
  <si>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</si>
  <si>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</si>
  <si>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</si>
  <si>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</si>
  <si>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</si>
  <si>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</si>
  <si>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</si>
  <si>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</si>
  <si>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</si>
  <si>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</si>
  <si>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</si>
  <si>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</si>
  <si>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</si>
  <si>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</si>
  <si>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</si>
  <si>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</si>
  <si>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</si>
  <si>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</si>
  <si>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</si>
  <si>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</si>
  <si>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</si>
  <si>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</si>
  <si>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</si>
  <si>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</si>
  <si>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</si>
  <si>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</si>
  <si>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</si>
  <si>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</si>
  <si>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</si>
  <si>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</si>
  <si>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</si>
  <si>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</si>
  <si>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</si>
  <si>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</si>
  <si>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</si>
  <si>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</si>
  <si>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</si>
  <si>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</si>
  <si>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</si>
  <si>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</si>
  <si>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</si>
  <si>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</si>
  <si>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</si>
  <si>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</si>
  <si>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</si>
  <si>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</si>
  <si>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</si>
  <si>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</si>
  <si>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</si>
  <si>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</si>
  <si>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</si>
  <si>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</si>
  <si>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</si>
  <si>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</si>
  <si>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</si>
  <si>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</si>
  <si>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</si>
  <si>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</si>
  <si>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</si>
  <si>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</si>
  <si>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</si>
  <si>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</si>
  <si>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</si>
  <si>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</si>
  <si>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</si>
  <si>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</si>
  <si>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</si>
  <si>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</si>
  <si>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</si>
  <si>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</si>
  <si>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</si>
  <si>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</si>
  <si>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</si>
  <si>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</si>
  <si>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</si>
  <si>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</si>
  <si>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</si>
  <si>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</si>
  <si>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</si>
  <si>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</si>
  <si>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</si>
  <si>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</si>
  <si>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</si>
  <si>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</si>
  <si>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</si>
  <si>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</si>
  <si>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</si>
  <si>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</si>
  <si>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</si>
  <si>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</si>
  <si>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</si>
  <si>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</si>
  <si>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</si>
  <si>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</si>
  <si>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</si>
  <si>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</si>
  <si>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</si>
  <si>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</si>
  <si>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</si>
  <si>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</si>
  <si>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</si>
  <si>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</si>
  <si>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</si>
  <si>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</si>
  <si>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</si>
  <si>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</si>
  <si>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</si>
  <si>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</si>
  <si>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</si>
  <si>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</si>
  <si>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</si>
  <si>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</si>
  <si>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</si>
  <si>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</si>
  <si>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</si>
  <si>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</si>
  <si>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</si>
  <si>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</si>
  <si>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</si>
  <si>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</si>
  <si>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</si>
  <si>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</si>
  <si>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</si>
  <si>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</si>
  <si>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</si>
  <si>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</si>
  <si>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</si>
  <si>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</si>
  <si>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</si>
  <si>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</si>
  <si>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</si>
  <si>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</si>
  <si>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</si>
  <si>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</si>
  <si>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</si>
  <si>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</si>
  <si>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</si>
  <si>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</si>
  <si>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</si>
  <si>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</si>
  <si>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</si>
  <si>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</si>
  <si>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</si>
  <si>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</si>
  <si>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</si>
  <si>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</si>
  <si>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</si>
  <si>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</si>
  <si>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</si>
  <si>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</si>
  <si>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</si>
  <si>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</si>
  <si>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</si>
  <si>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</si>
  <si>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</si>
  <si>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</si>
  <si>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</si>
  <si>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</si>
  <si>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</si>
  <si>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</si>
  <si>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</si>
  <si>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</si>
  <si>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</si>
  <si>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</si>
  <si>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</si>
  <si>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</si>
  <si>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</si>
  <si>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</si>
  <si>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</si>
  <si>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</si>
  <si>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</si>
  <si>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</si>
  <si>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</si>
  <si>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</si>
  <si>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</si>
  <si>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</si>
  <si>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</si>
  <si>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</si>
  <si>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</si>
  <si>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</si>
  <si>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</si>
  <si>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</si>
  <si>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</si>
  <si>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</si>
  <si>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</si>
  <si>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</si>
  <si>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</si>
  <si>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</si>
  <si>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</si>
  <si>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</si>
  <si>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</si>
  <si>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</si>
  <si>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</si>
  <si>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</si>
  <si>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</si>
  <si>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</si>
  <si>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</si>
  <si>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</si>
  <si>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</si>
  <si>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</si>
  <si>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</si>
  <si>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</si>
  <si>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</si>
  <si>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</si>
  <si>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</si>
  <si>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</si>
  <si>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</si>
  <si>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</si>
  <si>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</si>
  <si>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</si>
  <si>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</si>
  <si>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</si>
  <si>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</si>
  <si>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</si>
  <si>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</si>
  <si>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</si>
  <si>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</si>
  <si>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</si>
  <si>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</si>
  <si>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</si>
  <si>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</si>
  <si>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</si>
  <si>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</si>
  <si>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</si>
  <si>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</si>
  <si>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</si>
  <si>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</si>
  <si>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</si>
  <si>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</si>
  <si>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</si>
  <si>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</si>
  <si>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</si>
  <si>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</si>
  <si>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</si>
  <si>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</si>
  <si>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</si>
  <si>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</si>
  <si>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</si>
  <si>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</si>
  <si>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</si>
  <si>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</si>
  <si>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</si>
  <si>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</si>
  <si>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</si>
  <si>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</si>
  <si>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</si>
  <si>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</si>
  <si>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</si>
  <si>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</si>
  <si>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</si>
  <si>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</si>
  <si>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</si>
  <si>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</si>
  <si>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</si>
  <si>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</si>
  <si>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</si>
  <si>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</si>
  <si>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</si>
  <si>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</si>
  <si>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</si>
  <si>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</si>
  <si>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</si>
  <si>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</si>
  <si>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</si>
  <si>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</si>
  <si>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</si>
  <si>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</si>
  <si>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</si>
  <si>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</si>
  <si>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</si>
  <si>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</si>
  <si>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</si>
  <si>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</si>
  <si>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</si>
  <si>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</si>
  <si>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</si>
  <si>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</si>
  <si>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</si>
  <si>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</si>
  <si>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</si>
  <si>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</si>
  <si>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</si>
  <si>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</si>
  <si>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</si>
  <si>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</si>
  <si>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</si>
  <si>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</si>
  <si>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</si>
  <si>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</si>
  <si>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</si>
  <si>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</si>
  <si>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</si>
  <si>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</si>
  <si>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</si>
  <si>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</si>
  <si>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</si>
  <si>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</si>
  <si>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</si>
  <si>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</si>
  <si>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</si>
  <si>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</si>
  <si>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</si>
  <si>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</si>
  <si>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</si>
  <si>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</si>
  <si>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</si>
  <si>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</si>
  <si>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</si>
  <si>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</si>
  <si>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</si>
  <si>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</si>
  <si>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</si>
  <si>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</si>
  <si>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</si>
  <si>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</si>
  <si>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</si>
  <si>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</si>
  <si>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</si>
  <si>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</si>
  <si>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</si>
  <si>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</si>
  <si>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</si>
  <si>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</si>
  <si>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</si>
  <si>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</si>
  <si>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</si>
  <si>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</si>
  <si>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</si>
  <si>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</si>
  <si>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</si>
  <si>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</si>
  <si>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</si>
  <si>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</si>
  <si>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</si>
  <si>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</si>
  <si>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</si>
  <si>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</si>
  <si>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</si>
  <si>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</si>
  <si>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</si>
  <si>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</si>
  <si>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</si>
  <si>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</si>
  <si>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</si>
  <si>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</si>
  <si>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</si>
  <si>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</si>
  <si>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</si>
  <si>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</si>
  <si>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</si>
  <si>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</si>
  <si>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</si>
  <si>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</si>
  <si>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</si>
  <si>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</si>
  <si>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</si>
  <si>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</si>
  <si>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</si>
  <si>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</si>
  <si>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</si>
  <si>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</si>
  <si>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</si>
  <si>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</si>
  <si>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</si>
  <si>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</si>
  <si>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</si>
  <si>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</si>
  <si>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</si>
  <si>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</si>
  <si>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</si>
  <si>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</si>
  <si>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</si>
  <si>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</si>
  <si>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</si>
  <si>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</si>
  <si>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</si>
  <si>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</si>
  <si>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</si>
  <si>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</si>
  <si>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</si>
  <si>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</si>
  <si>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</si>
  <si>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</si>
  <si>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</si>
  <si>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</si>
  <si>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</si>
  <si>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</si>
  <si>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</si>
  <si>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</si>
  <si>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</si>
  <si>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</si>
  <si>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</si>
  <si>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</si>
  <si>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</si>
  <si>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</si>
  <si>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</si>
  <si>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</si>
  <si>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</si>
  <si>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</si>
  <si>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</si>
  <si>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</si>
  <si>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</si>
  <si>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</si>
  <si>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</si>
  <si>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</si>
  <si>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</si>
  <si>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</si>
  <si>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</si>
  <si>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</si>
  <si>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</si>
  <si>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</si>
  <si>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</si>
  <si>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</si>
  <si>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</si>
  <si>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</si>
  <si>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</si>
  <si>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</si>
  <si>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</si>
  <si>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</si>
  <si>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</si>
  <si>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</si>
  <si>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</si>
  <si>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</si>
  <si>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</si>
  <si>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</si>
  <si>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</si>
  <si>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</si>
  <si>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</si>
  <si>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</si>
  <si>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</si>
  <si>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</si>
  <si>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</si>
  <si>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</si>
  <si>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</si>
  <si>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</si>
  <si>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</si>
  <si>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</si>
  <si>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</si>
  <si>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</si>
  <si>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</si>
  <si>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</si>
  <si>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</si>
  <si>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</si>
  <si>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</si>
  <si>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</si>
  <si>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</si>
  <si>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</si>
  <si>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</si>
  <si>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</si>
  <si>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</si>
  <si>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</si>
  <si>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</si>
  <si>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</si>
  <si>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</si>
  <si>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</si>
  <si>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</si>
  <si>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</si>
  <si>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</si>
  <si>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</si>
  <si>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</si>
  <si>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</si>
  <si>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</si>
  <si>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</si>
  <si>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</si>
  <si>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</si>
  <si>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</si>
  <si>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</si>
  <si>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</si>
  <si>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</si>
  <si>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</si>
  <si>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</si>
  <si>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</si>
  <si>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</si>
  <si>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</si>
  <si>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</si>
  <si>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</si>
  <si>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</si>
  <si>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</si>
  <si>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</si>
  <si>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</si>
  <si>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</si>
  <si>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</si>
  <si>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</si>
  <si>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</si>
  <si>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</si>
  <si>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</si>
  <si>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</si>
  <si>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</si>
  <si>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</si>
  <si>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</si>
  <si>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</si>
  <si>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</si>
  <si>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</si>
  <si>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</si>
  <si>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</si>
  <si>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</si>
  <si>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</si>
  <si>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</si>
  <si>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</si>
  <si>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</si>
  <si>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</si>
  <si>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</si>
  <si>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</si>
  <si>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</si>
  <si>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</si>
  <si>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</si>
  <si>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</si>
  <si>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</si>
  <si>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</si>
  <si>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</si>
  <si>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</si>
  <si>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</si>
  <si>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</si>
  <si>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</si>
  <si>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</si>
  <si>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</si>
  <si>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</si>
  <si>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</si>
  <si>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</si>
  <si>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</si>
  <si>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</si>
  <si>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</si>
  <si>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</si>
  <si>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</si>
  <si>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</si>
  <si>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</si>
  <si>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</si>
  <si>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</si>
  <si>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</si>
  <si>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</si>
  <si>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</si>
  <si>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</si>
  <si>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</si>
  <si>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</si>
  <si>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</si>
  <si>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</si>
  <si>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</si>
  <si>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</si>
  <si>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</si>
  <si>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</si>
  <si>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</si>
  <si>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</si>
  <si>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</si>
  <si>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</si>
  <si>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</si>
  <si>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</si>
  <si>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</si>
  <si>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</si>
  <si>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</si>
  <si>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</si>
  <si>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</si>
  <si>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</si>
  <si>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</si>
  <si>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</si>
  <si>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</si>
  <si>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</si>
  <si>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</si>
  <si>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</si>
  <si>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</si>
  <si>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</si>
  <si>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</si>
  <si>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</si>
  <si>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</si>
  <si>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</si>
  <si>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</si>
  <si>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</si>
  <si>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</si>
  <si>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</si>
  <si>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</si>
  <si>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</si>
  <si>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</si>
  <si>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</si>
  <si>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</si>
  <si>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</si>
  <si>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</si>
  <si>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</si>
  <si>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</si>
  <si>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</si>
  <si>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</si>
  <si>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</si>
  <si>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</si>
  <si>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</si>
  <si>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</si>
  <si>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</si>
  <si>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</si>
  <si>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</si>
  <si>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</si>
  <si>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</si>
  <si>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</si>
  <si>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</si>
  <si>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</si>
  <si>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</si>
  <si>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</si>
  <si>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</si>
  <si>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</si>
  <si>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</si>
  <si>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</si>
  <si>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</si>
  <si>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</si>
  <si>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</si>
  <si>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</si>
  <si>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</si>
  <si>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</si>
  <si>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</si>
  <si>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</si>
  <si>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</si>
  <si>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</si>
  <si>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</si>
  <si>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</si>
  <si>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</si>
  <si>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</si>
  <si>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</si>
  <si>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</si>
  <si>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</si>
  <si>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</si>
  <si>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</si>
  <si>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</si>
  <si>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</si>
  <si>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</si>
  <si>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</si>
  <si>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</si>
  <si>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</si>
  <si>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</si>
  <si>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</si>
  <si>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</si>
  <si>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</si>
  <si>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</si>
  <si>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</si>
  <si>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</si>
  <si>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</si>
  <si>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</si>
  <si>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</si>
  <si>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</si>
  <si>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</si>
  <si>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</si>
  <si>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</si>
  <si>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</si>
  <si>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</si>
  <si>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</si>
  <si>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</si>
  <si>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</si>
  <si>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</si>
  <si>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</si>
  <si>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</si>
  <si>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</si>
  <si>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</si>
  <si>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</si>
  <si>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</si>
  <si>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</si>
  <si>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</si>
  <si>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</si>
  <si>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</si>
  <si>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</si>
  <si>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</si>
  <si>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</si>
  <si>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</si>
  <si>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</si>
  <si>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</si>
  <si>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</si>
  <si>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</si>
  <si>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</si>
  <si>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</si>
  <si>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</si>
  <si>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</si>
  <si>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</si>
  <si>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</si>
  <si>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</si>
  <si>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</si>
  <si>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</si>
  <si>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</si>
  <si>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</si>
  <si>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</si>
  <si>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</si>
  <si>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</si>
  <si>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</si>
  <si>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</si>
  <si>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</si>
  <si>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</si>
  <si>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</si>
  <si>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</si>
  <si>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</si>
  <si>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</si>
  <si>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</si>
  <si>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</si>
  <si>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</si>
  <si>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</si>
  <si>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</si>
  <si>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</si>
  <si>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</si>
  <si>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</si>
  <si>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</si>
  <si>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</si>
  <si>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</si>
  <si>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</si>
  <si>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</si>
  <si>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</si>
  <si>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</si>
  <si>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</si>
  <si>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</si>
  <si>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</si>
  <si>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</si>
  <si>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</si>
  <si>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</si>
  <si>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</si>
  <si>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</si>
  <si>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</si>
  <si>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</si>
  <si>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</si>
  <si>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</si>
  <si>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</si>
  <si>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</si>
  <si>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</si>
  <si>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</si>
  <si>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</si>
  <si>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</si>
  <si>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</si>
  <si>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</si>
  <si>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</si>
  <si>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</si>
  <si>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</si>
  <si>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</si>
  <si>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</si>
  <si>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</si>
  <si>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</si>
  <si>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</si>
  <si>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</si>
  <si>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</si>
  <si>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</si>
  <si>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</si>
  <si>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</si>
  <si>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</si>
  <si>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</si>
  <si>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</si>
  <si>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</si>
  <si>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</si>
  <si>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</si>
  <si>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</si>
  <si>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</si>
  <si>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</si>
  <si>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</si>
  <si>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</si>
  <si>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</si>
  <si>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</si>
  <si>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</si>
  <si>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</si>
  <si>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</si>
  <si>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</si>
  <si>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</si>
  <si>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</si>
  <si>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</si>
  <si>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</si>
  <si>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</si>
  <si>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</si>
  <si>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</si>
  <si>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</si>
  <si>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</si>
  <si>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</si>
  <si>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</si>
  <si>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</si>
  <si>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</si>
  <si>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</si>
  <si>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</si>
  <si>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</si>
  <si>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</si>
  <si>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</si>
  <si>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</si>
  <si>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</si>
  <si>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</si>
  <si>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</si>
  <si>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</si>
  <si>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</si>
  <si>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</si>
  <si>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</si>
  <si>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</si>
  <si>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</si>
  <si>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</si>
  <si>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</si>
  <si>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</si>
  <si>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</si>
  <si>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</si>
  <si>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</si>
  <si>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</si>
  <si>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</si>
  <si>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</si>
  <si>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</si>
  <si>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</si>
  <si>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</si>
  <si>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</si>
  <si>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</si>
  <si>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</si>
  <si>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</si>
  <si>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</si>
  <si>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</si>
  <si>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</si>
  <si>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</si>
  <si>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</si>
  <si>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</si>
  <si>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</si>
  <si>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</si>
  <si>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</si>
  <si>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</si>
  <si>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</si>
  <si>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</si>
  <si>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</si>
  <si>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</si>
  <si>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</si>
  <si>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</si>
  <si>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</si>
  <si>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</si>
  <si>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</si>
  <si>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</si>
  <si>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</si>
  <si>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</si>
  <si>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</si>
  <si>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</si>
  <si>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</si>
  <si>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</si>
  <si>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</si>
  <si>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</si>
  <si>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</si>
  <si>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</si>
  <si>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</si>
  <si>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</si>
  <si>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</si>
  <si>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</si>
  <si>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</si>
  <si>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</si>
  <si>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</si>
  <si>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</si>
  <si>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</si>
  <si>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</si>
  <si>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</si>
  <si>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</si>
  <si>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</si>
  <si>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</si>
  <si>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</si>
  <si>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</si>
  <si>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</si>
  <si>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</si>
  <si>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</si>
  <si>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</si>
  <si>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</si>
  <si>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</si>
  <si>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</si>
  <si>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</si>
  <si>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</si>
  <si>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</si>
  <si>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</si>
  <si>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</si>
  <si>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</si>
  <si>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</si>
  <si>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</si>
  <si>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</si>
  <si>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</si>
  <si>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</si>
  <si>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</si>
  <si>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</si>
  <si>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</si>
  <si>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</si>
  <si>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</si>
  <si>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</si>
  <si>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</si>
  <si>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</si>
  <si>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</si>
  <si>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</si>
  <si>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</si>
  <si>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</si>
  <si>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</si>
  <si>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</si>
  <si>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</si>
  <si>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</si>
  <si>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</si>
  <si>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</si>
  <si>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</si>
  <si>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</si>
  <si>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</si>
  <si>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</si>
  <si>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</si>
  <si>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</si>
  <si>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</si>
  <si>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</si>
  <si>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</si>
  <si>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</si>
  <si>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</si>
  <si>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</si>
  <si>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</si>
  <si>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</si>
  <si>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</si>
  <si>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</si>
  <si>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</si>
  <si>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</si>
  <si>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</si>
  <si>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</si>
  <si>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</si>
  <si>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</si>
  <si>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</si>
  <si>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</si>
  <si>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</si>
  <si>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</si>
  <si>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</si>
  <si>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</si>
  <si>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</si>
  <si>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</si>
  <si>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</si>
  <si>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</si>
  <si>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</si>
  <si>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</si>
  <si>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</si>
  <si>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</si>
  <si>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</si>
  <si>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</si>
  <si>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</si>
  <si>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</si>
  <si>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</si>
  <si>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</si>
  <si>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</si>
  <si>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</si>
  <si>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</si>
  <si>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</si>
  <si>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</si>
  <si>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</si>
  <si>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</si>
  <si>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</si>
  <si>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</si>
  <si>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</si>
  <si>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</si>
  <si>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</si>
  <si>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</si>
  <si>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</si>
  <si>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</si>
  <si>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</si>
  <si>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</si>
  <si>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</si>
  <si>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</si>
  <si>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</si>
  <si>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</si>
  <si>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</si>
  <si>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</si>
  <si>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</si>
  <si>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</si>
  <si>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</si>
  <si>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</si>
  <si>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</si>
  <si>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</si>
  <si>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</si>
  <si>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</si>
  <si>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</si>
  <si>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</si>
  <si>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</si>
  <si>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</si>
  <si>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</si>
  <si>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</si>
  <si>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</si>
  <si>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</si>
  <si>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</si>
  <si>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</si>
  <si>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</si>
  <si>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</si>
  <si>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</si>
  <si>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</si>
  <si>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</si>
  <si>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</si>
  <si>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</si>
  <si>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</si>
  <si>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</si>
  <si>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</si>
  <si>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</si>
  <si>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</si>
  <si>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</si>
  <si>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</si>
  <si>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</si>
  <si>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</si>
  <si>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</si>
  <si>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</si>
  <si>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</si>
  <si>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</si>
  <si>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</si>
  <si>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</si>
  <si>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</si>
  <si>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</si>
  <si>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</si>
  <si>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</si>
  <si>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</si>
  <si>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</si>
  <si>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</si>
  <si>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</si>
  <si>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</si>
  <si>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</si>
  <si>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</si>
  <si>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</si>
  <si>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</si>
  <si>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</si>
  <si>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</si>
  <si>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</si>
  <si>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</si>
  <si>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</si>
  <si>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</si>
  <si>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</si>
  <si>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</si>
  <si>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</si>
  <si>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</si>
  <si>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</si>
  <si>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</si>
  <si>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</si>
  <si>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</si>
  <si>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</si>
  <si>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</si>
  <si>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</si>
  <si>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</si>
  <si>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</si>
  <si>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</si>
  <si>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</si>
  <si>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</si>
  <si>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</si>
  <si>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</si>
  <si>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</si>
  <si>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</si>
  <si>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</si>
  <si>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</si>
  <si>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</si>
  <si>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</si>
  <si>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</si>
  <si>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</si>
  <si>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</si>
  <si>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</si>
  <si>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</si>
  <si>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</si>
  <si>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</si>
  <si>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</si>
  <si>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</si>
  <si>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</si>
  <si>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</si>
  <si>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</si>
  <si>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</si>
  <si>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</si>
  <si>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</si>
  <si>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</si>
  <si>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</si>
  <si>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</si>
  <si>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</si>
  <si>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</si>
  <si>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</si>
  <si>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</si>
  <si>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</si>
  <si>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</si>
  <si>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</si>
  <si>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</si>
  <si>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</si>
  <si>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</si>
  <si>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</si>
  <si>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</si>
  <si>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</si>
  <si>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</si>
  <si>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</si>
  <si>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</si>
  <si>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</si>
  <si>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</si>
  <si>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</si>
  <si>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</si>
  <si>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</si>
  <si>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</si>
  <si>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</si>
  <si>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</si>
  <si>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</si>
  <si>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</si>
  <si>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</si>
  <si>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</si>
  <si>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</si>
  <si>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</si>
  <si>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</si>
  <si>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</si>
  <si>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</si>
  <si>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</si>
  <si>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</si>
  <si>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</si>
  <si>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</si>
  <si>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</si>
  <si>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</si>
  <si>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</si>
  <si>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</si>
  <si>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</si>
  <si>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</si>
  <si>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</si>
  <si>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</si>
  <si>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</si>
  <si>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</si>
  <si>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</si>
  <si>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</si>
  <si>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</si>
  <si>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</si>
  <si>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</si>
  <si>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</si>
  <si>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</si>
  <si>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</si>
  <si>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</si>
  <si>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</si>
  <si>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</si>
  <si>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</si>
  <si>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</si>
  <si>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</si>
  <si>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</si>
  <si>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</si>
  <si>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</si>
  <si>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</si>
  <si>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</si>
  <si>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</si>
  <si>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</si>
  <si>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</si>
  <si>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</si>
  <si>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</si>
  <si>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</si>
  <si>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</si>
  <si>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</si>
  <si>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</si>
  <si>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</si>
  <si>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</si>
  <si>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</si>
  <si>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</si>
  <si>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</si>
  <si>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</si>
  <si>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</si>
  <si>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</si>
  <si>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</si>
  <si>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</si>
  <si>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</si>
  <si>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</si>
  <si>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</si>
  <si>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</si>
  <si>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</si>
  <si>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</si>
  <si>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</si>
  <si>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</si>
  <si>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</si>
  <si>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</si>
  <si>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</si>
  <si>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</si>
  <si>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</si>
  <si>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</si>
  <si>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</si>
  <si>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</si>
  <si>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</si>
  <si>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</si>
  <si>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</si>
  <si>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</si>
  <si>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</si>
  <si>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</si>
  <si>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</si>
  <si>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</si>
  <si>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</si>
  <si>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</si>
  <si>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</si>
  <si>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</si>
  <si>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</si>
  <si>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</si>
  <si>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</si>
  <si>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</si>
  <si>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</si>
  <si>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</si>
  <si>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</si>
  <si>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</si>
  <si>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</si>
  <si>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</si>
  <si>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</si>
  <si>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</si>
  <si>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</si>
  <si>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</si>
  <si>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</si>
  <si>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</si>
  <si>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</si>
  <si>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</si>
  <si>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</si>
  <si>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</si>
  <si>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</si>
  <si>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</si>
  <si>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</si>
  <si>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</si>
  <si>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</si>
  <si>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</si>
  <si>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</si>
  <si>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</si>
  <si>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</si>
  <si>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</si>
  <si>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</si>
  <si>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</si>
  <si>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</si>
  <si>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</si>
  <si>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</si>
  <si>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</si>
  <si>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</si>
  <si>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</si>
  <si>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</si>
  <si>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</si>
  <si>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</si>
  <si>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</si>
  <si>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</si>
  <si>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</si>
  <si>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</si>
  <si>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</si>
  <si>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</si>
  <si>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</si>
  <si>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</si>
  <si>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</si>
  <si>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</si>
  <si>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</si>
  <si>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</si>
  <si>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</si>
  <si>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</si>
  <si>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</si>
  <si>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</si>
  <si>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</si>
  <si>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</si>
  <si>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</si>
  <si>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</si>
  <si>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</si>
  <si>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</si>
  <si>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</si>
  <si>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</si>
  <si>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</si>
  <si>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</si>
  <si>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</si>
  <si>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</si>
  <si>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</si>
  <si>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</si>
  <si>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</si>
  <si>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</si>
  <si>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</si>
  <si>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</si>
  <si>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</si>
  <si>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</si>
  <si>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</si>
  <si>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</si>
  <si>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</si>
  <si>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</si>
  <si>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</si>
  <si>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</si>
  <si>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</si>
  <si>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</si>
  <si>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</si>
  <si>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</si>
  <si>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</si>
  <si>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</si>
  <si>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</si>
  <si>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</si>
  <si>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</si>
  <si>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</si>
  <si>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</si>
  <si>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</si>
  <si>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</si>
  <si>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</si>
  <si>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</si>
  <si>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</si>
  <si>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</si>
  <si>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</si>
  <si>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</si>
  <si>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</si>
  <si>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</si>
  <si>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</si>
  <si>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</si>
  <si>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</si>
  <si>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</si>
  <si>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</si>
  <si>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</si>
  <si>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</si>
  <si>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</si>
  <si>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</si>
  <si>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</si>
  <si>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</si>
  <si>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</si>
  <si>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</si>
  <si>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</si>
  <si>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</si>
  <si>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</si>
  <si>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</si>
  <si>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</si>
  <si>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</si>
  <si>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</si>
  <si>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</si>
  <si>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</si>
  <si>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</si>
  <si>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</si>
  <si>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</si>
  <si>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</si>
  <si>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</si>
  <si>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</si>
  <si>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</si>
  <si>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</si>
  <si>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</si>
  <si>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</si>
  <si>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</si>
  <si>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</si>
  <si>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</si>
  <si>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</si>
  <si>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</si>
  <si>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</si>
  <si>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</si>
  <si>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</si>
  <si>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</si>
  <si>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</si>
  <si>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</si>
  <si>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</si>
  <si>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</si>
  <si>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</si>
  <si>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</si>
  <si>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</si>
  <si>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</si>
  <si>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</si>
  <si>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</si>
  <si>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</si>
  <si>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</si>
  <si>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</si>
  <si>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</si>
  <si>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</si>
  <si>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</si>
  <si>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</si>
  <si>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</si>
  <si>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</si>
  <si>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</si>
  <si>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</si>
  <si>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</si>
  <si>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</si>
  <si>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</si>
  <si>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</si>
  <si>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</si>
  <si>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</si>
  <si>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</si>
  <si>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</si>
  <si>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</si>
  <si>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</si>
  <si>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</si>
  <si>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</si>
  <si>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</si>
  <si>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</si>
  <si>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</si>
  <si>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</si>
  <si>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</si>
  <si>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</si>
  <si>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</si>
  <si>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</si>
  <si>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</si>
  <si>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</si>
  <si>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</si>
  <si>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</si>
  <si>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</si>
  <si>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</si>
  <si>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</si>
  <si>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</si>
  <si>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</si>
  <si>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</si>
  <si>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</si>
  <si>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</si>
  <si>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</si>
  <si>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</si>
  <si>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</si>
  <si>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</si>
  <si>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</si>
  <si>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</si>
  <si>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</si>
  <si>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</si>
  <si>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</si>
  <si>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</si>
  <si>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</si>
  <si>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</si>
  <si>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</si>
  <si>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</si>
  <si>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</si>
  <si>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</si>
  <si>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</si>
  <si>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</si>
  <si>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</si>
  <si>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</si>
  <si>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</si>
  <si>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</si>
  <si>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</si>
  <si>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</si>
  <si>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</si>
  <si>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</si>
  <si>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</si>
  <si>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</si>
  <si>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</si>
  <si>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</si>
  <si>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</si>
  <si>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</si>
  <si>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</si>
  <si>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</si>
  <si>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</si>
  <si>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</si>
  <si>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</si>
  <si>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</si>
  <si>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</si>
  <si>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</si>
  <si>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</si>
  <si>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</si>
  <si>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</si>
  <si>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</si>
  <si>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</si>
  <si>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</si>
  <si>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</si>
  <si>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</si>
  <si>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</si>
  <si>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</si>
  <si>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</si>
  <si>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</si>
  <si>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</si>
  <si>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</si>
  <si>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</si>
  <si>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</si>
  <si>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</si>
  <si>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</si>
  <si>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</si>
  <si>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</si>
  <si>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</si>
  <si>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</si>
  <si>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</si>
  <si>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</si>
  <si>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</si>
  <si>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</si>
  <si>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</si>
  <si>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</si>
  <si>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</si>
  <si>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</si>
  <si>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</si>
  <si>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</si>
  <si>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</si>
  <si>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</si>
  <si>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</si>
  <si>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</si>
  <si>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</si>
  <si>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</si>
  <si>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</si>
  <si>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</si>
  <si>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</si>
  <si>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</si>
  <si>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</si>
  <si>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</si>
  <si>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</si>
  <si>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</si>
  <si>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</si>
  <si>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</si>
  <si>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</si>
  <si>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</si>
  <si>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</si>
  <si>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</si>
  <si>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</si>
  <si>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</si>
  <si>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</si>
  <si>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</si>
  <si>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</si>
  <si>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</si>
  <si>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</si>
  <si>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</si>
  <si>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</si>
  <si>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</si>
  <si>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</si>
  <si>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</si>
  <si>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</si>
  <si>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</si>
  <si>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</si>
  <si>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</si>
  <si>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</si>
  <si>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</si>
  <si>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</si>
  <si>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</si>
  <si>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</si>
  <si>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</si>
  <si>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</si>
  <si>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</si>
  <si>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</si>
  <si>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</si>
  <si>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</si>
  <si>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</si>
  <si>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</si>
  <si>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</si>
  <si>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</si>
  <si>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</si>
  <si>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</si>
  <si>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</si>
  <si>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</si>
  <si>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</si>
  <si>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</si>
  <si>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</si>
  <si>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</si>
  <si>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</si>
  <si>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</si>
  <si>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</si>
  <si>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</si>
  <si>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</si>
  <si>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</si>
  <si>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</si>
  <si>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</si>
  <si>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</si>
  <si>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</si>
  <si>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</si>
  <si>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</si>
  <si>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</si>
  <si>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</si>
  <si>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</si>
  <si>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</si>
  <si>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</si>
  <si>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</si>
  <si>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</si>
  <si>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</si>
  <si>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</si>
  <si>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</si>
  <si>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</si>
  <si>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</si>
  <si>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</si>
  <si>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</si>
  <si>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</si>
  <si>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</si>
  <si>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</si>
  <si>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</si>
  <si>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</si>
  <si>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</si>
  <si>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</si>
  <si>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</si>
  <si>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</si>
  <si>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</si>
  <si>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</si>
  <si>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</si>
  <si>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</si>
  <si>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</si>
  <si>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</si>
  <si>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</si>
  <si>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</si>
  <si>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</si>
  <si>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</si>
  <si>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</si>
  <si>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</si>
  <si>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</si>
  <si>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</si>
  <si>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</si>
  <si>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</si>
  <si>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</si>
  <si>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</si>
  <si>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</si>
  <si>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</si>
  <si>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</si>
  <si>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</si>
  <si>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</si>
  <si>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</si>
  <si>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</si>
  <si>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</si>
  <si>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</si>
  <si>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</si>
  <si>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</si>
  <si>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</si>
  <si>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</si>
  <si>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</si>
  <si>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</si>
  <si>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</si>
  <si>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</si>
  <si>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</si>
  <si>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</si>
  <si>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</si>
  <si>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</si>
  <si>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</si>
  <si>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</si>
  <si>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</si>
  <si>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</si>
  <si>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</si>
  <si>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</si>
  <si>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</si>
  <si>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</si>
  <si>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</si>
  <si>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</si>
  <si>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</si>
  <si>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</si>
  <si>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</si>
  <si>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</si>
  <si>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</si>
  <si>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</si>
  <si>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</si>
  <si>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</si>
  <si>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</si>
  <si>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</si>
  <si>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</si>
  <si>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</si>
  <si>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</si>
  <si>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</si>
  <si>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</si>
  <si>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</si>
  <si>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</si>
  <si>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</si>
  <si>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</si>
  <si>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</si>
  <si>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</si>
  <si>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</si>
  <si>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</si>
  <si>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</si>
  <si>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</si>
  <si>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</si>
  <si>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</si>
  <si>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</si>
  <si>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</si>
  <si>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</si>
  <si>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</si>
  <si>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</si>
  <si>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</si>
  <si>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</si>
  <si>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</si>
  <si>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</si>
  <si>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</si>
  <si>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</si>
  <si>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</si>
  <si>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</si>
  <si>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</si>
  <si>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</si>
  <si>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</si>
  <si>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</si>
  <si>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</si>
  <si>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</si>
  <si>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</si>
  <si>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</si>
  <si>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</si>
  <si>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</si>
  <si>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</si>
  <si>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</si>
  <si>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</si>
  <si>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</si>
  <si>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</si>
  <si>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</si>
  <si>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</si>
  <si>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</si>
  <si>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</si>
  <si>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</si>
  <si>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</si>
  <si>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</si>
  <si>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</si>
  <si>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</si>
  <si>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</si>
  <si>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</si>
  <si>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</si>
  <si>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</si>
  <si>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</si>
  <si>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</si>
  <si>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</si>
  <si>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</si>
  <si>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</si>
  <si>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</si>
  <si>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</si>
  <si>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</si>
  <si>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</si>
  <si>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</si>
  <si>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</si>
  <si>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</si>
  <si>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</si>
  <si>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</si>
  <si>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</si>
  <si>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</si>
  <si>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</si>
  <si>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</si>
  <si>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</si>
  <si>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</si>
  <si>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</si>
  <si>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</si>
  <si>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</si>
  <si>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</si>
  <si>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</si>
  <si>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</si>
  <si>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</si>
  <si>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</si>
  <si>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</si>
  <si>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</si>
  <si>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</si>
  <si>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</si>
  <si>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</si>
  <si>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</si>
  <si>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</si>
  <si>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</si>
  <si>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</si>
  <si>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</si>
  <si>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</si>
  <si>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</si>
  <si>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</si>
  <si>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</si>
  <si>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</si>
  <si>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</si>
  <si>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</si>
  <si>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</si>
  <si>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</si>
  <si>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</si>
  <si>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</si>
  <si>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</si>
  <si>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</si>
  <si>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</si>
  <si>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</si>
  <si>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</si>
  <si>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</si>
  <si>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</si>
  <si>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</si>
  <si>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</si>
  <si>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</si>
  <si>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</si>
  <si>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</si>
  <si>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</si>
  <si>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</si>
  <si>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</si>
  <si>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</si>
  <si>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</si>
  <si>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</si>
  <si>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</si>
  <si>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</si>
  <si>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</si>
  <si>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</si>
  <si>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</si>
  <si>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</si>
  <si>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</si>
  <si>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</si>
  <si>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</si>
  <si>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</si>
  <si>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</si>
  <si>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</si>
  <si>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</si>
  <si>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</si>
  <si>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</si>
  <si>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</si>
  <si>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</si>
  <si>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</si>
  <si>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</si>
  <si>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</si>
  <si>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</si>
  <si>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</si>
  <si>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</si>
  <si>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</si>
  <si>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</si>
  <si>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</si>
  <si>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</si>
  <si>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</si>
  <si>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</si>
  <si>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</si>
  <si>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</si>
  <si>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</si>
  <si>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</si>
  <si>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</si>
  <si>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</si>
  <si>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</si>
  <si>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</si>
  <si>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</si>
  <si>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</si>
  <si>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</si>
  <si>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</si>
  <si>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</si>
  <si>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</si>
  <si>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</si>
  <si>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</si>
  <si>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</si>
  <si>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</si>
  <si>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</si>
  <si>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</si>
  <si>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</si>
  <si>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</si>
  <si>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</si>
  <si>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</si>
  <si>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</si>
  <si>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</si>
  <si>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</si>
  <si>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</si>
  <si>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</si>
  <si>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</si>
  <si>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</si>
  <si>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</si>
  <si>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</si>
  <si>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</si>
  <si>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</si>
  <si>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</si>
  <si>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</si>
  <si>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</si>
  <si>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</si>
  <si>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</si>
  <si>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</si>
  <si>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</si>
  <si>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</si>
  <si>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</si>
  <si>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</si>
  <si>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</si>
  <si>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</si>
  <si>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</si>
  <si>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</si>
  <si>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</si>
  <si>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</si>
  <si>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</si>
  <si>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</si>
  <si>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</si>
  <si>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</si>
  <si>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</si>
  <si>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</si>
  <si>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</si>
  <si>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</si>
  <si>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</si>
  <si>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</si>
  <si>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</si>
  <si>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</si>
  <si>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</si>
  <si>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</si>
  <si>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</si>
  <si>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</si>
  <si>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</si>
  <si>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</si>
  <si>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</si>
  <si>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</si>
  <si>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</si>
  <si>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</si>
  <si>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</si>
  <si>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</si>
  <si>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</si>
  <si>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</si>
  <si>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</si>
  <si>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</si>
  <si>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</si>
  <si>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</si>
  <si>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</si>
  <si>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</si>
  <si>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</si>
  <si>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</si>
  <si>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</si>
  <si>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</si>
  <si>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</si>
  <si>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</si>
  <si>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</si>
  <si>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</si>
  <si>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</si>
  <si>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</si>
  <si>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</si>
  <si>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</si>
  <si>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</si>
  <si>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</si>
  <si>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</si>
  <si>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</si>
  <si>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</si>
  <si>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</si>
  <si>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</si>
  <si>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</si>
  <si>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</si>
  <si>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</si>
  <si>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</si>
  <si>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</si>
  <si>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</si>
  <si>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</si>
  <si>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</si>
  <si>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</si>
  <si>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</si>
  <si>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</si>
  <si>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</si>
  <si>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</si>
  <si>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</si>
  <si>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</si>
  <si>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</si>
  <si>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</si>
  <si>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</si>
  <si>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</si>
  <si>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</si>
  <si>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</si>
  <si>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</si>
  <si>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</si>
  <si>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</si>
  <si>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</si>
  <si>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</si>
  <si>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</si>
  <si>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</si>
  <si>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</si>
  <si>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</si>
  <si>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</si>
  <si>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</si>
  <si>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</si>
  <si>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</si>
  <si>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</si>
  <si>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</si>
  <si>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</si>
  <si>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</si>
  <si>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</si>
  <si>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</si>
  <si>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</si>
  <si>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</si>
  <si>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</si>
  <si>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</si>
  <si>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</si>
  <si>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</si>
  <si>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</si>
  <si>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</si>
  <si>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</si>
  <si>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</si>
  <si>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</si>
  <si>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</si>
  <si>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</si>
  <si>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</si>
  <si>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</si>
  <si>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</si>
  <si>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</si>
  <si>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</si>
  <si>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</si>
  <si>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</si>
  <si>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</si>
  <si>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</si>
  <si>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</si>
  <si>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</si>
  <si>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</si>
  <si>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</si>
  <si>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</si>
  <si>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</si>
  <si>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</si>
  <si>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</si>
  <si>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</si>
  <si>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</si>
  <si>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</si>
  <si>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</si>
  <si>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</si>
  <si>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</si>
  <si>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</si>
  <si>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</si>
  <si>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</si>
  <si>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</si>
  <si>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</si>
  <si>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</si>
  <si>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</si>
  <si>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</si>
  <si>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</si>
  <si>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</si>
  <si>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</si>
  <si>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</si>
  <si>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</si>
  <si>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</si>
  <si>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</si>
  <si>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</si>
  <si>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</si>
  <si>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</si>
  <si>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</si>
  <si>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</si>
  <si>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</si>
  <si>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</si>
  <si>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</si>
  <si>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</si>
  <si>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</si>
  <si>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</si>
  <si>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</si>
  <si>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</si>
  <si>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</si>
  <si>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</si>
  <si>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</si>
  <si>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</si>
  <si>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</si>
  <si>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</si>
  <si>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</si>
  <si>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</si>
  <si>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</si>
  <si>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</si>
  <si>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</si>
  <si>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</si>
  <si>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</si>
  <si>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</si>
  <si>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</si>
  <si>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</si>
  <si>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</si>
  <si>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</si>
  <si>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</si>
  <si>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</si>
  <si>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</si>
  <si>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</si>
  <si>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</si>
  <si>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</si>
  <si>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</si>
  <si>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</si>
  <si>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</si>
  <si>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</si>
  <si>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</si>
  <si>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</si>
  <si>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</si>
  <si>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</si>
  <si>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</si>
  <si>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</si>
  <si>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</si>
  <si>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</si>
  <si>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</si>
  <si>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</si>
  <si>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</si>
  <si>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</si>
  <si>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</si>
  <si>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</si>
  <si>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</si>
  <si>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</si>
  <si>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</si>
  <si>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</si>
  <si>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</si>
  <si>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</si>
  <si>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</si>
  <si>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</si>
  <si>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</si>
  <si>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</si>
  <si>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</si>
  <si>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</si>
  <si>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</si>
  <si>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</si>
  <si>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</si>
  <si>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</si>
  <si>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</si>
  <si>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</si>
  <si>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</si>
  <si>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</si>
  <si>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</si>
  <si>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</si>
  <si>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</si>
  <si>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</si>
  <si>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</si>
  <si>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</si>
  <si>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</si>
  <si>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</si>
  <si>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</si>
  <si>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</si>
  <si>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</si>
  <si>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</si>
  <si>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</si>
  <si>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</si>
  <si>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</si>
  <si>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</si>
  <si>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</si>
  <si>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</si>
  <si>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</si>
  <si>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</si>
  <si>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</si>
  <si>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</si>
  <si>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</si>
  <si>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</si>
  <si>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</si>
  <si>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</si>
  <si>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</si>
  <si>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</si>
  <si>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</si>
  <si>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</si>
  <si>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</si>
  <si>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</si>
  <si>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</si>
  <si>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</si>
  <si>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</si>
  <si>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</si>
  <si>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</si>
  <si>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</si>
  <si>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</si>
  <si>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</si>
  <si>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</si>
  <si>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</si>
  <si>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</si>
  <si>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</si>
  <si>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</si>
  <si>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</si>
  <si>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</si>
  <si>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</si>
  <si>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</si>
  <si>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</si>
  <si>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</si>
  <si>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</si>
  <si>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</si>
  <si>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</si>
  <si>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</si>
  <si>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</si>
  <si>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</si>
  <si>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</si>
  <si>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</si>
  <si>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</si>
  <si>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</si>
  <si>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</si>
  <si>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</si>
  <si>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</si>
  <si>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</si>
  <si>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</si>
  <si>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</si>
  <si>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</si>
  <si>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</si>
  <si>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</si>
  <si>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</si>
  <si>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</si>
  <si>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</si>
  <si>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</si>
  <si>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</si>
  <si>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</si>
  <si>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</si>
  <si>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</si>
  <si>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</si>
  <si>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</si>
  <si>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</si>
  <si>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</si>
  <si>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</si>
  <si>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</si>
  <si>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</si>
  <si>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</si>
  <si>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</si>
  <si>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</si>
  <si>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</si>
  <si>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</si>
  <si>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</si>
  <si>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</si>
  <si>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</si>
  <si>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</si>
  <si>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</si>
  <si>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</si>
  <si>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</si>
  <si>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</si>
  <si>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</si>
  <si>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</si>
  <si>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</si>
  <si>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</si>
  <si>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</si>
  <si>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</si>
  <si>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</si>
  <si>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</si>
  <si>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</si>
  <si>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</si>
  <si>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</si>
  <si>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</si>
  <si>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</si>
  <si>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</si>
  <si>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</si>
  <si>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</si>
  <si>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</si>
  <si>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</si>
  <si>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</si>
  <si>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</si>
  <si>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</si>
  <si>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</si>
  <si>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</si>
  <si>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</si>
  <si>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</si>
  <si>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</si>
  <si>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</si>
  <si>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</si>
  <si>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</si>
  <si>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</si>
  <si>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</si>
  <si>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</si>
  <si>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</si>
  <si>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</si>
  <si>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</si>
  <si>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</si>
  <si>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</si>
  <si>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</si>
  <si>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</si>
  <si>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</si>
  <si>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</si>
  <si>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</si>
  <si>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</si>
  <si>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</si>
  <si>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</si>
  <si>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</si>
  <si>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</si>
  <si>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</si>
  <si>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</si>
  <si>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</si>
  <si>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</si>
  <si>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</si>
  <si>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</si>
  <si>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</si>
  <si>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</si>
  <si>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</si>
  <si>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</si>
  <si>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</si>
  <si>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</si>
  <si>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</si>
  <si>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</si>
  <si>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</si>
  <si>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</si>
  <si>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</si>
  <si>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</si>
  <si>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</si>
  <si>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</si>
  <si>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</si>
  <si>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</si>
  <si>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</si>
  <si>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</si>
  <si>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</si>
  <si>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</si>
  <si>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</si>
  <si>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</si>
  <si>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</si>
  <si>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</si>
  <si>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</si>
  <si>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</si>
  <si>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</si>
  <si>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</si>
  <si>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</si>
  <si>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</si>
  <si>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</si>
  <si>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</si>
  <si>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</si>
  <si>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</si>
  <si>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</si>
  <si>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</si>
  <si>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</si>
  <si>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</si>
  <si>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</si>
  <si>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</si>
  <si>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</si>
  <si>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</si>
  <si>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</si>
  <si>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</si>
  <si>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</si>
  <si>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</si>
  <si>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</si>
  <si>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</si>
  <si>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</si>
  <si>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</si>
  <si>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</si>
  <si>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</si>
  <si>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</si>
  <si>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</si>
  <si>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</si>
  <si>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</si>
  <si>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</si>
  <si>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</si>
  <si>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</si>
  <si>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</si>
  <si>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</si>
  <si>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</si>
  <si>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</si>
  <si>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</si>
  <si>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</si>
  <si>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</si>
  <si>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</si>
  <si>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</si>
  <si>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</si>
  <si>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</si>
  <si>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</si>
  <si>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</si>
  <si>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</si>
  <si>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</si>
  <si>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</si>
  <si>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</si>
  <si>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</si>
  <si>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</si>
  <si>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</si>
  <si>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</si>
  <si>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</si>
  <si>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</si>
  <si>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</si>
  <si>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</si>
  <si>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</si>
  <si>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</si>
  <si>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</si>
  <si>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</si>
  <si>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</si>
  <si>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</si>
  <si>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</si>
  <si>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</si>
  <si>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</si>
  <si>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</si>
  <si>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</si>
  <si>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</si>
  <si>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</si>
  <si>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</si>
  <si>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</si>
  <si>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</si>
  <si>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</si>
  <si>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</si>
  <si>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</si>
  <si>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</si>
  <si>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</si>
  <si>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</si>
  <si>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</si>
  <si>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</si>
  <si>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</si>
  <si>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</si>
  <si>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</si>
  <si>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</si>
  <si>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</si>
  <si>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</si>
  <si>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</si>
  <si>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</si>
  <si>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</si>
  <si>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</si>
  <si>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</si>
  <si>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</si>
  <si>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</si>
  <si>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</si>
  <si>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</si>
  <si>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</si>
  <si>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</si>
  <si>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</si>
  <si>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</si>
  <si>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</si>
  <si>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</si>
  <si>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</si>
  <si>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</si>
  <si>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</si>
  <si>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</si>
  <si>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</si>
  <si>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</si>
  <si>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</si>
  <si>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</si>
  <si>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</si>
  <si>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</si>
  <si>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</si>
  <si>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</si>
  <si>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</si>
  <si>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</si>
  <si>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</si>
  <si>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</si>
  <si>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</si>
  <si>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</si>
  <si>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</si>
  <si>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</si>
  <si>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</si>
  <si>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</si>
  <si>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</si>
  <si>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</si>
  <si>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</si>
  <si>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</si>
  <si>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</si>
  <si>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</si>
  <si>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</si>
  <si>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</si>
  <si>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</si>
  <si>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</si>
  <si>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</si>
  <si>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</si>
  <si>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</si>
  <si>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</si>
  <si>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</si>
  <si>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</si>
  <si>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</si>
  <si>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</si>
  <si>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</si>
  <si>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</si>
  <si>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</si>
  <si>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</si>
  <si>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</si>
  <si>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</si>
  <si>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</si>
  <si>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</si>
  <si>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</si>
  <si>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</si>
  <si>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</si>
  <si>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</si>
  <si>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</si>
  <si>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</si>
  <si>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</si>
  <si>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</si>
  <si>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</si>
  <si>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</si>
  <si>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</si>
  <si>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</si>
  <si>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</si>
  <si>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</si>
  <si>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</si>
  <si>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</si>
  <si>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</si>
  <si>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</si>
  <si>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</si>
  <si>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</si>
  <si>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</si>
  <si>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</si>
  <si>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</si>
  <si>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</si>
  <si>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</si>
  <si>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</si>
  <si>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</si>
  <si>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</si>
  <si>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</si>
  <si>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</si>
  <si>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</si>
  <si>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</si>
  <si>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</si>
  <si>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</si>
  <si>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</si>
  <si>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</si>
  <si>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</si>
  <si>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</si>
  <si>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</si>
  <si>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</si>
  <si>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</si>
  <si>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</si>
  <si>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</si>
  <si>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</si>
  <si>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</si>
  <si>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</si>
  <si>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</si>
  <si>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</si>
  <si>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</si>
  <si>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</si>
  <si>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</si>
  <si>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</si>
  <si>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</si>
  <si>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</si>
  <si>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</si>
  <si>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</si>
  <si>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</si>
  <si>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</si>
  <si>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</si>
  <si>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</si>
  <si>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</si>
  <si>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</si>
  <si>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</si>
  <si>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</si>
  <si>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</si>
  <si>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</si>
  <si>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</si>
  <si>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</si>
  <si>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</si>
  <si>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</si>
  <si>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</si>
  <si>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</si>
  <si>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</si>
  <si>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</si>
  <si>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</si>
  <si>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</si>
  <si>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</si>
  <si>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</si>
  <si>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</si>
  <si>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</si>
  <si>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</si>
  <si>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</si>
  <si>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</si>
  <si>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</si>
  <si>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</si>
  <si>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</si>
  <si>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</si>
  <si>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</si>
  <si>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</si>
  <si>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</si>
  <si>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</si>
  <si>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</si>
  <si>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</si>
  <si>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</si>
  <si>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</si>
  <si>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</si>
  <si>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</si>
  <si>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</si>
  <si>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</si>
  <si>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</si>
  <si>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</si>
  <si>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</si>
  <si>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</si>
  <si>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</si>
  <si>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</si>
  <si>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</si>
  <si>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</si>
  <si>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</si>
  <si>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</si>
  <si>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</si>
  <si>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</si>
  <si>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</si>
  <si>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</si>
  <si>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</si>
  <si>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</si>
  <si>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</si>
  <si>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</si>
  <si>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</si>
  <si>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</si>
  <si>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</si>
  <si>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</si>
  <si>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</si>
  <si>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</si>
  <si>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</si>
  <si>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</si>
  <si>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</si>
  <si>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</si>
  <si>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</si>
  <si>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</si>
  <si>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</si>
  <si>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</si>
  <si>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</si>
  <si>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</si>
  <si>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</si>
  <si>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</si>
  <si>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</si>
  <si>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</si>
  <si>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</si>
  <si>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</si>
  <si>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</si>
  <si>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</si>
  <si>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</si>
  <si>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</si>
  <si>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</si>
  <si>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</si>
  <si>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</si>
  <si>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</si>
  <si>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</si>
  <si>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</si>
  <si>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</si>
  <si>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</si>
  <si>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</si>
  <si>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</si>
  <si>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</si>
  <si>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</si>
  <si>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</si>
  <si>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</si>
  <si>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</si>
  <si>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</si>
  <si>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</si>
  <si>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</si>
  <si>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</si>
  <si>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</si>
  <si>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</si>
  <si>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</si>
  <si>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</si>
  <si>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</si>
  <si>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</si>
  <si>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</si>
  <si>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</si>
  <si>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</si>
  <si>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</si>
  <si>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</si>
  <si>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</si>
  <si>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</si>
  <si>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</si>
  <si>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</si>
  <si>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</si>
  <si>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</si>
  <si>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</si>
  <si>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</si>
  <si>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</si>
  <si>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</si>
  <si>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</si>
  <si>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</si>
  <si>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</si>
  <si>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</si>
  <si>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</si>
  <si>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</si>
  <si>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</si>
  <si>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</si>
  <si>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</si>
  <si>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</si>
  <si>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</si>
  <si>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</si>
  <si>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</si>
  <si>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</si>
  <si>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</si>
  <si>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</si>
  <si>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</si>
  <si>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</si>
  <si>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</si>
  <si>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</si>
  <si>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</si>
  <si>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</si>
  <si>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</si>
  <si>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</si>
  <si>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</si>
  <si>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</si>
  <si>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</si>
  <si>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</si>
  <si>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</si>
  <si>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</si>
  <si>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</si>
  <si>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</si>
  <si>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</si>
  <si>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</si>
  <si>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</si>
  <si>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</si>
  <si>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</si>
  <si>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</si>
  <si>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</si>
  <si>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</si>
  <si>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</si>
  <si>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</si>
  <si>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</si>
  <si>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</si>
  <si>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</si>
  <si>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</si>
  <si>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</si>
  <si>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</si>
  <si>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</si>
  <si>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</si>
  <si>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</si>
  <si>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</si>
  <si>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</si>
  <si>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</si>
  <si>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</si>
  <si>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</si>
  <si>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</si>
  <si>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</si>
  <si>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</si>
  <si>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</si>
  <si>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</si>
  <si>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</si>
  <si>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</si>
  <si>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</si>
  <si>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</si>
  <si>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</si>
  <si>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</si>
  <si>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</si>
  <si>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</si>
  <si>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</si>
  <si>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</si>
  <si>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</si>
  <si>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</si>
  <si>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</si>
  <si>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</si>
  <si>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</si>
  <si>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</si>
  <si>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</si>
  <si>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</si>
  <si>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</si>
  <si>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</si>
  <si>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</si>
  <si>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</si>
  <si>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</si>
  <si>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</si>
  <si>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</si>
  <si>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</si>
  <si>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</si>
  <si>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</si>
  <si>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</si>
  <si>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</si>
  <si>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</si>
  <si>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</si>
  <si>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</si>
  <si>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</si>
  <si>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</si>
  <si>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</si>
  <si>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</si>
  <si>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</si>
  <si>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</si>
  <si>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</si>
  <si>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</si>
  <si>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</si>
  <si>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</si>
  <si>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</si>
  <si>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</si>
  <si>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</si>
  <si>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</si>
  <si>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</si>
  <si>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</si>
  <si>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</si>
  <si>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</si>
  <si>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</si>
  <si>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</si>
  <si>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</si>
  <si>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</si>
  <si>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</si>
  <si>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</si>
  <si>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</si>
  <si>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</si>
  <si>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</si>
  <si>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</si>
  <si>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</si>
  <si>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</si>
  <si>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</si>
  <si>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</si>
  <si>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</si>
  <si>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</si>
  <si>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</si>
  <si>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</si>
  <si>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</si>
  <si>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</si>
  <si>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</si>
  <si>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</si>
  <si>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</si>
  <si>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</si>
  <si>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</si>
  <si>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</si>
  <si>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</si>
  <si>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</si>
  <si>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</si>
  <si>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</si>
  <si>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</si>
  <si>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</si>
  <si>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</si>
  <si>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</si>
  <si>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</si>
  <si>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</si>
  <si>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</si>
  <si>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</si>
  <si>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</si>
  <si>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</si>
  <si>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</si>
  <si>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</si>
  <si>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</si>
  <si>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</si>
  <si>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</si>
  <si>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</si>
  <si>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</si>
  <si>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</si>
  <si>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</si>
  <si>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</si>
  <si>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</si>
  <si>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</si>
  <si>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</si>
  <si>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</si>
  <si>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</si>
  <si>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</si>
  <si>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</si>
  <si>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</si>
  <si>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</si>
  <si>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</si>
  <si>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</si>
  <si>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</si>
  <si>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</si>
  <si>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</si>
  <si>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</si>
  <si>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</si>
  <si>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</si>
  <si>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</si>
  <si>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</si>
  <si>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</si>
  <si>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</si>
  <si>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</si>
  <si>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</si>
  <si>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</si>
  <si>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</si>
  <si>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</si>
  <si>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</si>
  <si>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</si>
  <si>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</si>
  <si>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</si>
  <si>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</si>
  <si>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</si>
  <si>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</si>
  <si>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</si>
  <si>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</si>
  <si>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</si>
  <si>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</si>
  <si>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</si>
  <si>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</si>
  <si>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</si>
  <si>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</si>
  <si>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</si>
  <si>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</si>
  <si>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</si>
  <si>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</si>
  <si>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</si>
  <si>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</si>
  <si>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</si>
  <si>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</si>
  <si>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</si>
  <si>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</si>
  <si>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</si>
  <si>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</si>
  <si>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</si>
  <si>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</si>
  <si>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</si>
  <si>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</si>
  <si>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</si>
  <si>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</si>
  <si>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</si>
  <si>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</si>
  <si>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</si>
  <si>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</si>
  <si>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</si>
  <si>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</si>
  <si>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</si>
  <si>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</si>
  <si>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</si>
  <si>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</si>
  <si>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</si>
  <si>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</si>
  <si>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</si>
  <si>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</si>
  <si>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</si>
  <si>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</si>
  <si>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</si>
  <si>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</si>
  <si>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</si>
  <si>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</si>
  <si>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</si>
  <si>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</si>
  <si>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</si>
  <si>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</si>
  <si>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</si>
  <si>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</si>
  <si>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</si>
  <si>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</si>
  <si>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</si>
  <si>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</si>
  <si>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</si>
  <si>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</si>
  <si>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</si>
  <si>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</si>
  <si>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</si>
  <si>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</si>
  <si>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</si>
  <si>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</si>
  <si>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</si>
  <si>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</si>
  <si>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</si>
  <si>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</si>
  <si>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</si>
  <si>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</si>
  <si>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</si>
  <si>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</si>
  <si>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</si>
  <si>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</si>
  <si>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</si>
  <si>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</si>
  <si>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</si>
  <si>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</si>
  <si>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</si>
  <si>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</si>
  <si>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</si>
  <si>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</si>
  <si>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</si>
  <si>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</si>
  <si>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</si>
  <si>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</si>
  <si>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</si>
  <si>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</si>
  <si>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</si>
  <si>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</si>
  <si>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</si>
  <si>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</si>
  <si>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</si>
  <si>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</si>
  <si>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</si>
  <si>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</si>
  <si>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</si>
  <si>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</si>
  <si>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</si>
  <si>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</si>
  <si>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</si>
  <si>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</si>
  <si>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</si>
  <si>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</si>
  <si>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</si>
  <si>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</si>
  <si>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</si>
  <si>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</si>
  <si>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</si>
  <si>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</si>
  <si>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</si>
  <si>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</si>
  <si>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</si>
  <si>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</si>
  <si>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</si>
  <si>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</si>
  <si>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</si>
  <si>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</si>
  <si>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</si>
  <si>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</si>
  <si>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</si>
  <si>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</si>
  <si>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</si>
  <si>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</si>
  <si>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</si>
  <si>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</si>
  <si>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</si>
  <si>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</si>
  <si>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</si>
  <si>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</si>
  <si>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</si>
  <si>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</si>
  <si>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</si>
  <si>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</si>
  <si>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</si>
  <si>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</si>
  <si>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</si>
  <si>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</si>
  <si>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</si>
  <si>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</si>
  <si>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</si>
  <si>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</si>
  <si>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</si>
  <si>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</si>
  <si>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</si>
  <si>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</si>
  <si>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</si>
  <si>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</si>
  <si>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</si>
  <si>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</si>
  <si>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</si>
  <si>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</si>
  <si>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</si>
  <si>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</si>
  <si>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</si>
  <si>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</si>
  <si>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</si>
  <si>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</si>
  <si>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</si>
  <si>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</si>
  <si>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</si>
  <si>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</si>
  <si>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</si>
  <si>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</si>
  <si>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</si>
  <si>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</si>
  <si>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</si>
  <si>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</si>
  <si>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</si>
  <si>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</si>
  <si>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</si>
  <si>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</si>
  <si>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</si>
  <si>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</si>
  <si>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</si>
  <si>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</si>
  <si>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</si>
  <si>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</si>
  <si>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</si>
  <si>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</si>
  <si>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</si>
  <si>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</si>
  <si>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</si>
  <si>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</si>
  <si>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</si>
  <si>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</si>
  <si>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</si>
  <si>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</si>
  <si>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</si>
  <si>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</si>
  <si>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</si>
  <si>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</si>
  <si>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</si>
  <si>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</si>
  <si>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</si>
  <si>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</si>
  <si>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</si>
  <si>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</si>
  <si>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</si>
  <si>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</si>
  <si>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</si>
  <si>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</si>
  <si>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</si>
  <si>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</si>
  <si>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</si>
  <si>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</si>
  <si>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</si>
  <si>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</si>
  <si>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</si>
  <si>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</si>
  <si>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</si>
  <si>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</si>
  <si>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</si>
  <si>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</si>
  <si>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</si>
  <si>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</si>
  <si>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</si>
  <si>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</si>
  <si>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</si>
  <si>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</si>
  <si>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</si>
  <si>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</si>
  <si>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</si>
  <si>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</si>
  <si>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</si>
  <si>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</si>
  <si>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</si>
  <si>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</si>
  <si>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</si>
  <si>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</si>
  <si>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</si>
  <si>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</si>
  <si>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</si>
  <si>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</si>
  <si>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</si>
  <si>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</si>
  <si>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</si>
  <si>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</si>
  <si>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</si>
  <si>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</si>
  <si>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</si>
  <si>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</si>
  <si>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</si>
  <si>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</si>
  <si>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</si>
  <si>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</si>
  <si>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</si>
  <si>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</si>
  <si>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</si>
  <si>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</si>
  <si>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</si>
  <si>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</si>
  <si>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</si>
  <si>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</si>
  <si>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</si>
  <si>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</si>
  <si>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</si>
  <si>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</si>
  <si>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</si>
  <si>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</si>
  <si>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</si>
  <si>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</si>
  <si>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</si>
  <si>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</si>
  <si>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</si>
  <si>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</si>
  <si>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</si>
  <si>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</si>
  <si>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</si>
  <si>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</si>
  <si>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</si>
  <si>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</si>
  <si>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</si>
  <si>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</si>
  <si>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</si>
  <si>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</si>
  <si>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</si>
  <si>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</si>
  <si>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</si>
  <si>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</si>
  <si>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</si>
  <si>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</si>
  <si>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</si>
  <si>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</si>
  <si>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</si>
  <si>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</si>
  <si>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</si>
  <si>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</si>
  <si>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</si>
  <si>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</si>
  <si>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</si>
  <si>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</si>
  <si>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</si>
  <si>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</si>
  <si>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</si>
  <si>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</si>
  <si>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</si>
  <si>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</si>
  <si>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</si>
  <si>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</si>
  <si>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</si>
  <si>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</si>
  <si>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</si>
  <si>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</si>
  <si>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</si>
  <si>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</si>
  <si>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</si>
  <si>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</si>
  <si>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</si>
  <si>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</si>
  <si>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</si>
  <si>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</si>
  <si>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</si>
  <si>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</si>
  <si>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</si>
  <si>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</si>
  <si>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</si>
  <si>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</si>
  <si>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</si>
  <si>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</si>
  <si>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</si>
  <si>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</si>
  <si>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</si>
  <si>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</si>
  <si>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</si>
  <si>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</si>
  <si>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</si>
  <si>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</si>
  <si>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</si>
  <si>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</si>
  <si>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</si>
  <si>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</si>
  <si>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</si>
  <si>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</si>
  <si>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</si>
  <si>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</si>
  <si>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</si>
  <si>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</si>
  <si>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</si>
  <si>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</si>
  <si>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</si>
  <si>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</si>
  <si>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</si>
  <si>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</si>
  <si>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</si>
  <si>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</si>
  <si>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</si>
  <si>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</si>
  <si>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</si>
  <si>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</si>
  <si>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</si>
  <si>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</si>
  <si>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</si>
  <si>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</si>
  <si>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</si>
  <si>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</si>
  <si>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</si>
  <si>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</si>
  <si>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</si>
  <si>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</si>
  <si>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</si>
  <si>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</si>
  <si>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</si>
  <si>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</si>
  <si>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</si>
  <si>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</si>
  <si>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</si>
  <si>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</si>
  <si>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</si>
  <si>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</si>
  <si>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</si>
  <si>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</si>
  <si>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</si>
  <si>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</si>
  <si>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</si>
  <si>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</si>
  <si>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</si>
  <si>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</si>
  <si>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</si>
  <si>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</si>
  <si>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</si>
  <si>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</si>
  <si>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</si>
  <si>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</si>
  <si>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</si>
  <si>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</si>
  <si>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</si>
  <si>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</si>
  <si>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</si>
  <si>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</si>
  <si>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</si>
  <si>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</si>
  <si>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</si>
  <si>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</si>
  <si>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</si>
  <si>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</si>
  <si>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</si>
  <si>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</si>
  <si>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</si>
  <si>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</si>
  <si>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</si>
  <si>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</si>
  <si>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</si>
  <si>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</si>
  <si>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</si>
  <si>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</si>
  <si>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</si>
  <si>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</si>
  <si>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</si>
  <si>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</si>
  <si>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</si>
  <si>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</si>
  <si>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</si>
  <si>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</si>
  <si>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</si>
  <si>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</si>
  <si>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</si>
  <si>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</si>
  <si>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</si>
  <si>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</si>
  <si>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</si>
  <si>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</si>
  <si>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</si>
  <si>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</si>
  <si>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</si>
  <si>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</si>
  <si>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</si>
  <si>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</si>
  <si>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</si>
  <si>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</si>
  <si>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</si>
  <si>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</si>
  <si>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</si>
  <si>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</si>
  <si>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</si>
  <si>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</si>
  <si>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</si>
  <si>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</si>
  <si>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</si>
  <si>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</si>
  <si>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</si>
  <si>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</si>
  <si>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</si>
  <si>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</si>
  <si>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</si>
  <si>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</si>
  <si>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</si>
  <si>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</si>
  <si>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</si>
  <si>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</si>
  <si>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</si>
  <si>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</si>
  <si>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</si>
  <si>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</si>
  <si>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</si>
  <si>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</si>
  <si>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</si>
  <si>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</si>
  <si>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</si>
  <si>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</si>
  <si>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</si>
  <si>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</si>
  <si>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</si>
  <si>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</si>
  <si>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</si>
  <si>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</si>
  <si>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</si>
  <si>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</si>
  <si>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</si>
  <si>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</si>
  <si>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</si>
  <si>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</si>
  <si>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</si>
  <si>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</si>
  <si>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</si>
  <si>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</si>
  <si>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</si>
  <si>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</si>
  <si>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</si>
  <si>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</si>
  <si>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</si>
  <si>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</si>
  <si>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</si>
  <si>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</si>
  <si>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</si>
  <si>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</si>
  <si>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</si>
  <si>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</si>
  <si>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</si>
  <si>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</si>
  <si>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</si>
  <si>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</si>
  <si>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</si>
  <si>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</si>
  <si>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</si>
  <si>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</si>
  <si>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</si>
  <si>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</si>
  <si>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</si>
  <si>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</si>
  <si>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</si>
  <si>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</si>
  <si>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</si>
  <si>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</si>
  <si>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</si>
  <si>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</si>
  <si>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</si>
  <si>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</si>
  <si>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</si>
  <si>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</si>
  <si>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</si>
  <si>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</si>
  <si>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</si>
  <si>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</si>
  <si>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</si>
  <si>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</si>
  <si>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</si>
  <si>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</si>
  <si>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</si>
  <si>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</si>
  <si>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</si>
  <si>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</si>
  <si>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</si>
  <si>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</si>
  <si>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</si>
  <si>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</si>
  <si>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</si>
  <si>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</si>
  <si>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</si>
  <si>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</si>
  <si>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</si>
  <si>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</si>
  <si>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</si>
  <si>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</si>
  <si>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</si>
  <si>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</si>
  <si>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</si>
  <si>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</si>
  <si>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</si>
  <si>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</si>
  <si>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</si>
  <si>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</si>
  <si>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</si>
  <si>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</si>
  <si>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</si>
  <si>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</si>
  <si>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</si>
  <si>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</si>
  <si>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</si>
  <si>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</si>
  <si>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</si>
  <si>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</si>
  <si>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</si>
  <si>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</si>
  <si>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</si>
  <si>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</si>
  <si>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</si>
  <si>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</si>
  <si>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</si>
  <si>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</si>
  <si>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</si>
  <si>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</si>
  <si>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</si>
  <si>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</si>
  <si>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</si>
  <si>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</si>
  <si>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</si>
  <si>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</si>
  <si>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</si>
  <si>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</si>
  <si>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</si>
  <si>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</si>
  <si>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</si>
  <si>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</si>
  <si>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</si>
  <si>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</si>
  <si>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</si>
  <si>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</si>
  <si>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</si>
  <si>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</si>
  <si>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</si>
  <si>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</si>
  <si>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</si>
  <si>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</si>
  <si>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</si>
  <si>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</si>
  <si>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</si>
  <si>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</si>
  <si>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</si>
  <si>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</si>
  <si>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</si>
  <si>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</si>
  <si>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</si>
  <si>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</si>
  <si>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</si>
  <si>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</si>
  <si>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</si>
  <si>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</si>
  <si>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</si>
  <si>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</si>
  <si>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</si>
  <si>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</si>
  <si>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</si>
  <si>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</si>
  <si>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</si>
  <si>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</si>
  <si>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</si>
  <si>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</si>
  <si>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</si>
  <si>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</si>
  <si>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</si>
  <si>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</si>
  <si>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</si>
  <si>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</si>
  <si>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</si>
  <si>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</si>
  <si>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</si>
  <si>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</si>
  <si>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</si>
  <si>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</si>
  <si>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</si>
  <si>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</si>
  <si>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</si>
  <si>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</si>
  <si>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</si>
  <si>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</si>
  <si>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</si>
  <si>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</si>
  <si>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</si>
  <si>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</si>
  <si>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</si>
  <si>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</si>
  <si>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</si>
  <si>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</si>
  <si>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</si>
  <si>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</si>
  <si>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</si>
  <si>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</si>
  <si>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</si>
  <si>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</si>
  <si>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</si>
  <si>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</si>
  <si>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</si>
  <si>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</si>
  <si>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</si>
  <si>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</si>
  <si>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</si>
  <si>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</si>
  <si>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</si>
  <si>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</si>
  <si>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</si>
  <si>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</si>
  <si>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</si>
  <si>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</si>
  <si>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</si>
  <si>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</si>
  <si>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</si>
  <si>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</si>
  <si>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</si>
  <si>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</si>
  <si>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</si>
  <si>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</si>
  <si>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</si>
  <si>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</si>
  <si>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</si>
  <si>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</si>
  <si>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</si>
  <si>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</si>
  <si>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</si>
  <si>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</si>
  <si>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</si>
  <si>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</si>
  <si>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</si>
  <si>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</si>
  <si>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</si>
  <si>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</si>
  <si>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</si>
  <si>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</si>
  <si>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</si>
  <si>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</si>
  <si>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</si>
  <si>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</si>
  <si>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</si>
  <si>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</si>
  <si>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</si>
  <si>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</si>
  <si>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</si>
  <si>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</si>
  <si>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</si>
  <si>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</si>
  <si>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</si>
  <si>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</si>
  <si>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</si>
  <si>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</si>
  <si>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</si>
  <si>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</si>
  <si>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</si>
  <si>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</si>
  <si>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</si>
  <si>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</si>
  <si>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</si>
  <si>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</si>
  <si>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</si>
  <si>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</si>
  <si>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</si>
  <si>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</si>
  <si>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</si>
  <si>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</si>
  <si>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</si>
  <si>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</si>
  <si>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</si>
  <si>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</si>
  <si>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</si>
  <si>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</si>
  <si>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</si>
  <si>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</si>
  <si>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</si>
  <si>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</si>
  <si>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</si>
  <si>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</si>
  <si>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</si>
  <si>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</si>
  <si>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</si>
  <si>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</si>
  <si>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</si>
  <si>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</si>
  <si>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</si>
  <si>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</si>
  <si>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</si>
  <si>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</si>
  <si>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</si>
  <si>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</si>
  <si>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</si>
  <si>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</si>
  <si>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</si>
  <si>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</si>
  <si>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</si>
  <si>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</si>
  <si>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</si>
  <si>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</si>
  <si>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</si>
  <si>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</si>
  <si>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</si>
  <si>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</si>
  <si>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</si>
  <si>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</si>
  <si>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</si>
  <si>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</si>
  <si>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</si>
  <si>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</si>
  <si>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</si>
  <si>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</si>
  <si>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</si>
  <si>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</si>
  <si>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</si>
  <si>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</si>
  <si>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</si>
  <si>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</si>
  <si>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</si>
  <si>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</si>
  <si>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</si>
  <si>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</si>
  <si>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</si>
  <si>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</si>
  <si>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</si>
  <si>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</si>
  <si>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</si>
  <si>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</si>
  <si>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</si>
  <si>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</si>
  <si>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</si>
  <si>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</si>
  <si>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</si>
  <si>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</si>
  <si>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</si>
  <si>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</si>
  <si>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</si>
  <si>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</si>
  <si>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</si>
  <si>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</si>
  <si>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</si>
  <si>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</si>
  <si>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</si>
  <si>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</si>
  <si>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</si>
  <si>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</si>
  <si>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</si>
  <si>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</si>
  <si>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</si>
  <si>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</si>
  <si>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</si>
  <si>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</si>
  <si>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</si>
  <si>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</si>
  <si>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</si>
  <si>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</si>
  <si>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</si>
  <si>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</si>
  <si>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</si>
  <si>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</si>
  <si>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</si>
  <si>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</si>
  <si>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</si>
  <si>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</si>
  <si>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</si>
  <si>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</si>
  <si>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</si>
  <si>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</si>
  <si>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</si>
  <si>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</si>
  <si>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</si>
  <si>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</si>
  <si>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</si>
  <si>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</si>
  <si>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</si>
  <si>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</si>
  <si>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</si>
  <si>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</si>
  <si>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</si>
  <si>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</si>
  <si>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</si>
  <si>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</si>
  <si>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</si>
  <si>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</si>
  <si>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</si>
  <si>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</si>
  <si>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</si>
  <si>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</si>
  <si>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</si>
  <si>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</si>
  <si>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</si>
  <si>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</si>
  <si>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</si>
  <si>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</si>
  <si>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</si>
  <si>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</si>
  <si>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</si>
  <si>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</si>
  <si>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</si>
  <si>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</si>
  <si>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</si>
  <si>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</si>
  <si>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</si>
  <si>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</si>
  <si>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</si>
  <si>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</si>
  <si>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</si>
  <si>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</si>
  <si>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</si>
  <si>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</si>
  <si>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</si>
  <si>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</si>
  <si>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</si>
  <si>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</si>
  <si>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</si>
  <si>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</si>
  <si>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</si>
  <si>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</si>
  <si>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</si>
  <si>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</si>
  <si>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</si>
  <si>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</si>
  <si>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</si>
  <si>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</si>
  <si>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</si>
  <si>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</si>
  <si>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</si>
  <si>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</si>
  <si>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</si>
  <si>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</si>
  <si>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</si>
  <si>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</si>
  <si>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</si>
  <si>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</si>
  <si>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</si>
  <si>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</si>
  <si>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</si>
  <si>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</si>
  <si>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</si>
  <si>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</si>
  <si>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</si>
  <si>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</si>
  <si>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</si>
  <si>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</si>
  <si>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</si>
  <si>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</si>
  <si>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</si>
  <si>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</si>
  <si>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</si>
  <si>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</si>
  <si>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</si>
  <si>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</si>
  <si>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</si>
  <si>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</si>
  <si>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</si>
  <si>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</si>
  <si>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</si>
  <si>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</si>
  <si>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</si>
  <si>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</si>
  <si>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</si>
  <si>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</si>
  <si>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</si>
  <si>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</si>
  <si>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</si>
  <si>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</si>
  <si>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</si>
  <si>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</si>
  <si>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</si>
  <si>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</si>
  <si>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</si>
  <si>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</si>
  <si>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</si>
  <si>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</si>
  <si>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</si>
  <si>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</si>
  <si>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</si>
  <si>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</si>
  <si>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</si>
  <si>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</si>
  <si>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</si>
  <si>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</si>
  <si>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</si>
  <si>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</si>
  <si>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</si>
  <si>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</si>
  <si>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</si>
  <si>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</si>
  <si>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</si>
  <si>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</si>
  <si>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</si>
  <si>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</si>
  <si>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</si>
  <si>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</si>
  <si>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</si>
  <si>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</si>
  <si>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</si>
  <si>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</si>
  <si>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</si>
  <si>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</si>
  <si>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</si>
  <si>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</si>
  <si>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</si>
  <si>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</si>
  <si>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</si>
  <si>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</si>
  <si>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</si>
  <si>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</si>
  <si>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</si>
  <si>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</si>
  <si>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</si>
  <si>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</si>
  <si>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</si>
  <si>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</si>
  <si>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</si>
  <si>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</si>
  <si>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</si>
  <si>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</si>
  <si>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</si>
  <si>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</si>
  <si>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</si>
  <si>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</si>
  <si>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</si>
  <si>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</si>
  <si>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</si>
  <si>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</si>
  <si>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</si>
  <si>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</si>
  <si>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</si>
  <si>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</si>
  <si>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</si>
  <si>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</si>
  <si>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</si>
  <si>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</si>
  <si>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</si>
  <si>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</si>
  <si>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</si>
  <si>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</si>
  <si>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</si>
  <si>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</si>
  <si>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</si>
  <si>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</si>
  <si>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</si>
  <si>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</si>
  <si>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</si>
  <si>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</si>
  <si>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</si>
  <si>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</si>
  <si>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</si>
  <si>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</si>
  <si>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</si>
  <si>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</si>
  <si>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</si>
  <si>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</si>
  <si>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</si>
  <si>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</si>
  <si>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</si>
  <si>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</si>
  <si>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</si>
  <si>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</si>
  <si>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</si>
  <si>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</si>
  <si>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</si>
  <si>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</si>
  <si>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</si>
  <si>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</si>
  <si>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</si>
  <si>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</si>
  <si>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</si>
  <si>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</si>
  <si>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</si>
  <si>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</si>
  <si>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</si>
  <si>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</si>
  <si>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</si>
  <si>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</si>
  <si>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</si>
  <si>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</si>
  <si>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</si>
  <si>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</si>
  <si>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</si>
  <si>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</si>
  <si>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</si>
  <si>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</si>
  <si>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</si>
  <si>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</si>
  <si>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</si>
  <si>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</si>
  <si>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</si>
  <si>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</si>
  <si>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</si>
  <si>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</si>
  <si>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</si>
  <si>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</si>
  <si>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</si>
  <si>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</si>
  <si>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</si>
  <si>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</si>
  <si>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</si>
  <si>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</si>
  <si>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</si>
  <si>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</si>
  <si>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</si>
  <si>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</si>
  <si>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</si>
  <si>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</si>
  <si>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</si>
  <si>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</si>
  <si>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</si>
  <si>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</si>
  <si>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</si>
  <si>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</si>
  <si>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</si>
  <si>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</si>
  <si>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</si>
  <si>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</si>
  <si>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</si>
  <si>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</si>
  <si>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</si>
  <si>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</si>
  <si>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</si>
  <si>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</si>
  <si>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</si>
  <si>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</si>
  <si>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</si>
  <si>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</si>
  <si>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</si>
  <si>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</si>
  <si>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</si>
  <si>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</si>
  <si>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</si>
  <si>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</si>
  <si>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</si>
  <si>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</si>
  <si>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</si>
  <si>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</si>
  <si>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</si>
  <si>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</si>
  <si>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</si>
  <si>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</si>
  <si>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</si>
  <si>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</si>
  <si>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</si>
  <si>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</si>
  <si>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</si>
  <si>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</si>
  <si>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</si>
  <si>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</si>
  <si>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</si>
  <si>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</si>
  <si>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</si>
  <si>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</si>
  <si>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</si>
  <si>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</si>
  <si>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</si>
  <si>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</si>
  <si>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</si>
  <si>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</si>
  <si>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</si>
  <si>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</si>
  <si>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</si>
  <si>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</si>
  <si>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</si>
  <si>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</si>
  <si>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</si>
  <si>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</si>
  <si>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</si>
  <si>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</si>
  <si>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</si>
  <si>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</si>
  <si>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</si>
  <si>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</si>
  <si>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</si>
  <si>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</si>
  <si>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</si>
  <si>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</si>
  <si>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</si>
  <si>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</si>
  <si>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</si>
  <si>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</si>
  <si>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</si>
  <si>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</si>
  <si>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</si>
  <si>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</si>
  <si>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</si>
  <si>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</si>
  <si>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</si>
  <si>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</si>
  <si>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</si>
  <si>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</si>
  <si>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</si>
  <si>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</si>
  <si>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</si>
  <si>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</si>
  <si>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</si>
  <si>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</si>
  <si>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</si>
  <si>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</si>
  <si>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</si>
  <si>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</si>
  <si>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</si>
  <si>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</si>
  <si>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</si>
  <si>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</si>
  <si>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</si>
  <si>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</si>
  <si>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</si>
  <si>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</si>
  <si>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</si>
  <si>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</si>
  <si>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</si>
  <si>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</si>
  <si>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</si>
  <si>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</si>
  <si>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</si>
  <si>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</si>
  <si>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</si>
  <si>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</si>
  <si>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</si>
  <si>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</si>
  <si>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</si>
  <si>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</si>
  <si>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</si>
  <si>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</si>
  <si>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</si>
  <si>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</si>
  <si>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</si>
  <si>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</si>
  <si>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</si>
  <si>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</si>
  <si>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</si>
  <si>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</si>
  <si>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</si>
  <si>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</si>
  <si>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</si>
  <si>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</si>
  <si>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</si>
  <si>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</si>
  <si>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</si>
  <si>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</si>
  <si>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</si>
  <si>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</si>
  <si>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</si>
  <si>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</si>
  <si>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</si>
  <si>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</si>
  <si>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</si>
  <si>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</si>
  <si>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</si>
  <si>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</si>
  <si>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</si>
  <si>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</si>
  <si>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</si>
  <si>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</si>
  <si>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</si>
  <si>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</si>
  <si>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</si>
  <si>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</si>
  <si>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</si>
  <si>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</si>
  <si>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</si>
  <si>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</si>
  <si>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</si>
  <si>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</si>
  <si>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</si>
  <si>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</si>
  <si>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</si>
  <si>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</si>
  <si>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</si>
  <si>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</si>
  <si>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</si>
  <si>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</si>
  <si>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</si>
  <si>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</si>
  <si>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</si>
  <si>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</si>
  <si>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</si>
  <si>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</si>
  <si>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</si>
  <si>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</si>
  <si>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</si>
  <si>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</si>
  <si>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</si>
  <si>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</si>
  <si>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</si>
  <si>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</si>
  <si>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</si>
  <si>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</si>
  <si>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</si>
  <si>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</si>
  <si>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</si>
  <si>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</si>
  <si>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</si>
  <si>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</si>
  <si>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</si>
  <si>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</si>
  <si>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</si>
  <si>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</si>
  <si>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</si>
  <si>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</si>
  <si>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</si>
  <si>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</si>
  <si>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</si>
  <si>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</si>
  <si>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</si>
  <si>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</si>
  <si>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</si>
  <si>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</si>
  <si>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</si>
  <si>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</si>
  <si>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</si>
  <si>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</si>
  <si>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</si>
  <si>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</si>
  <si>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</si>
  <si>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</si>
  <si>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</si>
  <si>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</si>
  <si>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</si>
  <si>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</si>
  <si>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</si>
  <si>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</si>
  <si>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</si>
  <si>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</si>
  <si>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</si>
  <si>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</si>
  <si>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</si>
  <si>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</si>
  <si>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</si>
  <si>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</si>
  <si>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</si>
  <si>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</si>
  <si>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</si>
  <si>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</si>
  <si>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</si>
  <si>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</si>
  <si>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</si>
  <si>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</si>
  <si>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</si>
  <si>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</si>
  <si>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</si>
  <si>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</si>
  <si>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</si>
  <si>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</si>
  <si>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</si>
  <si>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</si>
  <si>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</si>
  <si>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</si>
  <si>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</si>
  <si>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</si>
  <si>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</si>
  <si>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</si>
  <si>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</si>
  <si>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</si>
  <si>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</si>
  <si>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</si>
  <si>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</si>
  <si>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</si>
  <si>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</si>
  <si>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</si>
  <si>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</si>
  <si>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</si>
  <si>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</si>
  <si>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</si>
  <si>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</si>
  <si>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</si>
  <si>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</si>
  <si>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</si>
  <si>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</si>
  <si>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</si>
  <si>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</si>
  <si>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</si>
  <si>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</si>
  <si>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</si>
  <si>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</si>
  <si>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</si>
  <si>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</si>
  <si>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</si>
  <si>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</si>
  <si>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</si>
  <si>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</si>
  <si>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</si>
  <si>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</si>
  <si>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</si>
  <si>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</si>
  <si>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</si>
  <si>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</si>
  <si>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</si>
  <si>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</si>
  <si>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</si>
  <si>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</si>
  <si>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</si>
  <si>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</si>
  <si>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</si>
  <si>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</si>
  <si>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</si>
  <si>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</si>
  <si>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</si>
  <si>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</si>
  <si>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</si>
  <si>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</si>
  <si>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</si>
  <si>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</si>
  <si>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</si>
  <si>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</si>
  <si>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</si>
  <si>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</si>
  <si>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</si>
  <si>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</si>
  <si>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</si>
  <si>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</si>
  <si>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</si>
  <si>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</si>
  <si>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</si>
  <si>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</si>
  <si>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</si>
  <si>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</si>
  <si>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</si>
  <si>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</si>
  <si>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</si>
  <si>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</si>
  <si>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</si>
  <si>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</si>
  <si>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</si>
  <si>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</si>
  <si>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</si>
  <si>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</si>
  <si>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</si>
  <si>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</si>
  <si>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</si>
  <si>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</si>
  <si>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</si>
  <si>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</si>
  <si>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</si>
  <si>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</si>
  <si>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</si>
  <si>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</si>
  <si>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</si>
  <si>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</si>
  <si>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</si>
  <si>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</si>
  <si>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</si>
  <si>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</si>
  <si>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</si>
  <si>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</si>
  <si>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</si>
  <si>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</si>
  <si>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</si>
  <si>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</si>
  <si>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</si>
  <si>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</si>
  <si>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</si>
  <si>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</si>
  <si>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</si>
  <si>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</si>
  <si>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</si>
  <si>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</si>
  <si>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</si>
  <si>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</si>
  <si>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</si>
  <si>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</si>
  <si>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</si>
  <si>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</si>
  <si>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</si>
  <si>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</si>
  <si>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</si>
  <si>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</si>
  <si>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</si>
  <si>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</si>
  <si>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</si>
  <si>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</si>
  <si>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</si>
  <si>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</si>
  <si>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</si>
  <si>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</si>
  <si>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</si>
  <si>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</si>
  <si>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</si>
  <si>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</si>
  <si>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</si>
  <si>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</si>
  <si>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</si>
  <si>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</si>
  <si>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</si>
  <si>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</si>
  <si>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</si>
  <si>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</si>
  <si>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</si>
  <si>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</si>
  <si>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</si>
  <si>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</si>
  <si>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</si>
  <si>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</si>
  <si>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</si>
  <si>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</si>
  <si>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</si>
  <si>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</si>
  <si>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</si>
  <si>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</si>
  <si>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</si>
  <si>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</si>
  <si>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</si>
  <si>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</si>
  <si>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</si>
  <si>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</si>
  <si>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</si>
  <si>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</si>
  <si>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</si>
  <si>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</si>
  <si>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</si>
  <si>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</si>
  <si>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</si>
  <si>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</si>
  <si>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</si>
  <si>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</si>
  <si>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</si>
  <si>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</si>
  <si>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</si>
  <si>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</si>
  <si>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</si>
  <si>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</si>
  <si>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</si>
  <si>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</si>
  <si>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</si>
  <si>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</si>
  <si>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</si>
  <si>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</si>
  <si>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</si>
  <si>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</si>
  <si>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</si>
  <si>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</si>
  <si>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</si>
  <si>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</si>
  <si>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</si>
  <si>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</si>
  <si>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</si>
  <si>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</si>
  <si>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</si>
  <si>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</si>
  <si>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</si>
  <si>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</si>
  <si>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</si>
  <si>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</si>
  <si>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</si>
  <si>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</si>
  <si>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</si>
  <si>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</si>
  <si>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</si>
  <si>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</si>
  <si>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</si>
  <si>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</si>
  <si>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</si>
  <si>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</si>
  <si>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</si>
  <si>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</si>
  <si>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</si>
  <si>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</si>
  <si>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</si>
  <si>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</si>
  <si>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</si>
  <si>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</si>
  <si>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</si>
  <si>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</si>
  <si>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</si>
  <si>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</si>
  <si>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</si>
  <si>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</si>
  <si>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</si>
  <si>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</si>
  <si>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</si>
  <si>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</si>
  <si>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</si>
  <si>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</si>
  <si>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</si>
  <si>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</si>
  <si>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</si>
  <si>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</si>
  <si>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</si>
  <si>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</si>
  <si>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</si>
  <si>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</si>
  <si>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</si>
  <si>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</si>
  <si>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</si>
  <si>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</si>
  <si>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</si>
  <si>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</si>
  <si>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</si>
  <si>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</si>
  <si>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</si>
  <si>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</si>
  <si>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</si>
  <si>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</si>
  <si>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</si>
  <si>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</si>
  <si>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</si>
  <si>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</si>
  <si>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</si>
  <si>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</si>
  <si>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</si>
  <si>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</si>
  <si>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</si>
  <si>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</si>
  <si>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</si>
  <si>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</si>
  <si>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</si>
  <si>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</si>
  <si>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</si>
  <si>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</si>
  <si>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</si>
  <si>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</si>
  <si>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</si>
  <si>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</si>
  <si>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</si>
  <si>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</si>
  <si>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</si>
  <si>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</si>
  <si>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</si>
  <si>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</si>
  <si>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</si>
  <si>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</si>
  <si>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</si>
  <si>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</si>
  <si>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</si>
  <si>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</si>
  <si>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</si>
  <si>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</si>
  <si>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</si>
  <si>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</si>
  <si>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</si>
  <si>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</si>
  <si>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</si>
  <si>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</si>
  <si>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</si>
  <si>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</si>
  <si>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</si>
  <si>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</si>
  <si>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</si>
  <si>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</si>
  <si>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</si>
  <si>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</si>
  <si>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</si>
  <si>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</si>
  <si>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</si>
  <si>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</si>
  <si>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</si>
  <si>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</si>
  <si>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</si>
  <si>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</si>
  <si>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</si>
  <si>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</si>
  <si>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</si>
  <si>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</si>
  <si>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</si>
  <si>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</si>
  <si>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</si>
  <si>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</si>
  <si>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</si>
  <si>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</si>
  <si>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</si>
  <si>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</si>
  <si>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</si>
  <si>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</si>
  <si>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</si>
  <si>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</si>
  <si>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</si>
  <si>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</si>
  <si>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</si>
  <si>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</si>
  <si>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</si>
  <si>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</si>
  <si>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</si>
  <si>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</si>
  <si>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</si>
  <si>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</si>
  <si>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</si>
  <si>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</si>
  <si>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</si>
  <si>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</si>
  <si>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</si>
  <si>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</si>
  <si>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</si>
  <si>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</si>
  <si>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</si>
  <si>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</si>
  <si>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</si>
  <si>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</si>
  <si>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</si>
  <si>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</si>
  <si>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</si>
  <si>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</si>
  <si>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</si>
  <si>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</si>
  <si>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</si>
  <si>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</si>
  <si>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</si>
  <si>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</si>
  <si>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</si>
  <si>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</si>
  <si>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</si>
  <si>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</si>
  <si>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</si>
  <si>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</si>
  <si>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</si>
  <si>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</si>
  <si>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</si>
  <si>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</si>
  <si>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</si>
  <si>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</si>
  <si>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</si>
  <si>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</si>
  <si>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</si>
  <si>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</si>
  <si>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</si>
  <si>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</si>
  <si>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</si>
  <si>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</si>
  <si>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</si>
  <si>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</si>
  <si>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</si>
  <si>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</si>
  <si>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</si>
  <si>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</si>
  <si>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</si>
  <si>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</si>
  <si>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</si>
  <si>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</si>
  <si>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</si>
  <si>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</si>
  <si>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</si>
  <si>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</si>
  <si>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</si>
  <si>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</si>
  <si>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</si>
  <si>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</si>
  <si>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</si>
  <si>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</si>
  <si>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</si>
  <si>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</si>
  <si>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</si>
  <si>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</si>
  <si>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</si>
  <si>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</si>
  <si>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</si>
  <si>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</si>
  <si>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</si>
  <si>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</si>
  <si>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</si>
  <si>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</si>
  <si>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</si>
  <si>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</si>
  <si>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</si>
  <si>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</si>
  <si>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</si>
  <si>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</si>
  <si>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</si>
  <si>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</si>
  <si>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</si>
  <si>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</si>
  <si>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</si>
  <si>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</si>
  <si>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</si>
  <si>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</si>
  <si>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</si>
  <si>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</si>
  <si>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</si>
  <si>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</si>
  <si>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</si>
  <si>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</si>
  <si>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</si>
  <si>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</si>
  <si>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</si>
  <si>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</si>
  <si>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</si>
  <si>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</si>
  <si>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</si>
  <si>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</si>
  <si>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</si>
  <si>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</si>
  <si>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</si>
  <si>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</si>
  <si>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</si>
  <si>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</si>
  <si>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</si>
  <si>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</si>
  <si>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</si>
  <si>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</si>
  <si>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</si>
  <si>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</si>
  <si>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</si>
  <si>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</si>
  <si>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</si>
  <si>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</si>
  <si>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</si>
  <si>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</si>
  <si>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</si>
  <si>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</si>
  <si>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</si>
  <si>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</si>
  <si>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</si>
  <si>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</si>
  <si>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</si>
  <si>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</si>
  <si>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</si>
  <si>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</si>
  <si>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</si>
  <si>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</si>
  <si>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</si>
  <si>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</si>
  <si>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</si>
  <si>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</si>
  <si>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</si>
  <si>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</si>
  <si>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</si>
  <si>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</si>
  <si>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</si>
  <si>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</si>
  <si>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</si>
  <si>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</si>
  <si>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</si>
  <si>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</si>
  <si>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</si>
  <si>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</si>
  <si>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</si>
  <si>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</si>
  <si>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</si>
  <si>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</si>
  <si>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</si>
  <si>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</si>
  <si>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</si>
  <si>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</si>
  <si>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</si>
  <si>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</si>
  <si>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</si>
  <si>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</si>
  <si>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</si>
  <si>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</si>
  <si>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</si>
  <si>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</si>
  <si>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</si>
  <si>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</si>
  <si>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</si>
  <si>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</si>
  <si>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</si>
  <si>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</si>
  <si>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</si>
  <si>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</si>
  <si>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</si>
  <si>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</si>
  <si>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</si>
  <si>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</si>
  <si>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</si>
  <si>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</si>
  <si>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</si>
  <si>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</si>
  <si>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</si>
  <si>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</si>
  <si>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</si>
  <si>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</si>
  <si>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</si>
  <si>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</si>
  <si>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</si>
  <si>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</si>
  <si>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</si>
  <si>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</si>
  <si>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</si>
  <si>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</si>
  <si>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</si>
  <si>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</si>
  <si>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</si>
  <si>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</si>
  <si>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</si>
  <si>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</si>
  <si>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</si>
  <si>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</si>
  <si>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</si>
  <si>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</si>
  <si>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</si>
  <si>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</si>
  <si>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</si>
  <si>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</si>
  <si>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</si>
  <si>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</si>
  <si>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</si>
  <si>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</si>
  <si>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</si>
  <si>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</si>
  <si>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</si>
  <si>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</si>
  <si>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</si>
  <si>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</si>
  <si>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</si>
  <si>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</si>
  <si>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</si>
  <si>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</si>
  <si>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</si>
  <si>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</si>
  <si>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</si>
  <si>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</si>
  <si>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</si>
  <si>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</si>
  <si>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</si>
  <si>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</si>
  <si>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</si>
  <si>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</si>
  <si>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</si>
  <si>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</si>
  <si>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</si>
  <si>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</si>
  <si>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</si>
  <si>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</si>
  <si>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</si>
  <si>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</si>
  <si>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</si>
  <si>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</si>
  <si>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</si>
  <si>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</si>
  <si>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</si>
  <si>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</si>
  <si>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</si>
  <si>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</si>
  <si>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</si>
  <si>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</si>
  <si>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</si>
  <si>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</si>
  <si>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</si>
  <si>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</si>
  <si>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</si>
  <si>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</si>
  <si>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</si>
  <si>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</si>
  <si>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</si>
  <si>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</si>
  <si>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</si>
  <si>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</si>
  <si>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</si>
  <si>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</si>
  <si>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</si>
  <si>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</si>
  <si>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</si>
  <si>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</si>
  <si>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</si>
  <si>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</si>
  <si>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</si>
  <si>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</si>
  <si>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</si>
  <si>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</si>
  <si>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</si>
  <si>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</si>
  <si>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</si>
  <si>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</si>
  <si>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</si>
  <si>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</si>
  <si>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</si>
  <si>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</si>
  <si>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</si>
  <si>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</si>
  <si>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</si>
  <si>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</si>
  <si>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</si>
  <si>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</si>
  <si>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</si>
  <si>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</si>
  <si>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</si>
  <si>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</si>
  <si>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</si>
  <si>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</si>
  <si>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</si>
  <si>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</si>
  <si>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</si>
  <si>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</si>
  <si>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</si>
  <si>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</si>
  <si>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</si>
  <si>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</si>
  <si>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</si>
  <si>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</si>
  <si>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</si>
  <si>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</si>
  <si>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</si>
  <si>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</si>
  <si>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</si>
  <si>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</si>
  <si>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</si>
  <si>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</si>
  <si>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</si>
  <si>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</si>
  <si>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</si>
  <si>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</si>
  <si>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</si>
  <si>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</si>
  <si>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</si>
  <si>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</si>
  <si>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</si>
  <si>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</si>
  <si>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</si>
  <si>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</si>
  <si>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</si>
  <si>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</si>
  <si>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</si>
  <si>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</si>
  <si>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</si>
  <si>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</si>
  <si>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</si>
  <si>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</si>
  <si>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</si>
  <si>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</si>
  <si>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</si>
  <si>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</si>
  <si>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</si>
  <si>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</si>
  <si>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</si>
  <si>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</si>
  <si>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</si>
  <si>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</si>
  <si>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</si>
  <si>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</si>
  <si>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</si>
  <si>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</si>
  <si>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</si>
  <si>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</si>
  <si>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</si>
  <si>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</si>
  <si>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</si>
  <si>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</si>
  <si>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</si>
  <si>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</si>
  <si>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</si>
  <si>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</si>
  <si>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</si>
  <si>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</si>
  <si>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</si>
  <si>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</si>
  <si>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</si>
  <si>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</si>
  <si>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</si>
  <si>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</si>
  <si>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</si>
  <si>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</si>
  <si>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</si>
  <si>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</si>
  <si>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</si>
  <si>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</si>
  <si>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</si>
  <si>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</si>
  <si>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</si>
  <si>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</si>
  <si>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</si>
  <si>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</si>
  <si>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</si>
  <si>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</si>
  <si>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</si>
  <si>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</si>
  <si>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</si>
  <si>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</si>
  <si>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</si>
  <si>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</si>
  <si>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</si>
  <si>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</si>
  <si>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</si>
  <si>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</si>
  <si>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</si>
  <si>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</si>
  <si>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</si>
  <si>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</si>
  <si>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</si>
  <si>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</si>
  <si>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</si>
  <si>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</si>
  <si>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</si>
  <si>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</si>
  <si>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</si>
  <si>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</si>
  <si>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</si>
  <si>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</si>
  <si>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</si>
  <si>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</si>
  <si>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</si>
  <si>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</si>
  <si>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</si>
  <si>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</si>
  <si>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</si>
  <si>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</si>
  <si>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</si>
  <si>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</si>
  <si>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</si>
  <si>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</si>
  <si>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</si>
  <si>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</si>
  <si>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</si>
  <si>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</si>
  <si>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</si>
  <si>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</si>
  <si>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</si>
  <si>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</si>
  <si>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</si>
  <si>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</si>
  <si>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</si>
  <si>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</si>
  <si>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</si>
  <si>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</si>
  <si>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</si>
  <si>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</si>
  <si>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</si>
  <si>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</si>
  <si>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</si>
  <si>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</si>
  <si>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</si>
  <si>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</si>
  <si>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</si>
  <si>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</si>
  <si>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</si>
  <si>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</si>
  <si>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</si>
  <si>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</si>
  <si>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</si>
  <si>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</si>
  <si>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</si>
  <si>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</si>
  <si>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</si>
  <si>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</si>
  <si>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</si>
  <si>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</si>
  <si>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</si>
  <si>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</si>
  <si>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</si>
  <si>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</si>
  <si>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</si>
  <si>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</si>
  <si>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</si>
  <si>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</si>
  <si>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</si>
  <si>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</si>
  <si>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</si>
  <si>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</si>
  <si>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</si>
  <si>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</si>
  <si>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</si>
  <si>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</si>
  <si>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</si>
  <si>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</si>
  <si>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</si>
  <si>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</si>
  <si>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</si>
  <si>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</si>
  <si>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</si>
  <si>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</si>
  <si>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</si>
  <si>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</si>
  <si>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</si>
  <si>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</si>
  <si>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</si>
  <si>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</si>
  <si>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</si>
  <si>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</si>
  <si>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</si>
  <si>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</si>
  <si>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</si>
  <si>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</si>
  <si>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</si>
  <si>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</si>
  <si>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</si>
  <si>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</si>
  <si>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</si>
  <si>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</si>
  <si>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</si>
  <si>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</si>
  <si>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</si>
  <si>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</si>
  <si>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</si>
  <si>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</si>
  <si>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</si>
  <si>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</si>
  <si>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</si>
  <si>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</si>
  <si>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</si>
  <si>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</si>
  <si>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</si>
  <si>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</si>
  <si>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</si>
  <si>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</si>
  <si>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</si>
  <si>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</si>
  <si>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</si>
  <si>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</si>
  <si>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</si>
  <si>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</si>
  <si>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</si>
  <si>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</si>
  <si>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</si>
  <si>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</si>
  <si>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</si>
  <si>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</si>
  <si>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</si>
  <si>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</si>
  <si>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</si>
  <si>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</si>
  <si>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</si>
  <si>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</si>
  <si>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</si>
  <si>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</si>
  <si>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</si>
  <si>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</si>
  <si>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</si>
  <si>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</si>
  <si>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</si>
  <si>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</si>
  <si>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</si>
  <si>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</si>
  <si>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</si>
  <si>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</si>
  <si>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</si>
  <si>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</si>
  <si>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</si>
  <si>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</si>
  <si>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</si>
  <si>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</si>
  <si>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</si>
  <si>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</si>
  <si>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</si>
  <si>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</si>
  <si>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</si>
  <si>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</si>
  <si>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</si>
  <si>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</si>
  <si>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</si>
  <si>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</si>
  <si>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</si>
  <si>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</si>
  <si>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</si>
  <si>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</si>
  <si>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</si>
  <si>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</si>
  <si>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</si>
  <si>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</si>
  <si>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</si>
  <si>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</si>
  <si>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</si>
  <si>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</si>
  <si>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</si>
  <si>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</si>
  <si>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</si>
  <si>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</si>
  <si>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</si>
  <si>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</si>
  <si>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</si>
  <si>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</si>
  <si>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</si>
  <si>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</si>
  <si>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</si>
  <si>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</si>
  <si>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</si>
  <si>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</si>
  <si>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</si>
  <si>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</si>
  <si>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</si>
  <si>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</si>
  <si>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</si>
  <si>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</si>
  <si>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</si>
  <si>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</si>
  <si>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</si>
  <si>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</si>
  <si>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</si>
  <si>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</si>
  <si>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</si>
  <si>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</si>
  <si>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</si>
  <si>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</si>
  <si>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</si>
  <si>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</si>
  <si>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</si>
  <si>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</si>
  <si>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</si>
  <si>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</si>
  <si>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</si>
  <si>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</si>
  <si>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</si>
  <si>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</si>
  <si>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</si>
  <si>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</si>
  <si>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</si>
  <si>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</si>
  <si>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</si>
  <si>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</si>
  <si>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</si>
  <si>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</si>
  <si>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</si>
  <si>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</si>
  <si>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</si>
  <si>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</si>
  <si>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</si>
  <si>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</si>
  <si>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</si>
  <si>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</si>
  <si>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</si>
  <si>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</si>
  <si>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</si>
  <si>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</si>
  <si>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</si>
  <si>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</si>
  <si>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</si>
  <si>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</si>
  <si>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</si>
  <si>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</si>
  <si>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</si>
  <si>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</si>
  <si>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</si>
  <si>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</si>
  <si>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</si>
  <si>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</si>
  <si>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</si>
  <si>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</si>
  <si>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</si>
  <si>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</si>
  <si>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</si>
  <si>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</si>
  <si>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</si>
  <si>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</si>
  <si>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</si>
  <si>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</si>
  <si>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</si>
  <si>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</si>
  <si>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</si>
  <si>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</si>
  <si>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</si>
  <si>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</si>
  <si>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</si>
  <si>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</si>
  <si>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</si>
  <si>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</si>
  <si>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</si>
  <si>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</si>
  <si>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</si>
  <si>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</si>
  <si>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</si>
  <si>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</si>
  <si>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</si>
  <si>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</si>
  <si>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</si>
  <si>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</si>
  <si>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</si>
  <si>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</si>
  <si>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</si>
  <si>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</si>
  <si>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</si>
  <si>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</si>
  <si>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</si>
  <si>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</si>
  <si>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</si>
  <si>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</si>
  <si>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</si>
  <si>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</si>
  <si>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</si>
  <si>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</si>
  <si>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</si>
  <si>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</si>
  <si>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</si>
  <si>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</si>
  <si>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</si>
  <si>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</si>
  <si>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</si>
  <si>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</si>
  <si>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</si>
  <si>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</si>
  <si>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</si>
  <si>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</si>
  <si>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</si>
  <si>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</si>
  <si>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</si>
  <si>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</si>
  <si>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</si>
  <si>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</si>
  <si>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</si>
  <si>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</si>
  <si>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</si>
  <si>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</si>
  <si>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</si>
  <si>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</si>
  <si>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</si>
  <si>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</si>
  <si>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</si>
  <si>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</si>
  <si>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</si>
  <si>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</si>
  <si>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</si>
  <si>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</si>
  <si>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</si>
  <si>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</si>
  <si>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</si>
  <si>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</si>
  <si>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</si>
  <si>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</si>
  <si>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</si>
  <si>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</si>
  <si>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</si>
  <si>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</si>
  <si>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</si>
  <si>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</si>
  <si>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</si>
  <si>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</si>
  <si>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</si>
  <si>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</si>
  <si>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</si>
  <si>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</si>
  <si>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</si>
  <si>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</si>
  <si>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</si>
  <si>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</si>
  <si>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</si>
  <si>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</si>
  <si>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</si>
  <si>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</si>
  <si>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</si>
  <si>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</si>
  <si>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</si>
  <si>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</si>
  <si>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</si>
  <si>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</si>
  <si>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</si>
  <si>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</si>
  <si>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</si>
  <si>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</si>
  <si>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</si>
  <si>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</si>
  <si>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</si>
  <si>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</si>
  <si>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</si>
  <si>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</si>
  <si>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</si>
  <si>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</si>
  <si>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</si>
  <si>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</si>
  <si>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</si>
  <si>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</si>
  <si>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</si>
  <si>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</si>
  <si>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</si>
  <si>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</si>
  <si>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</si>
  <si>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</si>
  <si>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</si>
  <si>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</si>
  <si>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</si>
  <si>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</si>
  <si>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</si>
  <si>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</si>
  <si>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</si>
  <si>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</si>
  <si>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</si>
  <si>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</si>
  <si>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</si>
  <si>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</si>
  <si>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</si>
  <si>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</si>
  <si>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</si>
  <si>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</si>
  <si>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</si>
  <si>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</si>
  <si>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</si>
  <si>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</si>
  <si>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</si>
  <si>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</si>
  <si>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</si>
  <si>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</si>
  <si>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</si>
  <si>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</si>
  <si>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</si>
  <si>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</si>
  <si>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</si>
  <si>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</si>
  <si>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</si>
  <si>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</si>
  <si>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</si>
  <si>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</si>
  <si>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</si>
  <si>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</si>
  <si>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</si>
  <si>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</si>
  <si>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</si>
  <si>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</si>
  <si>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</si>
  <si>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</si>
  <si>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</si>
  <si>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</si>
  <si>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</si>
  <si>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</si>
  <si>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</si>
  <si>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</si>
  <si>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</si>
  <si>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</si>
  <si>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</si>
  <si>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</si>
  <si>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</si>
  <si>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</si>
  <si>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</si>
  <si>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</si>
  <si>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</si>
  <si>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</si>
  <si>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</si>
  <si>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</si>
  <si>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</si>
  <si>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</si>
  <si>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</si>
  <si>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</si>
  <si>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</si>
  <si>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</si>
  <si>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</si>
  <si>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</si>
  <si>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</si>
  <si>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</si>
  <si>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</si>
  <si>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</si>
  <si>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</si>
  <si>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</si>
  <si>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</si>
  <si>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</si>
  <si>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</si>
  <si>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</si>
  <si>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</si>
  <si>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</si>
  <si>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</si>
  <si>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</si>
  <si>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</si>
  <si>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</si>
  <si>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</si>
  <si>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</si>
  <si>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</si>
  <si>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</si>
  <si>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</si>
  <si>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</si>
  <si>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</si>
  <si>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</si>
  <si>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</si>
  <si>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</si>
  <si>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</si>
  <si>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</si>
  <si>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</si>
  <si>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</si>
  <si>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</si>
  <si>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</si>
  <si>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</si>
  <si>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</si>
  <si>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</si>
  <si>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</si>
  <si>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</si>
  <si>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</si>
  <si>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</si>
  <si>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</si>
  <si>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</si>
  <si>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</si>
  <si>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</si>
  <si>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</si>
  <si>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</si>
  <si>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</si>
  <si>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</si>
  <si>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</si>
  <si>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</si>
  <si>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</si>
  <si>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</si>
  <si>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</si>
  <si>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</si>
  <si>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</si>
  <si>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</si>
  <si>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</si>
  <si>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</si>
  <si>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</si>
  <si>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</si>
  <si>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</si>
  <si>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</si>
  <si>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</si>
  <si>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</si>
  <si>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</si>
  <si>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</si>
  <si>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</si>
  <si>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</si>
  <si>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</si>
  <si>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</si>
  <si>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</si>
  <si>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</si>
  <si>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</si>
  <si>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</si>
  <si>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</si>
  <si>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</si>
  <si>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</si>
  <si>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</si>
  <si>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</si>
  <si>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</si>
  <si>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</si>
  <si>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</si>
  <si>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</si>
  <si>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</si>
  <si>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</si>
  <si>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</si>
  <si>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</si>
  <si>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</si>
  <si>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</si>
  <si>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</si>
  <si>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</si>
  <si>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</si>
  <si>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</si>
  <si>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</si>
  <si>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</si>
  <si>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</si>
  <si>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</si>
  <si>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</si>
  <si>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</si>
  <si>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</si>
  <si>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</si>
  <si>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</si>
  <si>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</si>
  <si>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</si>
  <si>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</si>
  <si>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</si>
  <si>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</si>
  <si>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</si>
  <si>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</si>
  <si>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</si>
  <si>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</si>
  <si>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</si>
  <si>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</si>
  <si>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</si>
  <si>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</si>
  <si>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</si>
  <si>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</si>
  <si>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</si>
  <si>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</si>
  <si>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</si>
  <si>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</si>
  <si>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</si>
  <si>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</si>
  <si>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</si>
  <si>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</si>
  <si>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</si>
  <si>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</si>
  <si>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</si>
  <si>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</si>
  <si>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</si>
  <si>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</si>
  <si>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</si>
  <si>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</si>
  <si>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</si>
  <si>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</si>
  <si>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</si>
  <si>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</si>
  <si>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</si>
  <si>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</si>
  <si>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</si>
  <si>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</si>
  <si>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</si>
  <si>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</si>
  <si>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</si>
  <si>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</si>
  <si>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</si>
  <si>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</si>
  <si>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</si>
  <si>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</si>
  <si>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</si>
  <si>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</si>
  <si>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</si>
  <si>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</si>
  <si>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</si>
  <si>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</si>
  <si>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</si>
  <si>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</si>
  <si>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</si>
  <si>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</si>
  <si>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</si>
  <si>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</si>
  <si>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</si>
  <si>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</si>
  <si>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</si>
  <si>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</si>
  <si>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</si>
  <si>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</si>
  <si>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</si>
  <si>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</si>
  <si>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</si>
  <si>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</si>
  <si>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</si>
  <si>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</si>
  <si>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</si>
  <si>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</si>
  <si>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</si>
  <si>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</si>
  <si>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</si>
  <si>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</si>
  <si>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</si>
  <si>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</si>
  <si>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</si>
  <si>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</si>
  <si>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</si>
  <si>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</si>
  <si>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</si>
  <si>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</si>
  <si>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</si>
  <si>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</si>
  <si>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</si>
  <si>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</si>
  <si>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</si>
  <si>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</si>
  <si>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</si>
  <si>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</si>
  <si>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</si>
  <si>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</si>
  <si>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</si>
  <si>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</si>
  <si>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</si>
  <si>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</si>
  <si>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</si>
  <si>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</si>
  <si>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</si>
  <si>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</si>
  <si>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</si>
  <si>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</si>
  <si>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</si>
  <si>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</si>
  <si>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</si>
  <si>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</si>
  <si>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</si>
  <si>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</si>
  <si>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</si>
  <si>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</si>
  <si>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</si>
  <si>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</si>
  <si>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</si>
  <si>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</si>
  <si>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</si>
  <si>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</si>
  <si>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</si>
  <si>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</si>
  <si>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</si>
  <si>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</si>
  <si>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</si>
  <si>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</si>
  <si>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</si>
  <si>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</si>
  <si>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</si>
  <si>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</si>
  <si>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</si>
  <si>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</si>
  <si>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</si>
  <si>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</si>
  <si>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</si>
  <si>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</si>
  <si>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</si>
  <si>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</si>
  <si>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</si>
  <si>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</si>
  <si>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</si>
  <si>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</si>
  <si>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</si>
  <si>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</si>
  <si>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</si>
  <si>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</si>
  <si>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</si>
  <si>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</si>
  <si>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</si>
  <si>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</si>
  <si>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</si>
  <si>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</si>
  <si>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</si>
  <si>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</si>
  <si>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</si>
  <si>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</si>
  <si>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</si>
  <si>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</si>
  <si>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</si>
  <si>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</si>
  <si>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</si>
  <si>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</si>
  <si>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</si>
  <si>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</si>
  <si>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</si>
  <si>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</si>
  <si>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</si>
  <si>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</si>
  <si>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</si>
  <si>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</si>
  <si>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</si>
  <si>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</si>
  <si>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</si>
  <si>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</si>
  <si>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</si>
  <si>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</si>
  <si>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</si>
  <si>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</si>
  <si>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</si>
  <si>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</si>
  <si>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</si>
  <si>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</si>
  <si>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</si>
  <si>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</si>
  <si>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</si>
  <si>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</si>
  <si>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</si>
  <si>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</si>
  <si>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</si>
  <si>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</si>
  <si>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</si>
  <si>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</si>
  <si>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</si>
  <si>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</si>
  <si>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</si>
  <si>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</si>
  <si>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</si>
  <si>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</si>
  <si>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</si>
  <si>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</si>
  <si>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</si>
  <si>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</si>
  <si>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</si>
  <si>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</si>
  <si>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</si>
  <si>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</si>
  <si>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</si>
  <si>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</si>
  <si>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</si>
  <si>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</si>
  <si>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</si>
  <si>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</si>
  <si>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</si>
  <si>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</si>
  <si>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</si>
  <si>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</si>
  <si>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</si>
  <si>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</si>
  <si>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</si>
  <si>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</si>
  <si>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</si>
  <si>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</si>
  <si>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</si>
  <si>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</si>
  <si>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</si>
  <si>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</si>
  <si>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</si>
  <si>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</si>
  <si>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</si>
  <si>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</si>
  <si>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</si>
  <si>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</si>
  <si>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</si>
  <si>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</si>
  <si>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</si>
  <si>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</si>
  <si>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</si>
  <si>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</si>
  <si>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</si>
  <si>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</si>
  <si>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</si>
  <si>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</si>
  <si>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</si>
  <si>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</si>
  <si>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</si>
  <si>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</si>
  <si>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</si>
  <si>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</si>
  <si>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</si>
  <si>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</si>
  <si>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</si>
  <si>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</si>
  <si>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</si>
  <si>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</si>
  <si>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</si>
  <si>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</si>
  <si>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</si>
  <si>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</si>
  <si>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</si>
  <si>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</si>
  <si>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</si>
  <si>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</si>
  <si>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</si>
  <si>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</si>
  <si>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</si>
  <si>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</si>
  <si>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</si>
  <si>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</si>
  <si>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</si>
  <si>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</si>
  <si>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</si>
  <si>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</si>
  <si>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</si>
  <si>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</si>
  <si>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</si>
  <si>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</si>
  <si>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</si>
  <si>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</si>
  <si>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</si>
  <si>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</si>
  <si>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</si>
  <si>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</si>
  <si>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</si>
  <si>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</si>
  <si>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</si>
  <si>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</si>
  <si>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</si>
  <si>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</si>
  <si>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</si>
  <si>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</si>
  <si>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</si>
  <si>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</si>
  <si>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</si>
  <si>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</si>
  <si>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</si>
  <si>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</si>
  <si>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</si>
  <si>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</si>
  <si>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</si>
  <si>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</si>
  <si>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</si>
  <si>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</si>
  <si>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</si>
  <si>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</si>
  <si>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</si>
  <si>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</si>
  <si>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</si>
  <si>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</si>
  <si>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</si>
  <si>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</si>
  <si>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</si>
  <si>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</si>
  <si>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</si>
  <si>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</si>
  <si>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</si>
  <si>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</si>
  <si>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</si>
  <si>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</si>
  <si>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</si>
  <si>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</si>
  <si>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</si>
  <si>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</si>
  <si>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</si>
  <si>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</si>
  <si>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</si>
  <si>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</si>
  <si>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</si>
  <si>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</si>
  <si>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</si>
  <si>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</si>
  <si>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</si>
  <si>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</si>
  <si>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</si>
  <si>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</si>
  <si>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</si>
  <si>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</si>
  <si>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</si>
  <si>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</si>
  <si>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</si>
  <si>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</si>
  <si>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</si>
  <si>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</si>
  <si>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</si>
  <si>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</si>
  <si>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</si>
  <si>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</si>
  <si>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</si>
  <si>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</si>
  <si>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</si>
  <si>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</si>
  <si>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</si>
  <si>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</si>
  <si>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</si>
  <si>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</si>
  <si>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</si>
  <si>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</si>
  <si>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</si>
  <si>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</si>
  <si>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</si>
  <si>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</si>
  <si>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</si>
  <si>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</si>
  <si>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</si>
  <si>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</si>
  <si>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</si>
  <si>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</si>
  <si>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</si>
  <si>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</si>
  <si>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</si>
  <si>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</si>
  <si>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</si>
  <si>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</si>
  <si>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</si>
  <si>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</si>
  <si>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</si>
  <si>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</si>
  <si>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</si>
  <si>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</si>
  <si>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</si>
  <si>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</si>
  <si>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</si>
  <si>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</si>
  <si>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</si>
  <si>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</si>
  <si>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</si>
  <si>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</si>
  <si>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</si>
  <si>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</si>
  <si>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</si>
  <si>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</si>
  <si>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</si>
  <si>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</si>
  <si>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</si>
  <si>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</si>
  <si>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</si>
  <si>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</si>
  <si>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</si>
  <si>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</si>
  <si>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</si>
  <si>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</si>
  <si>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</si>
  <si>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</si>
  <si>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</si>
  <si>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</si>
  <si>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</si>
  <si>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</si>
  <si>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</si>
  <si>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</si>
  <si>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</si>
  <si>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</si>
  <si>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</si>
  <si>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</si>
  <si>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</si>
  <si>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</si>
  <si>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</si>
  <si>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</si>
  <si>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</si>
  <si>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</si>
  <si>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</si>
  <si>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</si>
  <si>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</si>
  <si>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</si>
  <si>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</si>
  <si>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</si>
  <si>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</si>
  <si>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</si>
  <si>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</si>
  <si>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</si>
  <si>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</si>
  <si>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</si>
  <si>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</si>
  <si>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</si>
  <si>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</si>
  <si>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</si>
  <si>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</si>
  <si>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</si>
  <si>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</si>
  <si>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</si>
  <si>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</si>
  <si>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</si>
  <si>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</si>
  <si>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</si>
  <si>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</si>
  <si>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</si>
  <si>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</si>
  <si>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</si>
  <si>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</si>
  <si>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</si>
  <si>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</si>
  <si>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</si>
  <si>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</si>
  <si>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</si>
  <si>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</si>
  <si>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</si>
  <si>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</si>
  <si>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</si>
  <si>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</si>
  <si>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</si>
  <si>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</si>
  <si>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</si>
  <si>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</si>
  <si>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</si>
  <si>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</si>
  <si>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</si>
  <si>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</si>
  <si>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</si>
  <si>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</si>
  <si>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</si>
  <si>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</si>
  <si>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</si>
  <si>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</si>
  <si>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</si>
  <si>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</si>
  <si>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</si>
  <si>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</si>
  <si>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</si>
  <si>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</si>
  <si>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</si>
  <si>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</si>
  <si>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</si>
  <si>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</si>
  <si>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</si>
  <si>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</si>
  <si>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</si>
  <si>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</si>
  <si>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</si>
  <si>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</si>
  <si>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</si>
  <si>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</si>
  <si>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</si>
  <si>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</si>
  <si>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</si>
  <si>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</si>
  <si>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</si>
  <si>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</si>
  <si>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</si>
  <si>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</si>
  <si>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</si>
  <si>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</si>
  <si>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</si>
  <si>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</si>
  <si>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</si>
  <si>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</si>
  <si>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</si>
  <si>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</si>
  <si>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</si>
  <si>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</si>
  <si>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</si>
  <si>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</si>
  <si>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</si>
  <si>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</si>
  <si>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</si>
  <si>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</si>
  <si>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</si>
  <si>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</si>
  <si>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</si>
  <si>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</si>
  <si>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</si>
  <si>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</si>
  <si>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</si>
  <si>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</si>
  <si>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</si>
  <si>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</si>
  <si>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</si>
  <si>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</si>
  <si>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</si>
  <si>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</si>
  <si>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</si>
  <si>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</si>
  <si>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</si>
  <si>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</si>
  <si>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</si>
  <si>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</si>
  <si>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</si>
  <si>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</si>
  <si>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</si>
  <si>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</si>
  <si>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</si>
  <si>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</si>
  <si>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</si>
  <si>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</si>
  <si>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</si>
  <si>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</si>
  <si>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</si>
  <si>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</si>
  <si>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</si>
  <si>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</si>
  <si>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</si>
  <si>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</si>
  <si>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</si>
  <si>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</si>
  <si>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</si>
  <si>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</si>
  <si>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</si>
  <si>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</si>
  <si>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</si>
  <si>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</si>
  <si>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</si>
  <si>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</si>
  <si>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</si>
  <si>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</si>
  <si>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</si>
  <si>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</si>
  <si>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</si>
  <si>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</si>
  <si>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</si>
  <si>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</si>
  <si>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</si>
  <si>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</si>
  <si>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</si>
  <si>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</si>
  <si>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</si>
  <si>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</si>
  <si>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</si>
  <si>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</si>
  <si>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</si>
  <si>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</si>
  <si>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</si>
  <si>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</si>
  <si>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</si>
  <si>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</si>
  <si>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</si>
  <si>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</si>
  <si>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</si>
  <si>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</si>
  <si>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</si>
  <si>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</si>
  <si>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</si>
  <si>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</si>
  <si>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</si>
  <si>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</si>
  <si>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</si>
  <si>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</si>
  <si>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</si>
  <si>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</si>
  <si>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</si>
  <si>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</si>
  <si>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</si>
  <si>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</si>
  <si>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</si>
  <si>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</si>
  <si>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</si>
  <si>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</si>
  <si>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</si>
  <si>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</si>
  <si>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</si>
  <si>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</si>
  <si>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</si>
  <si>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</si>
  <si>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</si>
  <si>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</si>
  <si>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</si>
  <si>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</si>
  <si>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</si>
  <si>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</si>
  <si>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</si>
  <si>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</si>
  <si>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</si>
  <si>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</si>
  <si>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</si>
  <si>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</si>
  <si>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</si>
  <si>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</si>
  <si>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</si>
  <si>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</si>
  <si>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</si>
  <si>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</si>
  <si>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</si>
  <si>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</si>
  <si>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</si>
  <si>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</si>
  <si>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</si>
  <si>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</si>
  <si>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</si>
  <si>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</si>
  <si>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</si>
  <si>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</si>
  <si>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</si>
  <si>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</si>
  <si>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</si>
  <si>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</si>
  <si>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</si>
  <si>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</si>
  <si>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</si>
  <si>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</si>
  <si>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</si>
  <si>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</si>
  <si>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</si>
  <si>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</si>
  <si>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</si>
  <si>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</si>
  <si>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</si>
  <si>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</si>
  <si>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</si>
  <si>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</si>
  <si>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</si>
  <si>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</si>
  <si>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</si>
  <si>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</si>
  <si>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</si>
  <si>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</si>
  <si>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</si>
  <si>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</si>
  <si>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</si>
  <si>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</si>
  <si>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</si>
  <si>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</si>
  <si>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</si>
  <si>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</si>
  <si>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</si>
  <si>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</si>
  <si>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</si>
  <si>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</si>
  <si>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</si>
  <si>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</si>
  <si>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</si>
  <si>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</si>
  <si>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</si>
  <si>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</si>
  <si>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</si>
  <si>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</si>
  <si>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</si>
  <si>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</si>
  <si>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</si>
  <si>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</si>
  <si>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</si>
  <si>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</si>
  <si>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</si>
  <si>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</si>
  <si>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</si>
  <si>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</si>
  <si>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</si>
  <si>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</si>
  <si>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</si>
  <si>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</si>
  <si>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</si>
  <si>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</si>
  <si>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</si>
  <si>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</si>
  <si>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</si>
  <si>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</si>
  <si>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</si>
  <si>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</si>
  <si>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</si>
  <si>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</si>
  <si>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</si>
  <si>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</si>
  <si>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</si>
  <si>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</si>
  <si>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</si>
  <si>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</si>
  <si>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</si>
  <si>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</si>
  <si>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</si>
  <si>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</si>
  <si>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</si>
  <si>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</si>
  <si>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</si>
  <si>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</si>
  <si>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</si>
  <si>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</si>
  <si>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</si>
  <si>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</si>
  <si>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</si>
  <si>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</si>
  <si>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</si>
  <si>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</si>
  <si>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</si>
  <si>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</si>
  <si>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</si>
  <si>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</si>
  <si>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</si>
  <si>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</si>
  <si>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</si>
  <si>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</si>
  <si>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</si>
  <si>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</si>
  <si>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</si>
  <si>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</si>
  <si>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</si>
  <si>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</si>
  <si>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</si>
  <si>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</si>
  <si>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</si>
  <si>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</si>
  <si>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</si>
  <si>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</si>
  <si>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</si>
  <si>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</si>
  <si>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</si>
  <si>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</si>
  <si>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</si>
  <si>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</si>
  <si>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</si>
  <si>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</si>
  <si>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</si>
  <si>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</si>
  <si>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</si>
  <si>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</si>
  <si>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</si>
  <si>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</si>
  <si>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</si>
  <si>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</si>
  <si>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</si>
  <si>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</si>
  <si>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</si>
  <si>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</si>
  <si>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</si>
  <si>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</si>
  <si>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</si>
  <si>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</si>
  <si>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</si>
  <si>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</si>
  <si>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</si>
  <si>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</si>
  <si>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</si>
  <si>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</si>
  <si>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</si>
  <si>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</si>
  <si>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</si>
  <si>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</si>
  <si>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</si>
  <si>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</si>
  <si>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</si>
  <si>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</si>
  <si>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</si>
  <si>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</si>
  <si>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</si>
  <si>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</si>
  <si>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</si>
  <si>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</si>
  <si>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</si>
  <si>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</si>
  <si>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</si>
  <si>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</si>
  <si>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</si>
  <si>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</si>
  <si>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</si>
  <si>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</si>
  <si>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</si>
  <si>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</si>
  <si>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</si>
  <si>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</si>
  <si>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</si>
  <si>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</si>
  <si>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</si>
  <si>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</si>
  <si>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</si>
  <si>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</si>
  <si>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</si>
  <si>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</si>
  <si>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</si>
  <si>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</si>
  <si>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</si>
  <si>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</si>
  <si>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</si>
  <si>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</si>
  <si>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</si>
  <si>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</si>
  <si>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</si>
  <si>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</si>
  <si>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</si>
  <si>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</si>
  <si>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</si>
  <si>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</si>
  <si>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</si>
  <si>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</si>
  <si>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</si>
  <si>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</si>
  <si>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</si>
  <si>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</si>
  <si>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</si>
  <si>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</si>
  <si>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</si>
  <si>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</si>
  <si>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</si>
  <si>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</si>
  <si>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</si>
  <si>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</si>
  <si>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</si>
  <si>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</si>
  <si>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</si>
  <si>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</si>
  <si>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</si>
  <si>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</si>
  <si>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</si>
  <si>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</si>
  <si>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</si>
  <si>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</si>
  <si>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</si>
  <si>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</si>
  <si>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</si>
  <si>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</si>
  <si>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</si>
  <si>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</si>
  <si>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</si>
  <si>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</si>
  <si>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</si>
  <si>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</si>
  <si>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</si>
  <si>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</si>
  <si>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</si>
  <si>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</si>
  <si>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</si>
  <si>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</si>
  <si>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</si>
  <si>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</si>
  <si>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</si>
  <si>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</si>
  <si>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</si>
  <si>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</si>
  <si>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</si>
  <si>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</si>
  <si>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</si>
  <si>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</si>
  <si>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</si>
  <si>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</si>
  <si>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</si>
  <si>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</si>
  <si>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</si>
  <si>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</si>
  <si>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</si>
  <si>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</si>
  <si>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</si>
  <si>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</si>
  <si>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</si>
  <si>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</si>
  <si>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</si>
  <si>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</si>
  <si>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</si>
  <si>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</si>
  <si>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</si>
  <si>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</si>
  <si>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</si>
  <si>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</si>
  <si>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</si>
  <si>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</si>
  <si>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</si>
  <si>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</si>
  <si>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</si>
  <si>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</si>
  <si>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</si>
  <si>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</si>
  <si>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</si>
  <si>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</si>
  <si>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</si>
  <si>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</si>
  <si>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</si>
  <si>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</si>
  <si>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</si>
  <si>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</si>
  <si>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</si>
  <si>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</si>
  <si>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</si>
  <si>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</si>
  <si>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</si>
  <si>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</si>
  <si>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</si>
  <si>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</si>
  <si>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</si>
  <si>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</si>
  <si>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</si>
  <si>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</si>
  <si>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</si>
  <si>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</si>
  <si>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</si>
  <si>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</si>
  <si>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</si>
  <si>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</si>
  <si>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</si>
  <si>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</si>
  <si>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</si>
  <si>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</si>
  <si>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</si>
  <si>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</si>
  <si>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</si>
  <si>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</si>
  <si>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</si>
  <si>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</si>
  <si>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</si>
  <si>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</si>
  <si>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</si>
  <si>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</si>
  <si>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</si>
  <si>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</si>
  <si>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</si>
  <si>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</si>
  <si>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</si>
  <si>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</si>
  <si>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</si>
  <si>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</si>
  <si>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</si>
  <si>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</si>
  <si>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</si>
  <si>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</si>
  <si>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</si>
  <si>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</si>
  <si>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</si>
  <si>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</si>
  <si>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</si>
  <si>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</si>
  <si>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</si>
  <si>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</si>
  <si>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</si>
  <si>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</si>
  <si>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</si>
  <si>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</si>
  <si>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</si>
  <si>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</si>
  <si>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</si>
  <si>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</si>
  <si>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</si>
  <si>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</si>
  <si>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</si>
  <si>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</si>
  <si>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</si>
  <si>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</si>
  <si>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</si>
  <si>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</si>
  <si>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</si>
  <si>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</si>
  <si>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</si>
  <si>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</si>
  <si>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</si>
  <si>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</si>
  <si>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</si>
  <si>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</si>
  <si>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</si>
  <si>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</si>
  <si>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</si>
  <si>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</si>
  <si>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</si>
  <si>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</si>
  <si>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</si>
  <si>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</si>
  <si>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</si>
  <si>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</si>
  <si>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</si>
  <si>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</si>
  <si>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</si>
  <si>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</si>
  <si>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</si>
  <si>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</si>
  <si>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</si>
  <si>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</si>
  <si>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</si>
  <si>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</si>
  <si>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</si>
  <si>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</si>
  <si>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</si>
  <si>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</si>
  <si>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</si>
  <si>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</si>
  <si>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</si>
  <si>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</si>
  <si>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</si>
  <si>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</si>
  <si>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</si>
  <si>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</si>
  <si>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</si>
  <si>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</si>
  <si>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</si>
  <si>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</si>
  <si>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</si>
  <si>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</si>
  <si>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</si>
  <si>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</si>
  <si>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</si>
  <si>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</si>
  <si>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</si>
  <si>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</si>
  <si>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</si>
  <si>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</si>
  <si>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</si>
  <si>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</si>
  <si>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</si>
  <si>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</si>
  <si>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</si>
  <si>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</si>
  <si>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</si>
  <si>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</si>
  <si>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</si>
  <si>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</si>
  <si>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</si>
  <si>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</si>
  <si>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</si>
  <si>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</si>
  <si>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</si>
  <si>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</si>
  <si>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</si>
  <si>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</si>
  <si>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</si>
  <si>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</si>
  <si>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</si>
  <si>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</si>
  <si>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</si>
  <si>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</si>
  <si>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</si>
  <si>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</si>
  <si>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</si>
  <si>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</si>
  <si>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</si>
  <si>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</si>
  <si>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</si>
  <si>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</si>
  <si>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</si>
  <si>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</si>
  <si>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</si>
  <si>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</si>
  <si>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</si>
  <si>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</si>
  <si>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</si>
  <si>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</si>
  <si>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</si>
  <si>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</si>
  <si>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</si>
  <si>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</si>
  <si>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</si>
  <si>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</si>
  <si>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</si>
  <si>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</si>
  <si>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</si>
  <si>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</si>
  <si>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</si>
  <si>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</si>
  <si>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</si>
  <si>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</si>
  <si>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</si>
  <si>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</si>
  <si>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</si>
  <si>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</si>
  <si>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</si>
  <si>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</si>
  <si>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</si>
  <si>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</si>
  <si>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</si>
  <si>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</si>
  <si>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</si>
  <si>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</si>
  <si>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</si>
  <si>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</si>
  <si>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</si>
  <si>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</si>
  <si>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</si>
  <si>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</si>
  <si>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</si>
  <si>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</si>
  <si>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</si>
  <si>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</si>
  <si>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</si>
  <si>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</si>
  <si>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</si>
  <si>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</si>
  <si>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</si>
  <si>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</si>
  <si>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</si>
  <si>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</si>
  <si>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</si>
  <si>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</si>
  <si>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</si>
  <si>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</si>
  <si>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</si>
  <si>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</si>
  <si>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</si>
  <si>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</si>
  <si>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</si>
  <si>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</si>
  <si>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</si>
  <si>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</si>
  <si>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</si>
  <si>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</si>
  <si>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</si>
  <si>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</si>
  <si>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</si>
  <si>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</si>
  <si>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</si>
  <si>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</si>
  <si>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</si>
  <si>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</si>
  <si>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</si>
  <si>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</si>
  <si>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</si>
  <si>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</si>
  <si>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</si>
  <si>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</si>
  <si>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</si>
  <si>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</si>
  <si>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</si>
  <si>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</si>
  <si>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</si>
  <si>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</si>
  <si>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</si>
  <si>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</si>
  <si>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</si>
  <si>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</si>
  <si>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</si>
  <si>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</si>
  <si>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</si>
  <si>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</si>
  <si>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</si>
  <si>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</si>
  <si>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</si>
  <si>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</si>
  <si>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</si>
  <si>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</si>
  <si>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</si>
  <si>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</si>
  <si>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</si>
  <si>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</si>
  <si>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</si>
  <si>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</si>
  <si>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</si>
  <si>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</si>
  <si>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</si>
  <si>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</si>
  <si>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</si>
  <si>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</si>
  <si>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</si>
  <si>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</si>
  <si>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</si>
  <si>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</si>
  <si>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</si>
  <si>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</si>
  <si>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</si>
  <si>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</si>
  <si>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</si>
  <si>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</si>
  <si>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</si>
  <si>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</si>
  <si>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</si>
  <si>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</si>
  <si>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</si>
  <si>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</si>
  <si>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</si>
  <si>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</si>
  <si>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</si>
  <si>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</si>
  <si>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</si>
  <si>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</si>
  <si>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</si>
  <si>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</si>
  <si>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</si>
  <si>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</si>
  <si>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</si>
  <si>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</si>
  <si>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</si>
  <si>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</si>
  <si>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</si>
  <si>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</si>
  <si>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</si>
  <si>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</si>
  <si>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</si>
  <si>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</si>
  <si>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</si>
  <si>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</si>
  <si>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</si>
  <si>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</si>
  <si>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</si>
  <si>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</si>
  <si>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</si>
  <si>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</si>
  <si>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</si>
  <si>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</si>
  <si>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</si>
  <si>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</si>
  <si>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</si>
  <si>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</si>
  <si>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</si>
  <si>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</si>
  <si>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</si>
  <si>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</si>
  <si>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</si>
  <si>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</si>
  <si>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</si>
  <si>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</si>
  <si>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</si>
  <si>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</si>
  <si>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</si>
  <si>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</si>
  <si>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</si>
  <si>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</si>
  <si>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</si>
  <si>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</si>
  <si>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</si>
  <si>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</si>
  <si>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</si>
  <si>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</si>
  <si>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</si>
  <si>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</si>
  <si>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</si>
  <si>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</si>
  <si>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</si>
  <si>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</si>
  <si>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</si>
  <si>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</si>
  <si>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</si>
  <si>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</si>
  <si>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</si>
  <si>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</si>
  <si>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</si>
  <si>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</si>
  <si>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</si>
  <si>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</si>
  <si>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</si>
  <si>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</si>
  <si>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</si>
  <si>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</si>
  <si>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</si>
  <si>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</si>
  <si>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</si>
  <si>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</si>
  <si>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</si>
  <si>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</si>
  <si>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</si>
  <si>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</si>
  <si>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</si>
  <si>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</si>
  <si>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</si>
  <si>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</si>
  <si>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</si>
  <si>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</si>
  <si>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</si>
  <si>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</si>
  <si>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</si>
  <si>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</si>
  <si>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</si>
  <si>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</si>
  <si>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</si>
  <si>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</si>
  <si>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</si>
  <si>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</si>
  <si>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</si>
  <si>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</si>
  <si>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</si>
  <si>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</si>
  <si>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</si>
  <si>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</si>
  <si>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</si>
  <si>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</si>
  <si>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</si>
  <si>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</si>
  <si>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</si>
  <si>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</si>
  <si>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</si>
  <si>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</si>
  <si>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</si>
  <si>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</si>
  <si>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</si>
  <si>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</si>
  <si>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</si>
  <si>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</si>
  <si>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</si>
  <si>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</si>
  <si>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</si>
  <si>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</si>
  <si>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</si>
  <si>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</si>
  <si>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</si>
  <si>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</si>
  <si>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</si>
  <si>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</si>
  <si>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</si>
  <si>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</si>
  <si>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</si>
  <si>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</si>
  <si>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</si>
  <si>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</si>
  <si>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</si>
  <si>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</si>
  <si>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</si>
  <si>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</si>
  <si>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</si>
  <si>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</si>
  <si>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</si>
  <si>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</si>
  <si>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</si>
  <si>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</si>
  <si>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</si>
  <si>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</si>
  <si>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</si>
  <si>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</si>
  <si>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</si>
  <si>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</si>
  <si>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</si>
  <si>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</si>
  <si>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</si>
  <si>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</si>
  <si>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</si>
  <si>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</si>
  <si>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</si>
  <si>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</si>
  <si>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</si>
  <si>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</si>
  <si>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</si>
  <si>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</si>
  <si>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</si>
  <si>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</si>
  <si>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</si>
  <si>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</si>
  <si>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</si>
  <si>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</si>
  <si>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</si>
  <si>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</si>
  <si>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</si>
  <si>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</si>
  <si>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</si>
  <si>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</si>
  <si>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</si>
  <si>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</si>
  <si>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</si>
  <si>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</si>
  <si>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</si>
  <si>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</si>
  <si>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</si>
  <si>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</si>
  <si>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</si>
  <si>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</si>
  <si>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</si>
  <si>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</si>
  <si>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</si>
  <si>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</si>
  <si>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</si>
  <si>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</si>
  <si>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</si>
  <si>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</si>
  <si>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</si>
  <si>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</si>
  <si>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</si>
  <si>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</si>
  <si>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</si>
  <si>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</si>
  <si>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</si>
  <si>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</si>
  <si>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</si>
  <si>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</si>
  <si>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</si>
  <si>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</si>
  <si>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</si>
  <si>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</si>
  <si>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</si>
  <si>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</si>
  <si>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</si>
  <si>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</si>
  <si>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</si>
  <si>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</si>
  <si>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</si>
  <si>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</si>
  <si>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</si>
  <si>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</si>
  <si>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</si>
  <si>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</si>
  <si>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</si>
  <si>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</si>
  <si>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</si>
  <si>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</si>
  <si>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</si>
  <si>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</si>
  <si>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</si>
  <si>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</si>
  <si>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</si>
  <si>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</si>
  <si>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</si>
  <si>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</si>
  <si>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</si>
  <si>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</si>
  <si>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</si>
  <si>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</si>
  <si>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</si>
  <si>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</si>
  <si>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</si>
  <si>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</si>
  <si>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</si>
  <si>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</si>
  <si>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</si>
  <si>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</si>
  <si>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</si>
  <si>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</si>
  <si>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</si>
  <si>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</si>
  <si>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</si>
  <si>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</si>
  <si>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</si>
  <si>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</si>
  <si>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</si>
  <si>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</si>
  <si>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</si>
  <si>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</si>
  <si>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</si>
  <si>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</si>
  <si>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</si>
  <si>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</si>
  <si>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</si>
  <si>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</si>
  <si>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</si>
  <si>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</si>
  <si>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</si>
  <si>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</si>
  <si>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</si>
  <si>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</si>
  <si>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</si>
  <si>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</si>
  <si>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</si>
  <si>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</si>
  <si>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</si>
  <si>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</si>
  <si>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</si>
  <si>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</si>
  <si>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</si>
  <si>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</si>
  <si>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</si>
  <si>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</si>
  <si>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</si>
  <si>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</si>
  <si>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</si>
  <si>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</si>
  <si>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</si>
  <si>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</si>
  <si>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</si>
  <si>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</si>
  <si>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</si>
  <si>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</si>
  <si>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</si>
  <si>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</si>
  <si>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</si>
  <si>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</si>
  <si>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</si>
  <si>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</si>
  <si>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</si>
  <si>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</si>
  <si>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</si>
  <si>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</si>
  <si>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</si>
  <si>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</si>
  <si>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</si>
  <si>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</si>
  <si>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</si>
  <si>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</si>
  <si>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</si>
  <si>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</si>
  <si>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</si>
  <si>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</si>
  <si>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</si>
  <si>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</si>
  <si>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</si>
  <si>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</si>
  <si>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</si>
  <si>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</si>
  <si>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</si>
  <si>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</si>
  <si>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</si>
  <si>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</si>
  <si>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</si>
  <si>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</si>
  <si>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</si>
  <si>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</si>
  <si>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</si>
  <si>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</si>
  <si>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</si>
  <si>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</si>
  <si>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</si>
  <si>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</si>
  <si>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</si>
  <si>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</si>
  <si>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</si>
  <si>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</si>
  <si>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</si>
  <si>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</si>
  <si>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</si>
  <si>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</si>
  <si>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</si>
  <si>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</si>
  <si>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</si>
  <si>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</si>
  <si>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</si>
  <si>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</si>
  <si>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</si>
  <si>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</si>
  <si>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</si>
  <si>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</si>
  <si>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</si>
  <si>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</si>
  <si>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</si>
  <si>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</si>
  <si>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</si>
  <si>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</si>
  <si>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</si>
  <si>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</si>
  <si>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</si>
  <si>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</si>
  <si>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</si>
  <si>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</si>
  <si>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</si>
  <si>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</si>
  <si>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</si>
  <si>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</si>
  <si>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</si>
  <si>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</si>
  <si>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</si>
  <si>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</si>
  <si>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</si>
  <si>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</si>
  <si>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</si>
  <si>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</si>
  <si>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</si>
  <si>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</si>
  <si>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</si>
  <si>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</si>
  <si>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</si>
  <si>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</si>
  <si>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</si>
  <si>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</si>
  <si>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</si>
  <si>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</si>
  <si>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</si>
  <si>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</si>
  <si>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</si>
  <si>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</si>
  <si>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</si>
  <si>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</si>
  <si>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</si>
  <si>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</si>
  <si>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</si>
  <si>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</si>
  <si>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</si>
  <si>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</si>
  <si>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</si>
  <si>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</si>
  <si>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</si>
  <si>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</si>
  <si>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</si>
  <si>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</si>
  <si>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</si>
  <si>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</si>
  <si>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</si>
  <si>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</si>
  <si>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</si>
  <si>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</si>
  <si>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</si>
  <si>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</si>
  <si>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</si>
  <si>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</si>
  <si>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</si>
  <si>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</si>
  <si>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</si>
  <si>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</si>
  <si>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</si>
  <si>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</si>
  <si>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</si>
  <si>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</si>
  <si>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</si>
  <si>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</si>
  <si>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</si>
  <si>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</si>
  <si>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</si>
  <si>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</si>
  <si>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</si>
  <si>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</si>
  <si>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</si>
  <si>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</si>
  <si>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</si>
  <si>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</si>
  <si>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</si>
  <si>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</si>
  <si>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</si>
  <si>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</si>
  <si>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</si>
  <si>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</si>
  <si>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</si>
  <si>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</si>
  <si>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</si>
  <si>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</si>
  <si>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</si>
  <si>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</si>
  <si>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</si>
  <si>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</si>
  <si>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</si>
  <si>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</si>
  <si>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</si>
  <si>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</si>
  <si>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</si>
  <si>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</si>
  <si>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</si>
  <si>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</si>
  <si>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</si>
  <si>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</si>
  <si>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</si>
  <si>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</si>
  <si>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</si>
  <si>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</si>
  <si>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</si>
  <si>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</si>
  <si>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</si>
  <si>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</si>
  <si>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</si>
  <si>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</si>
  <si>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</si>
  <si>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</si>
  <si>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</si>
  <si>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</si>
  <si>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</si>
  <si>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</si>
  <si>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</si>
  <si>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</si>
  <si>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</si>
  <si>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</si>
  <si>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</si>
  <si>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</si>
  <si>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</si>
  <si>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</si>
  <si>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</si>
  <si>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</si>
  <si>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</si>
  <si>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</si>
  <si>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</si>
  <si>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</si>
  <si>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</si>
  <si>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</si>
  <si>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</si>
  <si>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</si>
  <si>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</si>
  <si>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</si>
  <si>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</si>
  <si>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</si>
  <si>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</si>
  <si>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</si>
  <si>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</si>
  <si>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</si>
  <si>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</si>
  <si>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</si>
  <si>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</si>
  <si>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</si>
  <si>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</si>
  <si>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</si>
  <si>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</si>
  <si>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</si>
  <si>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</si>
  <si>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</si>
  <si>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</si>
  <si>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</si>
  <si>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</si>
  <si>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</si>
  <si>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</si>
  <si>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</si>
  <si>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</si>
  <si>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</si>
  <si>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</si>
  <si>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</si>
  <si>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</si>
  <si>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</si>
  <si>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</si>
  <si>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</si>
  <si>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</si>
  <si>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</si>
  <si>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</si>
  <si>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</si>
  <si>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</si>
  <si>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</si>
  <si>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</si>
  <si>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</si>
  <si>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</si>
  <si>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</si>
  <si>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</si>
  <si>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</si>
  <si>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</si>
  <si>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</si>
  <si>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</si>
  <si>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</si>
  <si>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</si>
  <si>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</si>
  <si>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</si>
  <si>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</si>
  <si>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</si>
  <si>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</si>
  <si>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</si>
  <si>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</si>
  <si>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</si>
  <si>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</si>
  <si>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</si>
  <si>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</si>
  <si>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</si>
  <si>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</si>
  <si>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</si>
  <si>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</si>
  <si>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</si>
  <si>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</si>
  <si>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</si>
  <si>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</si>
  <si>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</si>
  <si>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</si>
  <si>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</si>
  <si>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</si>
  <si>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</si>
  <si>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</si>
  <si>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</si>
  <si>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</si>
  <si>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</si>
  <si>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</si>
  <si>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</si>
  <si>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</si>
  <si>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</si>
  <si>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</si>
  <si>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</si>
  <si>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</si>
  <si>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</si>
  <si>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</si>
  <si>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</si>
  <si>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</si>
  <si>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</si>
  <si>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</si>
  <si>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</si>
  <si>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</si>
  <si>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</si>
  <si>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</si>
  <si>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</si>
  <si>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</si>
  <si>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</si>
  <si>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</si>
  <si>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</si>
  <si>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</si>
  <si>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</si>
  <si>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</si>
  <si>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</si>
  <si>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</si>
  <si>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</si>
  <si>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</si>
  <si>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</si>
  <si>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</si>
  <si>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</si>
  <si>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</si>
  <si>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</si>
  <si>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</si>
  <si>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</si>
  <si>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</si>
  <si>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</si>
  <si>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</si>
  <si>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</si>
  <si>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</si>
  <si>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</si>
  <si>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</si>
  <si>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</si>
  <si>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</si>
  <si>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</si>
  <si>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</si>
  <si>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</si>
  <si>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</si>
  <si>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</si>
  <si>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</si>
  <si>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</si>
  <si>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</si>
  <si>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</si>
  <si>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</si>
  <si>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</si>
  <si>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</si>
  <si>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</si>
  <si>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</si>
  <si>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</si>
  <si>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</si>
  <si>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</si>
  <si>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</si>
  <si>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</si>
  <si>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</si>
  <si>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</si>
  <si>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</si>
  <si>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</si>
  <si>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</si>
  <si>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</si>
  <si>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</si>
  <si>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</si>
  <si>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</si>
  <si>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</si>
  <si>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</si>
  <si>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</si>
  <si>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</si>
  <si>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</si>
  <si>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</si>
  <si>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</si>
  <si>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</si>
  <si>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</si>
  <si>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</si>
  <si>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</si>
  <si>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</si>
  <si>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</si>
  <si>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</si>
  <si>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</si>
  <si>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</si>
  <si>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</si>
  <si>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</si>
  <si>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</si>
  <si>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</si>
  <si>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</si>
  <si>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</si>
  <si>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</si>
  <si>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</si>
  <si>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</si>
  <si>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</si>
  <si>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</si>
  <si>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</si>
  <si>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</si>
  <si>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</si>
  <si>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</si>
  <si>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</si>
  <si>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</si>
  <si>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</si>
  <si>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</si>
  <si>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</si>
  <si>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</si>
  <si>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</si>
  <si>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</si>
  <si>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</si>
  <si>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</si>
  <si>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</si>
  <si>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</si>
  <si>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</si>
  <si>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</si>
  <si>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</si>
  <si>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</si>
  <si>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</si>
  <si>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</si>
  <si>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</si>
  <si>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</si>
  <si>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</si>
  <si>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</si>
  <si>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</si>
  <si>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</si>
  <si>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</si>
  <si>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</si>
  <si>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</si>
  <si>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</si>
  <si>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</si>
  <si>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</si>
  <si>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</si>
  <si>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</si>
  <si>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</si>
  <si>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</si>
  <si>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</si>
  <si>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</si>
  <si>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</si>
  <si>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</si>
  <si>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</si>
  <si>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</si>
  <si>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</si>
  <si>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</si>
  <si>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</si>
  <si>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</si>
  <si>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</si>
  <si>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</si>
  <si>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</si>
  <si>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</si>
  <si>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</si>
  <si>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</si>
  <si>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</si>
  <si>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</si>
  <si>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</si>
  <si>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</si>
  <si>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</si>
  <si>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</si>
  <si>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</si>
  <si>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</si>
  <si>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</si>
  <si>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</si>
  <si>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</si>
  <si>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</si>
  <si>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</si>
  <si>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</si>
  <si>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</si>
  <si>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</si>
  <si>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</si>
  <si>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</si>
  <si>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</si>
  <si>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</si>
  <si>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</si>
  <si>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</si>
  <si>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</si>
  <si>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</si>
  <si>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</si>
  <si>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</si>
  <si>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</si>
  <si>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</si>
  <si>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</si>
  <si>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</si>
  <si>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</si>
  <si>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</si>
  <si>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</si>
  <si>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</si>
  <si>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</si>
  <si>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</si>
  <si>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</si>
  <si>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</si>
  <si>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</si>
  <si>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</si>
  <si>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</si>
  <si>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</si>
  <si>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</si>
  <si>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</si>
  <si>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</si>
  <si>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</si>
  <si>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</si>
  <si>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</si>
  <si>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</si>
  <si>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</si>
  <si>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</si>
  <si>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</si>
  <si>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</si>
  <si>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</si>
  <si>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</si>
  <si>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</si>
  <si>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</si>
  <si>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</si>
  <si>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</si>
  <si>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</si>
  <si>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</si>
  <si>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</si>
  <si>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</si>
  <si>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</si>
  <si>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</si>
  <si>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</si>
  <si>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</si>
  <si>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</si>
  <si>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</si>
  <si>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</si>
  <si>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</si>
  <si>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</si>
  <si>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</si>
  <si>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</si>
  <si>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</si>
  <si>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</si>
  <si>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</si>
  <si>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</si>
  <si>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</si>
  <si>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</si>
  <si>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</si>
  <si>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</si>
  <si>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</si>
  <si>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</si>
  <si>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</si>
  <si>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</si>
  <si>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</si>
  <si>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</si>
  <si>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</si>
  <si>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</si>
  <si>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</si>
  <si>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</si>
  <si>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</si>
  <si>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</si>
  <si>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</si>
  <si>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</si>
  <si>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</si>
  <si>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</si>
  <si>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</si>
  <si>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</si>
  <si>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</si>
  <si>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</si>
  <si>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</si>
  <si>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</si>
  <si>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</si>
  <si>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</si>
  <si>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</si>
  <si>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</si>
  <si>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</si>
  <si>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</si>
  <si>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</si>
  <si>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</si>
  <si>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</si>
  <si>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</si>
  <si>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</si>
  <si>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</si>
  <si>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</si>
  <si>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</si>
  <si>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</si>
  <si>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</si>
  <si>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</si>
  <si>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</si>
  <si>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</si>
  <si>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</si>
  <si>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</si>
  <si>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</si>
  <si>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</si>
  <si>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</si>
  <si>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</si>
  <si>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</si>
  <si>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</si>
  <si>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</si>
  <si>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</si>
  <si>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</si>
  <si>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</si>
  <si>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</si>
  <si>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</si>
  <si>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</si>
  <si>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</si>
  <si>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</si>
  <si>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</si>
  <si>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</si>
  <si>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</si>
  <si>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</si>
  <si>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</si>
  <si>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</si>
  <si>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</si>
  <si>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</si>
  <si>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</si>
  <si>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</si>
  <si>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</si>
  <si>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</si>
  <si>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</si>
  <si>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</si>
  <si>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</si>
  <si>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</si>
  <si>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</si>
  <si>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</si>
  <si>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</si>
  <si>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</si>
  <si>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</si>
  <si>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</si>
  <si>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</si>
  <si>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</si>
  <si>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</si>
  <si>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</si>
  <si>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</si>
  <si>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</si>
  <si>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</si>
  <si>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</si>
  <si>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</si>
  <si>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</si>
  <si>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</si>
  <si>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</si>
  <si>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</si>
  <si>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</si>
  <si>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</si>
  <si>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</si>
  <si>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</si>
  <si>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</si>
  <si>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</si>
  <si>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</si>
  <si>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</si>
  <si>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</si>
  <si>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</si>
  <si>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</si>
  <si>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</si>
  <si>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</si>
  <si>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</si>
  <si>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</si>
  <si>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</si>
  <si>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</si>
  <si>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</si>
  <si>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</si>
  <si>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</si>
  <si>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</si>
  <si>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</si>
  <si>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</si>
  <si>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</si>
  <si>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</si>
  <si>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</si>
  <si>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</si>
  <si>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</si>
  <si>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</si>
  <si>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</si>
  <si>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</si>
  <si>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</si>
  <si>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</si>
  <si>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</si>
  <si>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</si>
  <si>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</si>
  <si>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</si>
  <si>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</si>
  <si>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</si>
  <si>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</si>
  <si>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</si>
  <si>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</si>
  <si>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</si>
  <si>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</si>
  <si>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</si>
  <si>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</si>
  <si>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</si>
  <si>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</si>
  <si>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</si>
  <si>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</si>
  <si>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</si>
  <si>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</si>
  <si>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</si>
  <si>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</si>
  <si>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</si>
  <si>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</si>
  <si>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</si>
  <si>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</si>
  <si>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</si>
  <si>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</si>
  <si>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</si>
  <si>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</si>
  <si>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</si>
  <si>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</si>
  <si>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</si>
  <si>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</si>
  <si>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</si>
  <si>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</si>
  <si>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</si>
  <si>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</si>
  <si>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</si>
  <si>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</si>
  <si>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</si>
  <si>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</si>
  <si>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</si>
  <si>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</si>
  <si>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</si>
  <si>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</si>
  <si>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</si>
  <si>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</si>
  <si>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</si>
  <si>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</si>
  <si>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</si>
  <si>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</si>
  <si>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</si>
  <si>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</si>
  <si>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</si>
  <si>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</si>
  <si>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</si>
  <si>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</si>
  <si>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</si>
  <si>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</si>
  <si>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</si>
  <si>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</si>
  <si>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</si>
  <si>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</si>
  <si>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</si>
  <si>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</si>
  <si>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</si>
  <si>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</si>
  <si>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</si>
  <si>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</si>
  <si>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</si>
  <si>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</si>
  <si>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</si>
  <si>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</si>
  <si>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</si>
  <si>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</si>
  <si>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</si>
  <si>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</si>
  <si>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</si>
  <si>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</si>
  <si>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</si>
  <si>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</si>
  <si>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</si>
  <si>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</si>
  <si>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</si>
  <si>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</si>
  <si>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</si>
  <si>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</si>
  <si>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</si>
  <si>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</si>
  <si>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</si>
  <si>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</si>
  <si>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</si>
  <si>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</si>
  <si>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</si>
  <si>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</si>
  <si>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</si>
  <si>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</si>
  <si>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</si>
  <si>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</si>
  <si>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</si>
  <si>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</si>
  <si>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</si>
  <si>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</si>
  <si>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</si>
  <si>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</si>
  <si>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</si>
  <si>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</si>
  <si>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</si>
  <si>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</si>
  <si>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</si>
  <si>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</si>
  <si>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</si>
  <si>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</si>
  <si>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</si>
  <si>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</si>
  <si>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</si>
  <si>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</si>
  <si>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</si>
  <si>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</si>
  <si>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</si>
  <si>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</si>
  <si>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</si>
  <si>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</si>
  <si>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</si>
  <si>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</si>
  <si>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</si>
  <si>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</si>
  <si>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</si>
  <si>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</si>
  <si>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</si>
  <si>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</si>
  <si>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</si>
  <si>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</si>
  <si>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</si>
  <si>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</si>
  <si>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</si>
  <si>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</si>
  <si>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</si>
  <si>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</si>
  <si>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</si>
  <si>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</si>
  <si>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</si>
  <si>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</si>
  <si>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</si>
  <si>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</si>
  <si>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</si>
  <si>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</si>
  <si>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</si>
  <si>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</si>
  <si>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</si>
  <si>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</si>
  <si>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</si>
  <si>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</si>
  <si>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</si>
  <si>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</si>
  <si>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</si>
  <si>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</si>
  <si>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</si>
  <si>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</si>
  <si>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</si>
  <si>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</si>
  <si>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</si>
  <si>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</si>
  <si>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</si>
  <si>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</si>
  <si>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</si>
  <si>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</si>
  <si>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</si>
  <si>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</si>
  <si>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</si>
  <si>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</si>
  <si>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</si>
  <si>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</si>
  <si>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</si>
  <si>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</si>
  <si>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</si>
  <si>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</si>
  <si>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</si>
  <si>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</si>
  <si>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</si>
  <si>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</si>
  <si>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</si>
  <si>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</si>
  <si>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</si>
  <si>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</si>
  <si>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</si>
  <si>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</si>
  <si>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</si>
  <si>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</si>
  <si>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</si>
  <si>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</si>
  <si>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</si>
  <si>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</si>
  <si>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</si>
  <si>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</si>
  <si>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</si>
  <si>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</si>
  <si>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</si>
  <si>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</si>
  <si>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</si>
  <si>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</si>
  <si>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</si>
  <si>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</si>
  <si>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</si>
  <si>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</si>
  <si>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</si>
  <si>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</si>
  <si>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</si>
  <si>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</si>
  <si>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</si>
  <si>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</si>
  <si>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</si>
  <si>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</si>
  <si>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</si>
  <si>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</si>
  <si>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</si>
  <si>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</si>
  <si>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</si>
  <si>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</si>
  <si>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</si>
  <si>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</si>
  <si>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</si>
  <si>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</si>
  <si>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</si>
  <si>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</si>
  <si>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</si>
  <si>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</si>
  <si>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</si>
  <si>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</si>
  <si>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</si>
  <si>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</si>
  <si>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</si>
  <si>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</si>
  <si>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</si>
  <si>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</si>
  <si>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</si>
  <si>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</si>
  <si>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</si>
  <si>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</si>
  <si>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</si>
  <si>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</si>
  <si>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</si>
  <si>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</si>
  <si>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</si>
  <si>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</si>
  <si>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</si>
  <si>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</si>
  <si>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</si>
  <si>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</si>
  <si>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</si>
  <si>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</si>
  <si>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</si>
  <si>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</si>
  <si>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</si>
  <si>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</si>
  <si>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</si>
  <si>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</si>
  <si>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</si>
  <si>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</si>
  <si>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</si>
  <si>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</si>
  <si>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</si>
  <si>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</si>
  <si>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</si>
  <si>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</si>
  <si>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</si>
  <si>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</si>
  <si>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</si>
  <si>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</si>
  <si>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</si>
  <si>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</si>
  <si>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</si>
  <si>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</si>
  <si>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</si>
  <si>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</si>
  <si>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</si>
  <si>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</si>
  <si>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</si>
  <si>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</si>
  <si>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</si>
  <si>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</si>
  <si>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</si>
  <si>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</si>
  <si>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</si>
  <si>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</si>
  <si>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</si>
  <si>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</si>
  <si>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</si>
  <si>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</si>
  <si>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</si>
  <si>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</si>
  <si>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</si>
  <si>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</si>
  <si>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</si>
  <si>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</si>
  <si>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</si>
  <si>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</si>
  <si>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</si>
  <si>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</si>
  <si>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</si>
  <si>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</si>
  <si>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</si>
  <si>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</si>
  <si>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</si>
  <si>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</si>
  <si>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</si>
  <si>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</si>
  <si>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</si>
  <si>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</si>
  <si>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</si>
  <si>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</si>
  <si>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</si>
  <si>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</si>
  <si>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</si>
  <si>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</si>
  <si>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</si>
  <si>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</si>
  <si>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</si>
  <si>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</si>
  <si>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</si>
  <si>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</si>
  <si>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</si>
  <si>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</si>
  <si>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</si>
  <si>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</si>
  <si>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</si>
  <si>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</si>
  <si>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</si>
  <si>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</si>
  <si>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</si>
  <si>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</si>
  <si>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</si>
  <si>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</si>
  <si>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</si>
  <si>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</si>
  <si>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</si>
  <si>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</si>
  <si>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</si>
  <si>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</si>
  <si>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</si>
  <si>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</si>
  <si>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</si>
  <si>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</si>
  <si>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</si>
  <si>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</si>
  <si>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</si>
  <si>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</si>
  <si>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</si>
  <si>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</si>
  <si>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</si>
  <si>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</si>
  <si>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</si>
  <si>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</si>
  <si>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</si>
  <si>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</si>
  <si>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</si>
  <si>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</si>
  <si>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</si>
  <si>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</si>
  <si>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</si>
  <si>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</si>
  <si>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</si>
  <si>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</si>
  <si>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</si>
  <si>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</si>
  <si>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</si>
  <si>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</si>
  <si>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</si>
  <si>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</si>
  <si>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</si>
  <si>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</si>
  <si>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</si>
  <si>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</si>
  <si>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</si>
  <si>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</si>
  <si>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</si>
  <si>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</si>
  <si>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</si>
  <si>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</si>
  <si>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</si>
  <si>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</si>
  <si>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</si>
  <si>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</si>
  <si>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</si>
  <si>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</si>
  <si>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</si>
  <si>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</si>
  <si>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</si>
  <si>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</si>
  <si>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</si>
  <si>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</si>
  <si>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</si>
  <si>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</si>
  <si>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</si>
  <si>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</si>
  <si>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</si>
  <si>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</si>
  <si>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</si>
  <si>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</si>
  <si>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</si>
  <si>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</si>
  <si>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</si>
  <si>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</si>
  <si>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</si>
  <si>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</si>
  <si>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</si>
  <si>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</si>
  <si>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</si>
  <si>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</si>
  <si>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</si>
  <si>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</si>
  <si>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</si>
  <si>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</si>
  <si>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</si>
  <si>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</si>
  <si>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</si>
  <si>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</si>
  <si>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</si>
  <si>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</si>
  <si>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</si>
  <si>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</si>
  <si>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</si>
  <si>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</si>
  <si>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</si>
  <si>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</si>
  <si>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</si>
  <si>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</si>
  <si>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</si>
  <si>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</si>
  <si>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</si>
  <si>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</si>
  <si>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</si>
  <si>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</si>
  <si>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</si>
  <si>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</si>
  <si>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</si>
  <si>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</si>
  <si>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</si>
  <si>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</si>
  <si>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</si>
  <si>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</si>
  <si>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</si>
  <si>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</si>
  <si>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</si>
  <si>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</si>
  <si>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</si>
  <si>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</si>
  <si>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</si>
  <si>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</si>
  <si>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</si>
  <si>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</si>
  <si>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</si>
  <si>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</si>
  <si>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</si>
  <si>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</si>
  <si>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</si>
  <si>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</si>
  <si>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</si>
  <si>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</si>
  <si>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</si>
  <si>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</si>
  <si>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</si>
  <si>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</si>
  <si>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</si>
  <si>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</si>
  <si>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</si>
  <si>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</si>
  <si>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</si>
  <si>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</si>
  <si>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</si>
  <si>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</si>
  <si>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</si>
  <si>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</si>
  <si>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</si>
  <si>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</si>
  <si>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</si>
  <si>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</si>
  <si>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</si>
  <si>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</si>
  <si>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</si>
  <si>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</si>
  <si>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</si>
  <si>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</si>
  <si>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</si>
  <si>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</si>
  <si>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</si>
  <si>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</si>
  <si>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</si>
  <si>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</si>
  <si>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</si>
  <si>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</si>
  <si>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</si>
  <si>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</si>
  <si>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</si>
  <si>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</si>
  <si>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</si>
  <si>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</si>
  <si>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</si>
  <si>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</si>
  <si>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</si>
  <si>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</si>
  <si>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</si>
  <si>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</si>
  <si>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</si>
  <si>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</si>
  <si>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</si>
  <si>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</si>
  <si>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</si>
  <si>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</si>
  <si>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</si>
  <si>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</si>
  <si>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</si>
  <si>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</si>
  <si>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</si>
  <si>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</si>
  <si>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</si>
  <si>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</si>
  <si>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</si>
  <si>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</si>
  <si>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</si>
  <si>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</si>
  <si>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</si>
  <si>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</si>
  <si>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</si>
  <si>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</si>
  <si>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</si>
  <si>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</si>
  <si>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</si>
  <si>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</si>
  <si>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</si>
  <si>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</si>
  <si>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</si>
  <si>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</si>
  <si>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</si>
  <si>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</si>
  <si>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</si>
  <si>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</si>
  <si>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</si>
  <si>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</si>
  <si>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</si>
  <si>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</si>
  <si>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</si>
  <si>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</si>
  <si>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</si>
  <si>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</si>
  <si>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</si>
  <si>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</si>
  <si>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</si>
  <si>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</si>
  <si>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</si>
  <si>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</si>
  <si>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</si>
  <si>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</si>
  <si>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</si>
  <si>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</si>
  <si>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</si>
  <si>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</si>
  <si>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</si>
  <si>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</si>
  <si>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</si>
  <si>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</si>
  <si>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</si>
  <si>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</si>
  <si>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</si>
  <si>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</si>
  <si>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</si>
  <si>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</si>
  <si>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</si>
  <si>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</si>
  <si>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</si>
  <si>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</si>
  <si>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</si>
  <si>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</si>
  <si>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</si>
  <si>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</si>
  <si>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</si>
  <si>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</si>
  <si>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</si>
  <si>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</si>
  <si>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</si>
  <si>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</si>
  <si>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</si>
  <si>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</si>
  <si>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</si>
  <si>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</si>
  <si>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</si>
  <si>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</si>
  <si>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</si>
  <si>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</si>
  <si>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</si>
  <si>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</si>
  <si>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</si>
  <si>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</si>
  <si>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</si>
  <si>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</si>
  <si>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</si>
  <si>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</si>
  <si>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</si>
  <si>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</si>
  <si>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</si>
  <si>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</si>
  <si>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</si>
  <si>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</si>
  <si>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</si>
  <si>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</si>
  <si>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</si>
  <si>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</si>
  <si>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</si>
  <si>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</si>
  <si>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</si>
  <si>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</si>
  <si>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</si>
  <si>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</si>
  <si>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</si>
  <si>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</si>
  <si>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</si>
  <si>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</si>
  <si>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</si>
  <si>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</si>
  <si>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</si>
  <si>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</si>
  <si>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</si>
  <si>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</si>
  <si>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</si>
  <si>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</si>
  <si>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</si>
  <si>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</si>
  <si>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</si>
  <si>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</si>
  <si>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</si>
  <si>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</si>
  <si>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</si>
  <si>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</si>
  <si>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</si>
  <si>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</si>
  <si>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</si>
  <si>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</si>
  <si>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</si>
  <si>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</si>
  <si>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</si>
  <si>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</si>
  <si>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</si>
  <si>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</si>
  <si>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</si>
  <si>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</si>
  <si>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</si>
  <si>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</si>
  <si>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</si>
  <si>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</si>
  <si>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</si>
  <si>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</si>
  <si>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</si>
  <si>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</si>
  <si>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</si>
  <si>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</si>
  <si>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</si>
  <si>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</si>
  <si>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</si>
  <si>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</si>
  <si>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</si>
  <si>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</si>
  <si>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</si>
  <si>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</si>
  <si>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</si>
  <si>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</si>
  <si>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</si>
  <si>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</si>
  <si>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</si>
  <si>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</si>
  <si>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</si>
  <si>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</si>
  <si>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</si>
  <si>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</si>
  <si>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</si>
  <si>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</si>
  <si>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</si>
  <si>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</si>
  <si>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</si>
  <si>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</si>
  <si>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</si>
  <si>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</si>
  <si>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</si>
  <si>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</si>
  <si>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</si>
  <si>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</si>
  <si>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</si>
  <si>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</si>
  <si>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</si>
  <si>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</si>
  <si>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</si>
  <si>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</si>
  <si>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</si>
  <si>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</si>
  <si>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</si>
  <si>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</si>
  <si>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</si>
  <si>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</si>
  <si>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</si>
  <si>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</si>
  <si>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</si>
  <si>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</si>
  <si>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</si>
  <si>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</si>
  <si>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</si>
  <si>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</si>
  <si>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</si>
  <si>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</si>
  <si>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</si>
  <si>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</si>
  <si>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</si>
  <si>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</si>
  <si>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</si>
  <si>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</si>
  <si>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</si>
  <si>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</si>
  <si>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</si>
  <si>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</si>
  <si>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</si>
  <si>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</si>
  <si>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</si>
  <si>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</si>
  <si>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</si>
  <si>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</si>
  <si>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</si>
  <si>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</si>
  <si>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</si>
  <si>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</si>
  <si>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</si>
  <si>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</si>
  <si>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</si>
  <si>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</si>
  <si>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</si>
  <si>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</si>
  <si>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</si>
  <si>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</si>
  <si>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</si>
  <si>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</si>
  <si>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</si>
  <si>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</si>
  <si>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</si>
  <si>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</si>
  <si>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</si>
  <si>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</si>
  <si>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</si>
  <si>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</si>
  <si>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</si>
  <si>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</si>
  <si>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</si>
  <si>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</si>
  <si>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</si>
  <si>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</si>
  <si>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</si>
  <si>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</si>
  <si>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</si>
  <si>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</si>
  <si>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</si>
  <si>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</si>
  <si>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</si>
  <si>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</si>
  <si>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</si>
  <si>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</si>
  <si>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</si>
  <si>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</si>
  <si>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</si>
  <si>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</si>
  <si>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</si>
  <si>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</si>
  <si>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</si>
  <si>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</si>
  <si>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</si>
  <si>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</si>
  <si>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</si>
  <si>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</si>
  <si>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</si>
  <si>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</si>
  <si>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</si>
  <si>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</si>
  <si>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</si>
  <si>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</si>
  <si>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</si>
  <si>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</si>
  <si>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</si>
  <si>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</si>
  <si>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</si>
  <si>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</si>
  <si>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</si>
  <si>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</si>
  <si>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</si>
  <si>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</si>
  <si>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</si>
  <si>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</si>
  <si>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</si>
  <si>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</si>
  <si>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</si>
  <si>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</si>
  <si>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</si>
  <si>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</si>
  <si>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</si>
  <si>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</si>
  <si>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</si>
  <si>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</si>
  <si>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</si>
  <si>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</si>
  <si>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</si>
  <si>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</si>
  <si>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</si>
  <si>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</si>
  <si>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</si>
  <si>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</si>
  <si>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</si>
  <si>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</si>
  <si>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</si>
  <si>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</si>
  <si>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</si>
  <si>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</si>
  <si>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</si>
  <si>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</si>
  <si>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</si>
  <si>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</si>
  <si>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</si>
  <si>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</si>
  <si>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</si>
  <si>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</si>
  <si>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</si>
  <si>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</si>
  <si>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</si>
  <si>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</si>
  <si>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</si>
  <si>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</si>
  <si>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</si>
  <si>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</si>
  <si>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</si>
  <si>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</si>
  <si>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</si>
  <si>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</si>
  <si>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</si>
  <si>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</si>
  <si>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</si>
  <si>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</si>
  <si>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</si>
  <si>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</si>
  <si>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</si>
  <si>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</si>
  <si>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</si>
  <si>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</si>
  <si>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</si>
  <si>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</si>
  <si>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</si>
  <si>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</si>
  <si>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</si>
  <si>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</si>
  <si>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</si>
  <si>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</si>
  <si>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</si>
  <si>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</si>
  <si>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</si>
  <si>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</si>
  <si>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</si>
  <si>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</si>
  <si>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</si>
  <si>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</si>
  <si>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</si>
  <si>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</si>
  <si>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</si>
  <si>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</si>
  <si>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</si>
  <si>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</si>
  <si>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</si>
  <si>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</si>
  <si>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</si>
  <si>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</si>
  <si>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</si>
  <si>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</si>
  <si>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</si>
  <si>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</si>
  <si>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</si>
  <si>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</si>
  <si>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</si>
  <si>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</si>
  <si>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</si>
  <si>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</si>
  <si>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</si>
  <si>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</si>
  <si>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</si>
  <si>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</si>
  <si>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</si>
  <si>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</si>
  <si>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</si>
  <si>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</si>
  <si>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</si>
  <si>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</si>
  <si>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</si>
  <si>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</si>
  <si>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</si>
  <si>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</si>
  <si>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</si>
  <si>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</si>
  <si>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</si>
  <si>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</si>
  <si>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</si>
  <si>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</si>
  <si>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</si>
  <si>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</si>
  <si>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</si>
  <si>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</si>
  <si>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</si>
  <si>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</si>
  <si>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</si>
  <si>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</si>
  <si>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</si>
  <si>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</si>
  <si>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</si>
  <si>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</si>
  <si>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</si>
  <si>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</si>
  <si>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</si>
  <si>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</si>
  <si>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</si>
  <si>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</si>
  <si>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</si>
  <si>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</si>
  <si>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</si>
  <si>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</si>
  <si>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</si>
  <si>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</si>
  <si>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</si>
  <si>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</si>
  <si>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</si>
  <si>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</si>
  <si>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</si>
  <si>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</si>
  <si>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</si>
  <si>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</si>
  <si>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</si>
  <si>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</si>
  <si>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</si>
  <si>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</si>
  <si>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</si>
  <si>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</si>
  <si>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</si>
  <si>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</si>
  <si>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</si>
  <si>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</si>
  <si>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</si>
  <si>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</si>
  <si>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</si>
  <si>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</si>
  <si>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</si>
  <si>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</si>
  <si>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</si>
  <si>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</si>
  <si>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</si>
  <si>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</si>
  <si>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</si>
  <si>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</si>
  <si>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</si>
  <si>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</si>
  <si>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</si>
  <si>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</si>
  <si>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</si>
  <si>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</si>
  <si>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</si>
  <si>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</si>
  <si>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</si>
  <si>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</si>
  <si>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</si>
  <si>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</si>
  <si>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</si>
  <si>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</si>
  <si>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</si>
  <si>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</si>
  <si>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</si>
  <si>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</si>
  <si>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</si>
  <si>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</si>
  <si>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</si>
  <si>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</si>
  <si>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</si>
  <si>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</si>
  <si>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</si>
  <si>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</si>
  <si>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</si>
  <si>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</si>
  <si>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</si>
  <si>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</si>
  <si>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</si>
  <si>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</si>
  <si>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</si>
  <si>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</si>
  <si>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</si>
  <si>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</si>
  <si>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</si>
  <si>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</si>
  <si>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</si>
  <si>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</si>
  <si>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</si>
  <si>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</si>
  <si>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</si>
  <si>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</si>
  <si>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</si>
  <si>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</si>
  <si>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</si>
  <si>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</si>
  <si>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</si>
  <si>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</si>
  <si>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</si>
  <si>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</si>
  <si>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</si>
  <si>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</si>
  <si>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</si>
  <si>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</si>
  <si>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</si>
  <si>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</si>
  <si>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</si>
  <si>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</si>
  <si>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</si>
  <si>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</si>
  <si>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</si>
  <si>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</si>
  <si>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</si>
  <si>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</si>
  <si>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</si>
  <si>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</si>
  <si>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</si>
  <si>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</si>
  <si>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</si>
  <si>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</si>
  <si>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</si>
  <si>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</si>
  <si>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</si>
  <si>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</si>
  <si>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</si>
  <si>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</si>
  <si>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</si>
  <si>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</si>
  <si>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</si>
  <si>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</si>
  <si>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</si>
  <si>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</si>
  <si>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</si>
  <si>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</si>
  <si>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</si>
  <si>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</si>
  <si>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</si>
  <si>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</si>
  <si>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</si>
  <si>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</si>
  <si>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</si>
  <si>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</si>
  <si>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</si>
  <si>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</si>
  <si>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</si>
  <si>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</si>
  <si>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</si>
  <si>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</si>
  <si>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</si>
  <si>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</si>
  <si>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</si>
  <si>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</si>
  <si>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</si>
  <si>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</si>
  <si>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</si>
  <si>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</si>
  <si>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</si>
  <si>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</si>
  <si>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</si>
  <si>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</si>
  <si>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</si>
  <si>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</si>
  <si>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</si>
  <si>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</si>
  <si>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</si>
  <si>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</si>
  <si>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</si>
  <si>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</si>
  <si>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</si>
  <si>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</si>
  <si>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</si>
  <si>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</si>
  <si>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</si>
  <si>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</si>
  <si>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</si>
  <si>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</si>
  <si>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</si>
  <si>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</si>
  <si>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</si>
  <si>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</si>
  <si>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</si>
  <si>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</si>
  <si>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</si>
  <si>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</si>
  <si>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</si>
  <si>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</si>
  <si>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</si>
  <si>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</si>
  <si>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</si>
  <si>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</si>
  <si>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</si>
  <si>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</si>
  <si>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</si>
  <si>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</si>
  <si>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</si>
  <si>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</si>
  <si>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</si>
  <si>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</si>
  <si>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</si>
  <si>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</si>
  <si>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</si>
  <si>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</si>
  <si>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</si>
  <si>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</si>
  <si>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</si>
  <si>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</si>
  <si>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</si>
  <si>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</si>
  <si>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</si>
  <si>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</si>
  <si>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</si>
  <si>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</si>
  <si>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</si>
  <si>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</si>
  <si>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</si>
  <si>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</si>
  <si>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</si>
  <si>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</si>
  <si>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</si>
  <si>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</si>
  <si>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</si>
  <si>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</si>
  <si>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</si>
  <si>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</si>
  <si>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</si>
  <si>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</si>
  <si>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</si>
  <si>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</si>
  <si>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</si>
  <si>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</si>
  <si>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</si>
  <si>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</si>
  <si>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</si>
  <si>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</si>
  <si>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</si>
  <si>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</si>
  <si>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</si>
  <si>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</si>
  <si>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</si>
  <si>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</si>
  <si>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</si>
  <si>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</si>
  <si>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</si>
  <si>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</si>
  <si>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</si>
  <si>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</si>
  <si>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</si>
  <si>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</si>
  <si>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</si>
  <si>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</si>
  <si>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</si>
  <si>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</si>
  <si>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</si>
  <si>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</si>
  <si>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</si>
  <si>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</si>
  <si>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</si>
  <si>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</si>
  <si>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</si>
  <si>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</si>
  <si>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</si>
  <si>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</si>
  <si>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</si>
  <si>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</si>
  <si>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</si>
  <si>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</si>
  <si>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</si>
  <si>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</si>
  <si>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</si>
  <si>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</si>
  <si>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</si>
  <si>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</si>
  <si>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</si>
  <si>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</si>
  <si>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</si>
  <si>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</si>
  <si>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</si>
  <si>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</si>
  <si>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</si>
  <si>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</si>
  <si>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</si>
  <si>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</si>
  <si>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</si>
  <si>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</si>
  <si>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</si>
  <si>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</si>
  <si>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</si>
  <si>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</si>
  <si>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</si>
  <si>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</si>
  <si>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</si>
  <si>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</si>
  <si>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</si>
  <si>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</si>
  <si>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</si>
  <si>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</si>
  <si>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</si>
  <si>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</si>
  <si>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</si>
  <si>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</si>
  <si>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</si>
  <si>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</si>
  <si>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</si>
  <si>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</si>
  <si>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</si>
  <si>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</si>
  <si>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</si>
  <si>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</si>
  <si>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</si>
  <si>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</si>
  <si>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</si>
  <si>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</si>
  <si>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</si>
  <si>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</si>
  <si>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</si>
  <si>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</si>
  <si>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</si>
  <si>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</si>
  <si>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</si>
  <si>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</si>
  <si>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</si>
  <si>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</si>
  <si>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</si>
  <si>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</si>
  <si>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</si>
  <si>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</si>
  <si>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</si>
  <si>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</si>
  <si>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</si>
  <si>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</si>
  <si>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</si>
  <si>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</si>
  <si>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</si>
  <si>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</si>
  <si>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</si>
  <si>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</si>
  <si>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</si>
  <si>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</si>
  <si>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</si>
  <si>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</si>
  <si>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</si>
  <si>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</si>
  <si>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</si>
  <si>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</si>
  <si>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</si>
  <si>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</si>
  <si>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</si>
  <si>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</si>
  <si>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</si>
  <si>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</si>
  <si>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</si>
  <si>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</si>
  <si>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</si>
  <si>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</si>
  <si>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</si>
  <si>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</si>
  <si>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</si>
  <si>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</si>
  <si>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</si>
  <si>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</si>
  <si>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</si>
  <si>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</si>
  <si>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</si>
  <si>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</si>
  <si>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</si>
  <si>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</si>
  <si>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</si>
  <si>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</si>
  <si>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</si>
  <si>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</si>
  <si>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</si>
  <si>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</si>
  <si>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</si>
  <si>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</si>
  <si>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</si>
  <si>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</si>
  <si>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</si>
  <si>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</si>
  <si>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</si>
  <si>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</si>
  <si>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</si>
  <si>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</si>
  <si>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</si>
  <si>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</si>
  <si>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</si>
  <si>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</si>
  <si>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</si>
  <si>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</si>
  <si>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</si>
  <si>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</si>
  <si>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</si>
  <si>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</si>
  <si>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</si>
  <si>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</si>
  <si>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</si>
  <si>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</si>
  <si>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</si>
  <si>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</si>
  <si>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</si>
  <si>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</si>
  <si>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</si>
  <si>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</si>
  <si>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</si>
  <si>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</si>
  <si>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</si>
  <si>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</si>
  <si>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</si>
  <si>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</si>
  <si>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</si>
  <si>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</si>
  <si>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</si>
  <si>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</si>
  <si>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</si>
  <si>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</si>
  <si>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</si>
  <si>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</si>
  <si>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</si>
  <si>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</si>
  <si>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</si>
  <si>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</si>
  <si>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</si>
  <si>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</si>
  <si>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</si>
  <si>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</si>
  <si>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</si>
  <si>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</si>
  <si>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</si>
  <si>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</si>
  <si>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</si>
  <si>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</si>
  <si>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</si>
  <si>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</si>
  <si>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</si>
  <si>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</si>
  <si>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</si>
  <si>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</si>
  <si>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</si>
  <si>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</si>
  <si>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</si>
  <si>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</si>
  <si>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</si>
  <si>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</si>
  <si>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</si>
  <si>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</si>
  <si>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</si>
  <si>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</si>
  <si>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</si>
  <si>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</si>
  <si>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</si>
  <si>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</si>
  <si>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</si>
  <si>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</si>
  <si>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</si>
  <si>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</si>
  <si>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</si>
  <si>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</si>
  <si>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</si>
  <si>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</si>
  <si>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</si>
  <si>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</si>
  <si>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</si>
  <si>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</si>
  <si>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</si>
  <si>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</si>
  <si>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</si>
  <si>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</si>
  <si>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</si>
  <si>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</si>
  <si>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</si>
  <si>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</si>
  <si>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</si>
  <si>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</si>
  <si>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</si>
  <si>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</si>
  <si>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</si>
  <si>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</si>
  <si>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</si>
  <si>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</si>
  <si>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</si>
  <si>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</si>
  <si>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</si>
  <si>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</si>
  <si>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</si>
  <si>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</si>
  <si>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</si>
  <si>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</si>
  <si>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</si>
  <si>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</si>
  <si>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</si>
  <si>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</si>
  <si>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</si>
  <si>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</si>
  <si>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</si>
  <si>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</si>
  <si>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</si>
  <si>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</si>
  <si>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</si>
  <si>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</si>
  <si>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</si>
  <si>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</si>
  <si>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</si>
  <si>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</si>
  <si>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</si>
  <si>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</si>
  <si>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</si>
  <si>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</si>
  <si>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</si>
  <si>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</si>
  <si>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</si>
  <si>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</si>
  <si>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</si>
  <si>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</si>
  <si>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</si>
  <si>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</si>
  <si>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</si>
  <si>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</si>
  <si>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</si>
  <si>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</si>
  <si>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</si>
  <si>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</si>
  <si>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</si>
  <si>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</si>
  <si>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</si>
  <si>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</si>
  <si>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</si>
  <si>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</si>
  <si>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</si>
  <si>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</si>
  <si>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</si>
  <si>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</si>
  <si>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</si>
  <si>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</si>
  <si>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</si>
  <si>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</si>
  <si>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</si>
  <si>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</si>
  <si>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</si>
  <si>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</si>
  <si>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</si>
  <si>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</si>
  <si>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</si>
  <si>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</si>
  <si>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</si>
  <si>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</si>
  <si>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</si>
  <si>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</si>
  <si>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</si>
  <si>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</si>
  <si>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</si>
  <si>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</si>
  <si>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</si>
  <si>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</si>
  <si>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</si>
  <si>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</si>
  <si>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</si>
  <si>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</si>
  <si>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</si>
  <si>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</si>
  <si>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</si>
  <si>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</si>
  <si>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</si>
  <si>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</si>
  <si>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</si>
  <si>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</si>
  <si>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</si>
  <si>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</si>
  <si>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</si>
  <si>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</si>
  <si>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</si>
  <si>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</si>
  <si>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</si>
  <si>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</si>
  <si>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</si>
  <si>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</si>
  <si>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</si>
  <si>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</si>
  <si>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</si>
  <si>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</si>
  <si>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</si>
  <si>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</si>
  <si>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</si>
  <si>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</si>
  <si>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</si>
  <si>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</si>
  <si>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</si>
  <si>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</si>
  <si>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</si>
  <si>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</si>
  <si>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</si>
  <si>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</si>
  <si>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</si>
  <si>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</si>
  <si>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</si>
  <si>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</si>
  <si>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</si>
  <si>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</si>
  <si>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</si>
  <si>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</si>
  <si>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</si>
  <si>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</si>
  <si>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</si>
  <si>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</si>
  <si>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</si>
  <si>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</si>
  <si>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</si>
  <si>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</si>
  <si>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</si>
  <si>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</si>
  <si>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</si>
  <si>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</si>
  <si>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</si>
  <si>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</si>
  <si>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</si>
  <si>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</si>
  <si>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</si>
  <si>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</si>
  <si>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</si>
  <si>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</si>
  <si>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</si>
  <si>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</si>
  <si>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</si>
  <si>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</si>
  <si>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</si>
  <si>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</si>
  <si>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</si>
  <si>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</si>
  <si>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</si>
  <si>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</si>
  <si>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</si>
  <si>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</si>
  <si>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</si>
  <si>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</si>
  <si>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</si>
  <si>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</si>
  <si>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</si>
  <si>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</si>
  <si>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</si>
  <si>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</si>
  <si>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</si>
  <si>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</si>
  <si>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</si>
  <si>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</si>
  <si>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</si>
  <si>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</si>
  <si>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</si>
  <si>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</si>
  <si>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</si>
  <si>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</si>
  <si>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</si>
  <si>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</si>
  <si>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</si>
  <si>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</si>
  <si>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</si>
  <si>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</si>
  <si>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</si>
  <si>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</si>
  <si>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</si>
  <si>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</si>
  <si>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</si>
  <si>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</si>
  <si>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</si>
  <si>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</si>
  <si>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</si>
  <si>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</si>
  <si>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</si>
  <si>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</si>
  <si>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</si>
  <si>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</si>
  <si>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</si>
  <si>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</si>
  <si>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</si>
  <si>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</si>
  <si>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</si>
  <si>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</si>
  <si>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</si>
  <si>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</si>
  <si>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</si>
  <si>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</si>
  <si>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</si>
  <si>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</si>
  <si>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</si>
  <si>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</si>
  <si>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</si>
  <si>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</si>
  <si>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</si>
  <si>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</si>
  <si>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</si>
  <si>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</si>
  <si>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</si>
  <si>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</si>
  <si>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</si>
  <si>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</si>
  <si>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</si>
  <si>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</si>
  <si>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</si>
  <si>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</si>
  <si>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</si>
  <si>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</si>
  <si>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</si>
  <si>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</si>
  <si>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</si>
  <si>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</si>
  <si>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</si>
  <si>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</si>
  <si>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</si>
  <si>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</si>
  <si>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</si>
  <si>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</si>
  <si>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</si>
  <si>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</si>
  <si>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</si>
  <si>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</si>
  <si>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</si>
  <si>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</si>
  <si>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</si>
  <si>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</si>
  <si>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</si>
  <si>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</si>
  <si>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</si>
  <si>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</si>
  <si>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</si>
  <si>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</si>
  <si>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</si>
  <si>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</si>
  <si>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</si>
  <si>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</si>
  <si>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</si>
  <si>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</si>
  <si>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</si>
  <si>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</si>
  <si>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</si>
  <si>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</si>
  <si>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</si>
  <si>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</si>
  <si>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</si>
  <si>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</si>
  <si>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</si>
  <si>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</si>
  <si>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</si>
  <si>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</si>
  <si>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</si>
  <si>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</si>
  <si>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</si>
  <si>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</si>
  <si>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</si>
  <si>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</si>
  <si>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</si>
  <si>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</si>
  <si>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</si>
  <si>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</si>
  <si>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</si>
  <si>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</si>
  <si>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</si>
  <si>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</si>
  <si>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</si>
  <si>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</si>
  <si>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</si>
  <si>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</si>
  <si>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</si>
  <si>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</si>
  <si>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</si>
  <si>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</si>
  <si>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</si>
  <si>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</si>
  <si>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</si>
  <si>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</si>
  <si>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</si>
  <si>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</si>
  <si>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</si>
  <si>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</si>
  <si>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</si>
  <si>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</si>
  <si>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</si>
  <si>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</si>
  <si>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</si>
  <si>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</si>
  <si>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</si>
  <si>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</si>
  <si>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</si>
  <si>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</si>
  <si>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</si>
  <si>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</si>
  <si>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</si>
  <si>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</si>
  <si>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</si>
  <si>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</si>
  <si>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</si>
  <si>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</si>
  <si>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</si>
  <si>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</si>
  <si>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</si>
  <si>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</si>
  <si>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</si>
  <si>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</si>
  <si>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</si>
  <si>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</si>
  <si>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</si>
  <si>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</si>
  <si>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</si>
  <si>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</si>
  <si>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</si>
  <si>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</si>
  <si>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</si>
  <si>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</si>
  <si>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</si>
  <si>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</si>
  <si>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</si>
  <si>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</si>
  <si>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</si>
  <si>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</si>
  <si>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</si>
  <si>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</si>
  <si>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</si>
  <si>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</si>
  <si>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</si>
  <si>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</si>
  <si>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</si>
  <si>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</si>
  <si>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</si>
  <si>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</si>
  <si>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</si>
  <si>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</si>
  <si>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</si>
  <si>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</si>
  <si>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</si>
  <si>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</si>
  <si>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</si>
  <si>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</si>
  <si>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</si>
  <si>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</si>
  <si>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</si>
  <si>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</si>
  <si>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</si>
  <si>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</si>
  <si>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</si>
  <si>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</si>
  <si>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</si>
  <si>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</si>
  <si>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</si>
  <si>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</si>
  <si>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</si>
  <si>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</si>
  <si>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</si>
  <si>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</si>
  <si>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</si>
  <si>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</si>
  <si>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</si>
  <si>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</si>
  <si>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</si>
  <si>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</si>
  <si>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</si>
  <si>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</si>
  <si>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</si>
  <si>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</si>
  <si>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</si>
  <si>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</si>
  <si>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</si>
  <si>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</si>
  <si>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</si>
  <si>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</si>
  <si>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</si>
  <si>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</si>
  <si>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</si>
  <si>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</si>
  <si>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</si>
  <si>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</si>
  <si>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</si>
  <si>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</si>
  <si>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</si>
  <si>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</si>
  <si>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</si>
  <si>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</si>
  <si>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</si>
  <si>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</si>
  <si>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</si>
  <si>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</si>
  <si>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</si>
  <si>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</si>
  <si>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</si>
  <si>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</si>
  <si>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</si>
  <si>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</si>
  <si>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</si>
  <si>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</si>
  <si>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</si>
  <si>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</si>
  <si>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</si>
  <si>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</si>
  <si>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</si>
  <si>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</si>
  <si>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</si>
  <si>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</si>
  <si>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</si>
  <si>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</si>
  <si>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</si>
  <si>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</si>
  <si>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</si>
  <si>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</si>
  <si>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</si>
  <si>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</si>
  <si>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</si>
  <si>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</si>
  <si>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</si>
  <si>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</si>
  <si>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</si>
  <si>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</si>
  <si>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</si>
  <si>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</si>
  <si>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</si>
  <si>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</si>
  <si>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</si>
  <si>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</si>
  <si>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</si>
  <si>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</si>
  <si>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</si>
  <si>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</si>
  <si>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</si>
  <si>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</si>
  <si>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</si>
  <si>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</si>
  <si>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</si>
  <si>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</si>
  <si>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</si>
  <si>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</si>
  <si>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</si>
  <si>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</si>
  <si>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</si>
  <si>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</si>
  <si>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</si>
  <si>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</si>
  <si>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</si>
  <si>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</si>
  <si>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</si>
  <si>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</si>
  <si>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</si>
  <si>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</si>
  <si>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</si>
  <si>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</si>
  <si>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</si>
  <si>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</si>
  <si>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</si>
  <si>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</si>
  <si>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</si>
  <si>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</si>
  <si>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</si>
  <si>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</si>
  <si>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</si>
  <si>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</si>
  <si>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</si>
  <si>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</si>
  <si>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</si>
  <si>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</si>
  <si>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</si>
  <si>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</si>
  <si>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</si>
  <si>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</si>
  <si>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</si>
  <si>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</si>
  <si>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</si>
  <si>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</si>
  <si>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</si>
  <si>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</si>
  <si>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</si>
  <si>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</si>
  <si>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</si>
  <si>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</si>
  <si>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</si>
  <si>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</si>
  <si>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</si>
  <si>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</si>
  <si>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</si>
  <si>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</si>
  <si>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</si>
  <si>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</si>
  <si>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</si>
  <si>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</si>
  <si>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</si>
  <si>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</si>
  <si>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</si>
  <si>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</si>
  <si>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</si>
  <si>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</si>
  <si>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</si>
  <si>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</si>
  <si>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</si>
  <si>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</si>
  <si>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</si>
  <si>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</si>
  <si>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</si>
  <si>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</si>
  <si>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</si>
  <si>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</si>
  <si>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</si>
  <si>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</si>
  <si>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</si>
  <si>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</si>
  <si>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</si>
  <si>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</si>
  <si>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</si>
  <si>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</si>
  <si>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</si>
  <si>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</si>
  <si>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</si>
  <si>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</si>
  <si>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</si>
  <si>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</si>
  <si>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</si>
  <si>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</si>
  <si>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</si>
  <si>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</si>
  <si>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</si>
  <si>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</si>
  <si>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</si>
  <si>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</si>
  <si>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</si>
  <si>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</si>
  <si>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</si>
  <si>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</si>
  <si>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</si>
  <si>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</si>
  <si>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</si>
  <si>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</si>
  <si>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</si>
  <si>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</si>
  <si>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</si>
  <si>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</si>
  <si>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</si>
  <si>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</si>
  <si>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</si>
  <si>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</si>
  <si>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</si>
  <si>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</si>
  <si>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</si>
  <si>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</si>
  <si>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</si>
  <si>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</si>
  <si>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</si>
  <si>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</si>
  <si>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</si>
  <si>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</si>
  <si>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</si>
  <si>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</si>
  <si>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</si>
  <si>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</si>
  <si>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</si>
  <si>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</si>
  <si>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</si>
  <si>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</si>
  <si>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</si>
  <si>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</si>
  <si>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</si>
  <si>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</si>
  <si>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</si>
  <si>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</si>
  <si>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</si>
  <si>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</si>
  <si>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</si>
  <si>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</si>
  <si>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</si>
  <si>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</si>
  <si>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</si>
  <si>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</si>
  <si>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</si>
  <si>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</si>
  <si>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</si>
  <si>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</si>
  <si>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</si>
  <si>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</si>
  <si>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</si>
  <si>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</si>
  <si>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</si>
  <si>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</si>
  <si>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</si>
  <si>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</si>
  <si>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</si>
  <si>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</si>
  <si>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</si>
  <si>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</si>
  <si>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</si>
  <si>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</si>
  <si>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</si>
  <si>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</si>
  <si>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</si>
  <si>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</si>
  <si>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</si>
  <si>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</si>
  <si>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</si>
  <si>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</si>
  <si>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</si>
  <si>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</si>
  <si>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</si>
  <si>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</si>
  <si>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</si>
  <si>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</si>
  <si>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</si>
  <si>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</si>
  <si>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</si>
  <si>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</si>
  <si>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</si>
  <si>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</si>
  <si>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</si>
  <si>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</si>
  <si>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</si>
  <si>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</si>
  <si>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</si>
  <si>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</si>
  <si>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</si>
  <si>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</si>
  <si>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</si>
  <si>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</si>
  <si>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</si>
  <si>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</si>
  <si>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</si>
  <si>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</si>
  <si>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</si>
  <si>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</si>
  <si>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</si>
  <si>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</si>
  <si>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</si>
  <si>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</si>
  <si>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</si>
  <si>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</si>
  <si>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</si>
  <si>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</si>
  <si>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</si>
  <si>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</si>
  <si>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</si>
  <si>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</si>
  <si>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</si>
  <si>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</si>
  <si>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</si>
  <si>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</si>
  <si>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</si>
  <si>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</si>
  <si>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</si>
  <si>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</si>
  <si>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</si>
  <si>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</si>
  <si>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</si>
  <si>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</si>
  <si>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</si>
  <si>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</si>
  <si>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</si>
  <si>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</si>
  <si>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</si>
  <si>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</si>
  <si>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</si>
  <si>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</si>
  <si>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</si>
  <si>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</si>
  <si>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</si>
  <si>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</si>
  <si>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</si>
  <si>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</si>
  <si>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</si>
  <si>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</si>
  <si>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</si>
  <si>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</si>
  <si>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</si>
  <si>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</si>
  <si>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</si>
  <si>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</si>
  <si>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</si>
  <si>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</si>
  <si>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</si>
  <si>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</si>
  <si>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</si>
  <si>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</si>
  <si>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</si>
  <si>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</si>
  <si>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</si>
  <si>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</si>
  <si>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</si>
  <si>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</si>
  <si>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</si>
  <si>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</si>
  <si>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</si>
  <si>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</si>
  <si>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</si>
  <si>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</si>
  <si>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</si>
  <si>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</si>
  <si>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</si>
  <si>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</si>
  <si>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</si>
  <si>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</si>
  <si>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</si>
  <si>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</si>
  <si>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</si>
  <si>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</si>
  <si>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</si>
  <si>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</si>
  <si>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</si>
  <si>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</si>
  <si>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</si>
  <si>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</si>
  <si>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</si>
  <si>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</si>
  <si>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</si>
  <si>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</si>
  <si>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</si>
  <si>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</si>
  <si>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</si>
  <si>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</si>
  <si>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</si>
  <si>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</si>
  <si>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</si>
  <si>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</si>
  <si>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</si>
  <si>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</si>
  <si>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</si>
  <si>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</si>
  <si>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</si>
  <si>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</si>
  <si>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</si>
  <si>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</si>
  <si>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</si>
  <si>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</si>
  <si>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</si>
  <si>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</si>
  <si>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</si>
  <si>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</si>
  <si>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</si>
  <si>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</si>
  <si>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</si>
  <si>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</si>
  <si>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</si>
  <si>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</si>
  <si>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</si>
  <si>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</si>
  <si>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</si>
  <si>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</si>
  <si>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</si>
  <si>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</si>
  <si>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</si>
  <si>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</si>
  <si>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</si>
  <si>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</si>
  <si>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</si>
  <si>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</si>
  <si>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</si>
  <si>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</si>
  <si>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</si>
  <si>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</si>
  <si>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</si>
  <si>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</si>
  <si>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</si>
  <si>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</si>
  <si>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</si>
  <si>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</si>
  <si>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</si>
  <si>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</si>
  <si>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</si>
  <si>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</si>
  <si>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</si>
  <si>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</si>
  <si>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</si>
  <si>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</si>
  <si>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</si>
  <si>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</si>
  <si>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</si>
  <si>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</si>
  <si>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</si>
  <si>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</si>
  <si>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</si>
  <si>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</si>
  <si>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</si>
  <si>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</si>
  <si>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</si>
  <si>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</si>
  <si>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</si>
  <si>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</si>
  <si>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</si>
  <si>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</si>
  <si>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</si>
  <si>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</si>
  <si>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</si>
  <si>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</si>
  <si>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</si>
  <si>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</si>
  <si>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</si>
  <si>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</si>
  <si>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</si>
  <si>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</si>
  <si>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</si>
  <si>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</si>
  <si>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</si>
  <si>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</si>
  <si>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</si>
  <si>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</si>
  <si>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</si>
  <si>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</si>
  <si>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</si>
  <si>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</si>
  <si>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</si>
  <si>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</si>
  <si>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</si>
  <si>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</si>
  <si>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</si>
  <si>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</si>
  <si>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</si>
  <si>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</si>
  <si>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</si>
  <si>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</si>
  <si>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</si>
  <si>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</si>
  <si>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</si>
  <si>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</si>
  <si>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</si>
  <si>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</si>
  <si>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</si>
  <si>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</si>
  <si>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</si>
  <si>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</si>
  <si>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</si>
  <si>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</si>
  <si>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</si>
  <si>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</si>
  <si>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</si>
  <si>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</si>
  <si>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</si>
  <si>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</si>
  <si>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</si>
  <si>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</si>
  <si>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</si>
  <si>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</si>
  <si>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</si>
  <si>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</si>
  <si>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</si>
  <si>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</si>
  <si>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</si>
  <si>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</si>
  <si>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</si>
  <si>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</si>
  <si>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</si>
  <si>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</si>
  <si>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</si>
  <si>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</si>
  <si>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</si>
  <si>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</si>
  <si>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</si>
  <si>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</si>
  <si>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</si>
  <si>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</si>
  <si>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</si>
  <si>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</si>
  <si>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</si>
  <si>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</si>
  <si>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</si>
  <si>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</si>
  <si>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</si>
  <si>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</si>
  <si>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</si>
  <si>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</si>
  <si>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</si>
  <si>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</si>
  <si>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</si>
  <si>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</si>
  <si>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</si>
  <si>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</si>
  <si>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</si>
  <si>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</si>
  <si>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</si>
  <si>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</si>
  <si>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</si>
  <si>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</si>
  <si>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</si>
  <si>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</si>
  <si>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</si>
  <si>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</si>
  <si>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</si>
  <si>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</si>
  <si>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</si>
  <si>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</si>
  <si>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</si>
  <si>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</si>
  <si>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</si>
  <si>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</si>
  <si>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</si>
  <si>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</si>
  <si>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</si>
  <si>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</si>
  <si>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</si>
  <si>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</si>
  <si>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</si>
  <si>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</si>
  <si>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</si>
  <si>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</si>
  <si>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</si>
  <si>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</si>
  <si>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</si>
  <si>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</si>
  <si>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</si>
  <si>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</si>
  <si>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</si>
  <si>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</si>
  <si>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</si>
  <si>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</si>
  <si>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</si>
  <si>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</si>
  <si>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</si>
  <si>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</si>
  <si>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</si>
  <si>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</si>
  <si>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</si>
  <si>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</si>
  <si>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</si>
  <si>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</si>
  <si>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</si>
  <si>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</si>
  <si>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</si>
  <si>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</si>
  <si>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</si>
  <si>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</si>
  <si>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</si>
  <si>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</si>
  <si>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</si>
  <si>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</si>
  <si>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</si>
  <si>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</si>
  <si>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</si>
  <si>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</si>
  <si>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</si>
  <si>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</si>
  <si>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</si>
  <si>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</si>
  <si>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</si>
  <si>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</si>
  <si>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</si>
  <si>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</si>
  <si>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</si>
  <si>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</si>
  <si>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</si>
  <si>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</si>
  <si>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</si>
  <si>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</si>
  <si>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</si>
  <si>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</si>
  <si>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</si>
  <si>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</si>
  <si>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</si>
  <si>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</si>
  <si>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</si>
  <si>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</si>
  <si>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</si>
  <si>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</si>
  <si>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</si>
  <si>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</si>
  <si>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</si>
  <si>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</si>
  <si>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</si>
  <si>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</si>
  <si>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</si>
  <si>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</si>
  <si>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</si>
  <si>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</si>
  <si>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</si>
  <si>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</si>
  <si>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</si>
  <si>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</si>
  <si>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</si>
  <si>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</si>
  <si>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</si>
  <si>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</si>
  <si>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</si>
  <si>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</si>
  <si>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</si>
  <si>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</si>
  <si>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</si>
  <si>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</si>
  <si>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</si>
  <si>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</si>
  <si>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</si>
  <si>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</si>
  <si>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</si>
  <si>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</si>
  <si>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</si>
  <si>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</si>
  <si>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</si>
  <si>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</si>
  <si>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</si>
  <si>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</si>
  <si>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</si>
  <si>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</si>
  <si>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</si>
  <si>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</si>
  <si>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</si>
  <si>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</si>
  <si>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</si>
  <si>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</si>
  <si>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</si>
  <si>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</si>
  <si>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</si>
  <si>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</si>
  <si>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</si>
  <si>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</si>
  <si>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</si>
  <si>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</si>
  <si>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</si>
  <si>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</si>
  <si>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</si>
  <si>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</si>
  <si>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</si>
  <si>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</si>
  <si>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</si>
  <si>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</si>
  <si>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</si>
  <si>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</si>
  <si>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</si>
  <si>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</si>
  <si>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</si>
  <si>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</si>
  <si>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</si>
  <si>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</si>
  <si>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</si>
  <si>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</si>
  <si>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</si>
  <si>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</si>
  <si>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</si>
  <si>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</si>
  <si>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</si>
  <si>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</si>
  <si>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</si>
  <si>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</si>
  <si>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</si>
  <si>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</si>
  <si>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</si>
  <si>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</si>
  <si>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</si>
  <si>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</si>
  <si>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</si>
  <si>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</si>
  <si>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</si>
  <si>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</si>
  <si>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</si>
  <si>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</si>
  <si>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</si>
  <si>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</si>
  <si>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</si>
  <si>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</si>
  <si>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</si>
  <si>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</si>
  <si>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</si>
  <si>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</si>
  <si>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</si>
  <si>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</si>
  <si>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</si>
  <si>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</si>
  <si>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</si>
  <si>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</si>
  <si>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</si>
  <si>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</si>
  <si>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</si>
  <si>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</si>
  <si>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</si>
  <si>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</si>
  <si>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</si>
  <si>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</si>
  <si>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</si>
  <si>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</si>
  <si>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</si>
  <si>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</si>
  <si>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</si>
  <si>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</si>
  <si>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</si>
  <si>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</si>
  <si>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</si>
  <si>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</si>
  <si>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</si>
  <si>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</si>
  <si>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</si>
  <si>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</si>
  <si>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</si>
  <si>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</si>
  <si>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</si>
  <si>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</si>
  <si>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</si>
  <si>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</si>
  <si>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</si>
  <si>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</si>
  <si>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</si>
  <si>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</si>
  <si>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</si>
  <si>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</si>
  <si>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</si>
  <si>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</si>
  <si>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</si>
  <si>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</si>
  <si>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</si>
  <si>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</si>
  <si>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</si>
  <si>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</si>
  <si>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</si>
  <si>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</si>
  <si>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</si>
  <si>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</si>
  <si>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</si>
  <si>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</si>
  <si>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</si>
  <si>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</si>
  <si>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</si>
  <si>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</si>
  <si>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</si>
  <si>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</si>
  <si>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</si>
  <si>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</si>
  <si>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</si>
  <si>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</si>
  <si>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</si>
  <si>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</si>
  <si>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</si>
  <si>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</si>
  <si>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</si>
  <si>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</si>
  <si>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</si>
  <si>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</si>
  <si>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</si>
  <si>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</si>
  <si>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</si>
  <si>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</si>
  <si>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</si>
  <si>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</si>
  <si>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</si>
  <si>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</si>
  <si>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</si>
  <si>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</si>
  <si>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</si>
  <si>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</si>
  <si>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</si>
  <si>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</si>
  <si>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</si>
  <si>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</si>
  <si>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</si>
  <si>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</si>
  <si>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</si>
  <si>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</si>
  <si>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</si>
  <si>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</si>
  <si>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</si>
  <si>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</si>
  <si>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</si>
  <si>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</si>
  <si>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</si>
  <si>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</si>
  <si>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</si>
  <si>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</si>
  <si>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</si>
  <si>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</si>
  <si>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</si>
  <si>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</si>
  <si>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</si>
  <si>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</si>
  <si>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</si>
  <si>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</si>
  <si>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</si>
  <si>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</si>
  <si>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</si>
  <si>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</si>
  <si>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</si>
  <si>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</si>
  <si>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</si>
  <si>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</si>
  <si>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</si>
  <si>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</si>
  <si>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</si>
  <si>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</si>
  <si>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</si>
  <si>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</si>
  <si>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</si>
  <si>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</si>
  <si>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</si>
  <si>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</si>
  <si>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</si>
  <si>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</si>
  <si>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</si>
  <si>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</si>
  <si>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</si>
  <si>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</si>
  <si>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</si>
  <si>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</si>
  <si>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</si>
  <si>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</si>
  <si>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</si>
  <si>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</si>
  <si>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</si>
  <si>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</si>
  <si>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</si>
  <si>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</si>
  <si>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</si>
  <si>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</si>
  <si>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</si>
  <si>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</si>
  <si>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</si>
  <si>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</si>
  <si>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</si>
  <si>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</si>
  <si>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</si>
  <si>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</si>
  <si>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</si>
  <si>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</si>
  <si>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</si>
  <si>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</si>
  <si>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</si>
  <si>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</si>
  <si>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</si>
  <si>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</si>
  <si>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</si>
  <si>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</si>
  <si>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</si>
  <si>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</si>
  <si>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</si>
  <si>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</si>
  <si>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</si>
  <si>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</si>
  <si>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</si>
  <si>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</si>
  <si>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</si>
  <si>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</si>
  <si>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</si>
  <si>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</si>
  <si>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</si>
  <si>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</si>
  <si>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</si>
  <si>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</si>
  <si>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</si>
  <si>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</si>
  <si>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</si>
  <si>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</si>
  <si>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</si>
  <si>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</si>
  <si>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</si>
  <si>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</si>
  <si>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</si>
  <si>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</si>
  <si>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</si>
  <si>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</si>
  <si>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</si>
  <si>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</si>
  <si>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</si>
  <si>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</si>
  <si>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</si>
  <si>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</si>
  <si>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</si>
  <si>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</si>
  <si>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</si>
  <si>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</si>
  <si>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</si>
  <si>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</si>
  <si>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</si>
  <si>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</si>
  <si>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</si>
  <si>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</si>
  <si>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</si>
  <si>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</si>
  <si>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</si>
  <si>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</si>
  <si>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</si>
  <si>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</si>
  <si>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</si>
  <si>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</si>
  <si>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</si>
  <si>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</si>
  <si>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</si>
  <si>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</si>
  <si>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</si>
  <si>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</si>
  <si>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</si>
  <si>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</si>
  <si>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</si>
  <si>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</si>
  <si>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</si>
  <si>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</si>
  <si>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</si>
  <si>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</si>
  <si>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</si>
  <si>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</si>
  <si>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</si>
  <si>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</si>
  <si>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</si>
  <si>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</si>
  <si>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</si>
  <si>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</si>
  <si>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</si>
  <si>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</si>
  <si>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</si>
  <si>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</si>
  <si>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</si>
  <si>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</si>
  <si>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</si>
  <si>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</si>
  <si>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</si>
  <si>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</si>
  <si>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</si>
  <si>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</si>
  <si>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</si>
  <si>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</si>
  <si>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</si>
  <si>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</si>
  <si>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</si>
  <si>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</si>
  <si>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</si>
  <si>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</si>
  <si>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</si>
  <si>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</si>
  <si>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</si>
  <si>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</si>
  <si>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</si>
  <si>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</si>
  <si>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</si>
  <si>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</si>
  <si>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</si>
  <si>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</si>
  <si>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</si>
  <si>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</si>
  <si>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</si>
  <si>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</si>
  <si>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</si>
  <si>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</si>
  <si>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</si>
  <si>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</si>
  <si>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</si>
  <si>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</si>
  <si>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</si>
  <si>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</si>
  <si>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</si>
  <si>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</si>
  <si>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</si>
  <si>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</si>
  <si>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</si>
  <si>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</si>
  <si>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</si>
  <si>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</si>
  <si>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</si>
  <si>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</si>
  <si>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</si>
  <si>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</si>
  <si>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</si>
  <si>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</si>
  <si>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</si>
  <si>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</si>
  <si>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</si>
  <si>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</si>
  <si>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</si>
  <si>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</si>
  <si>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</si>
  <si>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</si>
  <si>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</si>
  <si>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</si>
  <si>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</si>
  <si>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</si>
  <si>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</si>
  <si>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</si>
  <si>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</si>
  <si>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</si>
  <si>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</si>
  <si>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</si>
  <si>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</si>
  <si>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</si>
  <si>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</si>
  <si>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</si>
  <si>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</si>
  <si>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</si>
  <si>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</si>
  <si>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</si>
  <si>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</si>
  <si>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</si>
  <si>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</si>
  <si>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</si>
  <si>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</si>
  <si>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</si>
  <si>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</si>
  <si>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</si>
  <si>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</si>
  <si>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</si>
  <si>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</si>
  <si>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</si>
  <si>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</si>
  <si>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</si>
  <si>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</si>
  <si>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</si>
  <si>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</si>
  <si>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</si>
  <si>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</si>
  <si>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</si>
  <si>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</si>
  <si>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</si>
  <si>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</si>
  <si>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</si>
  <si>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</si>
  <si>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</si>
  <si>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</si>
  <si>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</si>
  <si>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</si>
  <si>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</si>
  <si>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</si>
  <si>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</si>
  <si>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</si>
  <si>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</si>
  <si>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</si>
  <si>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</si>
  <si>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</si>
  <si>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</si>
  <si>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</si>
  <si>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</si>
  <si>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</si>
  <si>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</si>
  <si>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</si>
  <si>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</si>
  <si>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</si>
  <si>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</si>
  <si>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</si>
  <si>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</si>
  <si>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</si>
  <si>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</si>
  <si>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</si>
  <si>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</si>
  <si>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</si>
  <si>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</si>
  <si>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</si>
  <si>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</si>
  <si>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</si>
  <si>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</si>
  <si>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</si>
  <si>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</si>
  <si>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</si>
  <si>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</si>
  <si>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</si>
  <si>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</si>
  <si>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</si>
  <si>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</si>
  <si>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</si>
  <si>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</si>
  <si>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</si>
  <si>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</si>
  <si>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</si>
  <si>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</si>
  <si>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</si>
  <si>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</si>
  <si>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</si>
  <si>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</si>
  <si>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</si>
  <si>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</si>
  <si>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</si>
  <si>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</si>
  <si>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</si>
  <si>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</si>
  <si>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</si>
  <si>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</si>
  <si>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</si>
  <si>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</si>
  <si>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</si>
  <si>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</si>
  <si>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</si>
  <si>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</si>
  <si>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</si>
  <si>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</si>
  <si>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</si>
  <si>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</si>
  <si>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</si>
  <si>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</si>
  <si>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</si>
  <si>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</si>
  <si>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</si>
  <si>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</si>
  <si>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</si>
  <si>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</si>
  <si>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</si>
  <si>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</si>
  <si>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</si>
  <si>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</si>
  <si>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</si>
  <si>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</si>
  <si>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</si>
  <si>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</si>
  <si>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</si>
  <si>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</si>
  <si>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</si>
  <si>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</si>
  <si>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</si>
  <si>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</si>
  <si>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</si>
  <si>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</si>
  <si>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</si>
  <si>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</si>
  <si>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</si>
  <si>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</si>
  <si>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</si>
  <si>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</si>
  <si>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</si>
  <si>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</si>
  <si>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</si>
  <si>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</si>
  <si>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</si>
  <si>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</si>
  <si>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</si>
  <si>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</si>
  <si>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</si>
  <si>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</si>
  <si>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</si>
  <si>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</si>
  <si>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</si>
  <si>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</si>
  <si>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</si>
  <si>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</si>
  <si>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</si>
  <si>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</si>
  <si>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</si>
  <si>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</si>
  <si>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</si>
  <si>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</si>
  <si>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</si>
  <si>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</si>
  <si>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</si>
  <si>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</si>
  <si>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</si>
  <si>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</si>
  <si>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</si>
  <si>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</si>
  <si>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</si>
  <si>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</si>
  <si>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</si>
  <si>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</si>
  <si>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</si>
  <si>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</si>
  <si>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</si>
  <si>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</si>
  <si>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</si>
  <si>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</si>
  <si>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</si>
  <si>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</si>
  <si>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</si>
  <si>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</si>
  <si>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</si>
  <si>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</si>
  <si>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</si>
  <si>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</si>
  <si>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</si>
  <si>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</si>
  <si>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</si>
  <si>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</si>
  <si>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</si>
  <si>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</si>
  <si>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</si>
  <si>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</si>
  <si>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</si>
  <si>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</si>
  <si>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</si>
  <si>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</si>
  <si>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</si>
  <si>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</si>
  <si>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</si>
  <si>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</si>
  <si>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</si>
  <si>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</si>
  <si>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</si>
  <si>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</si>
  <si>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</si>
  <si>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</si>
  <si>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</si>
  <si>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</si>
  <si>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</si>
  <si>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</si>
  <si>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</si>
  <si>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</si>
  <si>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</si>
  <si>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</si>
  <si>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</si>
  <si>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</si>
  <si>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</si>
  <si>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</si>
  <si>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</si>
  <si>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</si>
  <si>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</si>
  <si>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</si>
  <si>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</si>
  <si>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</si>
  <si>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</si>
  <si>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</si>
  <si>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</si>
  <si>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</si>
  <si>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</si>
  <si>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</si>
  <si>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</si>
  <si>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</si>
  <si>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</si>
  <si>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</si>
  <si>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</si>
  <si>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</si>
  <si>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</si>
  <si>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</si>
  <si>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</si>
  <si>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</si>
  <si>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</si>
  <si>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</si>
  <si>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</si>
  <si>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</si>
  <si>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</si>
  <si>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</si>
  <si>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</si>
  <si>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</si>
  <si>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</si>
  <si>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</si>
  <si>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</si>
  <si>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</si>
  <si>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</si>
  <si>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</si>
  <si>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</si>
  <si>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</si>
  <si>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</si>
  <si>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</si>
  <si>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</si>
  <si>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</si>
  <si>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</si>
  <si>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</si>
  <si>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</si>
  <si>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</si>
  <si>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</si>
  <si>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</si>
  <si>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</si>
  <si>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</si>
  <si>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</si>
  <si>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</si>
  <si>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</si>
  <si>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</si>
  <si>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</si>
  <si>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</si>
  <si>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</si>
  <si>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</si>
  <si>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</si>
  <si>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</si>
  <si>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</si>
  <si>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</si>
  <si>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</si>
  <si>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</si>
  <si>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</si>
  <si>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</si>
  <si>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</si>
  <si>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</si>
  <si>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</si>
  <si>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</si>
  <si>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</si>
  <si>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</si>
  <si>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</si>
  <si>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</si>
  <si>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</si>
  <si>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</si>
  <si>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</si>
  <si>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</si>
  <si>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</si>
  <si>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</si>
  <si>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</si>
  <si>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</si>
  <si>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</si>
  <si>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</si>
  <si>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</si>
  <si>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</si>
  <si>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</si>
  <si>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</si>
  <si>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</si>
  <si>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</si>
  <si>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</si>
  <si>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</si>
  <si>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</si>
  <si>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</si>
  <si>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</si>
  <si>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</si>
  <si>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</si>
  <si>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</si>
  <si>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</si>
  <si>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</si>
  <si>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</si>
  <si>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</si>
  <si>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</si>
  <si>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</si>
  <si>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</si>
  <si>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</si>
  <si>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</si>
  <si>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</si>
  <si>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</si>
  <si>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</si>
  <si>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</si>
  <si>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</si>
  <si>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</si>
  <si>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</si>
  <si>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</si>
  <si>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</si>
  <si>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</si>
  <si>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</si>
  <si>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</si>
  <si>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</si>
  <si>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</si>
  <si>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</si>
  <si>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</si>
  <si>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</si>
  <si>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</si>
  <si>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</si>
  <si>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</si>
  <si>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</si>
  <si>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</si>
  <si>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</si>
  <si>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</si>
  <si>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</si>
  <si>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</si>
  <si>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</si>
  <si>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</si>
  <si>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</si>
  <si>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</si>
  <si>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</si>
  <si>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</si>
  <si>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</si>
  <si>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</si>
  <si>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</si>
  <si>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</si>
  <si>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</si>
  <si>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</si>
  <si>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</si>
  <si>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</si>
  <si>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</si>
  <si>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</si>
  <si>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</si>
  <si>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</si>
  <si>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</si>
  <si>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</si>
  <si>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</si>
  <si>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</si>
  <si>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</si>
  <si>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</si>
  <si>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</si>
  <si>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</si>
  <si>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</si>
  <si>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</si>
  <si>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</si>
  <si>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</si>
  <si>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</si>
  <si>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</si>
  <si>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</si>
  <si>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</si>
  <si>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</si>
  <si>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</si>
  <si>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</si>
  <si>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</si>
  <si>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</si>
  <si>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</si>
  <si>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</si>
  <si>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</si>
  <si>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</si>
  <si>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</si>
  <si>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</si>
  <si>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</si>
  <si>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</si>
  <si>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</si>
  <si>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</si>
  <si>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</si>
  <si>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</si>
  <si>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</si>
  <si>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</si>
  <si>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</si>
  <si>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</si>
  <si>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</si>
  <si>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</si>
  <si>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</si>
  <si>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</si>
  <si>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</si>
  <si>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</si>
  <si>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</si>
  <si>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</si>
  <si>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</si>
  <si>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</si>
  <si>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</si>
  <si>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</si>
  <si>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</si>
  <si>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</si>
  <si>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</si>
  <si>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</si>
  <si>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</si>
  <si>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</si>
  <si>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</si>
  <si>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</si>
  <si>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</si>
  <si>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</si>
  <si>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</si>
  <si>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</si>
  <si>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</si>
  <si>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</si>
  <si>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</si>
  <si>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</si>
  <si>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</si>
  <si>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</si>
  <si>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</si>
  <si>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</si>
  <si>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</si>
  <si>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</si>
  <si>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</si>
  <si>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</si>
  <si>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</si>
  <si>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</si>
  <si>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</si>
  <si>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</si>
  <si>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</si>
  <si>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</si>
  <si>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</si>
  <si>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</si>
  <si>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</si>
  <si>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</si>
  <si>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</si>
  <si>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</si>
  <si>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</si>
  <si>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</si>
  <si>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</si>
  <si>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</si>
  <si>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</si>
  <si>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</si>
  <si>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</si>
  <si>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</si>
  <si>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</si>
  <si>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</si>
  <si>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</si>
  <si>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</si>
  <si>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</si>
  <si>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</si>
  <si>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</si>
  <si>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</si>
  <si>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</si>
  <si>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</si>
  <si>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</si>
  <si>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</si>
  <si>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</si>
  <si>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</si>
  <si>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</si>
  <si>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</si>
  <si>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</si>
  <si>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</si>
  <si>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</si>
  <si>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</si>
  <si>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</si>
  <si>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</si>
  <si>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</si>
  <si>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</si>
  <si>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</si>
  <si>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</si>
  <si>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</si>
  <si>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</si>
  <si>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</si>
  <si>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</si>
  <si>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</si>
  <si>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</si>
  <si>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</si>
  <si>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</si>
  <si>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</si>
  <si>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</si>
  <si>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</si>
  <si>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</si>
  <si>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</si>
  <si>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</si>
  <si>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</si>
  <si>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</si>
  <si>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</si>
  <si>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</si>
  <si>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</si>
  <si>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</si>
  <si>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</si>
  <si>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</si>
  <si>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</si>
  <si>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</si>
  <si>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</si>
  <si>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</si>
  <si>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</si>
  <si>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</si>
  <si>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</si>
  <si>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</si>
  <si>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</si>
  <si>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</si>
  <si>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</si>
  <si>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</si>
  <si>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</si>
  <si>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</si>
  <si>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</si>
  <si>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</si>
  <si>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</si>
  <si>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</si>
  <si>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</si>
  <si>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</si>
  <si>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</si>
  <si>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</si>
  <si>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</si>
  <si>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</si>
  <si>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</si>
  <si>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</si>
  <si>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</si>
  <si>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</si>
  <si>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</si>
  <si>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</si>
  <si>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</si>
  <si>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</si>
  <si>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</si>
  <si>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</si>
  <si>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</si>
  <si>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</si>
  <si>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</si>
  <si>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</si>
  <si>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</si>
  <si>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</si>
  <si>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</si>
  <si>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</si>
  <si>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</si>
  <si>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</si>
  <si>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</si>
  <si>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</si>
  <si>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</si>
  <si>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</si>
  <si>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</si>
  <si>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</si>
  <si>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</si>
  <si>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</si>
  <si>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</si>
  <si>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</si>
  <si>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</si>
  <si>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</si>
  <si>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</si>
  <si>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</si>
  <si>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</si>
  <si>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</si>
  <si>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</si>
  <si>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</si>
  <si>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</si>
  <si>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</si>
  <si>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</si>
  <si>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</si>
  <si>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</si>
  <si>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</si>
  <si>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</si>
  <si>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</si>
  <si>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</si>
  <si>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</si>
  <si>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</si>
  <si>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</si>
  <si>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</si>
  <si>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</si>
  <si>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</si>
  <si>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</si>
  <si>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</si>
  <si>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</si>
  <si>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</si>
  <si>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</si>
  <si>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</si>
  <si>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</si>
  <si>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</si>
  <si>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</si>
  <si>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</si>
  <si>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</si>
  <si>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</si>
  <si>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</si>
  <si>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</si>
  <si>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</si>
  <si>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</si>
  <si>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</si>
  <si>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</si>
  <si>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</si>
  <si>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</si>
  <si>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</si>
  <si>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</si>
  <si>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</si>
  <si>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</si>
  <si>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</si>
  <si>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</si>
  <si>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</si>
  <si>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</si>
  <si>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</si>
  <si>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</si>
  <si>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</si>
  <si>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</si>
  <si>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</si>
  <si>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</si>
  <si>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</si>
  <si>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</si>
  <si>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</si>
  <si>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</si>
  <si>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</si>
  <si>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</si>
  <si>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</si>
  <si>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</si>
  <si>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</si>
  <si>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</si>
  <si>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</si>
  <si>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</si>
  <si>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</si>
  <si>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</si>
  <si>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</si>
  <si>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</si>
  <si>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</si>
  <si>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</si>
  <si>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</si>
  <si>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</si>
  <si>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</si>
  <si>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</si>
  <si>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</si>
  <si>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</si>
  <si>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</si>
  <si>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</si>
  <si>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</si>
  <si>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</si>
  <si>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</si>
  <si>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</si>
  <si>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</si>
  <si>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</si>
  <si>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</si>
  <si>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</si>
  <si>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</si>
  <si>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</si>
  <si>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</si>
  <si>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</si>
  <si>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</si>
  <si>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</si>
  <si>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</si>
  <si>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</si>
  <si>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</si>
  <si>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</si>
  <si>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</si>
  <si>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</si>
  <si>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</si>
  <si>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</si>
  <si>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</si>
  <si>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</si>
  <si>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</si>
  <si>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</si>
  <si>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</si>
  <si>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</si>
  <si>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</si>
  <si>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</si>
  <si>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</si>
  <si>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</si>
  <si>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</si>
  <si>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</si>
  <si>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</si>
  <si>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</si>
  <si>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</si>
  <si>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</si>
  <si>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</si>
  <si>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</si>
  <si>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</si>
  <si>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</si>
  <si>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</si>
  <si>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</si>
  <si>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</si>
  <si>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</si>
  <si>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</si>
  <si>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</si>
  <si>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</si>
  <si>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</si>
  <si>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</si>
  <si>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</si>
  <si>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</si>
  <si>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</si>
  <si>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</si>
  <si>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</si>
  <si>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</si>
  <si>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</si>
  <si>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</si>
  <si>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</si>
  <si>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</si>
  <si>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</si>
  <si>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</si>
  <si>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</si>
  <si>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</si>
  <si>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</si>
  <si>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</si>
  <si>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</si>
  <si>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</si>
  <si>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</si>
  <si>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</si>
  <si>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</si>
  <si>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</si>
  <si>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</si>
  <si>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</si>
  <si>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</si>
  <si>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</si>
  <si>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</si>
  <si>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</si>
  <si>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</si>
  <si>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</si>
  <si>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</si>
  <si>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</si>
  <si>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</si>
  <si>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</si>
  <si>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</si>
  <si>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</si>
  <si>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</si>
  <si>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</si>
  <si>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</si>
  <si>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</si>
  <si>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</si>
  <si>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</si>
  <si>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</si>
  <si>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</si>
  <si>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</si>
  <si>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</si>
  <si>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</si>
  <si>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</si>
  <si>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</si>
  <si>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</si>
  <si>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</si>
  <si>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</si>
  <si>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</si>
  <si>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</si>
  <si>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</si>
  <si>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</si>
  <si>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</si>
  <si>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</si>
  <si>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</si>
  <si>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</si>
  <si>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</si>
  <si>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</si>
  <si>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</si>
  <si>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</si>
  <si>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</si>
  <si>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</si>
  <si>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</si>
  <si>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</si>
  <si>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</si>
  <si>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</si>
  <si>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</si>
  <si>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</si>
  <si>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</si>
  <si>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</si>
  <si>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</si>
  <si>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</si>
  <si>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</si>
  <si>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</si>
  <si>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</si>
  <si>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</si>
  <si>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</si>
  <si>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</si>
  <si>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</si>
  <si>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</si>
  <si>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</si>
  <si>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</si>
  <si>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</si>
  <si>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</si>
  <si>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</si>
  <si>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</si>
  <si>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</si>
  <si>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</si>
  <si>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</si>
  <si>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</si>
  <si>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</si>
  <si>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</si>
  <si>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</si>
  <si>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</si>
  <si>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</si>
  <si>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</si>
  <si>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</si>
  <si>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</si>
  <si>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</si>
  <si>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</si>
  <si>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</si>
  <si>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</si>
  <si>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</si>
  <si>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</si>
  <si>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</si>
  <si>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</si>
  <si>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</si>
  <si>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</si>
  <si>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</si>
  <si>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</si>
  <si>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</si>
  <si>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</si>
  <si>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</si>
  <si>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</si>
  <si>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</si>
  <si>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</si>
  <si>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</si>
  <si>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</si>
  <si>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</si>
  <si>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</si>
  <si>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</si>
  <si>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</si>
  <si>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</si>
  <si>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</si>
  <si>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</si>
  <si>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</si>
  <si>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</si>
  <si>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</si>
  <si>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</si>
  <si>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</si>
  <si>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</si>
  <si>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</si>
  <si>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</si>
  <si>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</si>
  <si>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</si>
  <si>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</si>
  <si>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</si>
  <si>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</si>
  <si>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</si>
  <si>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</si>
  <si>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</si>
  <si>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</si>
  <si>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</si>
  <si>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</si>
  <si>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</si>
  <si>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</si>
  <si>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</si>
  <si>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</si>
  <si>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</si>
  <si>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</si>
  <si>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</si>
  <si>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</si>
  <si>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</si>
  <si>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</si>
  <si>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</si>
  <si>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</si>
  <si>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</si>
  <si>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</si>
  <si>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</si>
  <si>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</si>
  <si>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</si>
  <si>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</si>
  <si>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</si>
  <si>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</si>
  <si>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</si>
  <si>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</si>
  <si>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</si>
  <si>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</si>
  <si>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</si>
  <si>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</si>
  <si>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</si>
  <si>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</si>
  <si>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</si>
  <si>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</si>
  <si>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</si>
  <si>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</si>
  <si>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</si>
  <si>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</si>
  <si>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</si>
  <si>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</si>
  <si>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</si>
  <si>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</si>
  <si>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</si>
  <si>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</si>
  <si>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</si>
  <si>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</si>
  <si>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</si>
  <si>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</si>
  <si>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</si>
  <si>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</si>
  <si>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</si>
  <si>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</si>
  <si>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</si>
  <si>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</si>
  <si>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</si>
  <si>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</si>
  <si>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</si>
  <si>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</si>
  <si>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</si>
  <si>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</si>
  <si>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</si>
  <si>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</si>
  <si>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</si>
  <si>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</si>
  <si>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</si>
  <si>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</si>
  <si>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</si>
  <si>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</si>
  <si>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</si>
  <si>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</si>
  <si>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</si>
  <si>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</si>
  <si>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</si>
  <si>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</si>
  <si>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</si>
  <si>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</si>
  <si>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</si>
  <si>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</si>
  <si>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</si>
  <si>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</si>
  <si>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</si>
  <si>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</si>
  <si>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</si>
  <si>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</si>
  <si>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</si>
  <si>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</si>
  <si>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</si>
  <si>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</si>
  <si>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</si>
  <si>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</si>
  <si>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</si>
  <si>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</si>
  <si>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</si>
  <si>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</si>
  <si>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</si>
  <si>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</si>
  <si>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</si>
  <si>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</si>
  <si>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</si>
  <si>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</si>
  <si>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</si>
  <si>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</si>
  <si>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</si>
  <si>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</si>
  <si>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</si>
  <si>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</si>
  <si>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</si>
  <si>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</si>
  <si>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</si>
  <si>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</si>
  <si>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</si>
  <si>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</si>
  <si>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</si>
  <si>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</si>
  <si>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</si>
  <si>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</si>
  <si>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</si>
  <si>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</si>
  <si>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</si>
  <si>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</si>
  <si>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</si>
  <si>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</si>
  <si>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</si>
  <si>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</si>
  <si>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</si>
  <si>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</si>
  <si>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</si>
  <si>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</si>
  <si>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</si>
  <si>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</si>
  <si>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</si>
  <si>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</si>
  <si>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</si>
  <si>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</si>
  <si>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</si>
  <si>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</si>
  <si>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</si>
  <si>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</si>
  <si>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</si>
  <si>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</si>
  <si>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</si>
  <si>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</si>
  <si>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</si>
  <si>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</si>
  <si>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</si>
  <si>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</si>
  <si>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</si>
  <si>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</si>
  <si>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</si>
  <si>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</si>
  <si>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</si>
  <si>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</si>
  <si>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</si>
  <si>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</si>
  <si>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</si>
  <si>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</si>
  <si>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</si>
  <si>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</si>
  <si>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</si>
  <si>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</si>
  <si>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</si>
  <si>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</si>
  <si>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</si>
  <si>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</si>
  <si>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</si>
  <si>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</si>
  <si>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</si>
  <si>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</si>
  <si>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</si>
  <si>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</si>
  <si>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</si>
  <si>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</si>
  <si>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</si>
  <si>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</si>
  <si>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</si>
  <si>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</si>
  <si>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</si>
  <si>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</si>
  <si>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</si>
  <si>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</si>
  <si>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</si>
  <si>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</si>
  <si>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</si>
  <si>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</si>
  <si>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</si>
  <si>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</si>
  <si>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</si>
  <si>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</si>
  <si>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</si>
  <si>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</si>
  <si>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</si>
  <si>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</si>
  <si>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</si>
  <si>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</si>
  <si>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</si>
  <si>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</si>
  <si>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</si>
  <si>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</si>
  <si>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</si>
  <si>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</si>
  <si>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</si>
  <si>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</si>
  <si>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</si>
  <si>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</si>
  <si>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</si>
  <si>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</si>
  <si>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</si>
  <si>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</si>
  <si>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</si>
  <si>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</si>
  <si>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</si>
  <si>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</si>
  <si>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</si>
  <si>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</si>
  <si>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</si>
  <si>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</si>
  <si>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</si>
  <si>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</si>
  <si>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</si>
  <si>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</si>
  <si>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</si>
  <si>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</si>
  <si>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</si>
  <si>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</si>
  <si>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</si>
  <si>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</si>
  <si>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</si>
  <si>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</si>
  <si>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</si>
  <si>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</si>
  <si>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</si>
  <si>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</si>
  <si>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</si>
  <si>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</si>
  <si>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</si>
  <si>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</si>
  <si>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</si>
  <si>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</si>
  <si>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</si>
  <si>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</si>
  <si>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</si>
  <si>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</si>
  <si>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</si>
  <si>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</si>
  <si>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</si>
  <si>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</si>
  <si>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</si>
  <si>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</si>
  <si>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</si>
  <si>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</si>
  <si>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</si>
  <si>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</si>
  <si>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</si>
  <si>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</si>
  <si>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</si>
  <si>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</si>
  <si>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</si>
  <si>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</si>
  <si>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</si>
  <si>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</si>
  <si>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</si>
  <si>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</si>
  <si>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</si>
  <si>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</si>
  <si>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</si>
  <si>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</si>
  <si>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</si>
  <si>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</si>
  <si>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</si>
  <si>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</si>
  <si>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</si>
  <si>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</si>
  <si>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</si>
  <si>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</si>
  <si>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</si>
  <si>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</si>
  <si>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</si>
  <si>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</si>
  <si>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</si>
  <si>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</si>
  <si>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</si>
  <si>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</si>
  <si>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</si>
  <si>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</si>
  <si>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</si>
  <si>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</si>
  <si>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</si>
  <si>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</si>
  <si>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</si>
  <si>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</si>
  <si>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</si>
  <si>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</si>
  <si>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</si>
  <si>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</si>
  <si>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</si>
  <si>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</si>
  <si>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</si>
  <si>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</si>
  <si>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</si>
  <si>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</si>
  <si>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</si>
  <si>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</si>
  <si>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</si>
  <si>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</si>
  <si>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</si>
  <si>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</si>
  <si>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</si>
  <si>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</si>
  <si>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</si>
  <si>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</si>
  <si>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</si>
  <si>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</si>
  <si>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</si>
  <si>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</si>
  <si>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</si>
  <si>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</si>
  <si>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</si>
  <si>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</si>
  <si>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</si>
  <si>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</si>
  <si>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</si>
  <si>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</si>
  <si>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</si>
  <si>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</si>
  <si>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</si>
  <si>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</si>
  <si>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</si>
  <si>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</si>
  <si>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</si>
  <si>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</si>
  <si>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</si>
  <si>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</si>
  <si>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</si>
  <si>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</si>
  <si>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</si>
  <si>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</si>
  <si>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</si>
  <si>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</si>
  <si>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</si>
  <si>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</si>
  <si>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</si>
  <si>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</si>
  <si>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</si>
  <si>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</si>
  <si>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</si>
  <si>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</si>
  <si>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</si>
  <si>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</si>
  <si>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</si>
  <si>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</si>
  <si>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</si>
  <si>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</si>
  <si>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</si>
  <si>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</si>
  <si>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</si>
  <si>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</si>
  <si>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</si>
  <si>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</si>
  <si>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</si>
  <si>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</si>
  <si>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</si>
  <si>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</si>
  <si>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</si>
  <si>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</si>
  <si>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</si>
  <si>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</si>
  <si>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</si>
  <si>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</si>
  <si>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</si>
  <si>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</si>
  <si>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</si>
  <si>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</si>
  <si>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</si>
  <si>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</si>
  <si>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</si>
  <si>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</si>
  <si>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</si>
  <si>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</si>
  <si>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</si>
  <si>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</si>
  <si>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</si>
  <si>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</si>
  <si>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</si>
  <si>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</si>
  <si>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</si>
  <si>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</si>
  <si>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</si>
  <si>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</si>
  <si>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</si>
  <si>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</si>
  <si>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</si>
  <si>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</si>
  <si>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</si>
  <si>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</si>
  <si>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</si>
  <si>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</si>
  <si>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</si>
  <si>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</si>
  <si>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</si>
  <si>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</si>
  <si>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</si>
  <si>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</si>
  <si>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</si>
  <si>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</si>
  <si>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</si>
  <si>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</si>
  <si>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</si>
  <si>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</si>
  <si>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</si>
  <si>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</si>
  <si>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</si>
  <si>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</si>
  <si>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</si>
  <si>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</si>
  <si>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</si>
  <si>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</si>
  <si>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</si>
  <si>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</si>
  <si>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</si>
  <si>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</si>
  <si>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</si>
  <si>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</si>
  <si>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</si>
  <si>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</si>
  <si>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</si>
  <si>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</si>
  <si>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</si>
  <si>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</si>
  <si>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</si>
  <si>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</si>
  <si>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</si>
  <si>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</si>
  <si>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</si>
  <si>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</si>
  <si>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</si>
  <si>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</si>
  <si>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</si>
  <si>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</si>
  <si>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</si>
  <si>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</si>
  <si>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</si>
  <si>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</si>
  <si>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</si>
  <si>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</si>
  <si>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</si>
  <si>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</si>
  <si>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</si>
  <si>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</si>
  <si>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</si>
  <si>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</si>
  <si>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</si>
  <si>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</si>
  <si>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</si>
  <si>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</si>
  <si>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</si>
  <si>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</si>
  <si>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</si>
  <si>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</si>
  <si>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</si>
  <si>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</si>
  <si>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</si>
  <si>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</si>
  <si>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</si>
  <si>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</si>
  <si>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</si>
  <si>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</si>
  <si>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</si>
  <si>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</si>
  <si>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</si>
  <si>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</si>
  <si>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</si>
  <si>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</si>
  <si>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</si>
  <si>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</si>
  <si>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</si>
  <si>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</si>
  <si>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</si>
  <si>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</si>
  <si>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</si>
  <si>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</si>
  <si>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</si>
  <si>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</si>
  <si>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</si>
  <si>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</si>
  <si>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</si>
  <si>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</si>
  <si>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</si>
  <si>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</si>
  <si>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</si>
  <si>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</si>
  <si>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</si>
  <si>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</si>
  <si>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</si>
  <si>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</si>
  <si>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</si>
  <si>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</si>
  <si>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</si>
  <si>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</si>
  <si>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</si>
  <si>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</si>
  <si>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</si>
  <si>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</si>
  <si>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</si>
  <si>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</si>
  <si>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</si>
  <si>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</si>
  <si>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</si>
  <si>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</si>
  <si>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</si>
  <si>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</si>
  <si>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</si>
  <si>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</si>
  <si>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</si>
  <si>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</si>
  <si>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</si>
  <si>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</si>
  <si>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</si>
  <si>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</si>
  <si>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</si>
  <si>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</si>
  <si>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</si>
  <si>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</si>
  <si>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</si>
  <si>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</si>
  <si>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</si>
  <si>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</si>
  <si>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</si>
  <si>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</si>
  <si>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</si>
  <si>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</si>
  <si>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</si>
  <si>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</si>
  <si>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</si>
  <si>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</si>
  <si>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</si>
  <si>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</si>
  <si>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</si>
  <si>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</si>
  <si>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</si>
  <si>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</si>
  <si>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</si>
  <si>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</si>
  <si>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</si>
  <si>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</si>
  <si>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</si>
  <si>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</si>
  <si>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</si>
  <si>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</si>
  <si>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</si>
  <si>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</si>
  <si>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</si>
  <si>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</si>
  <si>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</si>
  <si>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</si>
  <si>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</si>
  <si>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</si>
  <si>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</si>
  <si>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</si>
  <si>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</si>
  <si>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</si>
  <si>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</si>
  <si>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</si>
  <si>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</si>
  <si>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</si>
  <si>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</si>
  <si>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</si>
  <si>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</si>
  <si>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</si>
  <si>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</si>
  <si>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</si>
  <si>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</si>
  <si>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</si>
  <si>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</si>
  <si>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</si>
  <si>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</si>
  <si>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</si>
  <si>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</si>
  <si>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</si>
  <si>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</si>
  <si>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</si>
  <si>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</si>
  <si>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</si>
  <si>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</si>
  <si>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</si>
  <si>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</si>
  <si>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</si>
  <si>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</si>
  <si>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</si>
  <si>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</si>
  <si>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</si>
  <si>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</si>
  <si>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</si>
  <si>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</si>
  <si>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</si>
  <si>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</si>
  <si>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</si>
  <si>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</si>
  <si>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</si>
  <si>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</si>
  <si>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</si>
  <si>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</si>
  <si>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</si>
  <si>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</si>
  <si>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</si>
  <si>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</si>
  <si>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</si>
  <si>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</si>
  <si>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</si>
  <si>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</si>
  <si>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</si>
  <si>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</si>
  <si>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</si>
  <si>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</si>
  <si>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</si>
  <si>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</si>
  <si>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</si>
  <si>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</si>
  <si>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</si>
  <si>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</si>
  <si>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</si>
  <si>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</si>
  <si>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</si>
  <si>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</si>
  <si>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</si>
  <si>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</si>
  <si>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</si>
  <si>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</si>
  <si>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</si>
  <si>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</si>
  <si>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</si>
  <si>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</si>
  <si>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</si>
  <si>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</si>
  <si>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</si>
  <si>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</si>
  <si>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</si>
  <si>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</si>
  <si>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</si>
  <si>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</si>
  <si>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</si>
  <si>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</si>
  <si>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</si>
  <si>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</si>
  <si>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</si>
  <si>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</si>
  <si>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</si>
  <si>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</si>
  <si>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</si>
  <si>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</si>
  <si>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</si>
  <si>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</si>
  <si>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</si>
  <si>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</si>
  <si>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</si>
  <si>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</si>
  <si>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</si>
  <si>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</si>
  <si>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</si>
  <si>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</si>
  <si>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</si>
  <si>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</si>
  <si>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</si>
  <si>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</si>
  <si>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</si>
  <si>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</si>
  <si>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</si>
  <si>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</si>
  <si>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</si>
  <si>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</si>
  <si>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</si>
  <si>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</si>
  <si>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</si>
  <si>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</si>
  <si>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</si>
  <si>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</si>
  <si>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</si>
  <si>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</si>
  <si>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</si>
  <si>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</si>
  <si>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</si>
  <si>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</si>
  <si>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</si>
  <si>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</si>
  <si>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</si>
  <si>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</si>
  <si>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</si>
  <si>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</si>
  <si>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</si>
  <si>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</si>
  <si>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</si>
  <si>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</si>
  <si>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</si>
  <si>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</si>
  <si>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</si>
  <si>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</si>
  <si>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</si>
  <si>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</si>
  <si>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</si>
  <si>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</si>
  <si>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</si>
  <si>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</si>
  <si>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</si>
  <si>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</si>
  <si>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</si>
  <si>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</si>
  <si>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</si>
  <si>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</si>
  <si>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</si>
  <si>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</si>
  <si>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</si>
  <si>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</si>
  <si>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</si>
  <si>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</si>
  <si>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</si>
  <si>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</si>
  <si>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</si>
  <si>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</si>
  <si>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</si>
  <si>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</si>
  <si>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</si>
  <si>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</si>
  <si>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</si>
  <si>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</si>
  <si>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</si>
  <si>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</si>
  <si>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</si>
  <si>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</si>
  <si>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</si>
  <si>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</si>
  <si>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</si>
  <si>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</si>
  <si>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</si>
  <si>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</si>
  <si>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</si>
  <si>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</si>
  <si>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</si>
  <si>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</si>
  <si>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</si>
  <si>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</si>
  <si>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</si>
  <si>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</si>
  <si>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</si>
  <si>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</si>
  <si>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</si>
  <si>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</si>
  <si>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</si>
  <si>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</si>
  <si>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</si>
  <si>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</si>
  <si>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</si>
  <si>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</si>
  <si>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</si>
  <si>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</si>
  <si>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</si>
  <si>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</si>
  <si>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</si>
  <si>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</si>
  <si>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</si>
  <si>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</si>
  <si>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</si>
  <si>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</si>
  <si>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</si>
  <si>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</si>
  <si>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</si>
  <si>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</si>
  <si>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</si>
  <si>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</si>
  <si>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</si>
  <si>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</si>
  <si>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</si>
  <si>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</si>
  <si>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</si>
  <si>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</si>
  <si>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</si>
  <si>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</si>
  <si>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</si>
  <si>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</si>
  <si>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</si>
  <si>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</si>
  <si>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</si>
  <si>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</si>
  <si>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</si>
  <si>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</si>
  <si>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</si>
  <si>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</si>
  <si>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</si>
  <si>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</si>
  <si>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</si>
  <si>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</si>
  <si>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</si>
  <si>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</si>
  <si>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</si>
  <si>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</si>
  <si>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</si>
  <si>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</si>
  <si>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</si>
  <si>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</si>
  <si>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</si>
  <si>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</si>
  <si>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</si>
  <si>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</si>
  <si>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</si>
  <si>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</si>
  <si>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</si>
  <si>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</si>
  <si>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</si>
  <si>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</si>
  <si>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</si>
  <si>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</si>
  <si>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</si>
  <si>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</si>
  <si>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</si>
  <si>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</si>
  <si>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</si>
  <si>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</si>
  <si>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</si>
  <si>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</si>
  <si>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</si>
  <si>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</si>
  <si>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</si>
  <si>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</si>
  <si>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</si>
  <si>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</si>
  <si>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</si>
  <si>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</si>
  <si>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</si>
  <si>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</si>
  <si>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</si>
  <si>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</si>
  <si>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</si>
  <si>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</si>
  <si>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</si>
  <si>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</si>
  <si>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</si>
  <si>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</si>
  <si>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</si>
  <si>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</si>
  <si>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</si>
  <si>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</si>
  <si>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</si>
  <si>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</si>
  <si>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</si>
  <si>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</si>
  <si>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</si>
  <si>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</si>
  <si>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</si>
  <si>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</si>
  <si>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</si>
  <si>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</si>
  <si>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</si>
  <si>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</si>
  <si>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</si>
  <si>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</si>
  <si>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</si>
  <si>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</si>
  <si>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</si>
  <si>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</si>
  <si>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</si>
  <si>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</si>
  <si>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</si>
  <si>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</si>
  <si>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</si>
  <si>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</si>
  <si>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</si>
  <si>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</si>
  <si>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</si>
  <si>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</si>
  <si>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</si>
  <si>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</si>
  <si>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</si>
  <si>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</si>
  <si>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</si>
  <si>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</si>
  <si>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</si>
  <si>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</si>
  <si>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</si>
  <si>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</si>
  <si>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</si>
  <si>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</si>
  <si>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</si>
  <si>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</si>
  <si>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</si>
  <si>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</si>
  <si>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</si>
  <si>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</si>
  <si>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</si>
  <si>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</si>
  <si>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</si>
  <si>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</si>
  <si>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</si>
  <si>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</si>
  <si>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</si>
  <si>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</si>
  <si>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</si>
  <si>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</si>
  <si>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</si>
  <si>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</si>
  <si>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</si>
  <si>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</si>
  <si>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</si>
  <si>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</si>
  <si>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</si>
  <si>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</si>
  <si>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</si>
  <si>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</si>
  <si>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</si>
  <si>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</si>
  <si>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</si>
  <si>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</si>
  <si>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</si>
  <si>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</si>
  <si>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</si>
  <si>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</si>
  <si>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</si>
  <si>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</si>
  <si>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</si>
  <si>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</si>
  <si>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</si>
  <si>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</si>
  <si>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</si>
  <si>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</si>
  <si>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</si>
  <si>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</si>
  <si>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</si>
  <si>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</si>
  <si>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</si>
  <si>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</si>
  <si>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</si>
  <si>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</si>
  <si>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</si>
  <si>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</si>
  <si>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</si>
  <si>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</si>
  <si>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</si>
  <si>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</si>
  <si>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</si>
  <si>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</si>
  <si>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</si>
  <si>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</si>
  <si>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</si>
  <si>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</si>
  <si>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</si>
  <si>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</si>
  <si>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</si>
  <si>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</si>
  <si>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</si>
  <si>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</si>
  <si>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</si>
  <si>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</si>
  <si>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</si>
  <si>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</si>
  <si>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</si>
  <si>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</si>
  <si>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</si>
  <si>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</si>
  <si>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</si>
  <si>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</si>
  <si>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</si>
  <si>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</si>
  <si>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</si>
  <si>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</si>
  <si>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</si>
  <si>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</si>
  <si>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</si>
  <si>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</si>
  <si>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</si>
  <si>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</si>
  <si>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</si>
  <si>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</si>
  <si>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</si>
  <si>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</si>
  <si>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</si>
  <si>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</si>
  <si>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</si>
  <si>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</si>
  <si>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</si>
  <si>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</si>
  <si>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</si>
  <si>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</si>
  <si>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</si>
  <si>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</si>
  <si>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</si>
  <si>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</si>
  <si>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</si>
  <si>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</si>
  <si>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</si>
  <si>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</si>
  <si>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</si>
  <si>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</si>
  <si>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</si>
  <si>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</si>
  <si>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</si>
  <si>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</si>
  <si>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</si>
  <si>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</si>
  <si>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</si>
  <si>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</si>
  <si>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</si>
  <si>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</si>
  <si>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</si>
  <si>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</si>
  <si>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</si>
  <si>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</si>
  <si>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</si>
  <si>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</si>
  <si>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</si>
  <si>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</si>
  <si>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</si>
  <si>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</si>
  <si>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</si>
  <si>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</si>
  <si>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</si>
  <si>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</si>
  <si>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</si>
  <si>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</si>
  <si>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</si>
  <si>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</si>
  <si>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</si>
  <si>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</si>
  <si>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</si>
  <si>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</si>
  <si>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</si>
  <si>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</si>
  <si>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</si>
  <si>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</si>
  <si>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</si>
  <si>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</si>
  <si>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</si>
  <si>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</si>
  <si>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</si>
  <si>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</si>
  <si>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</si>
  <si>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</si>
  <si>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</si>
  <si>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</si>
  <si>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</si>
  <si>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</si>
  <si>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</si>
  <si>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</si>
  <si>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</si>
  <si>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</si>
  <si>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</si>
  <si>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</si>
  <si>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</si>
  <si>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</si>
  <si>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</si>
  <si>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</si>
  <si>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</si>
  <si>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</si>
  <si>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</si>
  <si>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</si>
  <si>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</si>
  <si>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</si>
  <si>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</si>
  <si>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</si>
  <si>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</si>
  <si>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</si>
  <si>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</si>
  <si>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</si>
  <si>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</si>
  <si>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</si>
  <si>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</si>
  <si>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</si>
  <si>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</si>
  <si>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</si>
  <si>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</si>
  <si>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</si>
  <si>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</si>
  <si>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</si>
  <si>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</si>
  <si>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</si>
  <si>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</si>
  <si>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</si>
  <si>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</si>
  <si>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</si>
  <si>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</si>
  <si>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</si>
  <si>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</si>
  <si>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</si>
  <si>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</si>
  <si>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</si>
  <si>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</si>
  <si>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</si>
  <si>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</si>
  <si>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</si>
  <si>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</si>
  <si>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</si>
  <si>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</si>
  <si>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</si>
  <si>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</si>
  <si>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</si>
  <si>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</si>
  <si>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</si>
  <si>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</si>
  <si>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</si>
  <si>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</si>
  <si>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</si>
  <si>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</si>
  <si>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</si>
  <si>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</si>
  <si>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</si>
  <si>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</si>
  <si>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</si>
  <si>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</si>
  <si>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</si>
  <si>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</si>
  <si>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</si>
  <si>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</si>
  <si>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</si>
  <si>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</si>
  <si>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</si>
  <si>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</si>
  <si>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</si>
  <si>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</si>
  <si>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</si>
  <si>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</si>
  <si>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</si>
  <si>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</si>
  <si>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</si>
  <si>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</si>
  <si>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</si>
  <si>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</si>
  <si>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</si>
  <si>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</si>
  <si>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</si>
  <si>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</si>
  <si>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</si>
  <si>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</si>
  <si>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</si>
  <si>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</si>
  <si>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</si>
  <si>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</si>
  <si>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</si>
  <si>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</si>
  <si>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</si>
  <si>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</si>
  <si>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</si>
  <si>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</si>
  <si>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</si>
  <si>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</si>
  <si>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</si>
  <si>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</si>
  <si>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</si>
  <si>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</si>
  <si>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</si>
  <si>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</si>
  <si>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</si>
  <si>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</si>
  <si>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</si>
  <si>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</si>
  <si>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</si>
  <si>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</si>
  <si>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</si>
  <si>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</si>
  <si>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</si>
  <si>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</si>
  <si>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</si>
  <si>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</si>
  <si>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</si>
  <si>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</si>
  <si>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</si>
  <si>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</si>
  <si>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</si>
  <si>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</si>
  <si>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</si>
  <si>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</si>
  <si>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</si>
  <si>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</si>
  <si>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</si>
  <si>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</si>
  <si>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</si>
  <si>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</si>
  <si>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</si>
  <si>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</si>
  <si>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</si>
  <si>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</si>
  <si>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</si>
  <si>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</si>
  <si>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</si>
  <si>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</si>
  <si>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</si>
  <si>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</si>
  <si>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</si>
  <si>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</si>
  <si>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</si>
  <si>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</si>
  <si>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</si>
  <si>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</si>
  <si>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</si>
  <si>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</si>
  <si>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</si>
  <si>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</si>
  <si>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</si>
  <si>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</si>
  <si>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</si>
  <si>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</si>
  <si>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</si>
  <si>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</si>
  <si>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</si>
  <si>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</si>
  <si>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</si>
  <si>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</si>
  <si>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</si>
  <si>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</si>
  <si>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</si>
  <si>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</si>
  <si>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</si>
  <si>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</si>
  <si>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</si>
  <si>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</si>
  <si>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</si>
  <si>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</si>
  <si>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</si>
  <si>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</si>
  <si>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</si>
  <si>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</si>
  <si>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</si>
  <si>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</si>
  <si>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</si>
  <si>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</si>
  <si>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</si>
  <si>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</si>
  <si>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</si>
  <si>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</si>
  <si>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</si>
  <si>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</si>
  <si>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</si>
  <si>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</si>
  <si>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</si>
  <si>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</si>
  <si>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</si>
  <si>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</si>
  <si>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</si>
  <si>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</si>
  <si>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</si>
  <si>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</si>
  <si>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</si>
  <si>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</si>
  <si>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</si>
  <si>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</si>
  <si>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</si>
  <si>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</si>
  <si>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</si>
  <si>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</si>
  <si>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</si>
  <si>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</si>
  <si>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</si>
  <si>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</si>
  <si>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</si>
  <si>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</si>
  <si>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</si>
  <si>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</si>
  <si>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</si>
  <si>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</si>
  <si>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</si>
  <si>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</si>
  <si>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</si>
  <si>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</si>
  <si>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</si>
  <si>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</si>
  <si>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</si>
  <si>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</si>
  <si>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</si>
  <si>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</si>
  <si>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</si>
  <si>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</si>
  <si>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</si>
  <si>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</si>
  <si>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</si>
  <si>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</si>
  <si>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</si>
  <si>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</si>
  <si>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</si>
  <si>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</si>
  <si>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</si>
  <si>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</si>
  <si>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</si>
  <si>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</si>
  <si>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</si>
  <si>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</si>
  <si>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</si>
  <si>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</si>
  <si>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</si>
  <si>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</si>
  <si>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</si>
  <si>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</si>
  <si>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</si>
  <si>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</si>
  <si>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</si>
  <si>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</si>
  <si>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</si>
  <si>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</si>
  <si>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</si>
  <si>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</si>
  <si>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</si>
  <si>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</si>
  <si>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</si>
  <si>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</si>
  <si>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</si>
  <si>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</si>
  <si>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</si>
  <si>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</si>
  <si>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</si>
  <si>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</si>
  <si>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</si>
  <si>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</si>
  <si>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</si>
  <si>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</si>
  <si>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</si>
  <si>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</si>
  <si>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</si>
  <si>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</si>
  <si>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</si>
  <si>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</si>
  <si>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</si>
  <si>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</si>
  <si>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</si>
  <si>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</si>
  <si>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</si>
  <si>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</si>
  <si>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</si>
  <si>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</si>
  <si>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</si>
  <si>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</si>
  <si>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</si>
  <si>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</si>
  <si>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</si>
  <si>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</si>
  <si>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</si>
  <si>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</si>
  <si>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</si>
  <si>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</si>
  <si>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</si>
  <si>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</si>
  <si>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</si>
  <si>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</si>
  <si>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</si>
  <si>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</si>
  <si>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</si>
  <si>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</si>
  <si>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</si>
  <si>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</si>
  <si>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</si>
  <si>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</si>
  <si>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</si>
  <si>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</si>
  <si>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</si>
  <si>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</si>
  <si>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</si>
  <si>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</si>
  <si>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</si>
  <si>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</si>
  <si>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</si>
  <si>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</si>
  <si>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</si>
  <si>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</si>
  <si>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</si>
  <si>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</si>
  <si>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</si>
  <si>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</si>
  <si>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</si>
  <si>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</si>
  <si>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</si>
  <si>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</si>
  <si>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</si>
  <si>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</si>
  <si>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</si>
  <si>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</si>
  <si>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</si>
  <si>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</si>
  <si>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</si>
  <si>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</si>
  <si>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</si>
  <si>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</si>
  <si>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</si>
  <si>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</si>
  <si>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</si>
  <si>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</si>
  <si>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</si>
  <si>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</si>
  <si>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</si>
  <si>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</si>
  <si>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</si>
  <si>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</si>
  <si>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</si>
  <si>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</si>
  <si>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</si>
  <si>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</si>
  <si>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</si>
  <si>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</si>
  <si>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</si>
  <si>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</si>
  <si>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</si>
  <si>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</si>
  <si>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</si>
  <si>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</si>
  <si>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</si>
  <si>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</si>
  <si>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</si>
  <si>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</si>
  <si>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</si>
  <si>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</si>
  <si>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</si>
  <si>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</si>
  <si>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</si>
  <si>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</si>
  <si>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</si>
  <si>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</si>
  <si>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</si>
  <si>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</si>
  <si>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</si>
  <si>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</si>
  <si>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</si>
  <si>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</si>
  <si>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</si>
  <si>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</si>
  <si>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</si>
  <si>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</si>
  <si>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</si>
  <si>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</si>
  <si>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</si>
  <si>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</si>
  <si>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</si>
  <si>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</si>
  <si>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</si>
  <si>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</si>
  <si>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</si>
  <si>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</si>
  <si>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</si>
  <si>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</si>
  <si>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</si>
  <si>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</si>
  <si>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</si>
  <si>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</si>
  <si>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</si>
  <si>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</si>
  <si>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</si>
  <si>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</si>
  <si>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</si>
  <si>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</si>
  <si>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</si>
  <si>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</si>
  <si>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</si>
  <si>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</si>
  <si>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</si>
  <si>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</si>
  <si>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</si>
  <si>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</si>
  <si>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</si>
  <si>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</si>
  <si>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</si>
  <si>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</si>
  <si>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</si>
  <si>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</si>
  <si>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</si>
  <si>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</si>
  <si>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</si>
  <si>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</si>
  <si>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</si>
  <si>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</si>
  <si>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</si>
  <si>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</si>
  <si>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</si>
  <si>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</si>
  <si>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</si>
  <si>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</si>
  <si>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</si>
  <si>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</si>
  <si>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</si>
  <si>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</si>
  <si>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</si>
  <si>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</si>
  <si>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</si>
  <si>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</si>
  <si>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</si>
  <si>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</si>
  <si>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</si>
  <si>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</si>
  <si>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</si>
  <si>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</si>
  <si>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</si>
  <si>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</si>
  <si>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</si>
  <si>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</si>
  <si>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</si>
  <si>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</si>
  <si>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</si>
  <si>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</si>
  <si>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</si>
  <si>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</si>
  <si>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</si>
  <si>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</si>
  <si>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</si>
  <si>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</si>
  <si>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</si>
  <si>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</si>
  <si>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</si>
  <si>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</si>
  <si>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</si>
  <si>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</si>
  <si>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</si>
  <si>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</si>
  <si>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</si>
  <si>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</si>
  <si>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</si>
  <si>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</si>
  <si>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</si>
  <si>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</si>
  <si>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</si>
  <si>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</si>
  <si>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</si>
  <si>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</si>
  <si>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</si>
  <si>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</si>
  <si>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</si>
  <si>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</si>
  <si>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</si>
  <si>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</si>
  <si>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</si>
  <si>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</si>
  <si>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</si>
  <si>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</si>
  <si>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</si>
  <si>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</si>
  <si>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</si>
  <si>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</si>
  <si>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</si>
  <si>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</si>
  <si>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</si>
  <si>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</si>
  <si>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</si>
  <si>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</si>
  <si>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</si>
  <si>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</si>
  <si>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</si>
  <si>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</si>
  <si>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</si>
  <si>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</si>
  <si>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</si>
  <si>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</si>
  <si>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</si>
  <si>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</si>
  <si>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</si>
  <si>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</si>
  <si>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</si>
  <si>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</si>
  <si>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</si>
  <si>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</si>
  <si>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</si>
  <si>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</si>
  <si>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</si>
  <si>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</si>
  <si>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</si>
  <si>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</si>
  <si>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</si>
  <si>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</si>
  <si>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</si>
  <si>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</si>
  <si>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</si>
  <si>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</si>
  <si>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</si>
  <si>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</si>
  <si>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</si>
  <si>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</si>
  <si>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</si>
  <si>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</si>
  <si>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</si>
  <si>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</si>
  <si>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</si>
  <si>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</si>
  <si>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</si>
  <si>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</si>
  <si>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</si>
  <si>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</si>
  <si>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</si>
  <si>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</si>
  <si>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</si>
  <si>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</si>
  <si>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</si>
  <si>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</si>
  <si>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</si>
  <si>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</si>
  <si>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</si>
  <si>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</si>
  <si>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</si>
  <si>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</si>
  <si>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</si>
  <si>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</si>
  <si>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</si>
  <si>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</si>
  <si>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</si>
  <si>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</si>
  <si>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</si>
  <si>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</si>
  <si>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</si>
  <si>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</si>
  <si>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</si>
  <si>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</si>
  <si>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</si>
  <si>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</si>
  <si>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</si>
  <si>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</si>
  <si>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</si>
  <si>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</si>
  <si>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</si>
  <si>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</si>
  <si>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</si>
  <si>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</si>
  <si>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</si>
  <si>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</si>
  <si>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</si>
  <si>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</si>
  <si>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</si>
  <si>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</si>
  <si>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</si>
  <si>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</si>
  <si>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</si>
  <si>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</si>
  <si>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</si>
  <si>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</si>
  <si>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</si>
  <si>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</si>
  <si>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</si>
  <si>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</si>
  <si>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</si>
  <si>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</si>
  <si>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</si>
  <si>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</si>
  <si>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</si>
  <si>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</si>
  <si>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</si>
  <si>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</si>
  <si>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</si>
  <si>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</si>
  <si>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</si>
  <si>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</si>
  <si>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</si>
  <si>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</si>
  <si>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</si>
  <si>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</si>
  <si>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</si>
  <si>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</si>
  <si>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</si>
  <si>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</si>
  <si>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</si>
  <si>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</si>
  <si>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</si>
  <si>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</si>
  <si>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</si>
  <si>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</si>
  <si>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</si>
  <si>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</si>
  <si>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</si>
  <si>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</si>
  <si>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</si>
  <si>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</si>
  <si>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</si>
  <si>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</si>
  <si>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</si>
  <si>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</si>
  <si>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</si>
  <si>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</si>
  <si>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</si>
  <si>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</si>
  <si>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</si>
  <si>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</si>
  <si>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</si>
  <si>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</si>
  <si>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</si>
  <si>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</si>
  <si>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</si>
  <si>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</si>
  <si>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</si>
  <si>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</si>
  <si>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</si>
  <si>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</si>
  <si>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</si>
  <si>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</si>
  <si>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</si>
  <si>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</si>
  <si>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</si>
  <si>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</si>
  <si>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</si>
  <si>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</si>
  <si>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</si>
  <si>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</si>
  <si>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</si>
  <si>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</si>
  <si>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</si>
  <si>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</si>
  <si>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</si>
  <si>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</si>
  <si>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</si>
  <si>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</si>
  <si>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</si>
  <si>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</si>
  <si>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</si>
  <si>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</si>
  <si>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</si>
  <si>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</si>
  <si>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</si>
  <si>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</si>
  <si>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</si>
  <si>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</si>
  <si>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</si>
  <si>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</si>
  <si>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</si>
  <si>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</si>
  <si>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</si>
  <si>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</si>
  <si>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</si>
  <si>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</si>
  <si>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</si>
  <si>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</si>
  <si>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</si>
  <si>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</si>
  <si>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</si>
  <si>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</si>
  <si>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</si>
  <si>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</si>
  <si>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</si>
  <si>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</si>
  <si>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</si>
  <si>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</si>
  <si>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</si>
  <si>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</si>
  <si>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</si>
  <si>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</si>
  <si>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</si>
  <si>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</si>
  <si>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</si>
  <si>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</si>
  <si>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</si>
  <si>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</si>
  <si>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</si>
  <si>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</si>
  <si>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</si>
  <si>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</si>
  <si>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</si>
  <si>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</si>
  <si>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</si>
  <si>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</si>
  <si>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</si>
  <si>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</si>
  <si>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</si>
  <si>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</si>
  <si>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</si>
  <si>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</si>
  <si>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</si>
  <si>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</si>
  <si>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</si>
  <si>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</si>
  <si>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</si>
  <si>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</si>
  <si>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</si>
  <si>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</si>
  <si>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</si>
  <si>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</si>
  <si>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</si>
  <si>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</si>
  <si>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</si>
  <si>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</si>
  <si>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</si>
  <si>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</si>
  <si>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</si>
  <si>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</si>
  <si>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</si>
  <si>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</si>
  <si>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</si>
  <si>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</si>
  <si>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</si>
  <si>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</si>
  <si>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</si>
  <si>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</si>
  <si>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</si>
  <si>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</si>
  <si>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</si>
  <si>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</si>
  <si>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</si>
  <si>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</si>
  <si>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</si>
  <si>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</si>
  <si>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</si>
  <si>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</si>
  <si>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</si>
  <si>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</si>
  <si>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</si>
  <si>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</si>
  <si>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</si>
  <si>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</si>
  <si>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</si>
  <si>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</si>
  <si>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</si>
  <si>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</si>
  <si>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</si>
  <si>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</si>
  <si>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</si>
  <si>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</si>
  <si>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</si>
  <si>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</si>
  <si>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</si>
  <si>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</si>
  <si>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</si>
  <si>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</si>
  <si>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</si>
  <si>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</si>
  <si>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</si>
  <si>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</si>
  <si>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</si>
  <si>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</si>
  <si>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</si>
  <si>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</si>
  <si>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</si>
  <si>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</si>
  <si>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</si>
  <si>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</si>
  <si>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</si>
  <si>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</si>
  <si>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</si>
  <si>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</si>
  <si>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</si>
  <si>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</si>
  <si>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</si>
  <si>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</si>
  <si>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</si>
  <si>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</si>
  <si>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</si>
  <si>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</si>
  <si>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</si>
  <si>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</si>
  <si>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</si>
  <si>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</si>
  <si>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</si>
  <si>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</si>
  <si>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</si>
  <si>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</si>
  <si>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</si>
  <si>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</si>
  <si>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</si>
  <si>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</si>
  <si>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</si>
  <si>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</si>
  <si>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</si>
  <si>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</si>
  <si>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</si>
  <si>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</si>
  <si>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</si>
  <si>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</si>
  <si>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</si>
  <si>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</si>
  <si>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</si>
  <si>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</si>
  <si>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</si>
  <si>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</si>
  <si>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</si>
  <si>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</si>
  <si>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</si>
  <si>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</si>
  <si>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</si>
  <si>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</si>
  <si>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</si>
  <si>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</si>
  <si>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</si>
  <si>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</si>
  <si>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</si>
  <si>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</si>
  <si>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</si>
  <si>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</si>
  <si>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</si>
  <si>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</si>
  <si>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</si>
  <si>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</si>
  <si>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</si>
  <si>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</si>
  <si>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</si>
  <si>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</si>
  <si>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</si>
  <si>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</si>
  <si>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</si>
  <si>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</si>
  <si>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</si>
  <si>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</si>
  <si>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</si>
  <si>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</si>
  <si>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</si>
  <si>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</si>
  <si>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</si>
  <si>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</si>
  <si>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</si>
  <si>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</si>
  <si>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</si>
  <si>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</si>
  <si>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</si>
  <si>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</si>
  <si>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</si>
  <si>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</si>
  <si>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</si>
  <si>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</si>
  <si>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</si>
  <si>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</si>
  <si>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</si>
  <si>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</si>
  <si>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</si>
  <si>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</si>
  <si>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</si>
  <si>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</si>
  <si>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</si>
  <si>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</si>
  <si>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</si>
  <si>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</si>
  <si>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</si>
  <si>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</si>
  <si>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</si>
  <si>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</si>
  <si>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</si>
  <si>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</si>
  <si>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</si>
  <si>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</si>
  <si>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</si>
  <si>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</si>
  <si>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</si>
  <si>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</si>
  <si>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</si>
  <si>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</si>
  <si>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</si>
  <si>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</si>
  <si>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</si>
  <si>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</si>
  <si>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</si>
  <si>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</si>
  <si>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</si>
  <si>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</si>
  <si>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</si>
  <si>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</si>
  <si>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</si>
  <si>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</si>
  <si>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</si>
  <si>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</si>
  <si>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</si>
  <si>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</si>
  <si>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</si>
  <si>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</si>
  <si>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</si>
  <si>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</si>
  <si>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</si>
  <si>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</si>
  <si>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</si>
  <si>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</si>
  <si>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</si>
  <si>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</si>
  <si>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</si>
  <si>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</si>
  <si>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</si>
  <si>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</si>
  <si>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</si>
  <si>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</si>
  <si>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</si>
  <si>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</si>
  <si>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</si>
  <si>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</si>
  <si>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</si>
  <si>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</si>
  <si>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</si>
  <si>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</si>
  <si>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</si>
  <si>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</si>
  <si>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</si>
  <si>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</si>
  <si>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</si>
  <si>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</si>
  <si>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</si>
  <si>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</si>
  <si>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</si>
  <si>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</si>
  <si>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</si>
  <si>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</si>
  <si>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</si>
  <si>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</si>
  <si>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</si>
  <si>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</si>
  <si>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</si>
  <si>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</si>
  <si>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</si>
  <si>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</si>
  <si>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</si>
  <si>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</si>
  <si>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</si>
  <si>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</si>
  <si>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</si>
  <si>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</si>
  <si>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</si>
  <si>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</si>
  <si>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</si>
  <si>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</si>
  <si>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</si>
  <si>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</si>
  <si>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</si>
  <si>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</si>
  <si>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</si>
  <si>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</si>
  <si>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</si>
  <si>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</si>
  <si>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</si>
  <si>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</si>
  <si>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</si>
  <si>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</si>
  <si>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</si>
  <si>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</si>
  <si>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</si>
  <si>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</si>
  <si>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</si>
  <si>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</si>
  <si>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</si>
  <si>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</si>
  <si>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</si>
  <si>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</si>
  <si>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</si>
  <si>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</si>
  <si>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</si>
  <si>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</si>
  <si>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</si>
  <si>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</si>
  <si>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</si>
  <si>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</si>
  <si>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</si>
  <si>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</si>
  <si>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</si>
  <si>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</si>
  <si>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</si>
  <si>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</si>
  <si>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</si>
  <si>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</si>
  <si>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</si>
  <si>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</si>
  <si>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</si>
  <si>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</si>
  <si>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</si>
  <si>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</si>
  <si>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</si>
  <si>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</si>
  <si>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</si>
  <si>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</si>
  <si>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</si>
  <si>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</si>
  <si>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</si>
  <si>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</si>
  <si>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</si>
  <si>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</si>
  <si>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</si>
  <si>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</si>
  <si>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</si>
  <si>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</si>
  <si>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</si>
  <si>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</si>
  <si>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</si>
  <si>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</si>
  <si>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</si>
  <si>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</si>
  <si>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</si>
  <si>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</si>
  <si>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</si>
  <si>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</si>
  <si>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</si>
  <si>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</si>
  <si>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</si>
  <si>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</si>
  <si>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</si>
  <si>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</si>
  <si>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</si>
  <si>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</si>
  <si>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</si>
  <si>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</si>
  <si>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</si>
  <si>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</si>
  <si>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</si>
  <si>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</si>
  <si>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</si>
  <si>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</si>
  <si>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</si>
  <si>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</si>
  <si>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</si>
  <si>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</si>
  <si>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</si>
  <si>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</si>
  <si>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</si>
  <si>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</si>
  <si>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</si>
  <si>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</si>
  <si>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</si>
  <si>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</si>
  <si>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</si>
  <si>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</si>
  <si>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</si>
  <si>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</si>
  <si>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</si>
  <si>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</si>
  <si>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</si>
  <si>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</si>
  <si>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</si>
  <si>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</si>
  <si>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</si>
  <si>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</si>
  <si>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</si>
  <si>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</si>
  <si>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</si>
  <si>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</si>
  <si>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</si>
  <si>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</si>
  <si>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</si>
  <si>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</si>
  <si>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</si>
  <si>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</si>
  <si>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</si>
  <si>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</si>
  <si>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</si>
  <si>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</si>
  <si>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</si>
  <si>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</si>
  <si>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</si>
  <si>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</si>
  <si>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</si>
  <si>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</si>
  <si>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</si>
  <si>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</si>
  <si>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</si>
  <si>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</si>
  <si>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</si>
  <si>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</si>
  <si>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</si>
  <si>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</si>
  <si>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</si>
  <si>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</si>
  <si>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</si>
  <si>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</si>
  <si>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</si>
  <si>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</si>
  <si>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</si>
  <si>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</si>
  <si>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</si>
  <si>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</si>
  <si>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</si>
  <si>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</si>
  <si>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</si>
  <si>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</si>
  <si>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</si>
  <si>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</si>
  <si>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</si>
  <si>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</si>
  <si>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</si>
  <si>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</si>
  <si>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</si>
  <si>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</si>
  <si>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</si>
  <si>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</si>
  <si>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</si>
  <si>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</si>
  <si>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</si>
  <si>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</si>
  <si>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</si>
  <si>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</si>
  <si>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</si>
  <si>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</si>
  <si>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</si>
  <si>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</si>
  <si>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</si>
  <si>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</si>
  <si>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</si>
  <si>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</si>
  <si>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</si>
  <si>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</si>
  <si>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</si>
  <si>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</si>
  <si>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</si>
  <si>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</si>
  <si>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</si>
  <si>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</si>
  <si>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</si>
  <si>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</si>
  <si>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</si>
  <si>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</si>
  <si>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</si>
  <si>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</si>
  <si>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</si>
  <si>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</si>
  <si>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</si>
  <si>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</si>
  <si>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</si>
  <si>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</si>
  <si>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</si>
  <si>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</si>
  <si>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</si>
  <si>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</si>
  <si>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</si>
  <si>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</si>
  <si>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</si>
  <si>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</si>
  <si>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</si>
  <si>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</si>
  <si>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</si>
  <si>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</si>
  <si>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</si>
  <si>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</si>
  <si>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</si>
  <si>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</si>
  <si>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</si>
  <si>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</si>
  <si>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</si>
  <si>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</si>
  <si>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</si>
  <si>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</si>
  <si>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</si>
  <si>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</si>
  <si>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</si>
  <si>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</si>
  <si>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</si>
  <si>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</si>
  <si>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</si>
  <si>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</si>
  <si>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</si>
  <si>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</si>
  <si>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</si>
  <si>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</si>
  <si>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</si>
  <si>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</si>
  <si>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</si>
  <si>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</si>
  <si>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</si>
  <si>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</si>
  <si>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</si>
  <si>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</si>
  <si>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</si>
  <si>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</si>
  <si>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</si>
  <si>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</si>
  <si>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</si>
  <si>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</si>
  <si>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</si>
  <si>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</si>
  <si>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</si>
  <si>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</si>
  <si>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</si>
  <si>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</si>
  <si>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</si>
  <si>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</si>
  <si>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</si>
  <si>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</si>
  <si>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</si>
  <si>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</si>
  <si>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</si>
  <si>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</si>
  <si>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</si>
  <si>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</si>
  <si>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</si>
  <si>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</si>
  <si>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</si>
  <si>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</si>
  <si>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</si>
  <si>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</si>
  <si>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</si>
  <si>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</si>
  <si>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</si>
  <si>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</si>
  <si>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</si>
  <si>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</si>
  <si>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</si>
  <si>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</si>
  <si>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</si>
  <si>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</si>
  <si>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</si>
  <si>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</si>
  <si>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</si>
  <si>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</si>
  <si>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</si>
  <si>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</si>
  <si>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</si>
  <si>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</si>
  <si>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</si>
  <si>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</si>
  <si>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</si>
  <si>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</si>
  <si>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</si>
  <si>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</si>
  <si>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</si>
  <si>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</si>
  <si>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</si>
  <si>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</si>
  <si>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</si>
  <si>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</si>
  <si>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</si>
  <si>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</si>
  <si>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</si>
  <si>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</si>
  <si>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</si>
  <si>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</si>
  <si>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</si>
  <si>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</si>
  <si>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</si>
  <si>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</si>
  <si>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</si>
  <si>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</si>
  <si>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</si>
  <si>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</si>
  <si>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</si>
  <si>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</si>
  <si>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</si>
  <si>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</si>
  <si>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</si>
  <si>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</si>
  <si>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</si>
  <si>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</si>
  <si>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</si>
  <si>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</si>
  <si>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</si>
  <si>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</si>
  <si>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</si>
  <si>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</si>
  <si>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</si>
  <si>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</si>
  <si>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</si>
  <si>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</si>
  <si>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</si>
  <si>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</si>
  <si>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</si>
  <si>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</si>
  <si>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</si>
  <si>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</si>
  <si>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</si>
  <si>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</si>
  <si>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</si>
  <si>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</si>
  <si>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</si>
  <si>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</si>
  <si>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</si>
  <si>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</si>
  <si>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</si>
  <si>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</si>
  <si>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</si>
  <si>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</si>
  <si>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</si>
  <si>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</si>
  <si>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</si>
  <si>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</si>
  <si>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</si>
  <si>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</si>
  <si>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</si>
  <si>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</si>
  <si>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</si>
  <si>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</si>
  <si>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</si>
  <si>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</si>
  <si>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</si>
  <si>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</si>
  <si>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</si>
  <si>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</si>
  <si>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</si>
  <si>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</si>
  <si>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</si>
  <si>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</si>
  <si>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</si>
  <si>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</si>
  <si>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</si>
  <si>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</si>
  <si>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</si>
  <si>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</si>
  <si>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</si>
  <si>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</si>
  <si>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</si>
  <si>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</si>
  <si>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</si>
  <si>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</si>
  <si>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</si>
  <si>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</si>
  <si>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</si>
  <si>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</si>
  <si>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</si>
  <si>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</si>
  <si>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</si>
  <si>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</si>
  <si>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</si>
  <si>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</si>
  <si>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</si>
  <si>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</si>
  <si>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</si>
  <si>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</si>
  <si>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</si>
  <si>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</si>
  <si>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</si>
  <si>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</si>
  <si>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</si>
  <si>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</si>
  <si>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</si>
  <si>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</si>
  <si>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</si>
  <si>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</si>
  <si>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</si>
  <si>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</si>
  <si>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</si>
  <si>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</si>
  <si>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</si>
  <si>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</si>
  <si>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</si>
  <si>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</si>
  <si>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</si>
  <si>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</si>
  <si>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</si>
  <si>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</si>
  <si>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</si>
  <si>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</si>
  <si>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</si>
  <si>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</si>
  <si>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</si>
  <si>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</si>
  <si>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</si>
  <si>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</si>
  <si>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</si>
  <si>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</si>
  <si>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</si>
  <si>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</si>
  <si>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</si>
  <si>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</si>
  <si>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</si>
  <si>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</si>
  <si>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</si>
  <si>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</si>
  <si>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</si>
  <si>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</si>
  <si>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</si>
  <si>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</si>
  <si>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</si>
  <si>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</si>
  <si>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</si>
  <si>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</si>
  <si>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</si>
  <si>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</si>
  <si>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</si>
  <si>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</si>
  <si>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</si>
  <si>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</si>
  <si>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</si>
  <si>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</si>
  <si>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</si>
  <si>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</si>
  <si>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</si>
  <si>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</si>
  <si>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</si>
  <si>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</si>
  <si>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</si>
  <si>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</si>
  <si>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</si>
  <si>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</si>
  <si>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</si>
  <si>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</si>
  <si>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</si>
  <si>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</si>
  <si>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</si>
  <si>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</si>
  <si>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</si>
  <si>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</si>
  <si>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</si>
  <si>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</si>
  <si>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</si>
  <si>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</si>
  <si>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</si>
  <si>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</si>
  <si>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</si>
  <si>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</si>
  <si>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</si>
  <si>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</si>
  <si>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</si>
  <si>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</si>
  <si>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</si>
  <si>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</si>
  <si>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</si>
  <si>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</si>
  <si>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</si>
  <si>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</si>
  <si>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</si>
  <si>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</si>
  <si>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</si>
  <si>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</si>
  <si>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</si>
  <si>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</si>
  <si>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</si>
  <si>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</si>
  <si>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</si>
  <si>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</si>
  <si>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</si>
  <si>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</si>
  <si>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</si>
  <si>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</si>
  <si>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</si>
  <si>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</si>
  <si>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</si>
  <si>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</si>
  <si>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</si>
  <si>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</si>
  <si>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</si>
  <si>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</si>
  <si>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</si>
  <si>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</si>
  <si>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</si>
  <si>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</si>
  <si>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</si>
  <si>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</si>
  <si>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</si>
  <si>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</si>
  <si>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</si>
  <si>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</si>
  <si>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</si>
  <si>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</si>
  <si>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</si>
  <si>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</si>
  <si>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</si>
  <si>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</si>
  <si>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</si>
  <si>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</si>
  <si>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</si>
  <si>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</si>
  <si>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</si>
  <si>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</si>
  <si>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</si>
  <si>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</si>
  <si>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</si>
  <si>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</si>
  <si>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</si>
  <si>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</si>
  <si>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</si>
  <si>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</si>
  <si>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</si>
  <si>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</si>
  <si>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</si>
  <si>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</si>
  <si>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</si>
  <si>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</si>
  <si>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</si>
  <si>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</si>
  <si>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</si>
  <si>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</si>
  <si>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</si>
  <si>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</si>
  <si>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</si>
  <si>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</si>
  <si>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</si>
  <si>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</si>
  <si>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</si>
  <si>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</si>
  <si>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</si>
  <si>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</si>
  <si>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</si>
  <si>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</si>
  <si>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</si>
  <si>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</si>
  <si>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</si>
  <si>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</si>
  <si>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</si>
  <si>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</si>
  <si>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</si>
  <si>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</si>
  <si>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</si>
  <si>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</si>
  <si>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</si>
  <si>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</si>
  <si>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</si>
  <si>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</si>
  <si>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</si>
  <si>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</si>
  <si>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</si>
  <si>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</si>
  <si>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</si>
  <si>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</si>
  <si>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</si>
  <si>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</si>
  <si>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</si>
  <si>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</si>
  <si>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</si>
  <si>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</si>
  <si>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</si>
  <si>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</si>
  <si>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</si>
  <si>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</si>
  <si>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</si>
  <si>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</si>
  <si>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</si>
  <si>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</si>
  <si>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</si>
  <si>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</si>
  <si>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</si>
  <si>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</si>
  <si>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</si>
  <si>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</si>
  <si>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</si>
  <si>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</si>
  <si>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</si>
  <si>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</si>
  <si>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</si>
  <si>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</si>
  <si>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</si>
  <si>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</si>
  <si>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</si>
  <si>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</si>
  <si>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</si>
  <si>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</si>
  <si>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</si>
  <si>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</si>
  <si>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</si>
  <si>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</si>
  <si>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</si>
  <si>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</si>
  <si>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</si>
  <si>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</si>
  <si>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</si>
  <si>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</si>
  <si>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</si>
  <si>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</si>
  <si>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</si>
  <si>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</si>
  <si>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</si>
  <si>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</si>
  <si>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</si>
  <si>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</si>
  <si>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</si>
  <si>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</si>
  <si>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</si>
  <si>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</si>
  <si>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</si>
  <si>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</si>
  <si>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</si>
  <si>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</si>
  <si>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</si>
  <si>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</si>
  <si>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</si>
  <si>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</si>
  <si>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</si>
  <si>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</si>
  <si>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</si>
  <si>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</si>
  <si>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</si>
  <si>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</si>
  <si>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</si>
  <si>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</si>
  <si>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</si>
  <si>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</si>
  <si>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</si>
  <si>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</si>
  <si>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</si>
  <si>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</si>
  <si>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</si>
  <si>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</si>
  <si>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</si>
  <si>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</si>
  <si>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</si>
  <si>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</si>
  <si>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</si>
  <si>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</si>
  <si>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</si>
  <si>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</si>
  <si>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</si>
  <si>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</si>
  <si>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</si>
  <si>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</si>
  <si>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</si>
  <si>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</si>
  <si>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</si>
  <si>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</si>
  <si>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</si>
  <si>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</si>
  <si>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</si>
  <si>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</si>
  <si>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</si>
  <si>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</si>
  <si>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</si>
  <si>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</si>
  <si>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</si>
  <si>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</si>
  <si>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</si>
  <si>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</si>
  <si>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</si>
  <si>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</si>
  <si>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</si>
  <si>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</si>
  <si>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</si>
  <si>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</si>
  <si>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</si>
  <si>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</si>
  <si>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</si>
  <si>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</si>
  <si>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</si>
  <si>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</si>
  <si>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</si>
  <si>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</si>
  <si>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</si>
  <si>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</si>
  <si>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</si>
  <si>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</si>
  <si>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</si>
  <si>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</si>
  <si>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</si>
  <si>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</si>
  <si>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</si>
  <si>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</si>
  <si>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</si>
  <si>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</si>
  <si>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</si>
  <si>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</si>
  <si>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</si>
  <si>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</si>
  <si>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</si>
  <si>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</si>
  <si>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</si>
  <si>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</si>
  <si>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</si>
  <si>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</si>
  <si>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</si>
  <si>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</si>
  <si>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</si>
  <si>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</si>
  <si>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</si>
  <si>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</si>
  <si>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</si>
  <si>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</si>
  <si>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</si>
  <si>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</si>
  <si>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</si>
  <si>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</si>
  <si>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</si>
  <si>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</si>
  <si>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</si>
  <si>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</si>
  <si>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</si>
  <si>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</si>
  <si>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</si>
  <si>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</si>
  <si>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</si>
  <si>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</si>
  <si>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</si>
  <si>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</si>
  <si>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</si>
  <si>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</si>
  <si>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</si>
  <si>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</si>
  <si>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</si>
  <si>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</si>
  <si>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</si>
  <si>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</si>
  <si>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</si>
  <si>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</si>
  <si>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</si>
  <si>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</si>
  <si>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</si>
  <si>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</si>
  <si>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</si>
  <si>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</si>
  <si>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</si>
  <si>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</si>
  <si>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</si>
  <si>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</si>
  <si>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</si>
  <si>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</si>
  <si>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</si>
  <si>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</si>
  <si>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</si>
  <si>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</si>
  <si>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</si>
  <si>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</si>
  <si>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</si>
  <si>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</si>
  <si>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</si>
  <si>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</si>
  <si>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</si>
  <si>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</si>
  <si>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</si>
  <si>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</si>
  <si>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</si>
  <si>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</si>
  <si>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</si>
  <si>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</si>
  <si>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</si>
  <si>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</si>
  <si>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</si>
  <si>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</si>
  <si>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</si>
  <si>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</si>
  <si>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</si>
  <si>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</si>
  <si>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</si>
  <si>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</si>
  <si>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</si>
  <si>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</si>
  <si>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</si>
  <si>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</si>
  <si>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</si>
  <si>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</si>
  <si>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</si>
  <si>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</si>
  <si>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</si>
  <si>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</si>
  <si>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</si>
  <si>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</si>
  <si>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</si>
  <si>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</si>
  <si>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</si>
  <si>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</si>
  <si>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</si>
  <si>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</si>
  <si>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</si>
  <si>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</si>
  <si>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</si>
  <si>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</si>
  <si>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</si>
  <si>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</si>
  <si>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</si>
  <si>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</si>
  <si>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</si>
  <si>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</si>
  <si>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</si>
  <si>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</si>
  <si>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</si>
  <si>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</si>
  <si>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</si>
  <si>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</si>
  <si>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</si>
  <si>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</si>
  <si>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</si>
  <si>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</si>
  <si>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</si>
  <si>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</si>
  <si>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</si>
  <si>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</si>
  <si>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</si>
  <si>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</si>
  <si>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</si>
  <si>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</si>
  <si>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</si>
  <si>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</si>
  <si>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</si>
  <si>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</si>
  <si>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</si>
  <si>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</si>
  <si>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</si>
  <si>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</si>
  <si>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</si>
  <si>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</si>
  <si>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</si>
  <si>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</si>
  <si>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</si>
  <si>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</si>
  <si>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</si>
  <si>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</si>
  <si>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</si>
  <si>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</si>
  <si>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</si>
  <si>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</si>
  <si>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</si>
  <si>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</si>
  <si>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</si>
  <si>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</si>
  <si>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</si>
  <si>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</si>
  <si>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</si>
  <si>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</si>
  <si>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</si>
  <si>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</si>
  <si>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</si>
  <si>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</si>
  <si>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</si>
  <si>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</si>
  <si>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</si>
  <si>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</si>
  <si>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</si>
  <si>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</si>
  <si>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</si>
  <si>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</si>
  <si>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</si>
  <si>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</si>
  <si>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</si>
  <si>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</si>
  <si>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</si>
  <si>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</si>
  <si>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</si>
  <si>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</si>
  <si>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</si>
  <si>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</si>
  <si>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</si>
  <si>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</si>
  <si>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</si>
  <si>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</si>
  <si>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</si>
  <si>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</si>
  <si>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</si>
  <si>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</si>
  <si>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</si>
  <si>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</si>
  <si>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</si>
  <si>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</si>
  <si>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</si>
  <si>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</si>
  <si>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</si>
  <si>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</si>
  <si>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</si>
  <si>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</si>
  <si>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</si>
  <si>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</si>
  <si>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</si>
  <si>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</si>
  <si>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</si>
  <si>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</si>
  <si>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</si>
  <si>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</si>
  <si>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</si>
  <si>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</si>
  <si>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</si>
  <si>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</si>
  <si>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</si>
  <si>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</si>
  <si>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</si>
  <si>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</si>
  <si>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</si>
  <si>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</si>
  <si>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</si>
  <si>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</si>
  <si>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</si>
  <si>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</si>
  <si>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</si>
  <si>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</si>
  <si>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</si>
  <si>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</si>
  <si>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</si>
  <si>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</si>
  <si>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</si>
  <si>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</si>
  <si>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</si>
  <si>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</si>
  <si>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</si>
  <si>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</si>
  <si>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</si>
  <si>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</si>
  <si>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</si>
  <si>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</si>
  <si>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</si>
  <si>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</si>
  <si>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</si>
  <si>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</si>
  <si>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</si>
  <si>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</si>
  <si>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</si>
  <si>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</si>
  <si>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</si>
  <si>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</si>
  <si>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</si>
  <si>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</si>
  <si>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</si>
  <si>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</si>
  <si>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</si>
  <si>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</si>
  <si>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</si>
  <si>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</si>
  <si>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</si>
  <si>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</si>
  <si>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</si>
  <si>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</si>
  <si>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</si>
  <si>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</si>
  <si>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</si>
  <si>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</si>
  <si>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</si>
  <si>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</si>
  <si>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</si>
  <si>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</si>
  <si>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</si>
  <si>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</si>
  <si>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</si>
  <si>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</si>
  <si>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</si>
  <si>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</si>
  <si>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</si>
  <si>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</si>
  <si>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</si>
  <si>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</si>
  <si>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</si>
  <si>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</si>
  <si>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</si>
  <si>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</si>
  <si>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</si>
  <si>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</si>
  <si>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</si>
  <si>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</si>
  <si>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</si>
  <si>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</si>
  <si>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</si>
  <si>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</si>
  <si>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</si>
  <si>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</si>
  <si>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</si>
  <si>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</si>
  <si>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</si>
  <si>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</si>
  <si>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</si>
  <si>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</si>
  <si>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</si>
  <si>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</si>
  <si>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</si>
  <si>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</si>
  <si>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</si>
  <si>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</si>
  <si>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</si>
  <si>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</si>
  <si>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</si>
  <si>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</si>
  <si>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</si>
  <si>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</si>
  <si>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</si>
  <si>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</si>
  <si>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</si>
  <si>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</si>
  <si>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</si>
  <si>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</si>
  <si>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</si>
  <si>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</si>
  <si>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</si>
  <si>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</si>
  <si>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</si>
  <si>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</si>
  <si>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</si>
  <si>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</si>
  <si>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</si>
  <si>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</si>
  <si>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</si>
  <si>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</si>
  <si>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</si>
  <si>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</si>
  <si>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</si>
  <si>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</si>
  <si>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</si>
  <si>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</si>
  <si>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</si>
  <si>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</si>
  <si>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</si>
  <si>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</si>
  <si>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</si>
  <si>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</si>
  <si>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</si>
  <si>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</si>
  <si>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</si>
  <si>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</si>
  <si>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</si>
  <si>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</si>
  <si>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</si>
  <si>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</si>
  <si>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</si>
  <si>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</si>
  <si>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</si>
  <si>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</si>
  <si>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</si>
  <si>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</si>
  <si>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</si>
  <si>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</si>
  <si>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</si>
  <si>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</si>
  <si>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</si>
  <si>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</si>
  <si>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</si>
  <si>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</si>
  <si>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</si>
  <si>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</si>
  <si>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</si>
  <si>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</si>
  <si>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</si>
  <si>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</si>
  <si>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</si>
  <si>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</si>
  <si>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</si>
  <si>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</si>
  <si>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</si>
  <si>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</si>
  <si>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</si>
  <si>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</si>
  <si>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</si>
  <si>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</si>
  <si>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</si>
  <si>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</si>
  <si>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</si>
  <si>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</si>
  <si>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</si>
  <si>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</si>
  <si>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</si>
  <si>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</si>
  <si>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</si>
  <si>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</si>
  <si>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</si>
  <si>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</si>
  <si>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</si>
  <si>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</si>
  <si>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</si>
  <si>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</si>
  <si>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</si>
  <si>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</si>
  <si>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</si>
  <si>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</si>
  <si>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</si>
  <si>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</si>
  <si>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</si>
  <si>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</si>
  <si>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</si>
  <si>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</si>
  <si>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</si>
  <si>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</si>
  <si>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</si>
  <si>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</si>
  <si>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</si>
  <si>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</si>
  <si>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</si>
  <si>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</si>
  <si>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</si>
  <si>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</si>
  <si>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</si>
  <si>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</si>
  <si>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</si>
  <si>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</si>
  <si>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</si>
  <si>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</si>
  <si>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</si>
  <si>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</si>
  <si>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</si>
  <si>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</si>
  <si>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</si>
  <si>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</si>
  <si>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</si>
  <si>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</si>
  <si>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</si>
  <si>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</si>
  <si>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</si>
  <si>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</si>
  <si>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</si>
  <si>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</si>
  <si>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</si>
  <si>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</si>
  <si>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</si>
  <si>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</si>
  <si>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</si>
  <si>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</si>
  <si>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</si>
  <si>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</si>
  <si>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</si>
  <si>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</si>
  <si>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</si>
  <si>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</si>
  <si>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</si>
  <si>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</si>
  <si>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</si>
  <si>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</si>
  <si>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</si>
  <si>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</si>
  <si>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</si>
  <si>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</si>
  <si>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</si>
  <si>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</si>
  <si>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</si>
  <si>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</si>
  <si>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</si>
  <si>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</si>
  <si>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</si>
  <si>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</si>
  <si>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</si>
  <si>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</si>
  <si>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</si>
  <si>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</si>
  <si>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</si>
  <si>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</si>
  <si>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</si>
  <si>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</si>
  <si>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</si>
  <si>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</si>
  <si>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</si>
  <si>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</si>
  <si>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</si>
  <si>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</si>
  <si>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</si>
  <si>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</si>
  <si>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</si>
  <si>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</si>
  <si>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</si>
  <si>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</si>
  <si>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</si>
  <si>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</si>
  <si>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</si>
  <si>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</si>
  <si>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</si>
  <si>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</si>
  <si>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</si>
  <si>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</si>
  <si>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</si>
  <si>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</si>
  <si>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</si>
  <si>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</si>
  <si>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</si>
  <si>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</si>
  <si>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</si>
  <si>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</si>
  <si>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</si>
  <si>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</si>
  <si>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</si>
  <si>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</si>
  <si>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</si>
  <si>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</si>
  <si>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</si>
  <si>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</si>
  <si>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</si>
  <si>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</si>
  <si>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</si>
  <si>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</si>
  <si>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</si>
  <si>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</si>
  <si>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</si>
  <si>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</si>
  <si>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</si>
  <si>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</si>
  <si>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</si>
  <si>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</si>
  <si>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</si>
  <si>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</si>
  <si>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</si>
  <si>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</si>
  <si>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</si>
  <si>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</si>
  <si>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</si>
  <si>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</si>
  <si>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</si>
  <si>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</si>
  <si>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</si>
  <si>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</si>
  <si>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</si>
  <si>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</si>
  <si>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</si>
  <si>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</si>
  <si>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</si>
  <si>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</si>
  <si>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</si>
  <si>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</si>
  <si>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</si>
  <si>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</si>
  <si>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</si>
  <si>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</si>
  <si>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</si>
  <si>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</si>
  <si>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</si>
  <si>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</si>
  <si>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</si>
  <si>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</si>
  <si>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</si>
  <si>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</si>
  <si>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</si>
  <si>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</si>
  <si>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</si>
  <si>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</si>
  <si>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</si>
  <si>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</si>
  <si>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</si>
  <si>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</si>
  <si>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</si>
  <si>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</si>
  <si>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</si>
  <si>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</si>
  <si>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</si>
  <si>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</si>
  <si>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</si>
  <si>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</si>
  <si>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</si>
  <si>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</si>
  <si>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</si>
  <si>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</si>
  <si>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</si>
  <si>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</si>
  <si>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</si>
  <si>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</si>
  <si>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</si>
  <si>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</si>
  <si>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</si>
  <si>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</si>
  <si>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</si>
  <si>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</si>
  <si>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</si>
  <si>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</si>
  <si>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</si>
  <si>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</si>
  <si>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</si>
  <si>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</si>
  <si>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</si>
  <si>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</si>
  <si>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</si>
  <si>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</si>
  <si>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</si>
  <si>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</si>
  <si>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</si>
  <si>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</si>
  <si>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</si>
  <si>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</si>
  <si>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</si>
  <si>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</si>
  <si>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</si>
  <si>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</si>
  <si>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</si>
  <si>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</si>
  <si>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</si>
  <si>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</si>
  <si>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</si>
  <si>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</si>
  <si>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</si>
  <si>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</si>
  <si>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</si>
  <si>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</si>
  <si>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</si>
  <si>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</si>
  <si>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</si>
  <si>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</si>
  <si>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</si>
  <si>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</si>
  <si>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</si>
  <si>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</si>
  <si>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</si>
  <si>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</si>
  <si>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</si>
  <si>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</si>
  <si>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</si>
  <si>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</si>
  <si>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</si>
  <si>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</si>
  <si>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</si>
  <si>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</si>
  <si>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</si>
  <si>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</si>
  <si>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</si>
  <si>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</si>
  <si>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</si>
  <si>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</si>
  <si>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</si>
  <si>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</si>
  <si>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</si>
  <si>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</si>
  <si>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</si>
  <si>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</si>
  <si>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</si>
  <si>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</si>
  <si>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</si>
  <si>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</si>
  <si>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</si>
  <si>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</si>
  <si>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</si>
  <si>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</si>
  <si>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</si>
  <si>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</si>
  <si>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</si>
  <si>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</si>
  <si>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</si>
  <si>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</si>
  <si>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</si>
  <si>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</si>
  <si>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</si>
  <si>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</si>
  <si>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</si>
  <si>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</si>
  <si>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</si>
  <si>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</si>
  <si>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</si>
  <si>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</si>
  <si>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</si>
  <si>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</si>
  <si>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</si>
  <si>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</si>
  <si>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</si>
  <si>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</si>
  <si>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</si>
  <si>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</si>
  <si>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</si>
  <si>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</si>
  <si>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</si>
  <si>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</si>
  <si>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</si>
  <si>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</si>
  <si>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</si>
  <si>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</si>
  <si>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</si>
  <si>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</si>
  <si>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</si>
  <si>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</si>
  <si>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</si>
  <si>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</si>
  <si>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</si>
  <si>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</si>
  <si>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</si>
  <si>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</si>
  <si>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</si>
  <si>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</si>
  <si>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</si>
  <si>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</si>
  <si>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</si>
  <si>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</si>
  <si>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</si>
  <si>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</si>
  <si>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</si>
  <si>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</si>
  <si>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</si>
  <si>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</si>
  <si>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</si>
  <si>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</si>
  <si>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</si>
  <si>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</si>
  <si>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</si>
  <si>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</si>
  <si>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</si>
  <si>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</si>
  <si>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</si>
  <si>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</si>
  <si>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</si>
  <si>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</si>
  <si>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</si>
  <si>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</si>
  <si>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</si>
  <si>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</si>
  <si>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</si>
  <si>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</si>
  <si>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</si>
  <si>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</si>
  <si>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</si>
  <si>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</si>
  <si>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</si>
  <si>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</si>
  <si>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</si>
  <si>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</si>
  <si>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</si>
  <si>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</si>
  <si>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</si>
  <si>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</si>
  <si>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</si>
  <si>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</si>
  <si>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</si>
  <si>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</si>
  <si>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</si>
  <si>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</si>
  <si>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</si>
  <si>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</si>
  <si>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</si>
  <si>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</si>
  <si>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</si>
  <si>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</si>
  <si>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</si>
  <si>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</si>
  <si>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</si>
  <si>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</si>
  <si>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</si>
  <si>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</si>
  <si>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</si>
  <si>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</si>
  <si>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</si>
  <si>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</si>
  <si>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</si>
  <si>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</si>
  <si>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</si>
  <si>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</si>
  <si>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</si>
  <si>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</si>
  <si>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</si>
  <si>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</si>
  <si>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</si>
  <si>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</si>
  <si>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</si>
  <si>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</si>
  <si>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</si>
  <si>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</si>
  <si>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</si>
  <si>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</si>
  <si>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</si>
  <si>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</si>
  <si>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</si>
  <si>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</si>
  <si>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</si>
  <si>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</si>
  <si>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</si>
  <si>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</si>
  <si>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</si>
  <si>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</si>
  <si>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</si>
  <si>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</si>
  <si>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</si>
  <si>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</si>
  <si>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</si>
  <si>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</si>
  <si>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</si>
  <si>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</si>
  <si>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</si>
  <si>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</si>
  <si>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</si>
  <si>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</si>
  <si>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</si>
  <si>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</si>
  <si>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</si>
  <si>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</si>
  <si>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</si>
  <si>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</si>
  <si>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</si>
  <si>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</si>
  <si>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</si>
  <si>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</si>
  <si>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</si>
  <si>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</si>
  <si>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</si>
  <si>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</si>
  <si>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</si>
  <si>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</si>
  <si>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</si>
  <si>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</si>
  <si>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</si>
  <si>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</si>
  <si>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</si>
  <si>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</si>
  <si>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</si>
  <si>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</si>
  <si>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</si>
  <si>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</si>
  <si>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</si>
  <si>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</si>
  <si>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</si>
  <si>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</si>
  <si>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</si>
  <si>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</si>
  <si>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</si>
  <si>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</si>
  <si>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</si>
  <si>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</si>
  <si>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</si>
  <si>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</si>
  <si>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</si>
  <si>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</si>
  <si>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</si>
  <si>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</si>
  <si>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</si>
  <si>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</si>
  <si>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</si>
  <si>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</si>
  <si>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</si>
  <si>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</si>
  <si>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</si>
  <si>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</si>
  <si>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</si>
  <si>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</si>
  <si>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</si>
  <si>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</si>
  <si>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</si>
  <si>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</si>
  <si>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</si>
  <si>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</si>
  <si>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</si>
  <si>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</si>
  <si>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</si>
  <si>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</si>
  <si>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</si>
  <si>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</si>
  <si>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</si>
  <si>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</si>
  <si>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</si>
  <si>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</si>
  <si>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</si>
  <si>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</si>
  <si>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</si>
  <si>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</si>
  <si>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</si>
  <si>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</si>
  <si>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</si>
  <si>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</si>
  <si>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</si>
  <si>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</si>
  <si>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</si>
  <si>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</si>
  <si>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</si>
  <si>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</si>
  <si>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</si>
  <si>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</si>
  <si>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</si>
  <si>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</si>
  <si>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</si>
  <si>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</si>
  <si>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</si>
  <si>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</si>
  <si>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</si>
  <si>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</si>
  <si>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</si>
  <si>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</si>
  <si>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</si>
  <si>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</si>
  <si>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</si>
  <si>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</si>
  <si>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</si>
  <si>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</si>
  <si>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</si>
  <si>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</si>
  <si>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</si>
  <si>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</si>
  <si>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</si>
  <si>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</si>
  <si>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</si>
  <si>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</si>
  <si>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</si>
  <si>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</si>
  <si>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</si>
  <si>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</si>
  <si>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</si>
  <si>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</si>
  <si>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</si>
  <si>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</si>
  <si>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</si>
  <si>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</si>
  <si>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</si>
  <si>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</si>
  <si>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</si>
  <si>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</si>
  <si>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</si>
  <si>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</si>
  <si>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</si>
  <si>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</si>
  <si>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</si>
  <si>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</si>
  <si>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</si>
  <si>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</si>
  <si>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</si>
  <si>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</si>
  <si>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</si>
  <si>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</si>
  <si>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</si>
  <si>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</si>
  <si>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</si>
  <si>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</si>
  <si>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</si>
  <si>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</si>
  <si>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</si>
  <si>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</si>
  <si>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</si>
  <si>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</si>
  <si>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</si>
  <si>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</si>
  <si>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</si>
  <si>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</si>
  <si>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</si>
  <si>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</si>
  <si>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</si>
  <si>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</si>
  <si>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</si>
  <si>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</si>
  <si>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</si>
  <si>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</si>
  <si>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</si>
  <si>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</si>
  <si>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</si>
  <si>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</si>
  <si>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</si>
  <si>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</si>
  <si>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</si>
  <si>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</si>
  <si>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</si>
  <si>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</si>
  <si>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</si>
  <si>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</si>
  <si>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</si>
  <si>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</si>
  <si>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</si>
  <si>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</si>
  <si>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</si>
  <si>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</si>
  <si>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</si>
  <si>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</si>
  <si>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</si>
  <si>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</si>
  <si>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</si>
  <si>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</si>
  <si>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</si>
  <si>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</si>
  <si>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</si>
  <si>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</si>
  <si>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</si>
  <si>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</si>
  <si>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</si>
  <si>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</si>
  <si>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</si>
  <si>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</si>
  <si>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</si>
  <si>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</si>
  <si>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</si>
  <si>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</si>
  <si>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</si>
  <si>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</si>
  <si>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</si>
  <si>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</si>
  <si>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</si>
  <si>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</si>
  <si>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</si>
  <si>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</si>
  <si>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</si>
  <si>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</si>
  <si>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</si>
  <si>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</si>
  <si>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</si>
  <si>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</si>
  <si>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</si>
  <si>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</si>
  <si>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</si>
  <si>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</si>
  <si>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</si>
  <si>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</si>
  <si>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</si>
  <si>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</si>
  <si>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</si>
  <si>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</si>
  <si>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</si>
  <si>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</si>
  <si>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</si>
  <si>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</si>
  <si>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</si>
  <si>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</si>
  <si>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</si>
  <si>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</si>
  <si>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</si>
  <si>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</si>
  <si>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</si>
  <si>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</si>
  <si>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</si>
  <si>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</si>
  <si>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</si>
  <si>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</si>
  <si>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</si>
  <si>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</si>
  <si>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</si>
  <si>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</si>
  <si>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</si>
  <si>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</si>
  <si>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</si>
  <si>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</si>
  <si>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</si>
  <si>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</si>
  <si>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</si>
  <si>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</si>
  <si>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</si>
  <si>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</si>
  <si>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</si>
  <si>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</si>
  <si>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</si>
  <si>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</si>
  <si>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</si>
  <si>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</si>
  <si>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</si>
  <si>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</si>
  <si>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</si>
  <si>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</si>
  <si>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</si>
  <si>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</si>
  <si>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</si>
  <si>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</si>
  <si>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</si>
  <si>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</si>
  <si>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</si>
  <si>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</si>
  <si>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</si>
  <si>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</si>
  <si>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</si>
  <si>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</si>
  <si>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</si>
  <si>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</si>
  <si>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</si>
  <si>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</si>
  <si>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</si>
  <si>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</si>
  <si>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</si>
  <si>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</si>
  <si>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</si>
  <si>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</si>
  <si>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</si>
  <si>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</si>
  <si>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</si>
  <si>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</si>
  <si>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</si>
  <si>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</si>
  <si>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</si>
  <si>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</si>
  <si>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</si>
  <si>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</si>
  <si>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</si>
  <si>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</si>
  <si>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</si>
  <si>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</si>
  <si>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</si>
  <si>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</si>
  <si>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</si>
  <si>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</si>
  <si>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</si>
  <si>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</si>
  <si>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</si>
  <si>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</si>
  <si>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</si>
  <si>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</si>
  <si>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</si>
  <si>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</si>
  <si>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</si>
  <si>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</si>
  <si>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</si>
  <si>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</si>
  <si>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</si>
  <si>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</si>
  <si>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</si>
  <si>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</si>
  <si>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</si>
  <si>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</si>
  <si>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</si>
  <si>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</si>
  <si>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</si>
  <si>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</si>
  <si>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</si>
  <si>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</si>
  <si>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</si>
  <si>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</si>
  <si>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</si>
  <si>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</si>
  <si>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</si>
  <si>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</si>
  <si>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</si>
  <si>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</si>
  <si>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</si>
  <si>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</si>
  <si>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</si>
  <si>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</si>
  <si>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</si>
  <si>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</si>
  <si>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</si>
  <si>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</si>
  <si>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</si>
  <si>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</si>
  <si>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</si>
  <si>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</si>
  <si>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</si>
  <si>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</si>
  <si>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</si>
  <si>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</si>
  <si>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</si>
  <si>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</si>
  <si>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</si>
  <si>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</si>
  <si>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</si>
  <si>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</si>
  <si>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</si>
  <si>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</si>
  <si>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</si>
  <si>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</si>
  <si>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</si>
  <si>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</si>
  <si>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</si>
  <si>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</si>
  <si>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</si>
  <si>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</si>
  <si>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</si>
  <si>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</si>
  <si>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</si>
  <si>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</si>
  <si>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</si>
  <si>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</si>
  <si>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</si>
  <si>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</si>
  <si>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</si>
  <si>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</si>
  <si>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</si>
  <si>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</si>
  <si>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</si>
  <si>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</si>
  <si>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</si>
  <si>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</si>
  <si>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</si>
  <si>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</si>
  <si>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</si>
  <si>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</si>
  <si>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</si>
  <si>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</si>
  <si>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</si>
  <si>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</si>
  <si>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</si>
  <si>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</si>
  <si>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</si>
  <si>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</si>
  <si>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</si>
  <si>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</si>
  <si>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</si>
  <si>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</si>
  <si>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</si>
  <si>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</si>
  <si>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</si>
  <si>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</si>
  <si>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</si>
  <si>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</si>
  <si>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</si>
  <si>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</si>
  <si>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</si>
  <si>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</si>
  <si>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</si>
  <si>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</si>
  <si>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</si>
  <si>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</si>
  <si>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</si>
  <si>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</si>
  <si>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</si>
  <si>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</si>
  <si>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</si>
  <si>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</si>
  <si>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</si>
  <si>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</si>
  <si>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</si>
  <si>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</si>
  <si>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</si>
  <si>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</si>
  <si>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</si>
  <si>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</si>
  <si>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</si>
  <si>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</si>
  <si>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</si>
  <si>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</si>
  <si>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</si>
  <si>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</si>
  <si>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</si>
  <si>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</si>
  <si>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</si>
  <si>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</si>
  <si>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</si>
  <si>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</si>
  <si>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</si>
  <si>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</si>
  <si>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</si>
  <si>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</si>
  <si>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</si>
  <si>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</si>
  <si>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</si>
  <si>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</si>
  <si>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</si>
  <si>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</si>
  <si>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</si>
  <si>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</si>
  <si>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</si>
  <si>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</si>
  <si>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</si>
  <si>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</si>
  <si>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</si>
  <si>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</si>
  <si>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</si>
  <si>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</si>
  <si>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</si>
  <si>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</si>
  <si>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</si>
  <si>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</si>
  <si>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</si>
  <si>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</si>
  <si>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</si>
  <si>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</si>
  <si>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</si>
  <si>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</si>
  <si>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</si>
  <si>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</si>
  <si>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</si>
  <si>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</si>
  <si>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</si>
  <si>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</si>
  <si>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</si>
  <si>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</si>
  <si>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</si>
  <si>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</si>
  <si>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</si>
  <si>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</si>
  <si>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</si>
  <si>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</si>
  <si>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</si>
  <si>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</si>
  <si>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</si>
  <si>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</si>
  <si>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</si>
  <si>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</si>
  <si>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</si>
  <si>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</si>
  <si>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</si>
  <si>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</si>
  <si>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</si>
  <si>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</si>
  <si>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</si>
  <si>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</si>
  <si>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</si>
  <si>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</si>
  <si>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</si>
  <si>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</si>
  <si>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</si>
  <si>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</si>
  <si>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</si>
  <si>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</si>
  <si>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</si>
  <si>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</si>
  <si>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</si>
  <si>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</si>
  <si>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</si>
  <si>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</si>
  <si>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</si>
  <si>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</si>
  <si>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</si>
  <si>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</si>
  <si>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</si>
  <si>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</si>
  <si>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</si>
  <si>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</si>
  <si>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</si>
  <si>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</si>
  <si>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</si>
  <si>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</si>
  <si>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</si>
  <si>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</si>
  <si>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</si>
  <si>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</si>
  <si>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</si>
  <si>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</si>
  <si>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</si>
  <si>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</si>
  <si>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</si>
  <si>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</si>
  <si>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</si>
  <si>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</si>
  <si>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</si>
  <si>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</si>
  <si>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</si>
  <si>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</si>
  <si>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</si>
  <si>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</si>
  <si>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</si>
  <si>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</si>
  <si>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</si>
  <si>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</si>
  <si>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</si>
  <si>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</si>
  <si>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</si>
  <si>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</si>
  <si>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</si>
  <si>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</si>
  <si>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</si>
  <si>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</si>
  <si>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</si>
  <si>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</si>
  <si>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</si>
  <si>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</si>
  <si>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</si>
  <si>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</si>
  <si>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</si>
  <si>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</si>
  <si>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</si>
  <si>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</si>
  <si>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</si>
  <si>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</si>
  <si>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</si>
  <si>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</si>
  <si>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</si>
  <si>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</si>
  <si>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</si>
  <si>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</si>
  <si>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</si>
  <si>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</si>
  <si>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</si>
  <si>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</si>
  <si>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</si>
  <si>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</si>
  <si>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</si>
  <si>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</si>
  <si>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</si>
  <si>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</si>
  <si>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</si>
  <si>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</si>
  <si>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</si>
  <si>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</si>
  <si>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</si>
  <si>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</si>
  <si>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</si>
  <si>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</si>
  <si>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</si>
  <si>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</si>
  <si>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</si>
  <si>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</si>
  <si>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</si>
  <si>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</si>
  <si>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</si>
  <si>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</si>
  <si>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</si>
  <si>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</si>
  <si>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</si>
  <si>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</si>
  <si>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</si>
  <si>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</si>
  <si>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</si>
  <si>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</si>
  <si>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</si>
  <si>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</si>
  <si>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</si>
  <si>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</si>
  <si>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</si>
  <si>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</si>
  <si>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</si>
  <si>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</si>
  <si>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</si>
  <si>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</si>
  <si>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</si>
  <si>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</si>
  <si>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</si>
  <si>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</si>
  <si>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</si>
  <si>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</si>
  <si>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</si>
  <si>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</si>
  <si>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</si>
  <si>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</si>
  <si>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</si>
  <si>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</si>
  <si>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</si>
  <si>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</si>
  <si>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</si>
  <si>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</si>
  <si>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</si>
  <si>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</si>
  <si>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</si>
  <si>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</si>
  <si>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</si>
  <si>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</si>
  <si>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</si>
  <si>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</si>
  <si>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</si>
  <si>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</si>
  <si>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</si>
  <si>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</si>
  <si>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</si>
  <si>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</si>
  <si>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</si>
  <si>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</si>
  <si>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</si>
  <si>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</si>
  <si>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</si>
  <si>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</si>
  <si>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</si>
  <si>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</si>
  <si>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</si>
  <si>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</si>
  <si>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</si>
  <si>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</si>
  <si>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</si>
  <si>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</si>
  <si>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</si>
  <si>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</si>
  <si>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</si>
  <si>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</si>
  <si>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</si>
  <si>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</si>
  <si>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</si>
  <si>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</si>
  <si>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</si>
  <si>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</si>
  <si>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</si>
  <si>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</si>
  <si>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</si>
  <si>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</si>
  <si>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</si>
  <si>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</si>
  <si>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</si>
  <si>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</si>
  <si>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</si>
  <si>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</si>
  <si>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</si>
  <si>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</si>
  <si>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</si>
  <si>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</si>
  <si>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</si>
  <si>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</si>
  <si>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</si>
  <si>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</si>
  <si>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</si>
  <si>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</si>
  <si>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</si>
  <si>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</si>
  <si>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</si>
  <si>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</si>
  <si>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</si>
  <si>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</si>
  <si>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</si>
  <si>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</si>
  <si>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</si>
  <si>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</si>
  <si>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</si>
  <si>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</si>
  <si>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</si>
  <si>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</si>
  <si>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</si>
  <si>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</si>
  <si>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</si>
  <si>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</si>
  <si>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</si>
  <si>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</si>
  <si>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</si>
  <si>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</si>
  <si>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</si>
  <si>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</si>
  <si>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</si>
  <si>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</si>
  <si>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</si>
  <si>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</si>
  <si>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</si>
  <si>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</si>
  <si>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</si>
  <si>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</si>
  <si>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</si>
  <si>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</si>
  <si>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</si>
  <si>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</si>
  <si>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</si>
  <si>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</si>
  <si>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</si>
  <si>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</si>
  <si>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</si>
  <si>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</si>
  <si>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</si>
  <si>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</si>
  <si>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</si>
  <si>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</si>
  <si>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</si>
  <si>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</si>
  <si>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</si>
  <si>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</si>
  <si>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</si>
  <si>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</si>
  <si>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</si>
  <si>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</si>
  <si>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</si>
  <si>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</si>
  <si>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</si>
  <si>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</si>
  <si>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</si>
  <si>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</si>
  <si>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</si>
  <si>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</si>
  <si>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</si>
  <si>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</si>
  <si>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</si>
  <si>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</si>
  <si>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</si>
  <si>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</si>
  <si>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</si>
  <si>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</si>
  <si>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</si>
  <si>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</si>
  <si>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</si>
  <si>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</si>
  <si>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</si>
  <si>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</si>
  <si>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</si>
  <si>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</si>
  <si>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</si>
  <si>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</si>
  <si>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</si>
  <si>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</si>
  <si>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</si>
  <si>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</si>
  <si>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</si>
  <si>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</si>
  <si>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</si>
  <si>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</si>
  <si>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</si>
  <si>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</si>
  <si>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</si>
  <si>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</si>
  <si>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</si>
  <si>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</si>
  <si>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</si>
  <si>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</si>
  <si>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</si>
  <si>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</si>
  <si>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</si>
  <si>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</si>
  <si>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</si>
  <si>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</si>
  <si>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</si>
  <si>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</si>
  <si>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</si>
  <si>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</si>
  <si>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</si>
  <si>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</si>
  <si>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</si>
  <si>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</si>
  <si>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</si>
  <si>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</si>
  <si>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</si>
  <si>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</si>
  <si>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</si>
  <si>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</si>
  <si>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</si>
  <si>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</si>
  <si>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</si>
  <si>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</si>
  <si>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</si>
  <si>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</si>
  <si>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</si>
  <si>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</si>
  <si>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</si>
  <si>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</si>
  <si>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</si>
  <si>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</si>
  <si>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</si>
  <si>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</si>
  <si>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</si>
  <si>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</si>
  <si>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</si>
  <si>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</si>
  <si>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</si>
  <si>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</si>
  <si>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</si>
  <si>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</si>
  <si>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</si>
  <si>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</si>
  <si>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</si>
  <si>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</si>
  <si>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</si>
  <si>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</si>
  <si>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</si>
  <si>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</si>
  <si>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</si>
  <si>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</si>
  <si>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</si>
  <si>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</si>
  <si>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</si>
  <si>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</si>
  <si>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</si>
  <si>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</si>
  <si>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</si>
  <si>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</si>
  <si>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</si>
  <si>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</si>
  <si>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</si>
  <si>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</si>
  <si>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</si>
  <si>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</si>
  <si>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</si>
  <si>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</si>
  <si>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</si>
  <si>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</si>
  <si>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</si>
  <si>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</si>
  <si>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</si>
  <si>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</si>
  <si>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</si>
  <si>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</si>
  <si>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</si>
  <si>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</si>
  <si>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</si>
  <si>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</si>
  <si>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</si>
  <si>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</si>
  <si>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</si>
  <si>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</si>
  <si>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</si>
  <si>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</si>
  <si>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</si>
  <si>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</si>
  <si>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</si>
  <si>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</si>
  <si>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</si>
  <si>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</si>
  <si>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</si>
  <si>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</si>
  <si>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</si>
  <si>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</si>
  <si>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</si>
  <si>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</si>
  <si>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</si>
  <si>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</si>
  <si>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</si>
  <si>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</si>
  <si>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</si>
  <si>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</si>
  <si>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</si>
  <si>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</si>
  <si>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</si>
  <si>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</si>
  <si>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</si>
  <si>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</si>
  <si>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</si>
  <si>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</si>
  <si>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</si>
  <si>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</si>
  <si>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</si>
  <si>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</si>
  <si>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</si>
  <si>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</si>
  <si>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</si>
  <si>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</si>
  <si>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</si>
  <si>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</si>
  <si>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</si>
  <si>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</si>
  <si>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</si>
  <si>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</si>
  <si>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</si>
  <si>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</si>
  <si>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</si>
  <si>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</si>
  <si>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</si>
  <si>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</si>
  <si>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</si>
  <si>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</si>
  <si>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</si>
  <si>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</si>
  <si>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</si>
  <si>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</si>
  <si>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</si>
  <si>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</si>
  <si>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</si>
  <si>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</si>
  <si>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</si>
  <si>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</si>
  <si>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</si>
  <si>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</si>
  <si>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</si>
  <si>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</si>
  <si>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</si>
  <si>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</si>
  <si>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</si>
  <si>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</si>
  <si>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</si>
  <si>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</si>
  <si>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</si>
  <si>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</si>
  <si>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</si>
  <si>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</si>
  <si>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</si>
  <si>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</si>
  <si>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</si>
  <si>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</si>
  <si>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</si>
  <si>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</si>
  <si>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</si>
  <si>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</si>
  <si>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</si>
  <si>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</si>
  <si>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</si>
  <si>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</si>
  <si>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</si>
  <si>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</si>
  <si>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</si>
  <si>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</si>
  <si>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</si>
  <si>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</si>
  <si>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</si>
  <si>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</si>
  <si>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</si>
  <si>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</si>
  <si>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</si>
  <si>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</si>
  <si>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</si>
  <si>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</si>
  <si>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</si>
  <si>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</si>
  <si>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</si>
  <si>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</si>
  <si>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</si>
  <si>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</si>
  <si>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</si>
  <si>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</si>
  <si>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</si>
  <si>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</si>
  <si>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</si>
  <si>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</si>
  <si>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</si>
  <si>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</si>
  <si>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</si>
  <si>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</si>
  <si>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</si>
  <si>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</si>
  <si>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</si>
  <si>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</si>
  <si>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</si>
  <si>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</si>
  <si>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</si>
  <si>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</si>
  <si>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</si>
  <si>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</si>
  <si>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</si>
  <si>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</si>
  <si>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</si>
  <si>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</si>
  <si>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</si>
  <si>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</si>
  <si>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</si>
  <si>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</si>
  <si>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</si>
  <si>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</si>
  <si>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</si>
  <si>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</si>
  <si>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</si>
  <si>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</si>
  <si>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</si>
  <si>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</si>
  <si>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</si>
  <si>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</si>
  <si>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</si>
  <si>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</si>
  <si>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</si>
  <si>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</si>
  <si>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</si>
  <si>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</si>
  <si>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</si>
  <si>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</si>
  <si>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</si>
  <si>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</si>
  <si>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</si>
  <si>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</si>
  <si>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</si>
  <si>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</si>
  <si>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</si>
  <si>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</si>
  <si>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</si>
  <si>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</si>
  <si>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</si>
  <si>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</si>
  <si>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</si>
  <si>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</si>
  <si>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</si>
  <si>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</si>
  <si>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</si>
  <si>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</si>
  <si>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</si>
  <si>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</si>
  <si>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</si>
  <si>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</si>
  <si>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</si>
  <si>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</si>
  <si>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</si>
  <si>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</si>
  <si>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</si>
  <si>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</si>
  <si>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</si>
  <si>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</si>
  <si>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</si>
  <si>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</si>
  <si>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</si>
  <si>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</si>
  <si>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</si>
  <si>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</si>
  <si>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</si>
  <si>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</si>
  <si>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</si>
  <si>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</si>
  <si>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</si>
  <si>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</si>
  <si>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</si>
  <si>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</si>
  <si>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</si>
  <si>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</si>
  <si>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</si>
  <si>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</si>
  <si>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</si>
  <si>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</si>
  <si>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</si>
  <si>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</si>
  <si>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</si>
  <si>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</si>
  <si>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</si>
  <si>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</si>
  <si>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</si>
  <si>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</si>
  <si>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</si>
  <si>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</si>
  <si>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</si>
  <si>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</si>
  <si>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</si>
  <si>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</si>
  <si>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</si>
  <si>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</si>
  <si>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</si>
  <si>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</si>
  <si>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</si>
  <si>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</si>
  <si>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</si>
  <si>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</si>
  <si>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</si>
  <si>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</si>
  <si>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</si>
  <si>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</si>
  <si>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</si>
  <si>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</si>
  <si>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</si>
  <si>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</si>
  <si>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</si>
  <si>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</si>
  <si>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</si>
  <si>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</si>
  <si>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</si>
  <si>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</si>
  <si>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</si>
  <si>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</si>
  <si>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</si>
  <si>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</si>
  <si>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</si>
  <si>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</si>
  <si>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</si>
  <si>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</si>
  <si>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</si>
  <si>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</si>
  <si>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</si>
  <si>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</si>
  <si>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</si>
  <si>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</si>
  <si>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</si>
  <si>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</si>
  <si>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</si>
  <si>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</si>
  <si>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</si>
  <si>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</si>
  <si>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</si>
  <si>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</si>
  <si>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</si>
  <si>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</si>
  <si>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</si>
  <si>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</si>
  <si>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</si>
  <si>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</si>
  <si>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</si>
  <si>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</si>
  <si>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</si>
  <si>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</si>
  <si>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</si>
  <si>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</si>
  <si>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</si>
  <si>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</si>
  <si>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</si>
  <si>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</si>
  <si>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</si>
  <si>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</si>
  <si>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</si>
  <si>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</si>
  <si>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</si>
  <si>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</si>
  <si>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</si>
  <si>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</si>
  <si>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</si>
  <si>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</si>
  <si>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</si>
  <si>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</si>
  <si>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</si>
  <si>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</si>
  <si>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</si>
  <si>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</si>
  <si>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</si>
  <si>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</si>
  <si>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</si>
  <si>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</si>
  <si>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</si>
  <si>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</si>
  <si>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</si>
  <si>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</si>
  <si>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</si>
  <si>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</si>
  <si>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</si>
  <si>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</si>
  <si>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</si>
  <si>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</si>
  <si>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</si>
  <si>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</si>
  <si>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</si>
  <si>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</si>
  <si>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</si>
  <si>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</si>
  <si>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</si>
  <si>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</si>
  <si>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</si>
  <si>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</si>
  <si>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</si>
  <si>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</si>
  <si>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</si>
  <si>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</si>
  <si>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</si>
  <si>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</si>
  <si>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</si>
  <si>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</si>
  <si>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</si>
  <si>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</si>
  <si>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</si>
  <si>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</si>
  <si>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</si>
  <si>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</si>
  <si>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</si>
  <si>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</si>
  <si>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</si>
  <si>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</si>
  <si>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</si>
  <si>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</si>
  <si>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</si>
  <si>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</si>
  <si>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</si>
  <si>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</si>
  <si>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</si>
  <si>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</si>
  <si>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</si>
  <si>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</si>
  <si>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</si>
  <si>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</si>
  <si>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</si>
  <si>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</si>
  <si>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</si>
  <si>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</si>
  <si>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</si>
  <si>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</si>
  <si>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</si>
  <si>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</si>
  <si>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</si>
  <si>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</si>
  <si>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</si>
  <si>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</si>
  <si>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</si>
  <si>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</si>
  <si>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</si>
  <si>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</si>
  <si>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</si>
  <si>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</si>
  <si>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</si>
  <si>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</si>
  <si>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</si>
  <si>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</si>
  <si>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</si>
  <si>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</si>
  <si>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</si>
  <si>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</si>
  <si>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</si>
  <si>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</si>
  <si>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</si>
  <si>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</si>
  <si>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</si>
  <si>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</si>
  <si>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</si>
  <si>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</si>
  <si>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</si>
  <si>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</si>
  <si>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</si>
  <si>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</si>
  <si>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</si>
  <si>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</si>
  <si>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</si>
  <si>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</si>
  <si>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</si>
  <si>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</si>
  <si>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</si>
  <si>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</si>
  <si>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</si>
  <si>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</si>
  <si>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</si>
  <si>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</si>
  <si>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</si>
  <si>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</si>
  <si>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</si>
  <si>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</si>
  <si>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</si>
  <si>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</si>
  <si>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</si>
  <si>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</si>
  <si>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</si>
  <si>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</si>
  <si>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</si>
  <si>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</si>
  <si>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</si>
  <si>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</si>
  <si>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</si>
  <si>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</si>
  <si>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</si>
  <si>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</si>
  <si>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</si>
  <si>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</si>
  <si>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</si>
  <si>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</si>
  <si>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</si>
  <si>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</si>
  <si>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</si>
  <si>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</si>
  <si>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</si>
  <si>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</si>
  <si>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</si>
  <si>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</si>
  <si>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</si>
  <si>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</si>
  <si>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</si>
  <si>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</si>
  <si>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</si>
  <si>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</si>
  <si>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</si>
  <si>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</si>
  <si>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</si>
  <si>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</si>
  <si>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</si>
  <si>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</si>
  <si>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</si>
  <si>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</si>
  <si>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</si>
  <si>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</si>
  <si>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</si>
  <si>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</si>
  <si>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</si>
  <si>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</si>
  <si>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</si>
  <si>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</si>
  <si>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</si>
  <si>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</si>
  <si>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</si>
  <si>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</si>
  <si>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</si>
  <si>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</si>
  <si>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</si>
  <si>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</si>
  <si>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</si>
  <si>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</si>
  <si>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</si>
  <si>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</si>
  <si>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</si>
  <si>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</si>
  <si>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</si>
  <si>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</si>
  <si>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</si>
  <si>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</si>
  <si>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</si>
  <si>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</si>
  <si>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</si>
  <si>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</si>
  <si>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</si>
  <si>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</si>
  <si>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</si>
  <si>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</si>
  <si>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</si>
  <si>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</si>
  <si>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</si>
  <si>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</si>
  <si>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</si>
  <si>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</si>
  <si>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</si>
  <si>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</si>
  <si>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</si>
  <si>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</si>
  <si>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</si>
  <si>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</si>
  <si>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</si>
  <si>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</si>
  <si>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</si>
  <si>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</si>
  <si>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</si>
  <si>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</si>
  <si>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</si>
  <si>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</si>
  <si>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</si>
  <si>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</si>
  <si>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</si>
  <si>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</si>
  <si>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</si>
  <si>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</si>
  <si>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</si>
  <si>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</si>
  <si>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</si>
  <si>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</si>
  <si>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</si>
  <si>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</si>
  <si>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</si>
  <si>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</si>
  <si>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</si>
  <si>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</si>
  <si>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</si>
  <si>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</si>
  <si>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</si>
  <si>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</si>
  <si>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</si>
  <si>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</si>
  <si>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</si>
  <si>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</si>
  <si>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</si>
  <si>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</si>
  <si>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</si>
  <si>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</si>
  <si>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</si>
  <si>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</si>
  <si>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</si>
  <si>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</si>
  <si>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</si>
  <si>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</si>
  <si>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</si>
  <si>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</si>
  <si>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</si>
  <si>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</si>
  <si>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</si>
  <si>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</si>
  <si>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</si>
  <si>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</si>
  <si>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</si>
  <si>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</si>
  <si>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</si>
  <si>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</si>
  <si>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</si>
  <si>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</si>
  <si>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</si>
  <si>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</si>
  <si>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</si>
  <si>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</si>
  <si>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</si>
  <si>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</si>
  <si>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</si>
  <si>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</si>
  <si>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</si>
  <si>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</si>
  <si>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</si>
  <si>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</si>
  <si>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</si>
  <si>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</si>
  <si>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</si>
  <si>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</si>
  <si>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</si>
  <si>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</si>
  <si>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</si>
  <si>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</si>
  <si>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</si>
  <si>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</si>
  <si>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</si>
  <si>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</si>
  <si>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</si>
  <si>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</si>
  <si>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</si>
  <si>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</si>
  <si>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</si>
  <si>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</si>
  <si>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</si>
  <si>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</si>
  <si>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</si>
  <si>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</si>
  <si>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</si>
  <si>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</si>
  <si>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</si>
  <si>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</si>
  <si>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</si>
  <si>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</si>
  <si>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</si>
  <si>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</si>
  <si>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</si>
  <si>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</si>
  <si>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</si>
  <si>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</si>
  <si>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</si>
  <si>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</si>
  <si>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</si>
  <si>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</si>
  <si>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</si>
  <si>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</si>
  <si>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</si>
  <si>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</si>
  <si>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</si>
  <si>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</si>
  <si>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</si>
  <si>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</si>
  <si>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</si>
  <si>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</si>
  <si>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</si>
  <si>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</si>
  <si>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</si>
  <si>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</si>
  <si>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</si>
  <si>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</si>
  <si>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</si>
  <si>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</si>
  <si>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</si>
  <si>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</si>
  <si>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</si>
  <si>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</si>
  <si>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</si>
  <si>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</si>
  <si>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</si>
  <si>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</si>
  <si>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</si>
  <si>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</si>
  <si>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</si>
  <si>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</si>
  <si>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</si>
  <si>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</si>
  <si>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</si>
  <si>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</si>
  <si>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</si>
  <si>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</si>
  <si>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</si>
  <si>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</si>
  <si>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</si>
  <si>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</si>
  <si>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</si>
  <si>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</si>
  <si>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</si>
  <si>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</si>
  <si>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</si>
  <si>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</si>
  <si>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</si>
  <si>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</si>
  <si>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</si>
  <si>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</si>
  <si>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</si>
  <si>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</si>
  <si>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</si>
  <si>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</si>
  <si>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</si>
  <si>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</si>
  <si>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</si>
  <si>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</si>
  <si>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</si>
  <si>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</si>
  <si>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</si>
  <si>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</si>
  <si>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</si>
  <si>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</si>
  <si>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</si>
  <si>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</si>
  <si>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</si>
  <si>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</si>
  <si>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</si>
  <si>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</si>
  <si>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</si>
  <si>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</si>
  <si>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</si>
  <si>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</si>
  <si>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</si>
  <si>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</si>
  <si>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</si>
  <si>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</si>
  <si>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</si>
  <si>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</si>
  <si>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</si>
  <si>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</si>
  <si>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</si>
  <si>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</si>
  <si>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</si>
  <si>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</si>
  <si>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</si>
  <si>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</si>
  <si>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</si>
  <si>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</si>
  <si>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</si>
  <si>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</si>
  <si>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</si>
  <si>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</si>
  <si>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</si>
  <si>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</si>
  <si>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</si>
  <si>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</si>
  <si>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</si>
  <si>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</si>
  <si>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</si>
  <si>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</si>
  <si>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</si>
  <si>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</si>
  <si>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</si>
  <si>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</si>
  <si>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</si>
  <si>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</si>
  <si>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</si>
  <si>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</si>
  <si>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</si>
  <si>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</si>
  <si>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</si>
  <si>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</si>
  <si>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</si>
  <si>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</si>
  <si>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</si>
  <si>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</si>
  <si>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</si>
  <si>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</si>
  <si>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</si>
  <si>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</si>
  <si>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</si>
  <si>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</si>
  <si>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</si>
  <si>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</si>
  <si>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</si>
  <si>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</si>
  <si>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</si>
  <si>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</si>
  <si>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</si>
  <si>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</si>
  <si>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</si>
  <si>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</si>
  <si>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</si>
  <si>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</si>
  <si>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</si>
  <si>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</si>
  <si>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</si>
  <si>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</si>
  <si>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</si>
  <si>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</si>
  <si>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</si>
  <si>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</si>
  <si>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</si>
  <si>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</si>
  <si>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</si>
  <si>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</si>
  <si>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</si>
  <si>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</si>
  <si>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</si>
  <si>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</si>
  <si>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</si>
  <si>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</si>
  <si>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</si>
  <si>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</si>
  <si>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</si>
  <si>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</si>
  <si>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</si>
  <si>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</si>
  <si>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</si>
  <si>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</si>
  <si>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</si>
  <si>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</si>
  <si>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</si>
  <si>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</si>
  <si>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</si>
  <si>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</si>
  <si>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</si>
  <si>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</si>
  <si>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</si>
  <si>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</si>
  <si>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</si>
  <si>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</si>
  <si>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</si>
  <si>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</si>
  <si>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</si>
  <si>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</si>
  <si>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</si>
  <si>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</si>
  <si>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</si>
  <si>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</si>
  <si>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</si>
  <si>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</si>
  <si>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</si>
  <si>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</si>
  <si>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</si>
  <si>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</si>
  <si>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</si>
  <si>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</si>
  <si>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</si>
  <si>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</si>
  <si>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</si>
  <si>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</si>
  <si>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</si>
  <si>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</si>
  <si>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</si>
  <si>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</si>
  <si>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</si>
  <si>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</si>
  <si>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</si>
  <si>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</si>
  <si>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</si>
  <si>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</si>
  <si>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</si>
  <si>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</si>
  <si>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</si>
  <si>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</si>
  <si>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</si>
  <si>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</si>
  <si>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</si>
  <si>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</si>
  <si>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</si>
  <si>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</si>
  <si>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</si>
  <si>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</si>
  <si>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</si>
  <si>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</si>
  <si>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</si>
  <si>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</si>
  <si>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</si>
  <si>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</si>
  <si>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</si>
  <si>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</si>
  <si>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</si>
  <si>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</si>
  <si>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</si>
  <si>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</si>
  <si>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</si>
  <si>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</si>
  <si>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</si>
  <si>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</si>
  <si>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</si>
  <si>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</si>
  <si>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</si>
  <si>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</si>
  <si>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</si>
  <si>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</si>
  <si>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</si>
  <si>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</si>
  <si>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</si>
  <si>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</si>
  <si>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</si>
  <si>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</si>
  <si>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</si>
  <si>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</si>
  <si>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</si>
  <si>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</si>
  <si>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</si>
  <si>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</si>
  <si>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</si>
  <si>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</si>
  <si>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</si>
  <si>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</si>
  <si>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</si>
  <si>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</si>
  <si>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</si>
  <si>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</si>
  <si>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</si>
  <si>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</si>
  <si>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</si>
  <si>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</si>
  <si>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</si>
  <si>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</si>
  <si>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</si>
  <si>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</si>
  <si>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</si>
  <si>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</si>
  <si>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</si>
  <si>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</si>
  <si>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</si>
  <si>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</si>
  <si>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</si>
  <si>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</si>
  <si>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</si>
  <si>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</si>
  <si>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</si>
  <si>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</si>
  <si>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</si>
  <si>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</si>
  <si>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</si>
  <si>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</si>
  <si>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</si>
  <si>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</si>
  <si>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</si>
  <si>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</si>
  <si>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</si>
  <si>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</si>
  <si>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</si>
  <si>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</si>
  <si>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</si>
  <si>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</si>
  <si>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</si>
  <si>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</si>
  <si>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</si>
  <si>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</si>
  <si>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</si>
  <si>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</si>
  <si>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</si>
  <si>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</si>
  <si>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</si>
  <si>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</si>
  <si>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</si>
  <si>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</si>
  <si>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</si>
  <si>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</si>
  <si>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</si>
  <si>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</si>
  <si>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</si>
  <si>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</si>
  <si>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</si>
  <si>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</si>
  <si>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</si>
  <si>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</si>
  <si>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</si>
  <si>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</si>
  <si>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</si>
  <si>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</si>
  <si>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</si>
  <si>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</si>
  <si>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</si>
  <si>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</si>
  <si>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</si>
  <si>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</si>
  <si>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</si>
  <si>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</si>
  <si>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</si>
  <si>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</si>
  <si>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</si>
  <si>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</si>
  <si>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</si>
  <si>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</si>
  <si>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</si>
  <si>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</si>
  <si>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</si>
  <si>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</si>
  <si>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</si>
  <si>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</si>
  <si>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</si>
  <si>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</si>
  <si>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</si>
  <si>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</si>
  <si>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</si>
  <si>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</si>
  <si>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</si>
  <si>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</si>
  <si>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</si>
  <si>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</si>
  <si>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</si>
  <si>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</si>
  <si>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</si>
  <si>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</si>
  <si>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</si>
  <si>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</si>
  <si>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</si>
  <si>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</si>
  <si>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</si>
  <si>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</si>
  <si>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</si>
  <si>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</si>
  <si>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</si>
  <si>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</si>
  <si>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</si>
  <si>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</si>
  <si>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</si>
  <si>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</si>
  <si>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</si>
  <si>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</si>
  <si>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</si>
  <si>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</si>
  <si>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</si>
  <si>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</si>
  <si>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</si>
  <si>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</si>
  <si>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</si>
  <si>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</si>
  <si>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</si>
  <si>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</si>
  <si>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</si>
  <si>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</si>
  <si>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</si>
  <si>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</si>
  <si>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</si>
  <si>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</si>
  <si>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</si>
  <si>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</si>
  <si>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</si>
  <si>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</si>
  <si>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</si>
  <si>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</si>
  <si>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</si>
  <si>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</si>
  <si>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</si>
  <si>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</si>
  <si>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</si>
  <si>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</si>
  <si>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</si>
  <si>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</si>
  <si>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</si>
  <si>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</si>
  <si>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</si>
  <si>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</si>
  <si>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</si>
  <si>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</si>
  <si>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</si>
  <si>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</si>
  <si>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</si>
  <si>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</si>
  <si>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</si>
  <si>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</si>
  <si>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</si>
  <si>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</si>
  <si>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</si>
  <si>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</si>
  <si>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</si>
  <si>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</si>
  <si>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</si>
  <si>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</si>
  <si>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</si>
  <si>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</si>
  <si>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</si>
  <si>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</si>
  <si>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</si>
  <si>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</si>
  <si>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</si>
  <si>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</si>
  <si>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</si>
  <si>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</si>
  <si>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</si>
  <si>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</si>
  <si>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</si>
  <si>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</si>
  <si>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</si>
  <si>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</si>
  <si>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</si>
  <si>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</si>
  <si>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</si>
  <si>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</si>
  <si>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</si>
  <si>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</si>
  <si>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</si>
  <si>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</si>
  <si>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</si>
  <si>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</si>
  <si>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</si>
  <si>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</si>
  <si>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</si>
  <si>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</si>
  <si>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</si>
  <si>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</si>
  <si>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</si>
  <si>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</si>
  <si>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</si>
  <si>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</si>
  <si>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</si>
  <si>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</si>
  <si>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</si>
  <si>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</si>
  <si>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</si>
  <si>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</si>
  <si>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</si>
  <si>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</si>
  <si>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</si>
  <si>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</si>
  <si>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</si>
  <si>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</si>
  <si>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</si>
  <si>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</si>
  <si>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</si>
  <si>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</si>
  <si>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</si>
  <si>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</si>
  <si>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</si>
  <si>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</si>
  <si>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</si>
  <si>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</si>
  <si>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</si>
  <si>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</si>
  <si>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</si>
  <si>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</si>
  <si>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</si>
  <si>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</si>
  <si>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</si>
  <si>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</si>
  <si>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</si>
  <si>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</si>
  <si>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</si>
  <si>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</si>
  <si>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</si>
  <si>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</si>
  <si>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</si>
  <si>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</si>
  <si>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</si>
  <si>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</si>
  <si>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</si>
  <si>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</si>
  <si>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</si>
  <si>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</si>
  <si>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</si>
  <si>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</si>
  <si>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</si>
  <si>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</si>
  <si>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</si>
  <si>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</si>
  <si>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</si>
  <si>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</si>
  <si>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</si>
  <si>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</si>
  <si>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</si>
  <si>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</si>
  <si>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</si>
  <si>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</si>
  <si>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</si>
  <si>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</si>
  <si>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</si>
  <si>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</si>
  <si>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</si>
  <si>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</si>
  <si>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</si>
  <si>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</si>
  <si>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</si>
  <si>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</si>
  <si>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</si>
  <si>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</si>
  <si>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</si>
  <si>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</si>
  <si>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</si>
  <si>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</si>
  <si>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</si>
  <si>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</si>
  <si>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</si>
  <si>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</si>
  <si>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</si>
  <si>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</si>
  <si>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</si>
  <si>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</si>
  <si>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</si>
  <si>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</si>
  <si>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</si>
  <si>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</si>
  <si>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</si>
  <si>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</si>
  <si>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</si>
  <si>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</si>
  <si>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</si>
  <si>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</si>
  <si>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</si>
  <si>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</si>
  <si>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</si>
  <si>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</si>
  <si>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</si>
  <si>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</si>
  <si>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</si>
  <si>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</si>
  <si>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</si>
  <si>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</si>
  <si>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</si>
  <si>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</si>
  <si>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</si>
  <si>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</si>
  <si>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</si>
  <si>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</si>
  <si>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</si>
  <si>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</si>
  <si>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</si>
  <si>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</si>
  <si>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</si>
  <si>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</si>
  <si>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</si>
  <si>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</si>
  <si>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</si>
  <si>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</si>
  <si>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</si>
  <si>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</si>
  <si>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</si>
  <si>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</si>
  <si>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</si>
  <si>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</si>
  <si>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</si>
  <si>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</si>
  <si>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</si>
  <si>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</si>
  <si>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</si>
  <si>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</si>
  <si>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</si>
  <si>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</si>
  <si>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</si>
  <si>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</si>
  <si>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</si>
  <si>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</si>
  <si>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</si>
  <si>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</si>
  <si>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</si>
  <si>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</si>
  <si>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</si>
  <si>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</si>
  <si>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</si>
  <si>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</si>
  <si>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</si>
  <si>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</si>
  <si>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</si>
  <si>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</si>
  <si>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</si>
  <si>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</si>
  <si>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</si>
  <si>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</si>
  <si>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</si>
  <si>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</si>
  <si>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</si>
  <si>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</si>
  <si>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</si>
  <si>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</si>
  <si>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</si>
  <si>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</si>
  <si>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</si>
  <si>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</si>
  <si>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</si>
  <si>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</si>
  <si>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</si>
  <si>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</si>
  <si>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</si>
  <si>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</si>
  <si>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</si>
  <si>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</si>
  <si>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</si>
  <si>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</si>
  <si>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</si>
  <si>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</si>
  <si>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</si>
  <si>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</si>
  <si>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</si>
  <si>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</si>
  <si>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</si>
  <si>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</si>
  <si>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</si>
  <si>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</si>
  <si>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</si>
  <si>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</si>
  <si>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</si>
  <si>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</si>
  <si>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</si>
  <si>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</si>
  <si>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</si>
  <si>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</si>
  <si>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</si>
  <si>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</si>
  <si>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</si>
  <si>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</si>
  <si>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</si>
  <si>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</si>
  <si>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</si>
  <si>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</si>
  <si>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</si>
  <si>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</si>
  <si>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</si>
  <si>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</si>
  <si>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</si>
  <si>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</si>
  <si>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</si>
  <si>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</si>
  <si>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</si>
  <si>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</si>
  <si>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</si>
  <si>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</si>
  <si>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</si>
  <si>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</si>
  <si>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</si>
  <si>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</si>
  <si>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</si>
  <si>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</si>
  <si>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</si>
  <si>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</si>
  <si>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</si>
  <si>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</si>
  <si>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</si>
  <si>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</si>
  <si>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</si>
  <si>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</si>
  <si>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</si>
  <si>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</si>
  <si>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</si>
  <si>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</si>
  <si>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</si>
  <si>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</si>
  <si>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</si>
  <si>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</si>
  <si>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</si>
  <si>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</si>
  <si>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</si>
  <si>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</si>
  <si>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</si>
  <si>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</si>
  <si>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</si>
  <si>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</si>
  <si>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</si>
  <si>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</si>
  <si>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</si>
  <si>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</si>
  <si>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</si>
  <si>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</si>
  <si>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</si>
  <si>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</si>
  <si>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</si>
  <si>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</si>
  <si>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</si>
  <si>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</si>
  <si>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</si>
  <si>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</si>
  <si>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</si>
  <si>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</si>
  <si>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</si>
  <si>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</si>
  <si>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</si>
  <si>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</si>
  <si>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</si>
  <si>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</si>
  <si>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</si>
  <si>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</si>
  <si>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</si>
  <si>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</si>
  <si>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</si>
  <si>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</si>
  <si>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</si>
  <si>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</si>
  <si>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</si>
  <si>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</si>
  <si>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</si>
  <si>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</si>
  <si>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</si>
  <si>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</si>
  <si>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</si>
  <si>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</si>
  <si>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</si>
  <si>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</si>
  <si>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</si>
  <si>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</si>
  <si>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</si>
  <si>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</si>
  <si>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</si>
  <si>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</si>
  <si>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</si>
  <si>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</si>
  <si>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</si>
  <si>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</si>
  <si>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</si>
  <si>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</si>
  <si>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</si>
  <si>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</si>
  <si>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</si>
  <si>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</si>
  <si>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</si>
  <si>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</si>
  <si>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</si>
  <si>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</si>
  <si>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</si>
  <si>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</si>
  <si>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</si>
  <si>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</si>
  <si>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</si>
  <si>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</si>
  <si>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</si>
  <si>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</si>
  <si>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</si>
  <si>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</si>
  <si>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</si>
  <si>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</si>
  <si>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</si>
  <si>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</si>
  <si>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</si>
  <si>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</si>
  <si>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</si>
  <si>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</si>
  <si>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</si>
  <si>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</si>
  <si>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</si>
  <si>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</si>
  <si>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</si>
  <si>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</si>
  <si>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</si>
  <si>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</si>
  <si>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</si>
  <si>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</si>
  <si>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</si>
  <si>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</si>
  <si>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</si>
  <si>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</si>
  <si>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</si>
  <si>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</si>
  <si>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</si>
  <si>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</si>
  <si>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</si>
  <si>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</si>
  <si>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</si>
  <si>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</si>
  <si>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</si>
  <si>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</si>
  <si>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</si>
  <si>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</si>
  <si>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</si>
  <si>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</si>
  <si>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</si>
  <si>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</si>
  <si>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</si>
  <si>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</si>
  <si>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</si>
  <si>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</si>
  <si>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</si>
  <si>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</si>
  <si>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</si>
  <si>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</si>
  <si>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</si>
  <si>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</si>
  <si>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</si>
  <si>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</si>
  <si>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</si>
  <si>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</si>
  <si>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</si>
  <si>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</si>
  <si>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</si>
  <si>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</si>
  <si>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</si>
  <si>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</si>
  <si>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</si>
  <si>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</si>
  <si>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</si>
  <si>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</si>
  <si>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</si>
  <si>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</si>
  <si>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</si>
  <si>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</si>
  <si>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</si>
  <si>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</si>
  <si>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</si>
  <si>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</si>
  <si>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</si>
  <si>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</si>
  <si>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</si>
  <si>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</si>
  <si>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</si>
  <si>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</si>
  <si>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</si>
  <si>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</si>
  <si>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</si>
  <si>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</si>
  <si>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</si>
  <si>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</si>
  <si>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</si>
  <si>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</si>
  <si>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</si>
  <si>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</si>
  <si>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</si>
  <si>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</si>
  <si>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</si>
  <si>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</si>
  <si>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</si>
  <si>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</si>
  <si>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</si>
  <si>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</si>
  <si>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</si>
  <si>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</si>
  <si>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</si>
  <si>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</si>
  <si>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</si>
  <si>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</si>
  <si>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</si>
  <si>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</si>
  <si>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</si>
  <si>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</si>
  <si>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</si>
  <si>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</si>
  <si>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</si>
  <si>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</si>
  <si>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</si>
  <si>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</si>
  <si>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</si>
  <si>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</si>
  <si>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</si>
  <si>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</si>
  <si>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</si>
  <si>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</si>
  <si>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</si>
  <si>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</si>
  <si>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</si>
  <si>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</si>
  <si>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</si>
  <si>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</si>
  <si>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</si>
  <si>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</si>
  <si>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</si>
  <si>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</si>
  <si>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</si>
  <si>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</si>
  <si>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</si>
  <si>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</si>
  <si>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</si>
  <si>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</si>
  <si>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</si>
  <si>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</si>
  <si>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</si>
  <si>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</si>
  <si>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</si>
  <si>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</si>
  <si>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</si>
  <si>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</si>
  <si>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</si>
  <si>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</si>
  <si>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</si>
  <si>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</si>
  <si>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</si>
  <si>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</si>
  <si>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</si>
  <si>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</si>
  <si>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</si>
  <si>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</si>
  <si>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</si>
  <si>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</si>
  <si>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</si>
  <si>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</si>
  <si>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</si>
  <si>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</si>
  <si>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</si>
  <si>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</si>
  <si>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</si>
  <si>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</si>
  <si>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</si>
  <si>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</si>
  <si>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</si>
  <si>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</si>
  <si>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</si>
  <si>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</si>
  <si>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</si>
  <si>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</si>
  <si>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</si>
  <si>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</si>
  <si>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</si>
  <si>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</si>
  <si>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</si>
  <si>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</si>
  <si>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</si>
  <si>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</si>
  <si>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</si>
  <si>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</si>
  <si>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</si>
  <si>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</si>
  <si>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</si>
  <si>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</si>
  <si>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</si>
  <si>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</si>
  <si>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</si>
  <si>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</si>
  <si>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</si>
  <si>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</si>
  <si>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</si>
  <si>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</si>
  <si>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</si>
  <si>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</si>
  <si>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</si>
  <si>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</si>
  <si>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</si>
  <si>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</si>
  <si>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</si>
  <si>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</si>
  <si>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</si>
  <si>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</si>
  <si>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</si>
  <si>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</si>
  <si>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</si>
  <si>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</si>
  <si>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</si>
  <si>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</si>
  <si>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</si>
  <si>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</si>
  <si>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</si>
  <si>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</si>
  <si>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</si>
  <si>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</si>
  <si>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</si>
  <si>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</si>
  <si>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</si>
  <si>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</si>
  <si>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</si>
  <si>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</si>
  <si>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</si>
  <si>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</si>
  <si>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</si>
  <si>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</si>
  <si>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</si>
  <si>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</si>
  <si>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</si>
  <si>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</si>
  <si>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</si>
  <si>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</si>
  <si>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</si>
  <si>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</si>
  <si>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</si>
  <si>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</si>
  <si>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</si>
  <si>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</si>
  <si>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</si>
  <si>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</si>
  <si>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</si>
  <si>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</si>
  <si>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</si>
  <si>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</si>
  <si>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</si>
  <si>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</si>
  <si>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</si>
  <si>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</si>
  <si>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</si>
  <si>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</si>
  <si>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</si>
  <si>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</si>
  <si>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</si>
  <si>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</si>
  <si>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</si>
  <si>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</si>
  <si>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</si>
  <si>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</si>
  <si>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</si>
  <si>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</si>
  <si>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</si>
  <si>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</si>
  <si>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</si>
  <si>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</si>
  <si>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</si>
  <si>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</si>
  <si>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</si>
  <si>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</si>
  <si>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</si>
  <si>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</si>
  <si>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</si>
  <si>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</si>
  <si>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</si>
  <si>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</si>
  <si>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</si>
  <si>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</si>
  <si>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</si>
  <si>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</si>
  <si>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</si>
  <si>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</si>
  <si>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</si>
  <si>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</si>
  <si>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</si>
  <si>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</si>
  <si>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</si>
  <si>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</si>
  <si>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</si>
  <si>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</si>
  <si>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</si>
  <si>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</si>
  <si>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</si>
  <si>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</si>
  <si>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</si>
  <si>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</si>
  <si>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</si>
  <si>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</si>
  <si>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</si>
  <si>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</si>
  <si>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</si>
  <si>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</si>
  <si>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</si>
  <si>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</si>
  <si>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</si>
  <si>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</si>
  <si>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</si>
  <si>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</si>
  <si>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</si>
  <si>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</si>
  <si>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</si>
  <si>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</si>
  <si>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</si>
  <si>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</si>
  <si>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</si>
  <si>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</si>
  <si>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</si>
  <si>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</si>
  <si>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</si>
  <si>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</si>
  <si>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</si>
  <si>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</si>
  <si>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</si>
  <si>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</si>
  <si>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</si>
  <si>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</si>
  <si>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</si>
  <si>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</si>
  <si>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</si>
  <si>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</si>
  <si>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</si>
  <si>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</si>
  <si>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</si>
  <si>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</si>
  <si>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</si>
  <si>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</si>
  <si>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</si>
  <si>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</si>
  <si>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</si>
  <si>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</si>
  <si>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</si>
  <si>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</si>
  <si>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</si>
  <si>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</si>
  <si>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</si>
  <si>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</si>
  <si>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</si>
  <si>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</si>
  <si>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</si>
  <si>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</si>
  <si>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</si>
  <si>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</si>
  <si>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</si>
  <si>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</si>
  <si>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</si>
  <si>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</si>
  <si>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</si>
  <si>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</si>
  <si>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</si>
  <si>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</si>
  <si>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</si>
  <si>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</si>
  <si>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</si>
  <si>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</si>
  <si>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</si>
  <si>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</si>
  <si>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</si>
  <si>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</si>
  <si>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</si>
  <si>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</si>
  <si>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</si>
  <si>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</si>
  <si>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</si>
  <si>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</si>
  <si>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</si>
  <si>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</si>
  <si>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</si>
  <si>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</si>
  <si>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</si>
  <si>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</si>
  <si>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</si>
  <si>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</si>
  <si>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</si>
  <si>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</si>
  <si>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</si>
  <si>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</si>
  <si>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</si>
  <si>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</si>
  <si>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</si>
  <si>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</si>
  <si>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</si>
  <si>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</si>
  <si>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</si>
  <si>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</si>
  <si>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</si>
  <si>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</si>
  <si>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</si>
  <si>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</si>
  <si>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</si>
  <si>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</si>
  <si>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</si>
  <si>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</si>
  <si>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</si>
  <si>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</si>
  <si>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</si>
  <si>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</si>
  <si>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</si>
  <si>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</si>
  <si>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</si>
  <si>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</si>
  <si>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</si>
  <si>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</si>
  <si>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</si>
  <si>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</si>
  <si>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</si>
  <si>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</si>
  <si>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</si>
  <si>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</si>
  <si>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</si>
  <si>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</si>
  <si>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</si>
  <si>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</si>
  <si>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</si>
  <si>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</si>
  <si>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</si>
  <si>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</si>
  <si>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</si>
  <si>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</si>
  <si>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</si>
  <si>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</si>
  <si>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</si>
  <si>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</si>
  <si>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</si>
  <si>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</si>
  <si>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</si>
  <si>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</si>
  <si>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</si>
  <si>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</si>
  <si>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</si>
  <si>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</si>
  <si>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</si>
  <si>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</si>
  <si>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</si>
  <si>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</si>
  <si>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</si>
  <si>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</si>
  <si>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</si>
  <si>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</si>
  <si>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</si>
  <si>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</si>
  <si>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</si>
  <si>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</si>
  <si>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</si>
  <si>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</si>
  <si>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</si>
  <si>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</si>
  <si>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</si>
  <si>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</si>
  <si>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</si>
  <si>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</si>
  <si>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</si>
  <si>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</si>
  <si>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</si>
  <si>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</si>
  <si>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</si>
  <si>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</si>
  <si>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</si>
  <si>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</si>
  <si>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</si>
  <si>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</si>
  <si>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</si>
  <si>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</si>
  <si>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</si>
  <si>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</si>
  <si>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</si>
  <si>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</si>
  <si>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</si>
  <si>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</si>
  <si>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</si>
  <si>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</si>
  <si>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</si>
  <si>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</si>
  <si>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</si>
  <si>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</si>
  <si>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</si>
  <si>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</si>
  <si>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</si>
  <si>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</si>
  <si>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</si>
  <si>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</si>
  <si>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</si>
  <si>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</si>
  <si>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</si>
  <si>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</si>
  <si>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</si>
  <si>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</si>
  <si>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</si>
  <si>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</si>
  <si>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</si>
  <si>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</si>
  <si>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</si>
  <si>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</si>
  <si>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</si>
  <si>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</si>
  <si>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</si>
  <si>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</si>
  <si>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</si>
  <si>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</si>
  <si>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</si>
  <si>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</si>
  <si>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</si>
  <si>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</si>
  <si>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</si>
  <si>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</si>
  <si>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</si>
  <si>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</si>
  <si>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</si>
  <si>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</si>
  <si>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</si>
  <si>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</si>
  <si>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</si>
  <si>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</si>
  <si>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</si>
  <si>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</si>
  <si>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</si>
  <si>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</si>
  <si>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</si>
  <si>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</si>
  <si>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</si>
  <si>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</si>
  <si>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</si>
  <si>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</si>
  <si>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</si>
  <si>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</si>
  <si>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</si>
  <si>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</si>
  <si>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</si>
  <si>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</si>
  <si>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</si>
  <si>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</si>
  <si>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</si>
  <si>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</si>
  <si>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</si>
  <si>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</si>
  <si>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</si>
  <si>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</si>
  <si>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</si>
  <si>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</si>
  <si>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</si>
  <si>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</si>
  <si>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</si>
  <si>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</si>
  <si>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</si>
  <si>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</si>
  <si>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</si>
  <si>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</si>
  <si>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</si>
  <si>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</si>
  <si>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</si>
  <si>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</si>
  <si>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</si>
  <si>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</si>
  <si>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</si>
  <si>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</si>
  <si>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</si>
  <si>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</si>
  <si>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</si>
  <si>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</si>
  <si>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</si>
  <si>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</si>
  <si>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</si>
  <si>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</si>
  <si>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</si>
  <si>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</si>
  <si>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</si>
  <si>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</si>
  <si>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</si>
  <si>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</si>
  <si>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</si>
  <si>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</si>
  <si>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</si>
  <si>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</si>
  <si>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</si>
  <si>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</si>
  <si>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</si>
  <si>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</si>
  <si>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</si>
  <si>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</si>
  <si>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</si>
  <si>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</si>
  <si>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</si>
  <si>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</si>
  <si>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</si>
  <si>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</si>
  <si>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</si>
  <si>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</si>
  <si>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</si>
  <si>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</si>
  <si>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</si>
  <si>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</si>
  <si>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</si>
  <si>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</si>
  <si>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</si>
  <si>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</si>
  <si>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</si>
  <si>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</si>
  <si>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</si>
  <si>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</si>
  <si>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</si>
  <si>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</si>
  <si>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</si>
  <si>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</si>
  <si>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</si>
  <si>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</si>
  <si>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</si>
  <si>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</si>
  <si>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</si>
  <si>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</si>
  <si>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</si>
  <si>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</si>
  <si>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</si>
  <si>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</si>
  <si>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</si>
  <si>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</si>
  <si>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</si>
  <si>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</si>
  <si>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</si>
  <si>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</si>
  <si>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</si>
  <si>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</si>
  <si>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</si>
  <si>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</si>
  <si>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</si>
  <si>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</si>
  <si>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</si>
  <si>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</si>
  <si>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</si>
  <si>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</si>
  <si>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</si>
  <si>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</si>
  <si>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</si>
  <si>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</si>
  <si>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</si>
  <si>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</si>
  <si>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</si>
  <si>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</si>
  <si>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</si>
  <si>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</si>
  <si>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</si>
  <si>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</si>
  <si>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</si>
  <si>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</si>
  <si>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</si>
  <si>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</si>
  <si>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</si>
  <si>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</si>
  <si>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</si>
  <si>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</si>
  <si>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</si>
  <si>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</si>
  <si>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</si>
  <si>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</si>
  <si>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</si>
  <si>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</si>
  <si>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</si>
  <si>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</si>
  <si>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</si>
  <si>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</si>
  <si>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</si>
  <si>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</si>
  <si>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</si>
  <si>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</si>
  <si>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</si>
  <si>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</si>
  <si>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</si>
  <si>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</si>
  <si>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</si>
  <si>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</si>
  <si>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</si>
  <si>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</si>
  <si>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</si>
  <si>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</si>
  <si>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</si>
  <si>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</si>
  <si>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</si>
  <si>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</si>
  <si>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</si>
  <si>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</si>
  <si>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</si>
  <si>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</si>
  <si>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</si>
  <si>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</si>
  <si>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</si>
  <si>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</si>
  <si>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</si>
  <si>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</si>
  <si>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</si>
  <si>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</si>
  <si>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</si>
  <si>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</si>
  <si>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</si>
  <si>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</si>
  <si>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</si>
  <si>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</si>
  <si>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</si>
  <si>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</si>
  <si>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</si>
  <si>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</si>
  <si>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</si>
  <si>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</si>
  <si>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</si>
  <si>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</si>
  <si>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</si>
  <si>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</si>
  <si>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</si>
  <si>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</si>
  <si>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</si>
  <si>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</si>
  <si>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</si>
  <si>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</si>
  <si>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</si>
  <si>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</si>
  <si>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</si>
  <si>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</si>
  <si>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</si>
  <si>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</si>
  <si>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</si>
  <si>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</si>
  <si>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</si>
  <si>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</si>
  <si>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</si>
  <si>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</si>
  <si>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</si>
  <si>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</si>
  <si>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</si>
  <si>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</si>
  <si>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</si>
  <si>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</si>
  <si>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</si>
  <si>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</si>
  <si>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</si>
  <si>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</si>
  <si>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</si>
  <si>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</si>
  <si>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</si>
  <si>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</si>
  <si>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</si>
  <si>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</si>
  <si>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</si>
  <si>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</si>
  <si>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</si>
  <si>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</si>
  <si>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</si>
  <si>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</si>
  <si>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</si>
  <si>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</si>
  <si>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</si>
  <si>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</si>
  <si>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</si>
  <si>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</si>
  <si>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</si>
  <si>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</si>
  <si>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</si>
  <si>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</si>
  <si>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</si>
  <si>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</si>
  <si>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</si>
  <si>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</si>
  <si>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</si>
  <si>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</si>
  <si>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</si>
  <si>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</si>
  <si>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</si>
  <si>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</si>
  <si>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</si>
  <si>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</si>
  <si>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</si>
  <si>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</si>
  <si>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</si>
  <si>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</si>
  <si>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</si>
  <si>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</si>
  <si>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</si>
  <si>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</si>
  <si>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</si>
  <si>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</si>
  <si>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</si>
  <si>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</si>
  <si>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</si>
  <si>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</si>
  <si>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</si>
  <si>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</si>
  <si>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</si>
  <si>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</si>
  <si>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</si>
  <si>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</si>
  <si>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</si>
  <si>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</si>
  <si>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</si>
  <si>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</si>
  <si>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</si>
  <si>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</si>
  <si>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</si>
  <si>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</si>
  <si>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</si>
  <si>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</si>
  <si>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</si>
  <si>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</si>
  <si>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</si>
  <si>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</si>
  <si>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</si>
  <si>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</si>
  <si>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</si>
  <si>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</si>
  <si>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</si>
  <si>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</si>
  <si>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</si>
  <si>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</si>
  <si>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</si>
  <si>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</si>
  <si>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</si>
  <si>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</si>
  <si>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</si>
  <si>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</si>
  <si>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</si>
  <si>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</si>
  <si>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</si>
  <si>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</si>
  <si>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</si>
  <si>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</si>
  <si>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</si>
  <si>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</si>
  <si>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</si>
  <si>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</si>
  <si>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</si>
  <si>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</si>
  <si>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</si>
  <si>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</si>
  <si>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</si>
  <si>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</si>
  <si>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</si>
  <si>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</si>
  <si>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</si>
  <si>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</si>
  <si>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</si>
  <si>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</si>
  <si>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</si>
  <si>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</si>
  <si>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</si>
  <si>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</si>
  <si>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</si>
  <si>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</si>
  <si>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</si>
  <si>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</si>
  <si>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</si>
  <si>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</si>
  <si>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</si>
  <si>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</si>
  <si>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</si>
  <si>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</si>
  <si>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</si>
  <si>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</si>
  <si>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</si>
  <si>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</si>
  <si>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</si>
  <si>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</si>
  <si>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</si>
  <si>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</si>
  <si>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</si>
  <si>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</si>
  <si>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</si>
  <si>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</si>
  <si>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</si>
  <si>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</si>
  <si>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</si>
  <si>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</si>
  <si>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</si>
  <si>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</si>
  <si>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</si>
  <si>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</si>
  <si>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</si>
  <si>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</si>
  <si>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</si>
  <si>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</si>
  <si>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</si>
  <si>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</si>
  <si>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</si>
  <si>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</si>
  <si>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</si>
  <si>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</si>
  <si>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</si>
  <si>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</si>
  <si>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</si>
  <si>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</si>
  <si>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</si>
  <si>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</si>
  <si>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</si>
  <si>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</si>
  <si>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</si>
  <si>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</si>
  <si>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</si>
  <si>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</si>
  <si>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</si>
  <si>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</si>
  <si>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</si>
  <si>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</si>
  <si>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</si>
  <si>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</si>
  <si>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</si>
  <si>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</si>
  <si>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</si>
  <si>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</si>
  <si>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</si>
  <si>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</si>
  <si>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</si>
  <si>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</si>
  <si>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</si>
  <si>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</si>
  <si>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</si>
  <si>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</si>
  <si>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</si>
  <si>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</si>
  <si>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</si>
  <si>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</si>
  <si>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</si>
  <si>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</si>
  <si>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</si>
  <si>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</si>
  <si>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</si>
  <si>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</si>
  <si>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</si>
  <si>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</si>
  <si>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</si>
  <si>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</si>
  <si>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</si>
  <si>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</si>
  <si>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</si>
  <si>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</si>
  <si>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</si>
  <si>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</si>
  <si>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</si>
  <si>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</si>
  <si>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</si>
  <si>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</si>
  <si>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</si>
  <si>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</si>
  <si>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</si>
  <si>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</si>
  <si>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</si>
  <si>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</si>
  <si>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</si>
  <si>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</si>
  <si>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</si>
  <si>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</si>
  <si>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</si>
  <si>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</si>
  <si>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</si>
  <si>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</si>
  <si>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</si>
  <si>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</si>
  <si>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</si>
  <si>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</si>
  <si>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</si>
  <si>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</si>
  <si>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</si>
  <si>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</si>
  <si>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</si>
  <si>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</si>
  <si>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</si>
  <si>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</si>
  <si>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</si>
  <si>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</si>
  <si>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</si>
  <si>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</si>
  <si>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</si>
  <si>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</si>
  <si>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</si>
  <si>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</si>
  <si>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</si>
  <si>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</si>
  <si>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</si>
  <si>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</si>
  <si>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</si>
  <si>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</si>
  <si>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</si>
  <si>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</si>
  <si>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</si>
  <si>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</si>
  <si>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</si>
  <si>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</si>
  <si>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</si>
  <si>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</si>
  <si>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</si>
  <si>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</si>
  <si>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</si>
  <si>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</si>
  <si>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</si>
  <si>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</si>
  <si>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</si>
  <si>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</si>
  <si>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</si>
  <si>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</si>
  <si>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</si>
  <si>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</si>
  <si>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</si>
  <si>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</si>
  <si>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</si>
  <si>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</si>
  <si>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</si>
  <si>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</si>
  <si>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</si>
  <si>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</si>
  <si>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</si>
  <si>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</si>
  <si>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</si>
  <si>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</si>
  <si>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</si>
  <si>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</si>
  <si>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</si>
  <si>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</si>
  <si>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</si>
  <si>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</si>
  <si>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</si>
  <si>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</si>
  <si>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</si>
  <si>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</si>
  <si>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</si>
  <si>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</si>
  <si>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</si>
  <si>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</si>
  <si>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</si>
  <si>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</si>
  <si>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</si>
  <si>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</si>
  <si>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</si>
  <si>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</si>
  <si>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</si>
  <si>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</si>
  <si>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</si>
  <si>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</si>
  <si>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</si>
  <si>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</si>
  <si>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</si>
  <si>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</si>
  <si>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</si>
  <si>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</si>
  <si>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</si>
  <si>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</si>
  <si>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</si>
  <si>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</si>
  <si>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</si>
  <si>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</si>
  <si>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</si>
  <si>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</si>
  <si>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</si>
  <si>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</si>
  <si>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</si>
  <si>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</si>
  <si>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</si>
  <si>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</si>
  <si>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</si>
  <si>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</si>
  <si>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</si>
  <si>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</si>
  <si>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</si>
  <si>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</si>
  <si>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</si>
  <si>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</si>
  <si>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</si>
  <si>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</si>
  <si>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</si>
  <si>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</si>
  <si>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</si>
  <si>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</si>
  <si>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</si>
  <si>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</si>
  <si>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</si>
  <si>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</si>
  <si>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</si>
  <si>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</si>
  <si>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</si>
  <si>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</si>
  <si>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</si>
  <si>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</si>
  <si>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</si>
  <si>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</si>
  <si>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</si>
  <si>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</si>
  <si>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</si>
  <si>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</si>
  <si>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</si>
  <si>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</si>
  <si>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</si>
  <si>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</si>
  <si>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</si>
  <si>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</si>
  <si>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</si>
  <si>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</si>
  <si>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</si>
  <si>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</si>
  <si>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</si>
  <si>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</si>
  <si>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</si>
  <si>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</si>
  <si>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</si>
  <si>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</si>
  <si>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</si>
  <si>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</si>
  <si>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</si>
  <si>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</si>
  <si>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</si>
  <si>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</si>
  <si>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</si>
  <si>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</si>
  <si>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</si>
  <si>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</si>
  <si>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</si>
  <si>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</si>
  <si>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</si>
  <si>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</si>
  <si>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</si>
  <si>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</si>
  <si>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</si>
  <si>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</si>
  <si>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</si>
  <si>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</si>
  <si>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</si>
  <si>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</si>
  <si>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</si>
  <si>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</si>
  <si>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</si>
  <si>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</si>
  <si>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</si>
  <si>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</si>
  <si>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</si>
  <si>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</si>
  <si>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</si>
  <si>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</si>
  <si>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</si>
  <si>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</si>
  <si>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</si>
  <si>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</si>
  <si>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</si>
  <si>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</si>
  <si>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</si>
  <si>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</si>
  <si>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</si>
  <si>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</si>
  <si>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</si>
  <si>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</si>
  <si>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</si>
  <si>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</si>
  <si>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</si>
  <si>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</si>
  <si>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</si>
  <si>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</si>
  <si>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</si>
  <si>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</si>
  <si>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</si>
  <si>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</si>
  <si>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</si>
  <si>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</si>
  <si>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</si>
  <si>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</si>
  <si>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</si>
  <si>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</si>
  <si>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</si>
  <si>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</si>
  <si>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</si>
  <si>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</si>
  <si>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</si>
  <si>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</si>
  <si>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</si>
  <si>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</si>
  <si>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</si>
  <si>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</si>
  <si>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</si>
  <si>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</si>
  <si>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</si>
  <si>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</si>
  <si>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</si>
  <si>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</si>
  <si>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</si>
  <si>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</si>
  <si>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</si>
  <si>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</si>
  <si>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</si>
  <si>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</si>
  <si>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</si>
  <si>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</si>
  <si>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</si>
  <si>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</si>
  <si>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</si>
  <si>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</si>
  <si>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</si>
  <si>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</si>
  <si>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</si>
  <si>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</si>
  <si>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</si>
  <si>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</si>
  <si>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</si>
  <si>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</si>
  <si>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</si>
  <si>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</si>
  <si>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</si>
  <si>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</si>
  <si>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</si>
  <si>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</si>
  <si>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</si>
  <si>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</si>
  <si>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</si>
  <si>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</si>
  <si>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</si>
  <si>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</si>
  <si>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</si>
  <si>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</si>
  <si>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</si>
  <si>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</si>
  <si>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</si>
  <si>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</si>
  <si>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</si>
  <si>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</si>
  <si>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</si>
  <si>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</si>
  <si>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</si>
  <si>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</si>
  <si>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</si>
  <si>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</si>
  <si>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</si>
  <si>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</si>
  <si>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</si>
  <si>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</si>
  <si>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</si>
  <si>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</si>
  <si>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</si>
  <si>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</si>
  <si>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</si>
  <si>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</si>
  <si>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</si>
  <si>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</si>
  <si>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</si>
  <si>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</si>
  <si>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</si>
  <si>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</si>
  <si>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</si>
  <si>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</si>
  <si>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</si>
  <si>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</si>
  <si>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</si>
  <si>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</si>
  <si>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</si>
  <si>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</si>
  <si>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</si>
  <si>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</si>
  <si>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</si>
  <si>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</si>
  <si>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</si>
  <si>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</si>
  <si>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</si>
  <si>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</si>
  <si>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</si>
  <si>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</si>
  <si>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</si>
  <si>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</si>
  <si>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</si>
  <si>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</si>
  <si>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</si>
  <si>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</si>
  <si>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</si>
  <si>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</si>
  <si>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</si>
  <si>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</si>
  <si>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</si>
  <si>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</si>
  <si>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</si>
  <si>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</si>
  <si>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</si>
  <si>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</si>
  <si>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</si>
  <si>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</si>
  <si>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</si>
  <si>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</si>
  <si>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</si>
  <si>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</si>
  <si>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</si>
  <si>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</si>
  <si>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</si>
  <si>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</si>
  <si>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</si>
  <si>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</si>
  <si>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</si>
  <si>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</si>
  <si>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</si>
  <si>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</si>
  <si>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</si>
  <si>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</si>
  <si>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</si>
  <si>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</si>
  <si>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</si>
  <si>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</si>
  <si>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</si>
  <si>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</si>
  <si>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</si>
  <si>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</si>
  <si>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</si>
  <si>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</si>
  <si>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</si>
  <si>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</si>
  <si>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</si>
  <si>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</si>
  <si>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</si>
  <si>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</si>
  <si>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</si>
  <si>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</si>
  <si>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</si>
  <si>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</si>
  <si>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</si>
  <si>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</si>
  <si>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</si>
  <si>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</si>
  <si>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</si>
  <si>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</si>
  <si>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</si>
  <si>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</si>
  <si>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</si>
  <si>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</si>
  <si>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</si>
  <si>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</si>
  <si>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</si>
  <si>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</si>
  <si>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</si>
  <si>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</si>
  <si>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</si>
  <si>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</si>
  <si>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</si>
  <si>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</si>
  <si>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</si>
  <si>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</si>
  <si>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</si>
  <si>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</si>
  <si>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</si>
  <si>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</si>
  <si>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</si>
  <si>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</si>
  <si>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</si>
  <si>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</si>
  <si>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</si>
  <si>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</si>
  <si>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</si>
  <si>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</si>
  <si>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</si>
  <si>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</si>
  <si>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</si>
  <si>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</si>
  <si>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</si>
  <si>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</si>
  <si>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</si>
  <si>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</si>
  <si>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</si>
  <si>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</si>
  <si>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</si>
  <si>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</si>
  <si>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</si>
  <si>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</si>
  <si>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</si>
  <si>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</si>
  <si>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</si>
  <si>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</si>
  <si>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</si>
  <si>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</si>
  <si>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</si>
  <si>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</si>
  <si>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</si>
  <si>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</si>
  <si>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</si>
  <si>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</si>
  <si>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</si>
  <si>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</si>
  <si>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</si>
  <si>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</si>
  <si>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</si>
  <si>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</si>
  <si>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</si>
  <si>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</si>
  <si>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</si>
  <si>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</si>
  <si>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</si>
  <si>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</si>
  <si>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</si>
  <si>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</si>
  <si>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</si>
  <si>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</si>
  <si>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</si>
  <si>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</si>
  <si>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</si>
  <si>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</si>
  <si>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</si>
  <si>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</si>
  <si>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</si>
  <si>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</si>
  <si>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</si>
  <si>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</si>
  <si>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</si>
  <si>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</si>
  <si>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</si>
  <si>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</si>
  <si>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</si>
  <si>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</si>
  <si>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</si>
  <si>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</si>
  <si>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</si>
  <si>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</si>
  <si>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</si>
  <si>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</si>
  <si>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</si>
  <si>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</si>
  <si>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</si>
  <si>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</si>
  <si>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</si>
  <si>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</si>
  <si>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</si>
  <si>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</si>
  <si>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</si>
  <si>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</si>
  <si>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</si>
  <si>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</si>
  <si>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</si>
  <si>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</si>
  <si>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</si>
  <si>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</si>
  <si>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</si>
  <si>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</si>
  <si>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</si>
  <si>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</si>
  <si>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</si>
  <si>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</si>
  <si>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</si>
  <si>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</si>
  <si>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</si>
  <si>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</si>
  <si>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</si>
  <si>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</si>
  <si>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</si>
  <si>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</si>
  <si>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</si>
  <si>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</si>
  <si>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</si>
  <si>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</si>
  <si>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</si>
  <si>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</si>
  <si>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</si>
  <si>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</si>
  <si>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</si>
  <si>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</si>
  <si>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</si>
  <si>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</si>
  <si>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</si>
  <si>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</si>
  <si>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</si>
  <si>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</si>
  <si>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</si>
  <si>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</si>
  <si>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</si>
  <si>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</si>
  <si>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</si>
  <si>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</si>
  <si>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</si>
  <si>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</si>
  <si>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</si>
  <si>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</si>
  <si>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</si>
  <si>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</si>
  <si>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</si>
  <si>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</si>
  <si>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</si>
  <si>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</si>
  <si>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</si>
  <si>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</si>
  <si>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</si>
  <si>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</si>
  <si>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</si>
  <si>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</si>
  <si>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</si>
  <si>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</si>
  <si>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</si>
  <si>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</si>
  <si>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</si>
  <si>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</si>
  <si>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</si>
  <si>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</si>
  <si>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</si>
  <si>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</si>
  <si>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</si>
  <si>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</si>
  <si>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</si>
  <si>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</si>
  <si>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</si>
  <si>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</si>
  <si>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</si>
  <si>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</si>
  <si>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</si>
  <si>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</si>
  <si>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</si>
  <si>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</si>
  <si>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</si>
  <si>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</si>
  <si>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</si>
  <si>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</si>
  <si>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</si>
  <si>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</si>
  <si>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</si>
  <si>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</si>
  <si>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</si>
  <si>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</si>
  <si>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</si>
  <si>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</si>
  <si>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</si>
  <si>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</si>
  <si>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</si>
  <si>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</si>
  <si>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</si>
  <si>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</si>
  <si>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</si>
  <si>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</si>
  <si>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</si>
  <si>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</si>
  <si>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</si>
  <si>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</si>
  <si>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</si>
  <si>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</si>
  <si>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</si>
  <si>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</si>
  <si>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</si>
  <si>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</si>
  <si>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</si>
  <si>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</si>
  <si>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</si>
  <si>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</si>
  <si>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</si>
  <si>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</si>
  <si>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</si>
  <si>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</si>
  <si>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</si>
  <si>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</si>
  <si>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</si>
  <si>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</si>
  <si>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</si>
  <si>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</si>
  <si>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</si>
  <si>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</si>
  <si>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</si>
  <si>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</si>
  <si>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</si>
  <si>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</si>
  <si>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</si>
  <si>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</si>
  <si>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</si>
  <si>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</si>
  <si>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</si>
  <si>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</si>
  <si>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</si>
  <si>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</si>
  <si>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</si>
  <si>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</si>
  <si>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</si>
  <si>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</si>
  <si>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</si>
  <si>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</si>
  <si>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</si>
  <si>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</si>
  <si>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</si>
  <si>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</si>
  <si>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</si>
  <si>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</si>
  <si>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</si>
  <si>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</si>
  <si>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</si>
  <si>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</si>
  <si>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</si>
  <si>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</si>
  <si>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</si>
  <si>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</si>
  <si>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</si>
  <si>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</si>
  <si>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</si>
  <si>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</si>
  <si>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</si>
  <si>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</si>
  <si>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</si>
  <si>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</si>
  <si>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</si>
  <si>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</si>
  <si>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</si>
  <si>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</si>
  <si>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</si>
  <si>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</si>
  <si>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</si>
  <si>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</si>
  <si>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</si>
  <si>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</si>
  <si>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</si>
  <si>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</si>
  <si>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</si>
  <si>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</si>
  <si>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</si>
  <si>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</si>
  <si>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</si>
  <si>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</si>
  <si>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</si>
  <si>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</si>
  <si>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</si>
  <si>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</si>
  <si>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</si>
  <si>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</si>
  <si>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</si>
  <si>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</si>
  <si>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</si>
  <si>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</si>
  <si>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</si>
  <si>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</si>
  <si>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</si>
  <si>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</si>
  <si>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</si>
  <si>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</si>
  <si>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</si>
  <si>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</si>
  <si>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</si>
  <si>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</si>
  <si>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</si>
  <si>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</si>
  <si>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</si>
  <si>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</si>
  <si>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</si>
  <si>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</si>
  <si>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</si>
  <si>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</si>
  <si>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</si>
  <si>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</si>
  <si>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</si>
  <si>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</si>
  <si>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</si>
  <si>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</si>
  <si>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</si>
  <si>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</si>
  <si>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</si>
  <si>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</si>
  <si>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</si>
  <si>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</si>
  <si>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</si>
  <si>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</si>
  <si>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</si>
  <si>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</si>
  <si>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</si>
  <si>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</si>
  <si>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</si>
  <si>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</si>
  <si>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</si>
  <si>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</si>
  <si>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</si>
  <si>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</si>
  <si>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</si>
  <si>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</si>
  <si>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</si>
  <si>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</si>
  <si>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</si>
  <si>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</si>
  <si>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</si>
  <si>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</si>
  <si>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</si>
  <si>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</si>
  <si>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</si>
  <si>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</si>
  <si>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</si>
  <si>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</si>
  <si>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</si>
  <si>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</si>
  <si>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</si>
  <si>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</si>
  <si>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</si>
  <si>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</si>
  <si>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</si>
  <si>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</si>
  <si>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</si>
  <si>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</si>
  <si>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</si>
  <si>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</si>
  <si>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</si>
  <si>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</si>
  <si>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</si>
  <si>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</si>
  <si>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</si>
  <si>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</si>
  <si>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</si>
  <si>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</si>
  <si>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</si>
  <si>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</si>
  <si>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</si>
  <si>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</si>
  <si>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</si>
  <si>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</si>
  <si>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</si>
  <si>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</si>
  <si>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</si>
  <si>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</si>
  <si>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</si>
  <si>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</si>
  <si>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</si>
  <si>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</si>
  <si>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</si>
  <si>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</si>
  <si>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</si>
  <si>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</si>
  <si>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</si>
  <si>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</si>
  <si>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</si>
  <si>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</si>
  <si>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</si>
  <si>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</si>
  <si>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</si>
  <si>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</si>
  <si>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</si>
  <si>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</si>
  <si>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</si>
  <si>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</si>
  <si>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</si>
  <si>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</si>
  <si>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</si>
  <si>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</si>
  <si>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</si>
  <si>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</si>
  <si>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</si>
  <si>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</si>
  <si>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</si>
  <si>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</si>
  <si>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</si>
  <si>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</si>
  <si>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</si>
  <si>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</si>
  <si>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</si>
  <si>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</si>
  <si>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</si>
  <si>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</si>
  <si>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</si>
  <si>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</si>
  <si>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</si>
  <si>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</si>
  <si>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</si>
  <si>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</si>
  <si>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</si>
  <si>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</si>
  <si>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</si>
  <si>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</si>
  <si>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</si>
  <si>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</si>
  <si>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</si>
  <si>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</si>
  <si>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</si>
  <si>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</si>
  <si>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</si>
  <si>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</si>
  <si>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</si>
  <si>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</si>
  <si>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</si>
  <si>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</si>
  <si>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</si>
  <si>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</si>
  <si>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</si>
  <si>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</si>
  <si>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</si>
  <si>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</si>
  <si>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</si>
  <si>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</si>
  <si>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</si>
  <si>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</si>
  <si>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</si>
  <si>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</si>
  <si>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</si>
  <si>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</si>
  <si>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</si>
  <si>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</si>
  <si>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</si>
  <si>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</si>
  <si>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</si>
  <si>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</si>
  <si>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</si>
  <si>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</si>
  <si>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</si>
  <si>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</si>
  <si>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</si>
  <si>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</si>
  <si>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</si>
  <si>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</si>
  <si>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</si>
  <si>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</si>
  <si>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</si>
  <si>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</si>
  <si>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</si>
  <si>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</si>
  <si>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</si>
  <si>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</si>
  <si>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</si>
  <si>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</si>
  <si>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</si>
  <si>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</si>
  <si>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</si>
  <si>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</si>
  <si>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</si>
  <si>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</si>
  <si>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</si>
  <si>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</si>
  <si>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</si>
  <si>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</si>
  <si>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</si>
  <si>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</si>
  <si>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</si>
  <si>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</si>
  <si>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</si>
  <si>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</si>
  <si>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</si>
  <si>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</si>
  <si>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</si>
  <si>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</si>
  <si>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</si>
  <si>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</si>
  <si>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</si>
  <si>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</si>
  <si>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</si>
  <si>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</si>
  <si>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</si>
  <si>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</si>
  <si>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</si>
  <si>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</si>
  <si>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</si>
  <si>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</si>
  <si>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</si>
  <si>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</si>
  <si>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</si>
  <si>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</si>
  <si>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</si>
  <si>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</si>
  <si>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</si>
  <si>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</si>
  <si>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</si>
  <si>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</si>
  <si>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</si>
  <si>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</si>
  <si>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</si>
  <si>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</si>
  <si>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</si>
  <si>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</si>
  <si>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</si>
  <si>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</si>
  <si>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</si>
  <si>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</si>
  <si>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</si>
  <si>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</si>
  <si>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</si>
  <si>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</si>
  <si>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</si>
  <si>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</si>
  <si>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</si>
  <si>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</si>
  <si>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</si>
  <si>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</si>
  <si>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</si>
  <si>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</si>
  <si>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</si>
  <si>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</si>
  <si>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</si>
  <si>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</si>
  <si>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</si>
  <si>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</si>
  <si>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</si>
  <si>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</si>
  <si>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</si>
  <si>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</si>
  <si>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</si>
  <si>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</si>
  <si>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</si>
  <si>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</si>
  <si>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</si>
  <si>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</si>
  <si>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</si>
  <si>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</si>
  <si>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</si>
  <si>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</si>
  <si>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</si>
  <si>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</si>
  <si>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</si>
  <si>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</si>
  <si>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</si>
  <si>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</si>
  <si>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</si>
  <si>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</si>
  <si>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</si>
  <si>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</si>
  <si>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</si>
  <si>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</si>
  <si>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</si>
  <si>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</si>
  <si>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</si>
  <si>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</si>
  <si>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</si>
  <si>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</si>
  <si>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</si>
  <si>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</si>
  <si>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</si>
  <si>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</si>
  <si>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</si>
  <si>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</si>
  <si>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</si>
  <si>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</si>
  <si>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</si>
  <si>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</si>
  <si>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</si>
  <si>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</si>
  <si>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</si>
  <si>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</si>
  <si>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</si>
  <si>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</si>
  <si>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</si>
  <si>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</si>
  <si>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</si>
  <si>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</si>
  <si>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</si>
  <si>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</si>
  <si>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</si>
  <si>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</si>
  <si>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</si>
  <si>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</si>
  <si>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</si>
  <si>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</si>
  <si>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</si>
  <si>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</si>
  <si>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</si>
  <si>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</si>
  <si>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</si>
  <si>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</si>
  <si>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</si>
  <si>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</si>
  <si>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</si>
  <si>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</si>
  <si>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</si>
  <si>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</si>
  <si>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</si>
  <si>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</si>
  <si>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</si>
  <si>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</si>
  <si>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</si>
  <si>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</si>
  <si>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</si>
  <si>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</si>
  <si>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</si>
  <si>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</si>
  <si>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</si>
  <si>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</si>
  <si>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</si>
  <si>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</si>
  <si>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</si>
  <si>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</si>
  <si>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</si>
  <si>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</si>
  <si>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</si>
  <si>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</si>
  <si>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</si>
  <si>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</si>
  <si>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</si>
  <si>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</si>
  <si>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</si>
  <si>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</si>
  <si>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</si>
  <si>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</si>
  <si>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</si>
  <si>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</si>
  <si>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</si>
  <si>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</si>
  <si>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</si>
  <si>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</si>
  <si>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</si>
  <si>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</si>
  <si>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</si>
  <si>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</si>
  <si>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</si>
  <si>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</si>
  <si>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</si>
  <si>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</si>
  <si>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</si>
  <si>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</si>
  <si>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</si>
  <si>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</si>
  <si>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</si>
  <si>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</si>
  <si>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</si>
  <si>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</si>
  <si>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</si>
  <si>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</si>
  <si>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</si>
  <si>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</si>
  <si>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</si>
  <si>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</si>
  <si>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</si>
  <si>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</si>
  <si>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</si>
  <si>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</si>
  <si>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</si>
  <si>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</si>
  <si>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</si>
  <si>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</si>
  <si>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</si>
  <si>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</si>
  <si>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</si>
  <si>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</si>
  <si>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</si>
  <si>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</si>
  <si>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</si>
  <si>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</si>
  <si>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</si>
  <si>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</si>
  <si>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</si>
  <si>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</si>
  <si>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</si>
  <si>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</si>
  <si>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</si>
  <si>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</si>
  <si>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</si>
  <si>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</si>
  <si>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</si>
  <si>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</si>
  <si>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</si>
  <si>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</si>
  <si>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</si>
  <si>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</si>
  <si>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</si>
  <si>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</si>
  <si>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</si>
  <si>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</si>
  <si>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</si>
  <si>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</si>
  <si>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</si>
  <si>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</si>
  <si>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</si>
  <si>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</si>
  <si>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</si>
  <si>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</si>
  <si>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</si>
  <si>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</si>
  <si>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</si>
  <si>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</si>
  <si>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</si>
  <si>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</si>
  <si>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</si>
  <si>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</si>
  <si>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</si>
  <si>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</si>
  <si>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</si>
  <si>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</si>
  <si>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</si>
  <si>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</si>
  <si>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</si>
  <si>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</si>
  <si>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</si>
  <si>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</si>
  <si>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</si>
  <si>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</si>
  <si>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</si>
  <si>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</si>
  <si>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</si>
  <si>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</si>
  <si>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</si>
  <si>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</si>
  <si>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</si>
  <si>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</si>
  <si>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</si>
  <si>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</si>
  <si>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</si>
  <si>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</si>
  <si>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</si>
  <si>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</si>
  <si>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</si>
  <si>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</si>
  <si>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</si>
  <si>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</si>
  <si>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</si>
  <si>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</si>
  <si>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</si>
  <si>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</si>
  <si>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</si>
  <si>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</si>
  <si>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</si>
  <si>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</si>
  <si>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</si>
  <si>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</si>
  <si>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</si>
  <si>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</si>
  <si>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</si>
  <si>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</si>
  <si>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</si>
  <si>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</si>
  <si>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</si>
  <si>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</si>
  <si>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</si>
  <si>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</si>
  <si>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</si>
  <si>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</si>
  <si>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</si>
  <si>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</si>
  <si>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</si>
  <si>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</si>
  <si>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</si>
  <si>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</si>
  <si>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</si>
  <si>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</si>
  <si>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</si>
  <si>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</si>
  <si>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</si>
  <si>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</si>
  <si>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</si>
  <si>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</si>
  <si>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</si>
  <si>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</si>
  <si>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</si>
  <si>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</si>
  <si>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</si>
  <si>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</si>
  <si>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</si>
  <si>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</si>
  <si>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</si>
  <si>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</si>
  <si>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</si>
  <si>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</si>
  <si>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</si>
  <si>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</si>
  <si>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</si>
  <si>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</si>
  <si>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</si>
  <si>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</si>
  <si>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</si>
  <si>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</si>
  <si>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</si>
  <si>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</si>
  <si>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</si>
  <si>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</si>
  <si>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</si>
  <si>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</si>
  <si>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</si>
  <si>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</si>
  <si>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</si>
  <si>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</si>
  <si>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</si>
  <si>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</si>
  <si>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</si>
  <si>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</si>
  <si>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</si>
  <si>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</si>
  <si>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</si>
  <si>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</si>
  <si>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</si>
  <si>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</si>
  <si>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</si>
  <si>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</si>
  <si>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</si>
  <si>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</si>
  <si>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</si>
  <si>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</si>
  <si>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</si>
  <si>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</si>
  <si>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</si>
  <si>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</si>
  <si>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</si>
  <si>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</si>
  <si>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</si>
  <si>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</si>
  <si>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</si>
  <si>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</si>
  <si>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</si>
  <si>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</si>
  <si>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</si>
  <si>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</si>
  <si>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</si>
  <si>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</si>
  <si>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</si>
  <si>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</si>
  <si>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</si>
  <si>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</si>
  <si>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</si>
  <si>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</si>
  <si>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</si>
  <si>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</si>
  <si>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</si>
  <si>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</si>
  <si>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</si>
  <si>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</si>
  <si>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</si>
  <si>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</si>
  <si>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</si>
  <si>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</si>
  <si>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</si>
  <si>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</si>
  <si>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</si>
  <si>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</si>
  <si>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</si>
  <si>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</si>
  <si>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</si>
  <si>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</si>
  <si>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</si>
  <si>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</si>
  <si>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</si>
  <si>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</si>
  <si>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</si>
  <si>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</si>
  <si>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</si>
  <si>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</si>
  <si>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</si>
  <si>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</si>
  <si>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</si>
  <si>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</si>
  <si>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</si>
  <si>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</si>
  <si>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</si>
  <si>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</si>
  <si>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</si>
  <si>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</si>
  <si>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</si>
  <si>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</si>
  <si>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</si>
  <si>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</si>
  <si>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</si>
  <si>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</si>
  <si>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</si>
  <si>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</si>
  <si>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</si>
  <si>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</si>
  <si>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</si>
  <si>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</si>
  <si>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</si>
  <si>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</si>
  <si>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</si>
  <si>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</si>
  <si>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</si>
  <si>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</si>
  <si>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</si>
  <si>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</si>
  <si>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</si>
  <si>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</si>
  <si>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</si>
  <si>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</si>
  <si>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</si>
  <si>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</si>
  <si>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</si>
  <si>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</si>
  <si>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</si>
  <si>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</si>
  <si>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</si>
  <si>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</si>
  <si>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</si>
  <si>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</si>
  <si>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</si>
  <si>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</si>
  <si>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</si>
  <si>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</si>
  <si>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</si>
  <si>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</si>
  <si>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</si>
  <si>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</si>
  <si>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</si>
  <si>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</si>
  <si>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</si>
  <si>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</si>
  <si>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</si>
  <si>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</si>
  <si>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</si>
  <si>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</si>
  <si>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</si>
  <si>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</si>
  <si>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</si>
  <si>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</si>
  <si>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</si>
  <si>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</si>
  <si>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</si>
  <si>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</si>
  <si>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</si>
  <si>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</si>
  <si>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</si>
  <si>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</si>
  <si>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</si>
  <si>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</si>
  <si>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</si>
  <si>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</si>
  <si>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</si>
  <si>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</si>
  <si>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</si>
  <si>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</si>
  <si>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</si>
  <si>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</si>
  <si>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</si>
  <si>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</si>
  <si>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</si>
  <si>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</si>
  <si>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</si>
  <si>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</si>
  <si>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</si>
  <si>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</si>
  <si>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</si>
  <si>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</si>
  <si>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</si>
  <si>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</si>
  <si>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</si>
  <si>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</si>
  <si>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</si>
  <si>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</si>
  <si>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</si>
  <si>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</si>
  <si>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</si>
  <si>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</si>
  <si>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</si>
  <si>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</si>
  <si>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</si>
  <si>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</si>
  <si>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</si>
  <si>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</si>
  <si>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</si>
  <si>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</si>
  <si>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</si>
  <si>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</si>
  <si>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</si>
  <si>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</si>
  <si>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</si>
  <si>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</si>
  <si>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</si>
  <si>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</si>
  <si>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</si>
  <si>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</si>
  <si>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</si>
  <si>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</si>
  <si>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</si>
  <si>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</si>
  <si>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</si>
  <si>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</si>
  <si>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</si>
  <si>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</si>
  <si>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</si>
  <si>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</si>
  <si>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</si>
  <si>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</si>
  <si>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</si>
  <si>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</si>
  <si>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</si>
  <si>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</si>
  <si>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</si>
  <si>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</si>
  <si>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</si>
  <si>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</si>
  <si>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</si>
  <si>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</si>
  <si>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</si>
  <si>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</si>
  <si>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</si>
  <si>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</si>
  <si>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</si>
  <si>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</si>
  <si>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</si>
  <si>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</si>
  <si>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</si>
  <si>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</si>
  <si>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</si>
  <si>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</si>
  <si>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</si>
  <si>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</si>
  <si>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</si>
  <si>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</si>
  <si>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</si>
  <si>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</si>
  <si>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</si>
  <si>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</si>
  <si>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</si>
  <si>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</si>
  <si>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</si>
  <si>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</si>
  <si>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</si>
  <si>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</si>
  <si>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</si>
  <si>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</si>
  <si>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</si>
  <si>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</si>
  <si>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</si>
  <si>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</si>
  <si>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</si>
  <si>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</si>
  <si>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</si>
  <si>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</si>
  <si>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</si>
  <si>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</si>
  <si>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</si>
  <si>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</si>
  <si>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</si>
  <si>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</si>
  <si>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</si>
  <si>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</si>
  <si>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</si>
  <si>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</si>
  <si>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</si>
  <si>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</si>
  <si>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</si>
  <si>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</si>
  <si>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</si>
  <si>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</si>
  <si>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</si>
  <si>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</si>
  <si>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</si>
  <si>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</si>
  <si>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</si>
  <si>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</si>
  <si>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</si>
  <si>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</si>
  <si>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</si>
  <si>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</si>
  <si>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</si>
  <si>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</si>
  <si>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</si>
  <si>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</si>
  <si>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</si>
  <si>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</si>
  <si>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</si>
  <si>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</si>
  <si>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</si>
  <si>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</si>
  <si>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</si>
  <si>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</si>
  <si>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</si>
  <si>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</si>
  <si>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</si>
  <si>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</si>
  <si>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</si>
  <si>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</si>
  <si>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</si>
  <si>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</si>
  <si>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</si>
  <si>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</si>
  <si>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</si>
  <si>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</si>
  <si>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</si>
  <si>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</si>
  <si>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</si>
  <si>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</si>
  <si>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</si>
  <si>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</si>
  <si>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</si>
  <si>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</si>
  <si>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</si>
  <si>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</si>
  <si>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</si>
  <si>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</si>
  <si>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</si>
  <si>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</si>
  <si>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</si>
  <si>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</si>
  <si>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</si>
  <si>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</si>
  <si>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</si>
  <si>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</si>
  <si>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</si>
  <si>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</si>
  <si>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</si>
  <si>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</si>
  <si>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</si>
  <si>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</si>
  <si>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</si>
  <si>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</si>
  <si>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</si>
  <si>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</si>
  <si>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</si>
  <si>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</si>
  <si>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</si>
  <si>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</si>
  <si>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</si>
  <si>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</si>
  <si>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</si>
  <si>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</si>
  <si>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</si>
  <si>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</si>
  <si>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</si>
  <si>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</si>
  <si>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</si>
  <si>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</si>
  <si>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</si>
  <si>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</si>
  <si>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</si>
  <si>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</si>
  <si>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</si>
  <si>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</si>
  <si>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</si>
  <si>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</si>
  <si>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</si>
  <si>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</si>
  <si>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</si>
  <si>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</si>
  <si>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</si>
  <si>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</si>
  <si>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</si>
  <si>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</si>
  <si>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</si>
  <si>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</si>
  <si>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</si>
  <si>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</si>
  <si>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</si>
  <si>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</si>
  <si>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</si>
  <si>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</si>
  <si>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</si>
  <si>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</si>
  <si>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</si>
  <si>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</si>
  <si>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</si>
  <si>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</si>
  <si>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</si>
  <si>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</si>
  <si>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</si>
  <si>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</si>
  <si>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</si>
  <si>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</si>
  <si>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</si>
  <si>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</si>
  <si>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</si>
  <si>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</si>
  <si>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</si>
  <si>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</si>
  <si>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</si>
  <si>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</si>
  <si>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</si>
  <si>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</si>
  <si>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</si>
  <si>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</si>
  <si>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</si>
  <si>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</si>
  <si>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</si>
  <si>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</si>
  <si>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</si>
  <si>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</si>
  <si>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</si>
  <si>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</si>
  <si>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</si>
  <si>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</si>
  <si>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</si>
  <si>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</si>
  <si>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</si>
  <si>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</si>
  <si>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</si>
  <si>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</si>
  <si>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</si>
  <si>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</si>
  <si>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</si>
  <si>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</si>
  <si>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</si>
  <si>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</si>
  <si>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</si>
  <si>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</si>
  <si>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</si>
  <si>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</si>
  <si>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</si>
  <si>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</si>
  <si>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</si>
  <si>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</si>
  <si>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</si>
  <si>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</si>
  <si>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</si>
  <si>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</si>
  <si>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</si>
  <si>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</si>
  <si>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</si>
  <si>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</si>
  <si>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</si>
  <si>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</si>
  <si>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</si>
  <si>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</si>
  <si>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</si>
  <si>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</si>
  <si>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</si>
  <si>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</si>
  <si>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</si>
  <si>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</si>
  <si>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</si>
  <si>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</si>
  <si>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</si>
  <si>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</si>
  <si>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</si>
  <si>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</si>
  <si>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</si>
  <si>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</si>
  <si>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</si>
  <si>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</si>
  <si>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</si>
  <si>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</si>
  <si>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</si>
  <si>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</si>
  <si>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</si>
  <si>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</si>
  <si>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</si>
  <si>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</si>
  <si>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</si>
  <si>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</si>
  <si>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</si>
  <si>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</si>
  <si>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</si>
  <si>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</si>
  <si>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</si>
  <si>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</si>
  <si>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</si>
  <si>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</si>
  <si>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</si>
  <si>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</si>
  <si>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</si>
  <si>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</si>
  <si>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</si>
  <si>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</si>
  <si>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</si>
  <si>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</si>
  <si>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</si>
  <si>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</si>
  <si>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</si>
  <si>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</si>
  <si>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</si>
  <si>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</si>
  <si>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</si>
  <si>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</si>
  <si>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</si>
  <si>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</si>
  <si>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</si>
  <si>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</si>
  <si>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</si>
  <si>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</si>
  <si>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</si>
  <si>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</si>
  <si>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</si>
  <si>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</si>
  <si>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</si>
  <si>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</si>
  <si>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</si>
  <si>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</si>
  <si>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</si>
  <si>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</si>
  <si>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</si>
  <si>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</si>
  <si>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</si>
  <si>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</si>
  <si>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</si>
  <si>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</si>
  <si>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</si>
  <si>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</si>
  <si>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</si>
  <si>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</si>
  <si>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</si>
  <si>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</si>
  <si>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</si>
  <si>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</si>
  <si>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</si>
  <si>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</si>
  <si>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</si>
  <si>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</si>
  <si>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</si>
  <si>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</si>
  <si>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</si>
  <si>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</si>
  <si>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</si>
  <si>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</si>
  <si>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</si>
  <si>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</si>
  <si>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</si>
  <si>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</si>
  <si>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</si>
  <si>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</si>
  <si>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</si>
  <si>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</si>
  <si>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</si>
  <si>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</si>
  <si>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</si>
  <si>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</si>
  <si>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</si>
  <si>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</si>
  <si>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</si>
  <si>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</si>
  <si>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</si>
  <si>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</si>
  <si>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</si>
  <si>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</si>
  <si>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</si>
  <si>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</si>
  <si>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</si>
  <si>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</si>
  <si>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</si>
  <si>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</si>
  <si>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</si>
  <si>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</si>
  <si>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</si>
  <si>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</si>
  <si>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</si>
  <si>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</si>
  <si>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</si>
  <si>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</si>
  <si>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</si>
  <si>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</si>
  <si>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</si>
  <si>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</si>
  <si>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</si>
  <si>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</si>
  <si>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</si>
  <si>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</si>
  <si>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</si>
  <si>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</si>
  <si>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</si>
  <si>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</si>
  <si>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</si>
  <si>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</si>
  <si>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</si>
  <si>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</si>
  <si>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</si>
  <si>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</si>
  <si>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</si>
  <si>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</si>
  <si>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</si>
  <si>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</si>
  <si>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</si>
  <si>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</si>
  <si>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</si>
  <si>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</si>
  <si>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</si>
  <si>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</si>
  <si>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</si>
  <si>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</si>
  <si>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</si>
  <si>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</si>
  <si>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</si>
  <si>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</si>
  <si>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</si>
  <si>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</si>
  <si>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</si>
  <si>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</si>
  <si>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</si>
  <si>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</si>
  <si>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</si>
  <si>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</si>
  <si>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</si>
  <si>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</si>
  <si>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</si>
  <si>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</si>
  <si>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</si>
  <si>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</si>
  <si>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</si>
  <si>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</si>
  <si>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</si>
  <si>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</si>
  <si>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</si>
  <si>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</si>
  <si>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</si>
  <si>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</si>
  <si>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</si>
  <si>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</si>
  <si>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</si>
  <si>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</si>
  <si>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</si>
  <si>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</si>
  <si>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</si>
  <si>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</si>
  <si>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</si>
  <si>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</si>
  <si>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</si>
  <si>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</si>
  <si>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</si>
  <si>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</si>
  <si>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</si>
  <si>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</si>
  <si>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</si>
  <si>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</si>
  <si>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</si>
  <si>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</si>
  <si>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</si>
  <si>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</si>
  <si>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</si>
  <si>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</si>
  <si>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</si>
  <si>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</si>
  <si>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</si>
  <si>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</si>
  <si>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</si>
  <si>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</si>
  <si>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</si>
  <si>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</si>
  <si>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</si>
  <si>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</si>
  <si>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</si>
  <si>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</si>
  <si>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</si>
  <si>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</si>
  <si>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</si>
  <si>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</si>
  <si>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</si>
  <si>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</si>
  <si>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</si>
  <si>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</si>
  <si>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</si>
  <si>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</si>
  <si>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</si>
  <si>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</si>
  <si>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</si>
  <si>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</si>
  <si>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</si>
  <si>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</si>
  <si>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</si>
  <si>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</si>
  <si>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</si>
  <si>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</si>
  <si>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</si>
  <si>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</si>
  <si>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</si>
  <si>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</si>
  <si>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</si>
  <si>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</si>
  <si>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</si>
  <si>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</si>
  <si>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</si>
  <si>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</si>
  <si>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</si>
  <si>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</si>
  <si>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</si>
  <si>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</si>
  <si>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</si>
  <si>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</si>
  <si>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</si>
  <si>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</si>
  <si>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</si>
  <si>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</si>
  <si>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</si>
  <si>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</si>
  <si>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</si>
  <si>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</si>
  <si>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</si>
  <si>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</si>
  <si>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</si>
  <si>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</si>
  <si>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</si>
  <si>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</si>
  <si>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</si>
  <si>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</si>
  <si>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</si>
  <si>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</si>
  <si>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</si>
  <si>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</si>
  <si>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</si>
  <si>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</si>
  <si>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</si>
  <si>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</si>
  <si>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</si>
  <si>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</si>
  <si>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</si>
  <si>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</si>
  <si>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</si>
  <si>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</si>
  <si>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</si>
  <si>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</si>
  <si>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</si>
  <si>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</si>
  <si>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</si>
  <si>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</si>
  <si>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</si>
  <si>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</si>
  <si>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</si>
  <si>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</si>
  <si>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</si>
  <si>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</si>
  <si>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</si>
  <si>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</si>
  <si>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</si>
  <si>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</si>
  <si>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</si>
  <si>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</si>
  <si>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</si>
  <si>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</si>
  <si>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</si>
  <si>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</si>
  <si>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</si>
  <si>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</si>
  <si>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</si>
  <si>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</si>
  <si>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</si>
  <si>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</si>
  <si>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</si>
  <si>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</si>
  <si>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</si>
  <si>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</si>
  <si>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</si>
  <si>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</si>
  <si>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</si>
  <si>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</si>
  <si>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</si>
  <si>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</si>
  <si>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</si>
  <si>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</si>
  <si>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</si>
  <si>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</si>
  <si>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</si>
  <si>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</si>
  <si>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</si>
  <si>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</si>
  <si>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</si>
  <si>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</si>
  <si>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</si>
  <si>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</si>
  <si>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</si>
  <si>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</si>
  <si>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</si>
  <si>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</si>
  <si>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</si>
  <si>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</si>
  <si>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</si>
  <si>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</si>
  <si>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</si>
  <si>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</si>
  <si>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</si>
  <si>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</si>
  <si>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</si>
  <si>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</si>
  <si>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</si>
  <si>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</si>
  <si>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</si>
  <si>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</si>
  <si>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</si>
  <si>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</si>
  <si>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</si>
  <si>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</si>
  <si>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</si>
  <si>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</si>
  <si>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</si>
  <si>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</si>
  <si>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</si>
  <si>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</si>
  <si>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</si>
  <si>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</si>
  <si>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</si>
  <si>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</si>
  <si>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</si>
  <si>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</si>
  <si>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</si>
  <si>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</si>
  <si>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</si>
  <si>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</si>
  <si>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</si>
  <si>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</si>
  <si>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</si>
  <si>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</si>
  <si>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</si>
  <si>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</si>
  <si>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</si>
  <si>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</si>
  <si>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</si>
  <si>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</si>
  <si>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</si>
  <si>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</si>
  <si>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</si>
  <si>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</si>
  <si>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</si>
  <si>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</si>
  <si>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</si>
  <si>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</si>
  <si>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</si>
  <si>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</si>
  <si>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</si>
  <si>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</si>
  <si>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</si>
  <si>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</si>
  <si>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</si>
  <si>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</si>
  <si>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</si>
  <si>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</si>
  <si>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</si>
  <si>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</si>
  <si>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</si>
  <si>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</si>
  <si>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</si>
  <si>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</si>
  <si>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</si>
  <si>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</si>
  <si>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</si>
  <si>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</si>
  <si>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</si>
  <si>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</si>
  <si>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</si>
  <si>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</si>
  <si>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</si>
  <si>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</si>
  <si>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</si>
  <si>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</si>
  <si>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</si>
  <si>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</si>
  <si>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</si>
  <si>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</si>
  <si>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</si>
  <si>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</si>
  <si>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</si>
  <si>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</si>
  <si>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</si>
  <si>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</si>
  <si>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</si>
  <si>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</si>
  <si>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</si>
  <si>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</si>
  <si>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</si>
  <si>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</si>
  <si>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</si>
  <si>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</si>
  <si>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</si>
  <si>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</si>
  <si>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</si>
  <si>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</si>
  <si>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</si>
  <si>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</si>
  <si>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</si>
  <si>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</si>
  <si>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</si>
  <si>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</si>
  <si>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</si>
  <si>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</si>
  <si>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</si>
  <si>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</si>
  <si>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</si>
  <si>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</si>
  <si>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</si>
  <si>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</si>
  <si>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</si>
  <si>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</si>
  <si>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</si>
  <si>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</si>
  <si>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</si>
  <si>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</si>
  <si>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</si>
  <si>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</si>
  <si>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</si>
  <si>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</si>
  <si>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</si>
  <si>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</si>
  <si>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</si>
  <si>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</si>
  <si>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</si>
  <si>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</si>
  <si>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</si>
  <si>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</si>
  <si>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</si>
  <si>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</si>
  <si>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</si>
  <si>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</si>
  <si>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</si>
  <si>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</si>
  <si>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</si>
  <si>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</si>
  <si>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</si>
  <si>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</si>
  <si>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</si>
  <si>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</si>
  <si>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</si>
  <si>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</si>
  <si>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</si>
  <si>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</si>
  <si>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</si>
  <si>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</si>
  <si>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</si>
  <si>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</si>
  <si>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</si>
  <si>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</si>
  <si>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</si>
  <si>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</si>
  <si>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</si>
  <si>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</si>
  <si>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</si>
  <si>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</si>
  <si>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</si>
  <si>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</si>
  <si>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</si>
  <si>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</si>
  <si>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</si>
  <si>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</si>
  <si>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</si>
  <si>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</si>
  <si>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</si>
  <si>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</si>
  <si>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</si>
  <si>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</si>
  <si>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</si>
  <si>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</si>
  <si>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</si>
  <si>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</si>
  <si>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</si>
  <si>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</si>
  <si>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</si>
  <si>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</si>
  <si>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</si>
  <si>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</si>
  <si>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</si>
  <si>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</si>
  <si>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</si>
  <si>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</si>
  <si>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</si>
  <si>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</si>
  <si>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</si>
  <si>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</si>
  <si>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</si>
  <si>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</si>
  <si>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</si>
  <si>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</si>
  <si>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</si>
  <si>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</si>
  <si>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</si>
  <si>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</si>
  <si>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</si>
  <si>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</si>
  <si>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</si>
  <si>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</si>
  <si>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</si>
  <si>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</si>
  <si>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</si>
  <si>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</si>
  <si>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</si>
  <si>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</si>
  <si>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</si>
  <si>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</si>
  <si>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</si>
  <si>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</si>
  <si>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</si>
  <si>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</si>
  <si>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</si>
  <si>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</si>
  <si>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</si>
  <si>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</si>
  <si>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</si>
  <si>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</si>
  <si>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</si>
  <si>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</si>
  <si>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</si>
  <si>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</si>
  <si>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</si>
  <si>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</si>
  <si>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</si>
  <si>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</si>
  <si>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</si>
  <si>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</si>
  <si>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</si>
  <si>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</si>
  <si>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</si>
  <si>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</si>
  <si>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</si>
  <si>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</si>
  <si>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</si>
  <si>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</si>
  <si>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</si>
  <si>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</si>
  <si>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</si>
  <si>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</si>
  <si>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</si>
  <si>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</si>
  <si>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</si>
  <si>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</si>
  <si>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</si>
  <si>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</si>
  <si>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</si>
  <si>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</si>
  <si>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</si>
  <si>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</si>
  <si>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</si>
  <si>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</si>
  <si>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</si>
  <si>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</si>
  <si>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</si>
  <si>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</si>
  <si>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</si>
  <si>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</si>
  <si>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</si>
  <si>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</si>
  <si>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</si>
  <si>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</si>
  <si>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</si>
  <si>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</si>
  <si>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</si>
  <si>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</si>
  <si>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</si>
  <si>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</si>
  <si>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</si>
  <si>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</si>
  <si>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</si>
  <si>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</si>
  <si>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</si>
  <si>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</si>
  <si>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</si>
  <si>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</si>
  <si>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</si>
  <si>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</si>
  <si>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</si>
  <si>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</si>
  <si>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</si>
  <si>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</si>
  <si>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</si>
  <si>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</si>
  <si>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</si>
  <si>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</si>
  <si>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</si>
  <si>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</si>
  <si>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</si>
  <si>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</si>
  <si>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</si>
  <si>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</si>
  <si>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</si>
  <si>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</si>
  <si>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</si>
  <si>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</si>
  <si>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</si>
  <si>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</si>
  <si>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</si>
  <si>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</si>
  <si>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</si>
  <si>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</si>
  <si>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</si>
  <si>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</si>
  <si>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</si>
  <si>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</si>
  <si>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</si>
  <si>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</si>
  <si>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</si>
  <si>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</si>
  <si>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</si>
  <si>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</si>
  <si>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</si>
  <si>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</si>
  <si>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</si>
  <si>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</si>
  <si>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</si>
  <si>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</si>
  <si>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</si>
  <si>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</si>
  <si>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</si>
  <si>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</si>
  <si>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</si>
  <si>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</si>
  <si>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</si>
  <si>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</si>
  <si>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</si>
  <si>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</si>
  <si>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</si>
  <si>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</si>
  <si>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</si>
  <si>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</si>
  <si>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</si>
  <si>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</si>
  <si>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</si>
  <si>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</si>
  <si>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</si>
  <si>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</si>
  <si>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</si>
  <si>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</si>
  <si>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</si>
  <si>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</si>
  <si>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</si>
  <si>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</si>
  <si>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</si>
  <si>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</si>
  <si>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</si>
  <si>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</si>
  <si>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</si>
  <si>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</si>
  <si>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</si>
  <si>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</si>
  <si>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</si>
  <si>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</si>
  <si>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</si>
  <si>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</si>
  <si>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</si>
  <si>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</si>
  <si>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</si>
  <si>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</si>
  <si>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</si>
  <si>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</si>
  <si>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</si>
  <si>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</si>
  <si>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</si>
  <si>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</si>
  <si>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</si>
  <si>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</si>
  <si>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</si>
  <si>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</si>
  <si>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</si>
  <si>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</si>
  <si>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</si>
  <si>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</si>
  <si>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</si>
  <si>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</si>
  <si>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</si>
  <si>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</si>
  <si>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</si>
  <si>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</si>
  <si>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</si>
  <si>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</si>
  <si>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</si>
  <si>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</si>
  <si>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</si>
  <si>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</si>
  <si>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</si>
  <si>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</si>
  <si>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</si>
  <si>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</si>
  <si>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</si>
  <si>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</si>
  <si>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</si>
  <si>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</si>
  <si>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</si>
  <si>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</si>
  <si>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</si>
  <si>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</si>
  <si>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</si>
  <si>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</si>
  <si>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</si>
  <si>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</si>
  <si>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</si>
  <si>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</si>
  <si>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</si>
  <si>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</si>
  <si>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</si>
  <si>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</si>
  <si>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</si>
  <si>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</si>
  <si>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</si>
  <si>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</si>
  <si>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</si>
  <si>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</si>
  <si>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</si>
  <si>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</si>
  <si>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</si>
  <si>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</si>
  <si>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</si>
  <si>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</si>
  <si>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</si>
  <si>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</si>
  <si>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</si>
  <si>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</si>
  <si>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</si>
  <si>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</si>
  <si>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</si>
  <si>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</si>
  <si>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</si>
  <si>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</si>
  <si>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</si>
  <si>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</si>
  <si>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</si>
  <si>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</si>
  <si>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</si>
  <si>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</si>
  <si>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</si>
  <si>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</si>
  <si>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</si>
  <si>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</si>
  <si>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</si>
  <si>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</si>
  <si>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</si>
  <si>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</si>
  <si>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</si>
  <si>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</si>
  <si>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</si>
  <si>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</si>
  <si>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</si>
  <si>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</si>
  <si>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</si>
  <si>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</si>
  <si>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</si>
  <si>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</si>
  <si>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</si>
  <si>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</si>
  <si>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</si>
  <si>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</si>
  <si>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</si>
  <si>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</si>
  <si>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</si>
  <si>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</si>
  <si>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</si>
  <si>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</si>
  <si>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</si>
  <si>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</si>
  <si>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</si>
  <si>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</si>
  <si>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</si>
  <si>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</si>
  <si>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</si>
  <si>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</si>
  <si>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</si>
  <si>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</si>
  <si>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</si>
  <si>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</si>
  <si>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</si>
  <si>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</si>
  <si>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</si>
  <si>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</si>
  <si>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</si>
  <si>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</si>
  <si>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</si>
  <si>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</si>
  <si>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</si>
  <si>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</si>
  <si>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</si>
  <si>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</si>
  <si>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</si>
  <si>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</si>
  <si>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</si>
  <si>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</si>
  <si>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</si>
  <si>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</si>
  <si>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</si>
  <si>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</si>
  <si>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</si>
  <si>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</si>
  <si>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</si>
  <si>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</si>
  <si>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</si>
  <si>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</si>
  <si>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</si>
  <si>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</si>
  <si>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</si>
  <si>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</si>
  <si>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</si>
  <si>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</si>
  <si>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</si>
  <si>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</si>
  <si>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</si>
  <si>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</si>
  <si>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</si>
  <si>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</si>
  <si>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</si>
  <si>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</si>
  <si>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</si>
  <si>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</si>
  <si>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</si>
  <si>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</si>
  <si>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</si>
  <si>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</si>
  <si>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</si>
  <si>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</si>
  <si>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</si>
  <si>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</si>
  <si>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</si>
  <si>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</si>
  <si>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</si>
  <si>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</si>
  <si>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</si>
  <si>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</si>
  <si>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</si>
  <si>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</si>
  <si>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</si>
  <si>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</si>
  <si>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</si>
  <si>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</si>
  <si>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</si>
  <si>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</si>
  <si>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</si>
  <si>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</si>
  <si>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</si>
  <si>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</si>
  <si>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</si>
  <si>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</si>
  <si>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</si>
  <si>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</si>
  <si>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</si>
  <si>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</si>
  <si>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</si>
  <si>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</si>
  <si>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</si>
  <si>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</si>
  <si>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</si>
  <si>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</si>
  <si>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</si>
  <si>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</si>
  <si>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</si>
  <si>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</si>
  <si>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</si>
  <si>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</si>
  <si>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</si>
  <si>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</si>
  <si>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</si>
  <si>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</si>
  <si>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</si>
  <si>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</si>
  <si>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</si>
  <si>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</si>
  <si>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</si>
  <si>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</si>
  <si>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</si>
  <si>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</si>
  <si>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</si>
  <si>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</si>
  <si>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</si>
  <si>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</si>
  <si>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</si>
  <si>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</si>
  <si>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</si>
  <si>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</si>
  <si>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</si>
  <si>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</si>
  <si>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</si>
  <si>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</si>
  <si>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</si>
  <si>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</si>
  <si>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</si>
  <si>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</si>
  <si>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</si>
  <si>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</si>
  <si>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</si>
  <si>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</si>
  <si>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</si>
  <si>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</si>
  <si>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</si>
  <si>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</si>
  <si>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</si>
  <si>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</si>
  <si>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</si>
  <si>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</si>
  <si>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</si>
  <si>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</si>
  <si>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</si>
  <si>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</si>
  <si>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</si>
  <si>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</si>
  <si>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</si>
  <si>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</si>
  <si>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</si>
  <si>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</si>
  <si>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</si>
  <si>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</si>
  <si>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</si>
  <si>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</si>
  <si>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</si>
  <si>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</si>
  <si>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</si>
  <si>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</si>
  <si>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</si>
  <si>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</si>
  <si>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</si>
  <si>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</si>
  <si>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</si>
  <si>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</si>
  <si>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</si>
  <si>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</si>
  <si>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</si>
  <si>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</si>
  <si>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</si>
  <si>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</si>
  <si>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</si>
  <si>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</si>
  <si>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</si>
  <si>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</si>
  <si>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</si>
  <si>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</si>
  <si>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</si>
  <si>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</si>
  <si>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</si>
  <si>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</si>
  <si>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</si>
  <si>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</si>
  <si>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</si>
  <si>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</si>
  <si>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</si>
  <si>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</si>
  <si>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</si>
  <si>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</si>
  <si>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</si>
  <si>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</si>
  <si>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</si>
  <si>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</si>
  <si>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</si>
  <si>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</si>
  <si>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</si>
  <si>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</si>
  <si>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</si>
  <si>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</si>
  <si>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</si>
  <si>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</si>
  <si>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</si>
  <si>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</si>
  <si>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</si>
  <si>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</si>
  <si>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</si>
  <si>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</si>
  <si>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</si>
  <si>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</si>
  <si>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</si>
  <si>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</si>
  <si>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</si>
  <si>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</si>
  <si>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</si>
  <si>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</si>
  <si>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</si>
  <si>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</si>
  <si>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</si>
  <si>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</si>
  <si>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</si>
  <si>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</si>
  <si>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</si>
  <si>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</si>
  <si>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</si>
  <si>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</si>
  <si>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</si>
  <si>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</si>
  <si>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</si>
  <si>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</si>
  <si>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</si>
  <si>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</si>
  <si>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</si>
  <si>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</si>
  <si>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</si>
  <si>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</si>
  <si>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</si>
  <si>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</si>
  <si>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</si>
  <si>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</si>
  <si>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</si>
  <si>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</si>
  <si>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</si>
  <si>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</si>
  <si>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</si>
  <si>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</si>
  <si>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</si>
  <si>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</si>
  <si>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</si>
  <si>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</si>
  <si>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</si>
  <si>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</si>
  <si>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</si>
  <si>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</si>
  <si>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</si>
  <si>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</si>
  <si>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</si>
  <si>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</si>
  <si>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</si>
  <si>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</si>
  <si>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</si>
  <si>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</si>
  <si>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</si>
  <si>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</si>
  <si>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</si>
  <si>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</si>
  <si>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</si>
  <si>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</si>
  <si>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</si>
  <si>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</si>
  <si>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</si>
  <si>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</si>
  <si>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</si>
  <si>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</si>
  <si>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</si>
  <si>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</si>
  <si>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</si>
  <si>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</si>
  <si>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</si>
  <si>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</si>
  <si>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</si>
  <si>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</si>
  <si>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</si>
  <si>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</si>
  <si>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</si>
  <si>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</si>
  <si>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</si>
  <si>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</si>
  <si>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</si>
  <si>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</si>
  <si>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</si>
  <si>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</si>
  <si>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</si>
  <si>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</si>
  <si>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</si>
  <si>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</si>
  <si>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</si>
  <si>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</si>
  <si>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</si>
  <si>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</si>
  <si>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</si>
  <si>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</si>
  <si>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</si>
  <si>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</si>
  <si>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</si>
  <si>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</si>
  <si>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</si>
  <si>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</si>
  <si>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</si>
  <si>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</si>
  <si>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</si>
  <si>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</si>
  <si>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</si>
  <si>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</si>
  <si>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</si>
  <si>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</si>
  <si>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</si>
  <si>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</si>
  <si>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</si>
  <si>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</si>
  <si>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</si>
  <si>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</si>
  <si>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</si>
  <si>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</si>
  <si>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</si>
  <si>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</si>
  <si>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</si>
  <si>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</si>
  <si>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</si>
  <si>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</si>
  <si>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</si>
  <si>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</si>
  <si>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</si>
  <si>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</si>
  <si>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</si>
  <si>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</si>
  <si>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</si>
  <si>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</si>
  <si>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</si>
  <si>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</si>
  <si>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</si>
  <si>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</si>
  <si>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</si>
  <si>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</si>
  <si>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</si>
  <si>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</si>
  <si>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</si>
  <si>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</si>
  <si>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</si>
  <si>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</si>
  <si>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</si>
  <si>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</si>
  <si>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</si>
  <si>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</si>
  <si>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</si>
  <si>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</si>
  <si>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</si>
  <si>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</si>
  <si>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</si>
  <si>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</si>
  <si>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</si>
  <si>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</si>
  <si>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</si>
  <si>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</si>
  <si>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</si>
  <si>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</si>
  <si>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</si>
  <si>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</si>
  <si>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</si>
  <si>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</si>
  <si>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</si>
  <si>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</si>
  <si>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</si>
  <si>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</si>
  <si>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</si>
  <si>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</si>
  <si>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</si>
  <si>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</si>
  <si>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</si>
  <si>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</si>
  <si>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</si>
  <si>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</si>
  <si>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</si>
  <si>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</si>
  <si>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</si>
  <si>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</si>
  <si>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</si>
  <si>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</si>
  <si>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</si>
  <si>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</si>
  <si>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</si>
  <si>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</si>
  <si>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</si>
  <si>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</si>
  <si>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</si>
  <si>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</si>
  <si>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</si>
  <si>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</si>
  <si>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</si>
  <si>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</si>
  <si>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</si>
  <si>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</si>
  <si>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</si>
  <si>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</si>
  <si>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</si>
  <si>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</si>
  <si>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</si>
  <si>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</si>
  <si>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</si>
  <si>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</si>
  <si>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</si>
  <si>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</si>
  <si>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</si>
  <si>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</si>
  <si>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</si>
  <si>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</si>
  <si>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</si>
  <si>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</si>
  <si>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</si>
  <si>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</si>
  <si>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</si>
  <si>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</si>
  <si>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</si>
  <si>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</si>
  <si>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</si>
  <si>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</si>
  <si>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</si>
  <si>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</si>
  <si>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</si>
  <si>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</si>
  <si>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</si>
  <si>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</si>
  <si>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</si>
  <si>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</si>
  <si>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</si>
  <si>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</si>
  <si>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</si>
  <si>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</si>
  <si>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</si>
  <si>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</si>
  <si>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</si>
  <si>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</si>
  <si>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</si>
  <si>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</si>
  <si>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</si>
  <si>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</si>
  <si>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</si>
  <si>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</si>
  <si>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</si>
  <si>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</si>
  <si>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</si>
  <si>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</si>
  <si>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</si>
  <si>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</si>
  <si>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</si>
  <si>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</si>
  <si>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</si>
  <si>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</si>
  <si>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</si>
  <si>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</si>
  <si>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</si>
  <si>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</si>
  <si>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</si>
  <si>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</si>
  <si>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</si>
  <si>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</si>
  <si>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</si>
  <si>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</si>
  <si>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</si>
  <si>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</si>
  <si>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</si>
  <si>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</si>
  <si>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</si>
  <si>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</si>
  <si>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</si>
  <si>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</si>
  <si>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</si>
  <si>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</si>
  <si>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</si>
  <si>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</si>
  <si>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</si>
  <si>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</si>
  <si>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</si>
  <si>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</si>
  <si>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</si>
  <si>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</si>
  <si>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</si>
  <si>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</si>
  <si>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</si>
  <si>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</si>
  <si>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</si>
  <si>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</si>
  <si>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</si>
  <si>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</si>
  <si>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</si>
  <si>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</si>
  <si>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</si>
  <si>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</si>
  <si>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</si>
  <si>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</si>
  <si>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</si>
  <si>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</si>
  <si>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</si>
  <si>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</si>
  <si>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</si>
  <si>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</si>
  <si>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</si>
  <si>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</si>
  <si>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</si>
  <si>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</si>
  <si>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</si>
  <si>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</si>
  <si>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</si>
  <si>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</si>
  <si>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</si>
  <si>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</si>
  <si>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</si>
  <si>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</si>
  <si>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</si>
  <si>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</si>
  <si>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</si>
  <si>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</si>
  <si>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</si>
  <si>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</si>
  <si>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</si>
  <si>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</si>
  <si>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</si>
  <si>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</si>
  <si>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</si>
  <si>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</si>
  <si>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</si>
  <si>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</si>
  <si>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</si>
  <si>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</si>
  <si>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</si>
  <si>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</si>
  <si>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</si>
  <si>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</si>
  <si>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</si>
  <si>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</si>
  <si>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</si>
  <si>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</si>
  <si>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</si>
  <si>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</si>
  <si>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</si>
  <si>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</si>
  <si>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</si>
  <si>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</si>
  <si>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</si>
  <si>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</si>
  <si>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</si>
  <si>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</si>
  <si>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</si>
  <si>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</si>
  <si>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</si>
  <si>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</si>
  <si>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</si>
  <si>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</si>
  <si>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</si>
  <si>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</si>
  <si>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</si>
  <si>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</si>
  <si>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</si>
  <si>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</si>
  <si>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</si>
  <si>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</si>
  <si>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</si>
  <si>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</si>
  <si>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</si>
  <si>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</si>
  <si>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</si>
  <si>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</si>
  <si>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</si>
  <si>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</si>
  <si>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</si>
  <si>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</si>
  <si>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</si>
  <si>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</si>
  <si>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</si>
  <si>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</si>
  <si>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</si>
  <si>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</si>
  <si>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</si>
  <si>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</si>
  <si>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</si>
  <si>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</si>
  <si>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</si>
  <si>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</si>
  <si>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</si>
  <si>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</si>
  <si>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</si>
  <si>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</si>
  <si>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</si>
  <si>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</si>
  <si>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</si>
  <si>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</si>
  <si>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</si>
  <si>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</si>
  <si>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</si>
  <si>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</si>
  <si>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</si>
  <si>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</si>
  <si>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</si>
  <si>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</si>
  <si>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</si>
  <si>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</si>
  <si>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</si>
  <si>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</si>
  <si>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</si>
  <si>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</si>
  <si>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</si>
  <si>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</si>
  <si>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</si>
  <si>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</si>
  <si>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</si>
  <si>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</si>
  <si>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</si>
  <si>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</si>
  <si>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</si>
  <si>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</si>
  <si>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</si>
  <si>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</si>
  <si>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</si>
  <si>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</si>
  <si>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</si>
  <si>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</si>
  <si>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</si>
  <si>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</si>
  <si>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</si>
  <si>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</si>
  <si>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</si>
  <si>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</si>
  <si>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</si>
  <si>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</si>
  <si>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</si>
  <si>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</si>
  <si>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</si>
  <si>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</si>
  <si>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</si>
  <si>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</si>
  <si>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</si>
  <si>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</si>
  <si>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</si>
  <si>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</si>
  <si>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</si>
  <si>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</si>
  <si>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</si>
  <si>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</si>
  <si>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</si>
  <si>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</si>
  <si>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</si>
  <si>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</si>
  <si>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</si>
  <si>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</si>
  <si>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</si>
  <si>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</si>
  <si>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</si>
  <si>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</si>
  <si>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</si>
  <si>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</si>
  <si>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</si>
  <si>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</si>
  <si>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</si>
  <si>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</si>
  <si>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</si>
  <si>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</si>
  <si>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</si>
  <si>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</si>
  <si>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</si>
  <si>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</si>
  <si>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</si>
  <si>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</si>
  <si>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</si>
  <si>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</si>
  <si>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</si>
  <si>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</si>
  <si>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</si>
  <si>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</si>
  <si>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</si>
  <si>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</si>
  <si>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</si>
  <si>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</si>
  <si>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</si>
  <si>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</si>
  <si>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</si>
  <si>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</si>
  <si>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</si>
  <si>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</si>
  <si>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</si>
  <si>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</si>
  <si>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</si>
  <si>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</si>
  <si>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</si>
  <si>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</si>
  <si>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</si>
  <si>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</si>
  <si>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</si>
  <si>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</si>
  <si>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</si>
  <si>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</si>
  <si>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</si>
  <si>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</si>
  <si>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</si>
  <si>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</si>
  <si>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</si>
  <si>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</si>
  <si>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</si>
  <si>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</si>
  <si>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</si>
  <si>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</si>
  <si>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</si>
  <si>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</si>
  <si>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</si>
  <si>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</si>
  <si>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</si>
  <si>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</si>
  <si>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</si>
  <si>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</si>
  <si>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</si>
  <si>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</si>
  <si>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</si>
  <si>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</si>
  <si>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</si>
  <si>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</si>
  <si>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</si>
  <si>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</si>
  <si>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</si>
  <si>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</si>
  <si>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</si>
  <si>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</si>
  <si>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</si>
  <si>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</si>
  <si>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</si>
  <si>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</si>
  <si>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</si>
  <si>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</si>
  <si>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</si>
  <si>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</si>
  <si>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</si>
  <si>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</si>
  <si>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</si>
  <si>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</si>
  <si>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</si>
  <si>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</si>
  <si>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</si>
  <si>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</si>
  <si>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</si>
  <si>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</si>
  <si>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</si>
  <si>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</si>
  <si>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</si>
  <si>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</si>
  <si>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</si>
  <si>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</si>
  <si>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</si>
  <si>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</si>
  <si>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</si>
  <si>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</si>
  <si>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</si>
  <si>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</si>
  <si>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</si>
  <si>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</si>
  <si>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</si>
  <si>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</si>
  <si>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</si>
  <si>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</si>
  <si>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</si>
  <si>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</si>
  <si>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</si>
  <si>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</si>
  <si>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</si>
  <si>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</si>
  <si>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</si>
  <si>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</si>
  <si>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</si>
  <si>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</si>
  <si>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</si>
  <si>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</si>
  <si>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</si>
  <si>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</si>
  <si>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</si>
  <si>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</si>
  <si>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</si>
  <si>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</si>
  <si>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</si>
  <si>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</si>
  <si>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</si>
  <si>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</si>
  <si>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</si>
  <si>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</si>
  <si>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</si>
  <si>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</si>
  <si>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</si>
  <si>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</si>
  <si>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</si>
  <si>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</si>
  <si>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</si>
  <si>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</si>
  <si>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</si>
  <si>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</si>
  <si>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</si>
  <si>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</si>
  <si>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</si>
  <si>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</si>
  <si>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</si>
  <si>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</si>
  <si>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</si>
  <si>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</si>
  <si>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</si>
  <si>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</si>
  <si>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</si>
  <si>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</si>
  <si>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</si>
  <si>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</si>
  <si>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</si>
  <si>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</si>
  <si>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</si>
  <si>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</si>
  <si>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</si>
  <si>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</si>
  <si>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</si>
  <si>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</si>
  <si>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</si>
  <si>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</si>
  <si>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</si>
  <si>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</si>
  <si>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</si>
  <si>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</si>
  <si>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</si>
  <si>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</si>
  <si>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</si>
  <si>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</si>
  <si>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</si>
  <si>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</si>
  <si>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</si>
  <si>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</si>
  <si>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</si>
  <si>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</si>
  <si>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</si>
  <si>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</si>
  <si>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</si>
  <si>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</si>
  <si>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</si>
  <si>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</si>
  <si>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</si>
  <si>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</si>
  <si>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</si>
  <si>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</si>
  <si>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</si>
  <si>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</si>
  <si>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</si>
  <si>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</si>
  <si>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</si>
  <si>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</si>
  <si>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</si>
  <si>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</si>
  <si>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</si>
  <si>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</si>
  <si>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</si>
  <si>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</si>
  <si>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</si>
  <si>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</si>
  <si>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</si>
  <si>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</si>
  <si>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</si>
  <si>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</si>
  <si>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</si>
  <si>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</si>
  <si>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</si>
  <si>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</si>
  <si>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</si>
  <si>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</si>
  <si>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</si>
  <si>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</si>
  <si>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</si>
  <si>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</si>
  <si>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</si>
  <si>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</si>
  <si>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</si>
  <si>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</si>
  <si>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</si>
  <si>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</si>
  <si>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</si>
  <si>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</si>
  <si>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</si>
  <si>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</si>
  <si>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</si>
  <si>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</si>
  <si>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</si>
  <si>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</si>
  <si>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</si>
  <si>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</si>
  <si>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</si>
  <si>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</si>
  <si>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</si>
  <si>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</si>
  <si>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</si>
  <si>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</si>
  <si>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</si>
  <si>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</si>
  <si>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</si>
  <si>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</si>
  <si>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</si>
  <si>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</si>
  <si>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</si>
  <si>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</si>
  <si>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</si>
  <si>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</si>
  <si>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</si>
  <si>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</si>
  <si>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</si>
  <si>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</si>
  <si>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</si>
  <si>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</si>
  <si>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</si>
  <si>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</si>
  <si>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</si>
  <si>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</si>
  <si>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</si>
  <si>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</si>
  <si>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</si>
  <si>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</si>
  <si>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</si>
  <si>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</si>
  <si>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</si>
  <si>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</si>
  <si>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</si>
  <si>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</si>
  <si>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</si>
  <si>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</si>
  <si>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</si>
  <si>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</si>
  <si>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</si>
  <si>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</si>
  <si>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</si>
  <si>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</si>
  <si>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</si>
  <si>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</si>
  <si>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</si>
  <si>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</si>
  <si>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</si>
  <si>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</si>
  <si>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</si>
  <si>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</si>
  <si>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</si>
  <si>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</si>
  <si>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</si>
  <si>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</si>
  <si>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</si>
  <si>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</si>
  <si>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</si>
  <si>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</si>
  <si>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</si>
  <si>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</si>
  <si>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</si>
  <si>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</si>
  <si>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</si>
  <si>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</si>
  <si>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</si>
  <si>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</si>
  <si>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</si>
  <si>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</si>
  <si>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</si>
  <si>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</si>
  <si>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</si>
  <si>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</si>
  <si>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</si>
  <si>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</si>
  <si>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</si>
  <si>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</si>
  <si>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</si>
  <si>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</si>
  <si>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</si>
  <si>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</si>
  <si>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</si>
  <si>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</si>
  <si>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</si>
  <si>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</si>
  <si>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</si>
  <si>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</si>
  <si>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</si>
  <si>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</si>
  <si>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</si>
  <si>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</si>
  <si>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</si>
  <si>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</si>
  <si>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</si>
  <si>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</si>
  <si>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</si>
  <si>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</si>
  <si>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</si>
  <si>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</si>
  <si>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</si>
  <si>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</si>
  <si>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</si>
  <si>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</si>
  <si>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</si>
  <si>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</si>
  <si>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</si>
  <si>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</si>
  <si>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</si>
  <si>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</si>
  <si>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</si>
  <si>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</si>
  <si>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</si>
  <si>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</si>
  <si>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</si>
  <si>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</si>
  <si>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</si>
  <si>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</si>
  <si>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</si>
  <si>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</si>
  <si>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</si>
  <si>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</si>
  <si>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</si>
  <si>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</si>
  <si>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</si>
  <si>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</si>
  <si>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</si>
  <si>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</si>
  <si>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</si>
  <si>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</si>
  <si>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</si>
  <si>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</si>
  <si>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</si>
  <si>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</si>
  <si>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</si>
  <si>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</si>
  <si>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</si>
  <si>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</si>
  <si>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</si>
  <si>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</si>
  <si>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</si>
  <si>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</si>
  <si>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</si>
  <si>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</si>
  <si>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</si>
  <si>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</si>
  <si>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</si>
  <si>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</si>
  <si>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</si>
  <si>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</si>
  <si>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</si>
  <si>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</si>
  <si>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</si>
  <si>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</si>
  <si>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</si>
  <si>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</si>
  <si>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</si>
  <si>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</si>
  <si>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</si>
  <si>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</si>
  <si>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</si>
  <si>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</si>
  <si>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</si>
  <si>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</si>
  <si>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</si>
  <si>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</si>
  <si>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</si>
  <si>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</si>
  <si>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</si>
  <si>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</si>
  <si>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</si>
  <si>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</si>
  <si>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</si>
  <si>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</si>
  <si>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</si>
  <si>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</si>
  <si>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</si>
  <si>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</si>
  <si>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</si>
  <si>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</si>
  <si>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</si>
  <si>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</si>
  <si>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</si>
  <si>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</si>
  <si>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</si>
  <si>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</si>
  <si>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</si>
  <si>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</si>
  <si>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</si>
  <si>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</si>
  <si>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</si>
  <si>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</si>
  <si>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</si>
  <si>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</si>
  <si>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</si>
  <si>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</si>
  <si>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</si>
  <si>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</si>
  <si>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</si>
  <si>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</si>
  <si>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</si>
  <si>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</si>
  <si>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</si>
  <si>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</si>
  <si>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</si>
  <si>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</si>
  <si>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</si>
  <si>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</si>
  <si>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</si>
  <si>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</si>
  <si>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</si>
  <si>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</si>
  <si>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</si>
  <si>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</si>
  <si>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</si>
  <si>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</si>
  <si>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</si>
  <si>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</si>
  <si>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</si>
  <si>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</si>
  <si>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</si>
  <si>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</si>
  <si>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</si>
  <si>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</si>
  <si>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</si>
  <si>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</si>
  <si>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</si>
  <si>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</si>
  <si>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</si>
  <si>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</si>
  <si>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</si>
  <si>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</si>
  <si>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</si>
  <si>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</si>
  <si>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</si>
  <si>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</si>
  <si>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</si>
  <si>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</si>
  <si>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</si>
  <si>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</si>
  <si>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</si>
  <si>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</si>
  <si>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</si>
  <si>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</si>
  <si>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</si>
  <si>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</si>
  <si>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</si>
  <si>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</si>
  <si>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</si>
  <si>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</si>
  <si>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</si>
  <si>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</si>
  <si>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</si>
  <si>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</si>
  <si>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</si>
  <si>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</si>
  <si>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</si>
  <si>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</si>
  <si>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</si>
  <si>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</si>
  <si>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</si>
  <si>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</si>
  <si>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</si>
  <si>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</si>
  <si>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</si>
  <si>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</si>
  <si>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</si>
  <si>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</si>
  <si>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</si>
  <si>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</si>
  <si>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</si>
  <si>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</si>
  <si>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</si>
  <si>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</si>
  <si>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</si>
  <si>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</si>
  <si>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</si>
  <si>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</si>
  <si>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</si>
  <si>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</si>
  <si>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</si>
  <si>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</si>
  <si>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</si>
  <si>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</si>
  <si>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</si>
  <si>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</si>
  <si>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</si>
  <si>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</si>
  <si>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</si>
  <si>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</si>
  <si>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</si>
  <si>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</si>
  <si>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</si>
  <si>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</si>
  <si>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</si>
  <si>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</si>
  <si>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</si>
  <si>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</si>
  <si>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</si>
  <si>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</si>
  <si>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</si>
  <si>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</si>
  <si>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</si>
  <si>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</si>
  <si>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</si>
  <si>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</si>
  <si>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</si>
  <si>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</si>
  <si>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</si>
  <si>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</si>
  <si>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</si>
  <si>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</si>
  <si>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</si>
  <si>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</si>
  <si>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</si>
  <si>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</si>
  <si>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</si>
  <si>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</si>
  <si>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</si>
  <si>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</si>
  <si>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</si>
  <si>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</si>
  <si>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</si>
  <si>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</si>
  <si>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</si>
  <si>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</si>
  <si>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</si>
  <si>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</si>
  <si>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</si>
  <si>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</si>
  <si>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</si>
  <si>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</si>
  <si>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</si>
  <si>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</si>
  <si>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</si>
  <si>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</si>
  <si>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</si>
  <si>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</si>
  <si>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</si>
  <si>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</si>
  <si>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</si>
  <si>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</si>
  <si>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</si>
  <si>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</si>
  <si>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</si>
  <si>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</si>
  <si>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</si>
  <si>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</si>
  <si>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</si>
  <si>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</si>
  <si>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</si>
  <si>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</si>
  <si>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</si>
  <si>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</si>
  <si>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</si>
  <si>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</si>
  <si>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</si>
  <si>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</si>
  <si>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</si>
  <si>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</si>
  <si>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</si>
  <si>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</si>
  <si>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</si>
  <si>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</si>
  <si>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</si>
  <si>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</si>
  <si>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</si>
  <si>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</si>
  <si>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</si>
  <si>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</si>
  <si>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</si>
  <si>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</si>
  <si>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</si>
  <si>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</si>
  <si>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</si>
  <si>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</si>
  <si>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</si>
  <si>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</si>
  <si>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</si>
  <si>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</si>
  <si>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</si>
  <si>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</si>
  <si>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</si>
  <si>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</si>
  <si>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</si>
  <si>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</si>
  <si>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</si>
  <si>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</si>
  <si>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</si>
  <si>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</si>
  <si>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</si>
  <si>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</si>
  <si>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</si>
  <si>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</si>
  <si>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</si>
  <si>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</si>
  <si>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</si>
  <si>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</si>
  <si>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</si>
  <si>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</si>
  <si>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</si>
  <si>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</si>
  <si>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</si>
  <si>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</si>
  <si>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</si>
  <si>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</si>
  <si>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</si>
  <si>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</si>
  <si>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</si>
  <si>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</si>
  <si>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</si>
  <si>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</si>
  <si>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</si>
  <si>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</si>
  <si>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</si>
  <si>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</si>
  <si>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</si>
  <si>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</si>
  <si>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</si>
  <si>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</si>
  <si>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</si>
  <si>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</si>
  <si>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</si>
  <si>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</si>
  <si>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</si>
  <si>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</si>
  <si>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</si>
  <si>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</si>
  <si>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</si>
  <si>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</si>
  <si>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</si>
  <si>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</si>
  <si>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</si>
  <si>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</si>
  <si>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</si>
  <si>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</si>
  <si>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</si>
  <si>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</si>
  <si>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</si>
  <si>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</si>
  <si>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</si>
  <si>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</si>
  <si>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</si>
  <si>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</si>
  <si>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</si>
  <si>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</si>
  <si>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</si>
  <si>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</si>
  <si>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</si>
  <si>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</si>
  <si>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</si>
  <si>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</si>
  <si>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</si>
  <si>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</si>
  <si>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</si>
  <si>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</si>
  <si>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</si>
  <si>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</si>
  <si>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</si>
  <si>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</si>
  <si>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</si>
  <si>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</si>
  <si>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</si>
  <si>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</si>
  <si>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</si>
  <si>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</si>
  <si>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</si>
  <si>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</si>
  <si>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</si>
  <si>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</si>
  <si>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</si>
  <si>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</si>
  <si>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</si>
  <si>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</si>
  <si>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</si>
  <si>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</si>
  <si>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</si>
  <si>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</si>
  <si>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</si>
  <si>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</si>
  <si>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</si>
  <si>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</si>
  <si>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</si>
  <si>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</si>
  <si>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</si>
  <si>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</si>
  <si>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</si>
  <si>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</si>
  <si>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</si>
  <si>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</si>
  <si>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</si>
  <si>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</si>
  <si>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</si>
  <si>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</si>
  <si>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</si>
  <si>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</si>
  <si>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</si>
  <si>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</si>
  <si>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</si>
  <si>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</si>
  <si>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</si>
  <si>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</si>
  <si>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</si>
  <si>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</si>
  <si>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</si>
  <si>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</si>
  <si>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</si>
  <si>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</si>
  <si>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</si>
  <si>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</si>
  <si>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</si>
  <si>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</si>
  <si>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</si>
  <si>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</si>
  <si>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</si>
  <si>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</si>
  <si>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</si>
  <si>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</si>
  <si>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</si>
  <si>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</si>
  <si>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</si>
  <si>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</si>
  <si>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</si>
  <si>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</si>
  <si>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</si>
  <si>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</si>
  <si>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</si>
  <si>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</si>
  <si>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</si>
  <si>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</si>
  <si>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</si>
  <si>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</si>
  <si>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</si>
  <si>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</si>
  <si>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</si>
  <si>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</si>
  <si>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</si>
  <si>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</si>
  <si>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</si>
  <si>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</si>
  <si>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</si>
  <si>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</si>
  <si>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</si>
  <si>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</si>
  <si>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</si>
  <si>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</si>
  <si>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</si>
  <si>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</si>
  <si>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</si>
  <si>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</si>
  <si>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</si>
  <si>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</si>
  <si>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</si>
  <si>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</si>
  <si>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</si>
  <si>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</si>
  <si>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</si>
  <si>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</si>
  <si>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</si>
  <si>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</si>
  <si>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</si>
  <si>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</si>
  <si>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</si>
  <si>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</si>
  <si>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</si>
  <si>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</si>
  <si>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</si>
  <si>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</si>
  <si>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</si>
  <si>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</si>
  <si>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</si>
  <si>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</si>
  <si>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</si>
  <si>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</si>
  <si>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</si>
  <si>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</si>
  <si>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</si>
  <si>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</si>
  <si>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</si>
  <si>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</si>
  <si>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</si>
  <si>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</si>
  <si>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</si>
  <si>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</si>
  <si>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</si>
  <si>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</si>
  <si>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</si>
  <si>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</si>
  <si>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</si>
  <si>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</si>
  <si>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</si>
  <si>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</si>
  <si>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</si>
  <si>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</si>
  <si>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</si>
  <si>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</si>
  <si>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</si>
  <si>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</si>
  <si>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</si>
  <si>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</si>
  <si>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</si>
  <si>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</si>
  <si>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</si>
  <si>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</si>
  <si>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</si>
  <si>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</si>
  <si>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</si>
  <si>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</si>
  <si>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</si>
  <si>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</si>
  <si>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</si>
  <si>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</si>
  <si>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</si>
  <si>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</si>
  <si>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</si>
  <si>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</si>
  <si>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</si>
  <si>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</si>
  <si>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</si>
  <si>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</si>
  <si>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</si>
  <si>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</si>
  <si>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</si>
  <si>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</si>
  <si>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</si>
  <si>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</si>
  <si>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</si>
  <si>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</si>
  <si>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</si>
  <si>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</si>
  <si>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</si>
  <si>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</si>
  <si>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</si>
  <si>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</si>
  <si>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</si>
  <si>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</si>
  <si>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</si>
  <si>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</si>
  <si>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</si>
  <si>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</si>
  <si>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</si>
  <si>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</si>
  <si>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</si>
  <si>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</si>
  <si>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</si>
  <si>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</si>
  <si>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</si>
  <si>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</si>
  <si>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</si>
  <si>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</si>
  <si>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</si>
  <si>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</si>
  <si>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</si>
  <si>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</si>
  <si>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</si>
  <si>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</si>
  <si>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</si>
  <si>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</si>
  <si>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</si>
  <si>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</si>
  <si>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</si>
  <si>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</si>
  <si>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</si>
  <si>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</si>
  <si>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</si>
  <si>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</si>
  <si>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</si>
  <si>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</si>
  <si>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</si>
  <si>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</si>
  <si>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</si>
  <si>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</si>
  <si>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</si>
  <si>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</si>
  <si>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</si>
  <si>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</si>
  <si>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</si>
  <si>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</si>
  <si>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</si>
  <si>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</si>
  <si>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</si>
  <si>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</si>
  <si>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</si>
  <si>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</si>
  <si>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</si>
  <si>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</si>
  <si>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</si>
  <si>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</si>
  <si>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</si>
  <si>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</si>
  <si>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</si>
  <si>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</si>
  <si>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</si>
  <si>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</si>
  <si>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</si>
  <si>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</si>
  <si>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</si>
  <si>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</si>
  <si>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</si>
  <si>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</si>
  <si>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</si>
  <si>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</si>
  <si>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</si>
  <si>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</si>
  <si>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</si>
  <si>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</si>
  <si>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</si>
  <si>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</si>
  <si>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</si>
  <si>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</si>
  <si>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</si>
  <si>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</si>
  <si>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</si>
  <si>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</si>
  <si>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</si>
  <si>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</si>
  <si>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</si>
  <si>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</si>
  <si>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</si>
  <si>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</si>
  <si>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</si>
  <si>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</si>
  <si>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</si>
  <si>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</si>
  <si>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</si>
  <si>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</si>
  <si>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</si>
  <si>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</si>
  <si>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</si>
  <si>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</si>
  <si>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</si>
  <si>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</si>
  <si>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</si>
  <si>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</si>
  <si>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</si>
  <si>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</si>
  <si>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</si>
  <si>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</si>
  <si>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</si>
  <si>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</si>
  <si>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</si>
  <si>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</si>
  <si>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</si>
  <si>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</si>
  <si>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</si>
  <si>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</si>
  <si>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</si>
  <si>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</si>
  <si>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</si>
  <si>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</si>
  <si>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</si>
  <si>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</si>
  <si>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</si>
  <si>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</si>
  <si>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</si>
  <si>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</si>
  <si>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</si>
  <si>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</si>
  <si>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</si>
  <si>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</si>
  <si>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</si>
  <si>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</si>
  <si>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</si>
  <si>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</si>
  <si>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</si>
  <si>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</si>
  <si>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</si>
  <si>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</si>
  <si>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</si>
  <si>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</si>
  <si>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</si>
  <si>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</si>
  <si>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</si>
  <si>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</si>
  <si>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</si>
  <si>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</si>
  <si>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</si>
  <si>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</si>
  <si>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</si>
  <si>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</si>
  <si>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</si>
  <si>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</si>
  <si>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</si>
  <si>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</si>
  <si>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</si>
  <si>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</si>
  <si>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</si>
  <si>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</si>
  <si>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</si>
  <si>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</si>
  <si>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</si>
  <si>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</si>
  <si>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</si>
  <si>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</si>
  <si>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</si>
  <si>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</si>
  <si>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</si>
  <si>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</si>
  <si>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</si>
  <si>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</si>
  <si>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</si>
  <si>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</si>
  <si>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</si>
  <si>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</si>
  <si>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</si>
  <si>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</si>
  <si>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</si>
  <si>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</si>
  <si>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</si>
  <si>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</si>
  <si>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</si>
  <si>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</si>
  <si>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</si>
  <si>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</si>
  <si>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</si>
  <si>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</si>
  <si>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</si>
  <si>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</si>
  <si>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</si>
  <si>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</si>
  <si>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</si>
  <si>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</si>
  <si>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</si>
  <si>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</si>
  <si>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</si>
  <si>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</si>
  <si>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</si>
  <si>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</si>
  <si>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</si>
  <si>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</si>
  <si>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</si>
  <si>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</si>
  <si>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</si>
  <si>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</si>
  <si>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</si>
  <si>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</si>
  <si>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</si>
  <si>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</si>
  <si>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</si>
  <si>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</si>
  <si>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</si>
  <si>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</si>
  <si>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</si>
  <si>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</si>
  <si>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</si>
  <si>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</si>
  <si>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</si>
  <si>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</si>
  <si>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</si>
  <si>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</si>
  <si>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</si>
  <si>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</si>
  <si>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</si>
  <si>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</si>
  <si>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</si>
  <si>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</si>
  <si>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</si>
  <si>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</si>
  <si>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</si>
  <si>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</si>
  <si>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</si>
  <si>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</si>
  <si>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</si>
  <si>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</si>
  <si>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</si>
  <si>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</si>
  <si>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</si>
  <si>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</si>
  <si>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</si>
  <si>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</si>
  <si>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</si>
  <si>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</si>
  <si>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</si>
  <si>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</si>
  <si>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</si>
  <si>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</si>
  <si>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</si>
  <si>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</si>
  <si>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</si>
  <si>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</si>
  <si>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</si>
  <si>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</si>
  <si>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</si>
  <si>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</si>
  <si>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</si>
  <si>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</si>
  <si>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</si>
  <si>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</si>
  <si>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</si>
  <si>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</si>
  <si>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</si>
  <si>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</si>
  <si>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</si>
  <si>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</si>
  <si>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</si>
  <si>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</si>
  <si>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</si>
  <si>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</si>
  <si>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</si>
  <si>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</si>
  <si>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</si>
  <si>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</si>
  <si>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</si>
  <si>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</si>
  <si>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</si>
  <si>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</si>
  <si>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</si>
  <si>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</si>
  <si>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</si>
  <si>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</si>
  <si>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</si>
  <si>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</si>
  <si>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</si>
  <si>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</si>
  <si>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</si>
  <si>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</si>
  <si>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</si>
  <si>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</si>
  <si>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</si>
  <si>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</si>
  <si>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</si>
  <si>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</si>
  <si>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</si>
  <si>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</si>
  <si>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</si>
  <si>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</si>
  <si>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</si>
  <si>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</si>
  <si>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</si>
  <si>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</si>
  <si>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</si>
  <si>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</si>
  <si>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</si>
  <si>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</si>
  <si>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</si>
  <si>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</si>
  <si>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</si>
  <si>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</si>
  <si>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</si>
  <si>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</si>
  <si>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</si>
  <si>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</si>
  <si>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</si>
  <si>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</si>
  <si>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</si>
  <si>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</si>
  <si>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</si>
  <si>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</si>
  <si>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</si>
  <si>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</si>
  <si>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</si>
  <si>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</si>
  <si>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</si>
  <si>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</si>
  <si>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</si>
  <si>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</si>
  <si>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</si>
  <si>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</si>
  <si>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</si>
  <si>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</si>
  <si>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</si>
  <si>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</si>
  <si>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</si>
  <si>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</si>
  <si>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</si>
  <si>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</si>
  <si>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</si>
  <si>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</si>
  <si>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</si>
  <si>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</si>
  <si>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</si>
  <si>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</si>
  <si>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</si>
  <si>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</si>
  <si>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</si>
  <si>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</si>
  <si>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</si>
  <si>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</si>
  <si>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</si>
  <si>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</si>
  <si>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</si>
  <si>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</si>
  <si>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</si>
  <si>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</si>
  <si>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</si>
  <si>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</si>
  <si>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</si>
  <si>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</si>
  <si>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</si>
  <si>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</si>
  <si>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</si>
  <si>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</si>
  <si>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</si>
  <si>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</si>
  <si>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</si>
  <si>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</si>
  <si>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</si>
  <si>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</si>
  <si>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</si>
  <si>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</si>
  <si>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</si>
  <si>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</si>
  <si>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</si>
  <si>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</si>
  <si>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</si>
  <si>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</si>
  <si>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</si>
  <si>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</si>
  <si>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</si>
  <si>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</si>
  <si>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</si>
  <si>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</si>
  <si>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</si>
  <si>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</si>
  <si>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</si>
  <si>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</si>
  <si>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</si>
  <si>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</si>
  <si>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</si>
  <si>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</si>
  <si>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</si>
  <si>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</si>
  <si>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</si>
  <si>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</si>
  <si>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</si>
  <si>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</si>
  <si>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</si>
  <si>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</si>
  <si>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</si>
  <si>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</si>
  <si>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</si>
  <si>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</si>
  <si>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</si>
  <si>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</si>
  <si>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</si>
  <si>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</si>
  <si>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</si>
  <si>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</si>
  <si>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</si>
  <si>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</si>
  <si>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</si>
  <si>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</si>
  <si>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</si>
  <si>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</si>
  <si>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</si>
  <si>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</si>
  <si>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</si>
  <si>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</si>
  <si>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</si>
  <si>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</si>
  <si>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</si>
  <si>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</si>
  <si>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</si>
  <si>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</si>
  <si>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</si>
  <si>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</si>
  <si>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</si>
  <si>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</si>
  <si>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</si>
  <si>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</si>
  <si>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</si>
  <si>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</si>
  <si>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</si>
  <si>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</si>
  <si>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</si>
  <si>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</si>
  <si>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</si>
  <si>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</si>
  <si>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</si>
  <si>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</si>
  <si>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</si>
  <si>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</si>
  <si>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</si>
  <si>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</si>
  <si>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</si>
  <si>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</si>
  <si>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</si>
  <si>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</si>
  <si>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</si>
  <si>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</si>
  <si>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</si>
  <si>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</si>
  <si>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</si>
  <si>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</si>
  <si>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</si>
  <si>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</si>
  <si>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</si>
  <si>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</si>
  <si>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</si>
  <si>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</si>
  <si>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</si>
  <si>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</si>
  <si>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</si>
  <si>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</si>
  <si>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</si>
  <si>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</si>
  <si>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</si>
  <si>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</si>
  <si>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</si>
  <si>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</si>
  <si>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</si>
  <si>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</si>
  <si>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</si>
  <si>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</si>
  <si>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</si>
  <si>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</si>
  <si>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</si>
  <si>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</si>
  <si>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</si>
  <si>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</si>
  <si>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</si>
  <si>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</si>
  <si>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</si>
  <si>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</si>
  <si>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</si>
  <si>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</si>
  <si>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</si>
  <si>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</si>
  <si>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</si>
  <si>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</si>
  <si>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</si>
  <si>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</si>
  <si>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</si>
  <si>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</si>
  <si>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</si>
  <si>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</si>
  <si>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</si>
  <si>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</si>
  <si>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</si>
  <si>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</si>
  <si>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</si>
  <si>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</si>
  <si>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</si>
  <si>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</si>
  <si>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</si>
  <si>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</si>
  <si>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</si>
  <si>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</si>
  <si>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</si>
  <si>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</si>
  <si>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</si>
  <si>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</si>
  <si>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</si>
  <si>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</si>
  <si>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</si>
  <si>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</si>
  <si>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</si>
  <si>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</si>
  <si>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</si>
  <si>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</si>
  <si>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</si>
  <si>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</si>
  <si>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</si>
  <si>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</si>
  <si>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</si>
  <si>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</si>
  <si>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</si>
  <si>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</si>
  <si>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</si>
  <si>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</si>
  <si>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</si>
  <si>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</si>
  <si>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</si>
  <si>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</si>
  <si>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</si>
  <si>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</si>
  <si>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</si>
  <si>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</si>
  <si>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</si>
  <si>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</si>
  <si>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</si>
  <si>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</si>
  <si>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</si>
  <si>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</si>
  <si>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</si>
  <si>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</si>
  <si>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</si>
  <si>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</si>
  <si>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</si>
  <si>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</si>
  <si>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</si>
  <si>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</si>
  <si>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</si>
  <si>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</si>
  <si>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</si>
  <si>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</si>
  <si>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</si>
  <si>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</si>
  <si>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</si>
  <si>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</si>
  <si>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</si>
  <si>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</si>
  <si>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</si>
  <si>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</si>
  <si>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</si>
  <si>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</si>
  <si>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</si>
  <si>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</si>
  <si>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</si>
  <si>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</si>
  <si>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</si>
  <si>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</si>
  <si>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</si>
  <si>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</si>
  <si>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</si>
  <si>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</si>
  <si>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</si>
  <si>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</si>
  <si>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</si>
  <si>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</si>
  <si>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</si>
  <si>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</si>
  <si>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</si>
  <si>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</si>
  <si>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</si>
  <si>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</si>
  <si>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</si>
  <si>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</si>
  <si>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</si>
  <si>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</si>
  <si>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</si>
  <si>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</si>
  <si>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</si>
  <si>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</si>
  <si>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</si>
  <si>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</si>
  <si>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</si>
  <si>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</si>
  <si>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</si>
  <si>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</si>
  <si>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</si>
  <si>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</si>
  <si>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</si>
  <si>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</si>
  <si>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</si>
  <si>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</si>
  <si>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</si>
  <si>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</si>
  <si>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</si>
  <si>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</si>
  <si>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</si>
  <si>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</si>
  <si>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</si>
  <si>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</si>
  <si>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</si>
  <si>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</si>
  <si>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</si>
  <si>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</si>
  <si>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</si>
  <si>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</si>
  <si>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</si>
  <si>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</si>
  <si>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</si>
  <si>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</si>
  <si>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</si>
  <si>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</si>
  <si>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</si>
  <si>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</si>
  <si>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</si>
  <si>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</si>
  <si>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</si>
  <si>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</si>
  <si>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</si>
  <si>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</si>
  <si>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</si>
  <si>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</si>
  <si>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</si>
  <si>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</si>
  <si>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</si>
  <si>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</si>
  <si>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</si>
  <si>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</si>
  <si>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</si>
  <si>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</si>
  <si>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</si>
  <si>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</si>
  <si>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</si>
  <si>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</si>
  <si>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</si>
  <si>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</si>
  <si>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</si>
  <si>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</si>
  <si>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</si>
  <si>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</si>
  <si>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</si>
  <si>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</si>
  <si>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</si>
  <si>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</si>
  <si>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</si>
  <si>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</si>
  <si>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</si>
  <si>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</si>
  <si>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</si>
  <si>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</si>
  <si>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</si>
  <si>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</si>
  <si>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</si>
  <si>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</si>
  <si>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</si>
  <si>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</si>
  <si>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</si>
  <si>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</si>
  <si>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</si>
  <si>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</si>
  <si>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</si>
  <si>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</si>
  <si>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</si>
  <si>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</si>
  <si>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</si>
  <si>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</si>
  <si>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</si>
  <si>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</si>
  <si>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</si>
  <si>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</si>
  <si>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</si>
  <si>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</si>
  <si>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</si>
  <si>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</si>
  <si>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</si>
  <si>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</si>
  <si>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</si>
  <si>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</si>
  <si>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</si>
  <si>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</si>
  <si>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</si>
  <si>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</si>
  <si>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</si>
  <si>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</si>
  <si>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</si>
  <si>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</si>
  <si>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</si>
  <si>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</si>
  <si>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</si>
  <si>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</si>
  <si>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</si>
  <si>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</si>
  <si>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</si>
  <si>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</si>
  <si>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</si>
  <si>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</si>
  <si>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</si>
  <si>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</si>
  <si>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</si>
  <si>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</si>
  <si>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</si>
  <si>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</si>
  <si>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</si>
  <si>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</si>
  <si>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</si>
  <si>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</si>
  <si>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</si>
  <si>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</si>
  <si>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</si>
  <si>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</si>
  <si>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</si>
  <si>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</si>
  <si>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</si>
  <si>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</si>
  <si>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</si>
  <si>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</si>
  <si>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</si>
  <si>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</si>
  <si>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</si>
  <si>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</si>
  <si>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</si>
  <si>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</si>
  <si>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</si>
  <si>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</si>
  <si>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</si>
  <si>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</si>
  <si>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</si>
  <si>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</si>
  <si>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</si>
  <si>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</si>
  <si>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</si>
  <si>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</si>
  <si>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</si>
  <si>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</si>
  <si>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</si>
  <si>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</si>
  <si>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</si>
  <si>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</si>
  <si>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</si>
  <si>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</si>
  <si>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</si>
  <si>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</si>
  <si>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</si>
  <si>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</si>
  <si>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</si>
  <si>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</si>
  <si>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</si>
  <si>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</si>
  <si>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</si>
  <si>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</si>
  <si>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</si>
  <si>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</si>
  <si>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</si>
  <si>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</si>
  <si>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</si>
  <si>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</si>
  <si>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</si>
  <si>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</si>
  <si>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</si>
  <si>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</si>
  <si>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</si>
  <si>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</si>
  <si>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</si>
  <si>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</si>
  <si>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</si>
  <si>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</si>
  <si>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</si>
  <si>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</si>
  <si>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</si>
  <si>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</si>
  <si>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</si>
  <si>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</si>
  <si>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</si>
  <si>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</si>
  <si>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</si>
  <si>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</si>
  <si>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</si>
  <si>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</si>
  <si>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</si>
  <si>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</si>
  <si>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</si>
  <si>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</si>
  <si>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</si>
  <si>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</si>
  <si>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</si>
  <si>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</si>
  <si>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</si>
  <si>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</si>
  <si>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</si>
  <si>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</si>
  <si>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</si>
  <si>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</si>
  <si>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</si>
  <si>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</si>
  <si>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</si>
  <si>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</si>
  <si>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</si>
  <si>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</si>
  <si>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</si>
  <si>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</si>
  <si>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</si>
  <si>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</si>
  <si>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</si>
  <si>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</si>
  <si>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</si>
  <si>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</si>
  <si>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</si>
  <si>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</si>
  <si>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</si>
  <si>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</si>
  <si>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</si>
  <si>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</si>
  <si>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</si>
  <si>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</si>
  <si>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</si>
  <si>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</si>
  <si>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</si>
  <si>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</si>
  <si>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</si>
  <si>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</si>
  <si>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</si>
  <si>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</si>
  <si>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</si>
  <si>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</si>
  <si>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</si>
  <si>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</si>
  <si>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</si>
  <si>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</si>
  <si>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</si>
  <si>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</si>
  <si>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</si>
  <si>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</si>
  <si>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</si>
  <si>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</si>
  <si>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</si>
  <si>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</si>
  <si>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</si>
  <si>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</si>
  <si>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</si>
  <si>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</si>
  <si>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</si>
  <si>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</si>
  <si>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</si>
  <si>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</si>
  <si>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</si>
  <si>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</si>
  <si>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</si>
  <si>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</si>
  <si>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</si>
  <si>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</si>
  <si>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</si>
  <si>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</si>
  <si>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</si>
  <si>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</si>
  <si>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</si>
  <si>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</si>
  <si>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</si>
  <si>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</si>
  <si>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</si>
  <si>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</si>
  <si>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</si>
  <si>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</si>
  <si>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</si>
  <si>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</si>
  <si>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</si>
  <si>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</si>
  <si>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</si>
  <si>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</si>
  <si>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</si>
  <si>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</si>
  <si>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</si>
  <si>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</si>
  <si>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</si>
  <si>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</si>
  <si>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</si>
  <si>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</si>
  <si>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</si>
  <si>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</si>
  <si>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</si>
  <si>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</si>
  <si>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</si>
  <si>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</si>
  <si>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</si>
  <si>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</si>
  <si>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</si>
  <si>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</si>
  <si>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</si>
  <si>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</si>
  <si>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</si>
  <si>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</si>
  <si>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</si>
  <si>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</si>
  <si>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</si>
  <si>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</si>
  <si>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</si>
  <si>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</si>
  <si>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</si>
  <si>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</si>
  <si>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</si>
  <si>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</si>
  <si>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</si>
  <si>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</si>
  <si>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</si>
  <si>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</si>
  <si>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</si>
  <si>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</si>
  <si>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</si>
  <si>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</si>
  <si>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</si>
  <si>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</si>
  <si>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</si>
  <si>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</si>
  <si>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</si>
  <si>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</si>
  <si>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</si>
  <si>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</si>
  <si>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</si>
  <si>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</si>
  <si>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</si>
  <si>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</si>
  <si>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</si>
  <si>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</si>
  <si>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</si>
  <si>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</si>
  <si>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</si>
  <si>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</si>
  <si>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</si>
  <si>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</si>
  <si>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</si>
  <si>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</si>
  <si>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</si>
  <si>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</si>
  <si>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</si>
  <si>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</si>
  <si>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</si>
  <si>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</si>
  <si>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</si>
  <si>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</si>
  <si>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</si>
  <si>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</si>
  <si>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</si>
  <si>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</si>
  <si>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</si>
  <si>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</si>
  <si>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</si>
  <si>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</si>
  <si>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</si>
  <si>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</si>
  <si>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</si>
  <si>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</si>
  <si>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</si>
  <si>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</si>
  <si>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</si>
  <si>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</si>
  <si>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</si>
  <si>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</si>
  <si>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</si>
  <si>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</si>
  <si>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</si>
  <si>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</si>
  <si>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</si>
  <si>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</si>
  <si>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</si>
  <si>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</si>
  <si>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</si>
  <si>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</si>
  <si>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</si>
  <si>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</si>
  <si>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</si>
  <si>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</si>
  <si>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</si>
  <si>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</si>
  <si>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</si>
  <si>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</si>
  <si>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</si>
  <si>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</si>
  <si>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</si>
  <si>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</si>
  <si>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</si>
  <si>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</si>
  <si>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</si>
  <si>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</si>
  <si>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</si>
  <si>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</si>
  <si>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</si>
  <si>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</si>
  <si>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</si>
  <si>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</si>
  <si>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</si>
  <si>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</si>
  <si>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</si>
  <si>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</si>
  <si>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</si>
  <si>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</si>
  <si>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</si>
  <si>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</si>
  <si>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</si>
  <si>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</si>
  <si>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</si>
  <si>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</si>
  <si>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</si>
  <si>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</si>
  <si>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</si>
  <si>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</si>
  <si>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</si>
  <si>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</si>
  <si>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</si>
  <si>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</si>
  <si>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</si>
  <si>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</si>
  <si>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</si>
  <si>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</si>
  <si>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</si>
  <si>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</si>
  <si>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</si>
  <si>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</si>
  <si>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</si>
  <si>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</si>
  <si>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</si>
  <si>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</si>
  <si>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</si>
  <si>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</si>
  <si>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</si>
  <si>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</si>
  <si>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</si>
  <si>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</si>
  <si>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</si>
  <si>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</si>
  <si>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</si>
  <si>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</si>
  <si>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</si>
  <si>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</si>
  <si>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</si>
  <si>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</si>
  <si>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</si>
  <si>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</si>
  <si>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</si>
  <si>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</si>
  <si>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</si>
  <si>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</si>
  <si>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</si>
  <si>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</si>
  <si>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</si>
  <si>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</si>
  <si>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</si>
  <si>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</si>
  <si>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</si>
  <si>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</si>
  <si>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</si>
  <si>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</si>
  <si>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</si>
  <si>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</si>
  <si>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</si>
  <si>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</si>
  <si>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</si>
  <si>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</si>
  <si>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</si>
  <si>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</si>
  <si>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</si>
  <si>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</si>
  <si>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</si>
  <si>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</si>
  <si>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</si>
  <si>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</si>
  <si>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</si>
  <si>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</si>
  <si>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</si>
  <si>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</si>
  <si>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</si>
  <si>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</si>
  <si>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</si>
  <si>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</si>
  <si>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</si>
  <si>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</si>
  <si>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</si>
  <si>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</si>
  <si>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</si>
  <si>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</si>
  <si>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</si>
  <si>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</si>
  <si>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</si>
  <si>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</si>
  <si>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</si>
  <si>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</si>
  <si>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</si>
  <si>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</si>
  <si>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</si>
  <si>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</si>
  <si>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</si>
  <si>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</si>
  <si>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</si>
  <si>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</si>
  <si>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</si>
  <si>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</si>
  <si>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</si>
  <si>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</si>
  <si>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</si>
  <si>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</si>
  <si>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</si>
  <si>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</si>
  <si>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</si>
  <si>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</si>
  <si>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</si>
  <si>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</si>
  <si>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</si>
  <si>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</si>
  <si>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</si>
  <si>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</si>
  <si>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</si>
  <si>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</si>
  <si>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</si>
  <si>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</si>
  <si>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</si>
  <si>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</si>
  <si>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</si>
  <si>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</si>
  <si>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</si>
  <si>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</si>
  <si>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</si>
  <si>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</si>
  <si>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</si>
  <si>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</si>
  <si>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</si>
  <si>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</si>
  <si>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</si>
  <si>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</si>
  <si>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</si>
  <si>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</si>
  <si>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</si>
  <si>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</si>
  <si>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</si>
  <si>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</si>
  <si>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</si>
  <si>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</si>
  <si>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</si>
  <si>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</si>
  <si>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</si>
  <si>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</si>
  <si>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</si>
  <si>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</si>
  <si>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</si>
  <si>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</si>
  <si>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</si>
  <si>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</si>
  <si>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</si>
  <si>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</si>
  <si>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</si>
  <si>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</si>
  <si>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</si>
  <si>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</si>
  <si>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</si>
  <si>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</si>
  <si>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</si>
  <si>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</si>
  <si>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</si>
  <si>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</si>
  <si>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</si>
  <si>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</si>
  <si>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</si>
  <si>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TULUM</t>
  </si>
  <si>
    <t>DON PEPPER</t>
  </si>
  <si>
    <t>GLAZIC</t>
  </si>
  <si>
    <t>COLMAN</t>
  </si>
  <si>
    <t>BOATER</t>
  </si>
  <si>
    <t>GRINGO</t>
  </si>
  <si>
    <t>KITE</t>
  </si>
  <si>
    <t>CREEK</t>
  </si>
  <si>
    <t>CONQUEST SWEAT</t>
  </si>
  <si>
    <t>BARBEAU</t>
  </si>
  <si>
    <t>DISPATCH 002</t>
  </si>
  <si>
    <t>RANGE 003</t>
  </si>
  <si>
    <t>RANGE 013</t>
  </si>
  <si>
    <t>RUTFORD</t>
  </si>
  <si>
    <t>BUCK 006</t>
  </si>
  <si>
    <t>BUCK 007</t>
  </si>
  <si>
    <t>BUCK 010</t>
  </si>
  <si>
    <t>EDMOND 001</t>
  </si>
  <si>
    <t>EDMOND 005</t>
  </si>
  <si>
    <t>JUSTIN 8533</t>
  </si>
  <si>
    <t>JUSTIN 8534</t>
  </si>
  <si>
    <t>CARTER 002</t>
  </si>
  <si>
    <t>CARTER 003</t>
  </si>
  <si>
    <t>DON BOSCO</t>
  </si>
  <si>
    <t>MAC FLEMISH</t>
  </si>
  <si>
    <t>MAC MILLAN</t>
  </si>
  <si>
    <t>MAC NELLA</t>
  </si>
  <si>
    <t>QUEEN EVITA</t>
  </si>
  <si>
    <t>WHALES</t>
  </si>
  <si>
    <t>SEAL</t>
  </si>
  <si>
    <t>MAC LORCA</t>
  </si>
  <si>
    <t>MAC COY</t>
  </si>
  <si>
    <t>MAC SOFT</t>
  </si>
  <si>
    <t>MAC CARTHY</t>
  </si>
  <si>
    <t>MAC HAWK</t>
  </si>
  <si>
    <t>DON VEGAS</t>
  </si>
  <si>
    <t>BUCK 001</t>
  </si>
  <si>
    <t>EDMOND 019</t>
  </si>
  <si>
    <t>RANGE W16002</t>
  </si>
  <si>
    <t>MACKINSLEY</t>
  </si>
  <si>
    <t>AUSTRALIAN</t>
  </si>
  <si>
    <t>DON CHURCH</t>
  </si>
  <si>
    <t>81-074-09</t>
  </si>
  <si>
    <t>DJIBOUTI</t>
  </si>
  <si>
    <t>81-075-17</t>
  </si>
  <si>
    <t>DJERBA</t>
  </si>
  <si>
    <t>81-075-16</t>
  </si>
  <si>
    <t>81-076-45</t>
  </si>
  <si>
    <t>BAMAKO</t>
  </si>
  <si>
    <t>81-076-16</t>
  </si>
  <si>
    <t>81-077-02</t>
  </si>
  <si>
    <t>TRIPOLI</t>
  </si>
  <si>
    <t>81-077-16</t>
  </si>
  <si>
    <t>81-078-20</t>
  </si>
  <si>
    <t>TEMPA</t>
  </si>
  <si>
    <t>81-078-34</t>
  </si>
  <si>
    <t>81-079-06</t>
  </si>
  <si>
    <t>FLORIDA</t>
  </si>
  <si>
    <t>81-079-20</t>
  </si>
  <si>
    <t>81-079-34</t>
  </si>
  <si>
    <t>80-941-09</t>
  </si>
  <si>
    <t>AGUSTA</t>
  </si>
  <si>
    <t>80-941-80</t>
  </si>
  <si>
    <t>80-662-19</t>
  </si>
  <si>
    <t>CONQUEST 033</t>
  </si>
  <si>
    <t>80-662-06</t>
  </si>
  <si>
    <t>80-662-34</t>
  </si>
  <si>
    <t>80-717-19</t>
  </si>
  <si>
    <t>BUCKET 024</t>
  </si>
  <si>
    <t>80-717-06</t>
  </si>
  <si>
    <t>80-717-34</t>
  </si>
  <si>
    <t>81-080-09</t>
  </si>
  <si>
    <t>B-4003</t>
  </si>
  <si>
    <t>81-081-09</t>
  </si>
  <si>
    <t>B-4503</t>
  </si>
  <si>
    <t>80-824-16</t>
  </si>
  <si>
    <t>HORSE</t>
  </si>
  <si>
    <t>80-863-16</t>
  </si>
  <si>
    <t>80-863-34</t>
  </si>
  <si>
    <t>81-082-09</t>
  </si>
  <si>
    <t>EDMOND 020</t>
  </si>
  <si>
    <t>80-562-17</t>
  </si>
  <si>
    <t>EDMOND 039</t>
  </si>
  <si>
    <t>80-506-14</t>
  </si>
  <si>
    <t>81-083-16</t>
  </si>
  <si>
    <t>ICE 8520</t>
  </si>
  <si>
    <t>81-083-09</t>
  </si>
  <si>
    <t>81-084-09</t>
  </si>
  <si>
    <t>ICE 8523</t>
  </si>
  <si>
    <t>81-084-11</t>
  </si>
  <si>
    <t>81-085-14</t>
  </si>
  <si>
    <t>KANA W16</t>
  </si>
  <si>
    <t>81-085-09</t>
  </si>
  <si>
    <t>81-086-16</t>
  </si>
  <si>
    <t>DORIANE</t>
  </si>
  <si>
    <t>81-086-11</t>
  </si>
  <si>
    <t>81-087-16</t>
  </si>
  <si>
    <t>EDMOND 004</t>
  </si>
  <si>
    <t>81-087-09</t>
  </si>
  <si>
    <t>81-088-21</t>
  </si>
  <si>
    <t>VALERE</t>
  </si>
  <si>
    <t>81-088-08</t>
  </si>
  <si>
    <t>80-588-80</t>
  </si>
  <si>
    <t>80-590-09</t>
  </si>
  <si>
    <t>CARTER 005</t>
  </si>
  <si>
    <t>80-591-16</t>
  </si>
  <si>
    <t>CARTER 006</t>
  </si>
  <si>
    <t>81-089-16</t>
  </si>
  <si>
    <t>HATTAWAY</t>
  </si>
  <si>
    <t>81-090-13</t>
  </si>
  <si>
    <t>KING</t>
  </si>
  <si>
    <t>81-091-02</t>
  </si>
  <si>
    <t>HARTLEY</t>
  </si>
  <si>
    <t>81-091-20</t>
  </si>
  <si>
    <t>81-091-09</t>
  </si>
  <si>
    <t>81-092-80</t>
  </si>
  <si>
    <t>BRUCE</t>
  </si>
  <si>
    <t>81-093-80</t>
  </si>
  <si>
    <t>TABARLY</t>
  </si>
  <si>
    <t>81-093-16</t>
  </si>
  <si>
    <t>81-094-02</t>
  </si>
  <si>
    <t>KENDAL</t>
  </si>
  <si>
    <t>81-094-20</t>
  </si>
  <si>
    <t>81-094-09</t>
  </si>
  <si>
    <t>81-094-34</t>
  </si>
  <si>
    <t>81-095-06</t>
  </si>
  <si>
    <t>EDMOND 088</t>
  </si>
  <si>
    <t>81-095-17</t>
  </si>
  <si>
    <t>81-095-16</t>
  </si>
  <si>
    <t>81-095-09</t>
  </si>
  <si>
    <t>DENIM</t>
  </si>
  <si>
    <t>NATURAL</t>
  </si>
  <si>
    <t>NAVY</t>
  </si>
  <si>
    <t>BLACK</t>
  </si>
  <si>
    <t>BLUE</t>
  </si>
  <si>
    <t>GREY</t>
  </si>
  <si>
    <t>GREEN</t>
  </si>
  <si>
    <t>BURGUNDY</t>
  </si>
  <si>
    <t>BROWN</t>
  </si>
  <si>
    <t>RED</t>
  </si>
  <si>
    <t>BEIGE</t>
  </si>
  <si>
    <t>ORANGE</t>
  </si>
  <si>
    <t>PETROL BLUE</t>
  </si>
  <si>
    <t>PEARL</t>
  </si>
  <si>
    <t>Charcoal</t>
  </si>
  <si>
    <t>DARK GREY</t>
  </si>
  <si>
    <t>PINK</t>
  </si>
  <si>
    <t>WHITE</t>
  </si>
  <si>
    <t>YELLOW</t>
  </si>
  <si>
    <t>ANIMAL</t>
  </si>
  <si>
    <t>FUSHIA</t>
  </si>
  <si>
    <t>OFFWHITE</t>
  </si>
  <si>
    <t>TAUPE</t>
  </si>
  <si>
    <t>COGNAC</t>
  </si>
  <si>
    <t>MUSTARD</t>
  </si>
  <si>
    <t>OLD PINK</t>
  </si>
  <si>
    <t>70% акрилл - 30% шерсть</t>
  </si>
  <si>
    <t>100% акрилл</t>
  </si>
  <si>
    <t>58% вискоза - 25% акрилл - 13% полиамид - 4% ангора</t>
  </si>
  <si>
    <t>40% шерсть - 40% акрилл - 20% полиэстер</t>
  </si>
  <si>
    <t>50% шерсть - 50% акрилл</t>
  </si>
  <si>
    <t>57% полиэстер - 33% акрилл - 10% хлопок</t>
  </si>
  <si>
    <t>вельветовые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</si>
  <si>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</si>
  <si>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</si>
  <si>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</si>
  <si>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</si>
  <si>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</si>
  <si>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</si>
  <si>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</si>
  <si>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</si>
  <si>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</si>
  <si>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</si>
  <si>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</si>
  <si>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</si>
  <si>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</si>
  <si>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</si>
  <si>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</si>
  <si>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</si>
  <si>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</si>
  <si>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</si>
  <si>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</si>
  <si>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</si>
  <si>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</si>
  <si>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</si>
  <si>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</si>
  <si>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</si>
  <si>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</si>
  <si>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</si>
  <si>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</si>
  <si>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</si>
  <si>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</si>
  <si>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</si>
  <si>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</si>
  <si>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</si>
  <si>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</si>
  <si>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</si>
  <si>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</si>
  <si>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</si>
  <si>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</si>
  <si>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</si>
  <si>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</si>
  <si>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</si>
  <si>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</si>
  <si>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</si>
  <si>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</si>
  <si>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</si>
  <si>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</si>
  <si>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</si>
  <si>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</si>
  <si>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</si>
  <si>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</si>
  <si>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</si>
  <si>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</si>
  <si>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</si>
  <si>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</si>
  <si>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</si>
  <si>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</si>
  <si>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</si>
  <si>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</si>
  <si>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</si>
  <si>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</si>
  <si>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</si>
  <si>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</si>
  <si>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</si>
  <si>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</si>
  <si>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</si>
  <si>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</si>
  <si>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</si>
  <si>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</si>
  <si>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</si>
  <si>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</si>
  <si>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</si>
  <si>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</si>
  <si>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</si>
  <si>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</si>
  <si>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</si>
  <si>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</si>
  <si>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</si>
  <si>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</si>
  <si>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</si>
  <si>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</si>
  <si>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</si>
  <si>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</si>
  <si>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</si>
  <si>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</si>
  <si>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</si>
  <si>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</si>
  <si>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</si>
  <si>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</si>
  <si>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</si>
  <si>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</si>
  <si>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</si>
  <si>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</si>
  <si>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</si>
  <si>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</si>
  <si>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</si>
  <si>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</si>
  <si>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</si>
  <si>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</si>
  <si>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</si>
  <si>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</si>
  <si>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</si>
  <si>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</si>
  <si>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</si>
  <si>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</si>
  <si>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</si>
  <si>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</si>
  <si>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</si>
  <si>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</si>
  <si>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</si>
  <si>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</si>
  <si>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</si>
  <si>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</si>
  <si>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</si>
  <si>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</si>
  <si>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</si>
  <si>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</si>
  <si>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</si>
  <si>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</si>
  <si>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</si>
  <si>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</si>
  <si>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</si>
  <si>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</si>
  <si>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</si>
  <si>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</si>
  <si>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</si>
  <si>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</si>
  <si>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</si>
  <si>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</si>
  <si>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</si>
  <si>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</si>
  <si>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</si>
  <si>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</si>
  <si>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</si>
  <si>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</si>
  <si>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</si>
  <si>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</si>
  <si>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</si>
  <si>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</si>
  <si>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</si>
  <si>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</si>
  <si>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</si>
  <si>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</si>
  <si>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</si>
  <si>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</si>
  <si>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</si>
  <si>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</si>
  <si>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</si>
  <si>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</si>
  <si>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</si>
  <si>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</si>
  <si>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</si>
  <si>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</si>
  <si>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</si>
  <si>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</si>
  <si>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</si>
  <si>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</si>
  <si>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</si>
  <si>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</si>
  <si>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</si>
  <si>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</si>
  <si>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</si>
  <si>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</si>
  <si>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</si>
  <si>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</si>
  <si>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</si>
  <si>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</si>
  <si>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</si>
  <si>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</si>
  <si>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</si>
  <si>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</si>
  <si>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</si>
  <si>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</si>
  <si>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</si>
  <si>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</si>
  <si>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</si>
  <si>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</si>
  <si>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</si>
  <si>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</si>
  <si>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</si>
  <si>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</si>
  <si>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</si>
  <si>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</si>
  <si>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</si>
  <si>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</si>
  <si>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</si>
  <si>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</si>
  <si>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</si>
  <si>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</si>
  <si>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</si>
  <si>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</si>
  <si>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</si>
  <si>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</si>
  <si>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</si>
  <si>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</si>
  <si>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</si>
  <si>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</si>
  <si>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</si>
  <si>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</si>
  <si>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</si>
  <si>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</si>
  <si>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</si>
  <si>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</si>
  <si>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</si>
  <si>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</si>
  <si>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</si>
  <si>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</si>
  <si>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</si>
  <si>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</si>
  <si>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</si>
  <si>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</si>
  <si>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</si>
  <si>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</si>
  <si>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</si>
  <si>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</si>
  <si>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</si>
  <si>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</si>
  <si>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</si>
  <si>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</si>
  <si>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</si>
  <si>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</si>
  <si>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</si>
  <si>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</si>
  <si>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</si>
  <si>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</si>
  <si>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</si>
  <si>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</si>
  <si>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</si>
  <si>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</si>
  <si>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</si>
  <si>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</si>
  <si>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</si>
  <si>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</si>
  <si>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</si>
  <si>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</si>
  <si>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</si>
  <si>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</si>
  <si>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</si>
  <si>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</si>
  <si>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</si>
  <si>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</si>
  <si>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</si>
  <si>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</si>
  <si>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</si>
  <si>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</si>
  <si>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</si>
  <si>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</si>
  <si>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</si>
  <si>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</si>
  <si>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</si>
  <si>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</si>
  <si>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</si>
  <si>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</si>
  <si>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</si>
  <si>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</si>
  <si>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</si>
  <si>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</si>
  <si>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</si>
  <si>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</si>
  <si>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</si>
  <si>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</si>
  <si>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</si>
  <si>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</si>
  <si>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</si>
  <si>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</si>
  <si>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</si>
  <si>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</si>
  <si>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</si>
  <si>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</si>
  <si>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</si>
  <si>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</si>
  <si>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</si>
  <si>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</si>
  <si>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</si>
  <si>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</si>
  <si>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</si>
  <si>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</si>
  <si>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</si>
  <si>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</si>
  <si>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</si>
  <si>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</si>
  <si>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</si>
  <si>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</si>
  <si>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</si>
  <si>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</si>
  <si>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</si>
  <si>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</si>
  <si>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</si>
  <si>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</si>
  <si>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</si>
  <si>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</si>
  <si>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</si>
  <si>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</si>
  <si>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</si>
  <si>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</si>
  <si>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</si>
  <si>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</si>
  <si>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</si>
  <si>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</si>
  <si>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</si>
  <si>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</si>
  <si>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</si>
  <si>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</si>
  <si>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</si>
  <si>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</si>
  <si>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</si>
  <si>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</si>
  <si>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</si>
  <si>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</si>
  <si>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</si>
  <si>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</si>
  <si>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</si>
  <si>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</si>
  <si>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</si>
  <si>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</si>
  <si>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</si>
  <si>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</si>
  <si>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</si>
  <si>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</si>
  <si>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</si>
  <si>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</si>
  <si>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</si>
  <si>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</si>
  <si>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</si>
  <si>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</si>
  <si>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</si>
  <si>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</si>
  <si>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</si>
  <si>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</si>
  <si>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</si>
  <si>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</si>
  <si>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</si>
  <si>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</si>
  <si>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</si>
  <si>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</si>
  <si>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</si>
  <si>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</si>
  <si>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</si>
  <si>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</si>
  <si>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</si>
  <si>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</si>
  <si>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</si>
  <si>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</si>
  <si>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</si>
  <si>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</si>
  <si>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</si>
  <si>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</si>
  <si>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</si>
  <si>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</si>
  <si>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</si>
  <si>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</si>
  <si>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</si>
  <si>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</si>
  <si>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</si>
  <si>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</si>
  <si>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</si>
  <si>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</si>
  <si>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</si>
  <si>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</si>
  <si>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</si>
  <si>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</si>
  <si>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</si>
  <si>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</si>
  <si>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</si>
  <si>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</si>
  <si>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</si>
  <si>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</si>
  <si>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</si>
  <si>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</si>
  <si>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</si>
  <si>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</si>
  <si>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</si>
  <si>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</si>
  <si>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</si>
  <si>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</si>
  <si>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</si>
  <si>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</si>
  <si>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</si>
  <si>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</si>
  <si>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</si>
  <si>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</si>
  <si>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</si>
  <si>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</si>
  <si>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</si>
  <si>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</si>
  <si>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</si>
  <si>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</si>
  <si>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</si>
  <si>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</si>
  <si>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</si>
  <si>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</si>
  <si>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</si>
  <si>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</si>
  <si>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</si>
  <si>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</si>
  <si>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</si>
  <si>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</si>
  <si>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</si>
  <si>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</si>
  <si>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</si>
  <si>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</si>
  <si>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</si>
  <si>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HERMAN арт. CARTER 003 (серый) {grey}</t>
  </si>
  <si>
    <t>Шляпа STETSON арт. 2528112 TRAVELLER WOOLFELT (темно-зеленый) {66}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</si>
</sst>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sqref="A1:B14016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27774</v>
      </c>
      <c r="B44" s="28" t="s">
        <v>27775</v>
      </c>
    </row>
    <row r="45" spans="1:2" x14ac:dyDescent="0.25">
      <c r="A45" s="28" t="s">
        <v>27776</v>
      </c>
      <c r="B45" s="28" t="s">
        <v>27777</v>
      </c>
    </row>
    <row r="46" spans="1:2" x14ac:dyDescent="0.25">
      <c r="A46" s="28" t="s">
        <v>27778</v>
      </c>
      <c r="B46" s="28" t="s">
        <v>27779</v>
      </c>
    </row>
    <row r="47" spans="1:2" x14ac:dyDescent="0.25">
      <c r="A47" s="28" t="s">
        <v>27780</v>
      </c>
      <c r="B47" s="28" t="s">
        <v>27781</v>
      </c>
    </row>
    <row r="48" spans="1:2" x14ac:dyDescent="0.25">
      <c r="A48" s="28" t="s">
        <v>27782</v>
      </c>
      <c r="B48" s="28" t="s">
        <v>27783</v>
      </c>
    </row>
    <row r="49" spans="1:2" x14ac:dyDescent="0.25">
      <c r="A49" s="28" t="s">
        <v>27784</v>
      </c>
      <c r="B49" s="28" t="s">
        <v>27785</v>
      </c>
    </row>
    <row r="50" spans="1:2" x14ac:dyDescent="0.25">
      <c r="A50" s="28" t="s">
        <v>27786</v>
      </c>
      <c r="B50" s="28" t="s">
        <v>27787</v>
      </c>
    </row>
    <row r="51" spans="1:2" x14ac:dyDescent="0.25">
      <c r="A51" s="28" t="s">
        <v>27788</v>
      </c>
      <c r="B51" s="28" t="s">
        <v>27789</v>
      </c>
    </row>
    <row r="52" spans="1:2" x14ac:dyDescent="0.25">
      <c r="A52" s="28" t="s">
        <v>27790</v>
      </c>
      <c r="B52" s="28" t="s">
        <v>27791</v>
      </c>
    </row>
    <row r="53" spans="1:2" x14ac:dyDescent="0.25">
      <c r="A53" s="28" t="s">
        <v>27792</v>
      </c>
      <c r="B53" s="28" t="s">
        <v>27793</v>
      </c>
    </row>
    <row r="54" spans="1:2" x14ac:dyDescent="0.25">
      <c r="A54" s="28" t="s">
        <v>27794</v>
      </c>
      <c r="B54" s="28" t="s">
        <v>27795</v>
      </c>
    </row>
    <row r="55" spans="1:2" x14ac:dyDescent="0.25">
      <c r="A55" s="28" t="s">
        <v>27796</v>
      </c>
      <c r="B55" s="28" t="s">
        <v>27797</v>
      </c>
    </row>
    <row r="56" spans="1:2" x14ac:dyDescent="0.25">
      <c r="A56" s="28" t="s">
        <v>27798</v>
      </c>
      <c r="B56" s="28" t="s">
        <v>27799</v>
      </c>
    </row>
    <row r="57" spans="1:2" x14ac:dyDescent="0.25">
      <c r="A57" s="28" t="s">
        <v>27800</v>
      </c>
      <c r="B57" s="28" t="s">
        <v>27801</v>
      </c>
    </row>
    <row r="58" spans="1:2" x14ac:dyDescent="0.25">
      <c r="A58" s="28" t="s">
        <v>27802</v>
      </c>
      <c r="B58" s="28" t="s">
        <v>27803</v>
      </c>
    </row>
    <row r="59" spans="1:2" x14ac:dyDescent="0.25">
      <c r="A59" s="28" t="s">
        <v>27804</v>
      </c>
      <c r="B59" s="28" t="s">
        <v>27805</v>
      </c>
    </row>
    <row r="60" spans="1:2" x14ac:dyDescent="0.25">
      <c r="A60" s="28" t="s">
        <v>27806</v>
      </c>
      <c r="B60" s="28" t="s">
        <v>27807</v>
      </c>
    </row>
    <row r="61" spans="1:2" x14ac:dyDescent="0.25">
      <c r="A61" s="28" t="s">
        <v>27808</v>
      </c>
      <c r="B61" s="28" t="s">
        <v>27809</v>
      </c>
    </row>
    <row r="62" spans="1:2" x14ac:dyDescent="0.25">
      <c r="A62" s="28" t="s">
        <v>27810</v>
      </c>
      <c r="B62" s="28" t="s">
        <v>27811</v>
      </c>
    </row>
    <row r="63" spans="1:2" x14ac:dyDescent="0.25">
      <c r="A63" s="28" t="s">
        <v>27812</v>
      </c>
      <c r="B63" s="28" t="s">
        <v>27813</v>
      </c>
    </row>
    <row r="64" spans="1:2" x14ac:dyDescent="0.25">
      <c r="A64" s="28" t="s">
        <v>27814</v>
      </c>
      <c r="B64" s="28" t="s">
        <v>27815</v>
      </c>
    </row>
    <row r="65" spans="1:2" x14ac:dyDescent="0.25">
      <c r="A65" s="28" t="s">
        <v>27816</v>
      </c>
      <c r="B65" s="28" t="s">
        <v>27817</v>
      </c>
    </row>
    <row r="66" spans="1:2" x14ac:dyDescent="0.25">
      <c r="A66" s="28" t="s">
        <v>27818</v>
      </c>
      <c r="B66" s="28" t="s">
        <v>27819</v>
      </c>
    </row>
    <row r="67" spans="1:2" x14ac:dyDescent="0.25">
      <c r="A67" s="28" t="s">
        <v>27820</v>
      </c>
      <c r="B67" s="28" t="s">
        <v>27821</v>
      </c>
    </row>
    <row r="68" spans="1:2" x14ac:dyDescent="0.25">
      <c r="A68" s="28" t="s">
        <v>27822</v>
      </c>
      <c r="B68" s="28" t="s">
        <v>27823</v>
      </c>
    </row>
    <row r="69" spans="1:2" x14ac:dyDescent="0.25">
      <c r="A69" s="28" t="s">
        <v>27824</v>
      </c>
      <c r="B69" s="28" t="s">
        <v>27825</v>
      </c>
    </row>
    <row r="70" spans="1:2" x14ac:dyDescent="0.25">
      <c r="A70" s="28" t="s">
        <v>27826</v>
      </c>
      <c r="B70" s="28" t="s">
        <v>27827</v>
      </c>
    </row>
    <row r="71" spans="1:2" x14ac:dyDescent="0.25">
      <c r="A71" s="28" t="s">
        <v>27828</v>
      </c>
      <c r="B71" s="28" t="s">
        <v>27829</v>
      </c>
    </row>
    <row r="72" spans="1:2" x14ac:dyDescent="0.25">
      <c r="A72" s="28" t="s">
        <v>27830</v>
      </c>
      <c r="B72" s="28" t="s">
        <v>27831</v>
      </c>
    </row>
    <row r="73" spans="1:2" x14ac:dyDescent="0.25">
      <c r="A73" s="28" t="s">
        <v>27832</v>
      </c>
      <c r="B73" s="28" t="s">
        <v>27833</v>
      </c>
    </row>
    <row r="74" spans="1:2" x14ac:dyDescent="0.25">
      <c r="A74" s="28" t="s">
        <v>27834</v>
      </c>
      <c r="B74" s="28" t="s">
        <v>27835</v>
      </c>
    </row>
    <row r="75" spans="1:2" x14ac:dyDescent="0.25">
      <c r="A75" s="28" t="s">
        <v>27836</v>
      </c>
      <c r="B75" s="28" t="s">
        <v>27837</v>
      </c>
    </row>
    <row r="76" spans="1:2" x14ac:dyDescent="0.25">
      <c r="A76" s="28" t="s">
        <v>27838</v>
      </c>
      <c r="B76" s="28" t="s">
        <v>27839</v>
      </c>
    </row>
    <row r="77" spans="1:2" x14ac:dyDescent="0.25">
      <c r="A77" s="28" t="s">
        <v>27840</v>
      </c>
      <c r="B77" s="28" t="s">
        <v>27841</v>
      </c>
    </row>
    <row r="78" spans="1:2" x14ac:dyDescent="0.25">
      <c r="A78" s="28" t="s">
        <v>27842</v>
      </c>
      <c r="B78" s="28" t="s">
        <v>27843</v>
      </c>
    </row>
    <row r="79" spans="1:2" x14ac:dyDescent="0.25">
      <c r="A79" s="28" t="s">
        <v>27844</v>
      </c>
      <c r="B79" s="28" t="s">
        <v>27845</v>
      </c>
    </row>
    <row r="80" spans="1:2" x14ac:dyDescent="0.25">
      <c r="A80" s="28" t="s">
        <v>27846</v>
      </c>
      <c r="B80" s="28" t="s">
        <v>27847</v>
      </c>
    </row>
    <row r="81" spans="1:2" x14ac:dyDescent="0.25">
      <c r="A81" s="28" t="s">
        <v>27848</v>
      </c>
      <c r="B81" s="28" t="s">
        <v>27849</v>
      </c>
    </row>
    <row r="82" spans="1:2" x14ac:dyDescent="0.25">
      <c r="A82" s="28" t="s">
        <v>27850</v>
      </c>
      <c r="B82" s="28" t="s">
        <v>27851</v>
      </c>
    </row>
    <row r="83" spans="1:2" x14ac:dyDescent="0.25">
      <c r="A83" s="28" t="s">
        <v>27852</v>
      </c>
      <c r="B83" s="28" t="s">
        <v>27853</v>
      </c>
    </row>
    <row r="84" spans="1:2" x14ac:dyDescent="0.25">
      <c r="A84" s="28" t="s">
        <v>27854</v>
      </c>
      <c r="B84" s="28" t="s">
        <v>27855</v>
      </c>
    </row>
    <row r="85" spans="1:2" x14ac:dyDescent="0.25">
      <c r="A85" s="28" t="s">
        <v>27856</v>
      </c>
      <c r="B85" s="28" t="s">
        <v>27857</v>
      </c>
    </row>
    <row r="86" spans="1:2" x14ac:dyDescent="0.25">
      <c r="A86" s="28" t="s">
        <v>27858</v>
      </c>
      <c r="B86" s="28" t="s">
        <v>27859</v>
      </c>
    </row>
    <row r="87" spans="1:2" x14ac:dyDescent="0.25">
      <c r="A87" s="28" t="s">
        <v>27860</v>
      </c>
      <c r="B87" s="28" t="s">
        <v>27861</v>
      </c>
    </row>
    <row r="88" spans="1:2" x14ac:dyDescent="0.25">
      <c r="A88" s="28" t="s">
        <v>27862</v>
      </c>
      <c r="B88" s="28" t="s">
        <v>27863</v>
      </c>
    </row>
    <row r="89" spans="1:2" x14ac:dyDescent="0.25">
      <c r="A89" s="28" t="s">
        <v>27864</v>
      </c>
      <c r="B89" s="28" t="s">
        <v>27865</v>
      </c>
    </row>
    <row r="90" spans="1:2" x14ac:dyDescent="0.25">
      <c r="A90" s="28" t="s">
        <v>27866</v>
      </c>
      <c r="B90" s="28" t="s">
        <v>27867</v>
      </c>
    </row>
    <row r="91" spans="1:2" x14ac:dyDescent="0.25">
      <c r="A91" s="28" t="s">
        <v>27868</v>
      </c>
      <c r="B91" s="28" t="s">
        <v>27869</v>
      </c>
    </row>
    <row r="92" spans="1:2" x14ac:dyDescent="0.25">
      <c r="A92" s="28" t="s">
        <v>27870</v>
      </c>
      <c r="B92" s="28" t="s">
        <v>27871</v>
      </c>
    </row>
    <row r="93" spans="1:2" x14ac:dyDescent="0.25">
      <c r="A93" s="28" t="s">
        <v>27872</v>
      </c>
      <c r="B93" s="28" t="s">
        <v>27873</v>
      </c>
    </row>
    <row r="94" spans="1:2" x14ac:dyDescent="0.25">
      <c r="A94" s="28" t="s">
        <v>27874</v>
      </c>
      <c r="B94" s="28" t="s">
        <v>27875</v>
      </c>
    </row>
    <row r="95" spans="1:2" x14ac:dyDescent="0.25">
      <c r="A95" s="28" t="s">
        <v>27876</v>
      </c>
      <c r="B95" s="28" t="s">
        <v>27877</v>
      </c>
    </row>
    <row r="96" spans="1:2" x14ac:dyDescent="0.25">
      <c r="A96" s="28" t="s">
        <v>27878</v>
      </c>
      <c r="B96" s="28" t="s">
        <v>27879</v>
      </c>
    </row>
    <row r="97" spans="1:2" x14ac:dyDescent="0.25">
      <c r="A97" s="28" t="s">
        <v>27880</v>
      </c>
      <c r="B97" s="28" t="s">
        <v>27881</v>
      </c>
    </row>
    <row r="98" spans="1:2" x14ac:dyDescent="0.25">
      <c r="A98" s="28" t="s">
        <v>27882</v>
      </c>
      <c r="B98" s="28" t="s">
        <v>27883</v>
      </c>
    </row>
    <row r="99" spans="1:2" x14ac:dyDescent="0.25">
      <c r="A99" s="28" t="s">
        <v>27884</v>
      </c>
      <c r="B99" s="28" t="s">
        <v>27885</v>
      </c>
    </row>
    <row r="100" spans="1:2" x14ac:dyDescent="0.25">
      <c r="A100" s="28" t="s">
        <v>27886</v>
      </c>
      <c r="B100" s="28" t="s">
        <v>27887</v>
      </c>
    </row>
    <row r="101" spans="1:2" x14ac:dyDescent="0.25">
      <c r="A101" s="28" t="s">
        <v>27888</v>
      </c>
      <c r="B101" s="28" t="s">
        <v>27889</v>
      </c>
    </row>
    <row r="102" spans="1:2" x14ac:dyDescent="0.25">
      <c r="A102" s="28" t="s">
        <v>27890</v>
      </c>
      <c r="B102" s="28" t="s">
        <v>27891</v>
      </c>
    </row>
    <row r="103" spans="1:2" x14ac:dyDescent="0.25">
      <c r="A103" s="28" t="s">
        <v>27892</v>
      </c>
      <c r="B103" s="28" t="s">
        <v>27893</v>
      </c>
    </row>
    <row r="104" spans="1:2" x14ac:dyDescent="0.25">
      <c r="A104" s="28" t="s">
        <v>27894</v>
      </c>
      <c r="B104" s="28" t="s">
        <v>27895</v>
      </c>
    </row>
    <row r="105" spans="1:2" x14ac:dyDescent="0.25">
      <c r="A105" s="28" t="s">
        <v>27896</v>
      </c>
      <c r="B105" s="28" t="s">
        <v>27897</v>
      </c>
    </row>
    <row r="106" spans="1:2" x14ac:dyDescent="0.25">
      <c r="A106" s="28" t="s">
        <v>27898</v>
      </c>
      <c r="B106" s="28" t="s">
        <v>27899</v>
      </c>
    </row>
    <row r="107" spans="1:2" x14ac:dyDescent="0.25">
      <c r="A107" s="28" t="s">
        <v>27900</v>
      </c>
      <c r="B107" s="28" t="s">
        <v>27901</v>
      </c>
    </row>
    <row r="108" spans="1:2" x14ac:dyDescent="0.25">
      <c r="A108" s="28" t="s">
        <v>27902</v>
      </c>
      <c r="B108" s="28" t="s">
        <v>27903</v>
      </c>
    </row>
    <row r="109" spans="1:2" x14ac:dyDescent="0.25">
      <c r="A109" s="28" t="s">
        <v>27904</v>
      </c>
      <c r="B109" s="28" t="s">
        <v>27905</v>
      </c>
    </row>
    <row r="110" spans="1:2" x14ac:dyDescent="0.25">
      <c r="A110" s="28" t="s">
        <v>27906</v>
      </c>
      <c r="B110" s="28" t="s">
        <v>27907</v>
      </c>
    </row>
    <row r="111" spans="1:2" x14ac:dyDescent="0.25">
      <c r="A111" s="28" t="s">
        <v>27908</v>
      </c>
      <c r="B111" s="28" t="s">
        <v>27909</v>
      </c>
    </row>
    <row r="112" spans="1:2" x14ac:dyDescent="0.25">
      <c r="A112" s="28" t="s">
        <v>27910</v>
      </c>
      <c r="B112" s="28" t="s">
        <v>27911</v>
      </c>
    </row>
    <row r="113" spans="1:2" x14ac:dyDescent="0.25">
      <c r="A113" s="28" t="s">
        <v>27912</v>
      </c>
      <c r="B113" s="28" t="s">
        <v>27913</v>
      </c>
    </row>
    <row r="114" spans="1:2" x14ac:dyDescent="0.25">
      <c r="A114" s="28" t="s">
        <v>27914</v>
      </c>
      <c r="B114" s="28" t="s">
        <v>27915</v>
      </c>
    </row>
    <row r="115" spans="1:2" x14ac:dyDescent="0.25">
      <c r="A115" s="28" t="s">
        <v>27916</v>
      </c>
      <c r="B115" s="28" t="s">
        <v>27917</v>
      </c>
    </row>
    <row r="116" spans="1:2" x14ac:dyDescent="0.25">
      <c r="A116" s="28" t="s">
        <v>27918</v>
      </c>
      <c r="B116" s="28" t="s">
        <v>27919</v>
      </c>
    </row>
    <row r="117" spans="1:2" x14ac:dyDescent="0.25">
      <c r="A117" s="28" t="s">
        <v>27920</v>
      </c>
      <c r="B117" s="28" t="s">
        <v>27921</v>
      </c>
    </row>
    <row r="118" spans="1:2" x14ac:dyDescent="0.25">
      <c r="A118" s="28" t="s">
        <v>27922</v>
      </c>
      <c r="B118" s="28" t="s">
        <v>27923</v>
      </c>
    </row>
    <row r="119" spans="1:2" x14ac:dyDescent="0.25">
      <c r="A119" s="28" t="s">
        <v>27924</v>
      </c>
      <c r="B119" s="28" t="s">
        <v>27925</v>
      </c>
    </row>
    <row r="120" spans="1:2" x14ac:dyDescent="0.25">
      <c r="A120" s="28" t="s">
        <v>27926</v>
      </c>
      <c r="B120" s="28" t="s">
        <v>27927</v>
      </c>
    </row>
    <row r="121" spans="1:2" x14ac:dyDescent="0.25">
      <c r="A121" s="28" t="s">
        <v>27928</v>
      </c>
      <c r="B121" s="28" t="s">
        <v>27929</v>
      </c>
    </row>
    <row r="122" spans="1:2" x14ac:dyDescent="0.25">
      <c r="A122" s="28" t="s">
        <v>27930</v>
      </c>
      <c r="B122" s="28" t="s">
        <v>27931</v>
      </c>
    </row>
    <row r="123" spans="1:2" x14ac:dyDescent="0.25">
      <c r="A123" s="28" t="s">
        <v>27932</v>
      </c>
      <c r="B123" s="28" t="s">
        <v>27933</v>
      </c>
    </row>
    <row r="124" spans="1:2" x14ac:dyDescent="0.25">
      <c r="A124" s="28" t="s">
        <v>27934</v>
      </c>
      <c r="B124" s="28" t="s">
        <v>27935</v>
      </c>
    </row>
    <row r="125" spans="1:2" x14ac:dyDescent="0.25">
      <c r="A125" s="28" t="s">
        <v>27936</v>
      </c>
      <c r="B125" s="28" t="s">
        <v>27937</v>
      </c>
    </row>
    <row r="126" spans="1:2" x14ac:dyDescent="0.25">
      <c r="A126" s="28" t="s">
        <v>27938</v>
      </c>
      <c r="B126" s="28" t="s">
        <v>27939</v>
      </c>
    </row>
    <row r="127" spans="1:2" x14ac:dyDescent="0.25">
      <c r="A127" s="28" t="s">
        <v>27940</v>
      </c>
      <c r="B127" s="28" t="s">
        <v>27941</v>
      </c>
    </row>
    <row r="128" spans="1:2" x14ac:dyDescent="0.25">
      <c r="A128" s="28" t="s">
        <v>27942</v>
      </c>
      <c r="B128" s="28" t="s">
        <v>27943</v>
      </c>
    </row>
    <row r="129" spans="1:2" x14ac:dyDescent="0.25">
      <c r="A129" s="28" t="s">
        <v>27944</v>
      </c>
      <c r="B129" s="28" t="s">
        <v>27945</v>
      </c>
    </row>
    <row r="130" spans="1:2" x14ac:dyDescent="0.25">
      <c r="A130" s="28" t="s">
        <v>27946</v>
      </c>
      <c r="B130" s="28" t="s">
        <v>27947</v>
      </c>
    </row>
    <row r="131" spans="1:2" x14ac:dyDescent="0.25">
      <c r="A131" s="28" t="s">
        <v>27948</v>
      </c>
      <c r="B131" s="28" t="s">
        <v>27949</v>
      </c>
    </row>
    <row r="132" spans="1:2" x14ac:dyDescent="0.25">
      <c r="A132" s="28" t="s">
        <v>27950</v>
      </c>
      <c r="B132" s="28" t="s">
        <v>27951</v>
      </c>
    </row>
    <row r="133" spans="1:2" x14ac:dyDescent="0.25">
      <c r="A133" s="28" t="s">
        <v>27952</v>
      </c>
      <c r="B133" s="28" t="s">
        <v>27953</v>
      </c>
    </row>
    <row r="134" spans="1:2" x14ac:dyDescent="0.25">
      <c r="A134" s="28" t="s">
        <v>27954</v>
      </c>
      <c r="B134" s="28" t="s">
        <v>27955</v>
      </c>
    </row>
    <row r="135" spans="1:2" x14ac:dyDescent="0.25">
      <c r="A135" s="28" t="s">
        <v>27956</v>
      </c>
      <c r="B135" s="28" t="s">
        <v>27957</v>
      </c>
    </row>
    <row r="136" spans="1:2" x14ac:dyDescent="0.25">
      <c r="A136" s="28" t="s">
        <v>27958</v>
      </c>
      <c r="B136" s="28" t="s">
        <v>27959</v>
      </c>
    </row>
    <row r="137" spans="1:2" x14ac:dyDescent="0.25">
      <c r="A137" s="28" t="s">
        <v>28512</v>
      </c>
      <c r="B137" s="28" t="s">
        <v>27960</v>
      </c>
    </row>
    <row r="138" spans="1:2" x14ac:dyDescent="0.25">
      <c r="A138" s="28" t="s">
        <v>27961</v>
      </c>
      <c r="B138" s="28" t="s">
        <v>27962</v>
      </c>
    </row>
    <row r="139" spans="1:2" x14ac:dyDescent="0.25">
      <c r="A139" s="28" t="s">
        <v>27963</v>
      </c>
      <c r="B139" s="28" t="s">
        <v>27964</v>
      </c>
    </row>
    <row r="140" spans="1:2" x14ac:dyDescent="0.25">
      <c r="A140" s="28" t="s">
        <v>27965</v>
      </c>
      <c r="B140" s="28" t="s">
        <v>27966</v>
      </c>
    </row>
    <row r="141" spans="1:2" x14ac:dyDescent="0.25">
      <c r="A141" s="28" t="s">
        <v>27967</v>
      </c>
      <c r="B141" s="28" t="s">
        <v>27968</v>
      </c>
    </row>
    <row r="142" spans="1:2" x14ac:dyDescent="0.25">
      <c r="A142" s="28" t="s">
        <v>27969</v>
      </c>
      <c r="B142" s="28" t="s">
        <v>27970</v>
      </c>
    </row>
    <row r="143" spans="1:2" x14ac:dyDescent="0.25">
      <c r="A143" s="28" t="s">
        <v>27971</v>
      </c>
      <c r="B143" s="28" t="s">
        <v>27972</v>
      </c>
    </row>
    <row r="144" spans="1:2" x14ac:dyDescent="0.25">
      <c r="A144" s="28" t="s">
        <v>27973</v>
      </c>
      <c r="B144" s="28" t="s">
        <v>27974</v>
      </c>
    </row>
    <row r="145" spans="1:2" x14ac:dyDescent="0.25">
      <c r="A145" s="28" t="s">
        <v>27975</v>
      </c>
      <c r="B145" s="28" t="s">
        <v>27976</v>
      </c>
    </row>
    <row r="146" spans="1:2" x14ac:dyDescent="0.25">
      <c r="A146" s="28" t="s">
        <v>27977</v>
      </c>
      <c r="B146" s="28" t="s">
        <v>27978</v>
      </c>
    </row>
    <row r="147" spans="1:2" x14ac:dyDescent="0.25">
      <c r="A147" s="28" t="s">
        <v>27979</v>
      </c>
      <c r="B147" s="28" t="s">
        <v>27980</v>
      </c>
    </row>
    <row r="148" spans="1:2" x14ac:dyDescent="0.25">
      <c r="A148" s="28" t="s">
        <v>27981</v>
      </c>
      <c r="B148" s="28" t="s">
        <v>27982</v>
      </c>
    </row>
    <row r="149" spans="1:2" x14ac:dyDescent="0.25">
      <c r="A149" s="28" t="s">
        <v>27983</v>
      </c>
      <c r="B149" s="28" t="s">
        <v>27984</v>
      </c>
    </row>
    <row r="150" spans="1:2" x14ac:dyDescent="0.25">
      <c r="A150" s="28" t="s">
        <v>27985</v>
      </c>
      <c r="B150" s="28" t="s">
        <v>27986</v>
      </c>
    </row>
    <row r="151" spans="1:2" x14ac:dyDescent="0.25">
      <c r="A151" s="28" t="s">
        <v>27987</v>
      </c>
      <c r="B151" s="28" t="s">
        <v>27988</v>
      </c>
    </row>
    <row r="152" spans="1:2" x14ac:dyDescent="0.25">
      <c r="A152" s="28" t="s">
        <v>27989</v>
      </c>
      <c r="B152" s="28" t="s">
        <v>27990</v>
      </c>
    </row>
    <row r="153" spans="1:2" x14ac:dyDescent="0.25">
      <c r="A153" s="28" t="s">
        <v>27991</v>
      </c>
      <c r="B153" s="28" t="s">
        <v>27992</v>
      </c>
    </row>
    <row r="154" spans="1:2" x14ac:dyDescent="0.25">
      <c r="A154" s="28" t="s">
        <v>27993</v>
      </c>
      <c r="B154" s="28" t="s">
        <v>27994</v>
      </c>
    </row>
    <row r="155" spans="1:2" x14ac:dyDescent="0.25">
      <c r="A155" s="28" t="s">
        <v>27995</v>
      </c>
      <c r="B155" s="28" t="s">
        <v>27996</v>
      </c>
    </row>
    <row r="156" spans="1:2" x14ac:dyDescent="0.25">
      <c r="A156" s="28" t="s">
        <v>28395</v>
      </c>
      <c r="B156" s="28" t="s">
        <v>27997</v>
      </c>
    </row>
    <row r="157" spans="1:2" x14ac:dyDescent="0.25">
      <c r="A157" s="28" t="s">
        <v>27998</v>
      </c>
      <c r="B157" s="28" t="s">
        <v>27999</v>
      </c>
    </row>
    <row r="158" spans="1:2" x14ac:dyDescent="0.25">
      <c r="A158" s="28" t="s">
        <v>28000</v>
      </c>
      <c r="B158" s="28" t="s">
        <v>28001</v>
      </c>
    </row>
    <row r="159" spans="1:2" x14ac:dyDescent="0.25">
      <c r="A159" s="28" t="s">
        <v>28002</v>
      </c>
      <c r="B159" s="28" t="s">
        <v>28003</v>
      </c>
    </row>
    <row r="160" spans="1:2" x14ac:dyDescent="0.25">
      <c r="A160" s="28" t="s">
        <v>28004</v>
      </c>
      <c r="B160" s="28" t="s">
        <v>28005</v>
      </c>
    </row>
    <row r="161" spans="1:2" x14ac:dyDescent="0.25">
      <c r="A161" s="28" t="s">
        <v>28006</v>
      </c>
      <c r="B161" s="28" t="s">
        <v>28007</v>
      </c>
    </row>
    <row r="162" spans="1:2" x14ac:dyDescent="0.25">
      <c r="A162" s="28" t="s">
        <v>28008</v>
      </c>
      <c r="B162" s="28" t="s">
        <v>28009</v>
      </c>
    </row>
    <row r="163" spans="1:2" x14ac:dyDescent="0.25">
      <c r="A163" s="28" t="s">
        <v>28010</v>
      </c>
      <c r="B163" s="28" t="s">
        <v>28011</v>
      </c>
    </row>
    <row r="164" spans="1:2" x14ac:dyDescent="0.25">
      <c r="A164" s="28" t="s">
        <v>28012</v>
      </c>
      <c r="B164" s="28" t="s">
        <v>28013</v>
      </c>
    </row>
    <row r="165" spans="1:2" x14ac:dyDescent="0.25">
      <c r="A165" s="28" t="s">
        <v>28014</v>
      </c>
      <c r="B165" s="28" t="s">
        <v>28015</v>
      </c>
    </row>
    <row r="166" spans="1:2" x14ac:dyDescent="0.25">
      <c r="A166" s="28" t="s">
        <v>28016</v>
      </c>
      <c r="B166" s="28" t="s">
        <v>28017</v>
      </c>
    </row>
    <row r="167" spans="1:2" x14ac:dyDescent="0.25">
      <c r="A167" s="28" t="s">
        <v>28018</v>
      </c>
      <c r="B167" s="28" t="s">
        <v>28019</v>
      </c>
    </row>
    <row r="168" spans="1:2" x14ac:dyDescent="0.25">
      <c r="A168" s="28" t="s">
        <v>28020</v>
      </c>
      <c r="B168" s="28" t="s">
        <v>28021</v>
      </c>
    </row>
    <row r="169" spans="1:2" x14ac:dyDescent="0.25">
      <c r="A169" s="28" t="s">
        <v>28022</v>
      </c>
      <c r="B169" s="28" t="s">
        <v>28023</v>
      </c>
    </row>
    <row r="170" spans="1:2" x14ac:dyDescent="0.25">
      <c r="A170" s="28" t="s">
        <v>28024</v>
      </c>
      <c r="B170" s="28" t="s">
        <v>28025</v>
      </c>
    </row>
    <row r="171" spans="1:2" x14ac:dyDescent="0.25">
      <c r="A171" s="28" t="s">
        <v>28026</v>
      </c>
      <c r="B171" s="28" t="s">
        <v>28027</v>
      </c>
    </row>
    <row r="172" spans="1:2" x14ac:dyDescent="0.25">
      <c r="A172" s="28" t="s">
        <v>28028</v>
      </c>
      <c r="B172" s="28" t="s">
        <v>28029</v>
      </c>
    </row>
    <row r="173" spans="1:2" x14ac:dyDescent="0.25">
      <c r="A173" s="28" t="s">
        <v>28030</v>
      </c>
      <c r="B173" s="28" t="s">
        <v>28031</v>
      </c>
    </row>
    <row r="174" spans="1:2" x14ac:dyDescent="0.25">
      <c r="A174" s="28" t="s">
        <v>28032</v>
      </c>
      <c r="B174" s="28" t="s">
        <v>28033</v>
      </c>
    </row>
    <row r="175" spans="1:2" x14ac:dyDescent="0.25">
      <c r="A175" s="28" t="s">
        <v>28034</v>
      </c>
      <c r="B175" s="28" t="s">
        <v>28035</v>
      </c>
    </row>
    <row r="176" spans="1:2" x14ac:dyDescent="0.25">
      <c r="A176" s="28" t="s">
        <v>28036</v>
      </c>
      <c r="B176" s="28" t="s">
        <v>28037</v>
      </c>
    </row>
    <row r="177" spans="1:2" x14ac:dyDescent="0.25">
      <c r="A177" s="28" t="s">
        <v>28038</v>
      </c>
      <c r="B177" s="28" t="s">
        <v>28039</v>
      </c>
    </row>
    <row r="178" spans="1:2" x14ac:dyDescent="0.25">
      <c r="A178" s="28" t="s">
        <v>28040</v>
      </c>
      <c r="B178" s="28" t="s">
        <v>28041</v>
      </c>
    </row>
    <row r="179" spans="1:2" x14ac:dyDescent="0.25">
      <c r="A179" s="28" t="s">
        <v>28042</v>
      </c>
      <c r="B179" s="28" t="s">
        <v>28043</v>
      </c>
    </row>
    <row r="180" spans="1:2" x14ac:dyDescent="0.25">
      <c r="A180" s="28" t="s">
        <v>28044</v>
      </c>
      <c r="B180" s="28" t="s">
        <v>28045</v>
      </c>
    </row>
    <row r="181" spans="1:2" x14ac:dyDescent="0.25">
      <c r="A181" s="28" t="s">
        <v>28046</v>
      </c>
      <c r="B181" s="28" t="s">
        <v>28047</v>
      </c>
    </row>
    <row r="182" spans="1:2" x14ac:dyDescent="0.25">
      <c r="A182" s="28" t="s">
        <v>28048</v>
      </c>
      <c r="B182" s="28" t="s">
        <v>28049</v>
      </c>
    </row>
    <row r="183" spans="1:2" x14ac:dyDescent="0.25">
      <c r="A183" s="28" t="s">
        <v>28050</v>
      </c>
      <c r="B183" s="28" t="s">
        <v>28051</v>
      </c>
    </row>
    <row r="184" spans="1:2" x14ac:dyDescent="0.25">
      <c r="A184" s="28" t="s">
        <v>28052</v>
      </c>
      <c r="B184" s="28" t="s">
        <v>28053</v>
      </c>
    </row>
    <row r="185" spans="1:2" x14ac:dyDescent="0.25">
      <c r="A185" s="28" t="s">
        <v>28054</v>
      </c>
      <c r="B185" s="28" t="s">
        <v>28055</v>
      </c>
    </row>
    <row r="186" spans="1:2" x14ac:dyDescent="0.25">
      <c r="A186" s="28" t="s">
        <v>28056</v>
      </c>
      <c r="B186" s="28" t="s">
        <v>28057</v>
      </c>
    </row>
    <row r="187" spans="1:2" x14ac:dyDescent="0.25">
      <c r="A187" s="28" t="s">
        <v>28058</v>
      </c>
      <c r="B187" s="28" t="s">
        <v>28059</v>
      </c>
    </row>
    <row r="188" spans="1:2" x14ac:dyDescent="0.25">
      <c r="A188" s="28" t="s">
        <v>28060</v>
      </c>
      <c r="B188" s="28" t="s">
        <v>28061</v>
      </c>
    </row>
    <row r="189" spans="1:2" x14ac:dyDescent="0.25">
      <c r="A189" s="28" t="s">
        <v>28062</v>
      </c>
      <c r="B189" s="28" t="s">
        <v>28063</v>
      </c>
    </row>
    <row r="190" spans="1:2" x14ac:dyDescent="0.25">
      <c r="A190" s="28" t="s">
        <v>28064</v>
      </c>
      <c r="B190" s="28" t="s">
        <v>28065</v>
      </c>
    </row>
    <row r="191" spans="1:2" x14ac:dyDescent="0.25">
      <c r="A191" s="28" t="s">
        <v>28066</v>
      </c>
      <c r="B191" s="28" t="s">
        <v>28067</v>
      </c>
    </row>
    <row r="192" spans="1:2" x14ac:dyDescent="0.25">
      <c r="A192" s="28" t="s">
        <v>28068</v>
      </c>
      <c r="B192" s="28" t="s">
        <v>28069</v>
      </c>
    </row>
    <row r="193" spans="1:2" x14ac:dyDescent="0.25">
      <c r="A193" s="28" t="s">
        <v>28070</v>
      </c>
      <c r="B193" s="28" t="s">
        <v>28071</v>
      </c>
    </row>
    <row r="194" spans="1:2" x14ac:dyDescent="0.25">
      <c r="A194" s="28" t="s">
        <v>28072</v>
      </c>
      <c r="B194" s="28" t="s">
        <v>28073</v>
      </c>
    </row>
    <row r="195" spans="1:2" x14ac:dyDescent="0.25">
      <c r="A195" s="28" t="s">
        <v>28074</v>
      </c>
      <c r="B195" s="28" t="s">
        <v>28075</v>
      </c>
    </row>
    <row r="196" spans="1:2" x14ac:dyDescent="0.25">
      <c r="A196" s="28" t="s">
        <v>28076</v>
      </c>
      <c r="B196" s="28" t="s">
        <v>28077</v>
      </c>
    </row>
    <row r="197" spans="1:2" x14ac:dyDescent="0.25">
      <c r="A197" s="28" t="s">
        <v>28078</v>
      </c>
      <c r="B197" s="28" t="s">
        <v>28079</v>
      </c>
    </row>
    <row r="198" spans="1:2" x14ac:dyDescent="0.25">
      <c r="A198" s="28" t="s">
        <v>28080</v>
      </c>
      <c r="B198" s="28" t="s">
        <v>28081</v>
      </c>
    </row>
    <row r="199" spans="1:2" x14ac:dyDescent="0.25">
      <c r="A199" s="28" t="s">
        <v>28082</v>
      </c>
      <c r="B199" s="28" t="s">
        <v>28083</v>
      </c>
    </row>
    <row r="200" spans="1:2" x14ac:dyDescent="0.25">
      <c r="A200" s="28" t="s">
        <v>28084</v>
      </c>
      <c r="B200" s="28" t="s">
        <v>28085</v>
      </c>
    </row>
    <row r="201" spans="1:2" x14ac:dyDescent="0.25">
      <c r="A201" s="28" t="s">
        <v>28086</v>
      </c>
      <c r="B201" s="28" t="s">
        <v>28087</v>
      </c>
    </row>
    <row r="202" spans="1:2" x14ac:dyDescent="0.25">
      <c r="A202" s="28" t="s">
        <v>28088</v>
      </c>
      <c r="B202" s="28" t="s">
        <v>28089</v>
      </c>
    </row>
    <row r="203" spans="1:2" x14ac:dyDescent="0.25">
      <c r="A203" s="28" t="s">
        <v>28090</v>
      </c>
      <c r="B203" s="28" t="s">
        <v>28091</v>
      </c>
    </row>
    <row r="204" spans="1:2" x14ac:dyDescent="0.25">
      <c r="A204" s="28" t="s">
        <v>28092</v>
      </c>
      <c r="B204" s="28" t="s">
        <v>28093</v>
      </c>
    </row>
    <row r="205" spans="1:2" x14ac:dyDescent="0.25">
      <c r="A205" s="28" t="s">
        <v>28094</v>
      </c>
      <c r="B205" s="28" t="s">
        <v>28095</v>
      </c>
    </row>
    <row r="206" spans="1:2" x14ac:dyDescent="0.25">
      <c r="A206" s="28" t="s">
        <v>28096</v>
      </c>
      <c r="B206" s="28" t="s">
        <v>28097</v>
      </c>
    </row>
    <row r="207" spans="1:2" x14ac:dyDescent="0.25">
      <c r="A207" s="28" t="s">
        <v>28098</v>
      </c>
      <c r="B207" s="28" t="s">
        <v>28099</v>
      </c>
    </row>
    <row r="208" spans="1:2" x14ac:dyDescent="0.25">
      <c r="A208" s="28" t="s">
        <v>28100</v>
      </c>
      <c r="B208" s="28" t="s">
        <v>28101</v>
      </c>
    </row>
    <row r="209" spans="1:2" x14ac:dyDescent="0.25">
      <c r="A209" s="28" t="s">
        <v>28102</v>
      </c>
      <c r="B209" s="28" t="s">
        <v>28103</v>
      </c>
    </row>
    <row r="210" spans="1:2" x14ac:dyDescent="0.25">
      <c r="A210" s="28" t="s">
        <v>28104</v>
      </c>
      <c r="B210" s="28" t="s">
        <v>28105</v>
      </c>
    </row>
    <row r="211" spans="1:2" x14ac:dyDescent="0.25">
      <c r="A211" s="28" t="s">
        <v>28106</v>
      </c>
      <c r="B211" s="28" t="s">
        <v>28107</v>
      </c>
    </row>
    <row r="212" spans="1:2" x14ac:dyDescent="0.25">
      <c r="A212" s="28" t="s">
        <v>28108</v>
      </c>
      <c r="B212" s="28" t="s">
        <v>28109</v>
      </c>
    </row>
    <row r="213" spans="1:2" x14ac:dyDescent="0.25">
      <c r="A213" s="28" t="s">
        <v>28110</v>
      </c>
      <c r="B213" s="28" t="s">
        <v>28111</v>
      </c>
    </row>
    <row r="214" spans="1:2" x14ac:dyDescent="0.25">
      <c r="A214" s="28" t="s">
        <v>28112</v>
      </c>
      <c r="B214" s="28" t="s">
        <v>28113</v>
      </c>
    </row>
    <row r="215" spans="1:2" x14ac:dyDescent="0.25">
      <c r="A215" s="28" t="s">
        <v>28114</v>
      </c>
      <c r="B215" s="28" t="s">
        <v>28115</v>
      </c>
    </row>
    <row r="216" spans="1:2" x14ac:dyDescent="0.25">
      <c r="A216" s="28" t="s">
        <v>28116</v>
      </c>
      <c r="B216" s="28" t="s">
        <v>28117</v>
      </c>
    </row>
    <row r="217" spans="1:2" x14ac:dyDescent="0.25">
      <c r="A217" s="28" t="s">
        <v>28118</v>
      </c>
      <c r="B217" s="28" t="s">
        <v>28119</v>
      </c>
    </row>
    <row r="218" spans="1:2" x14ac:dyDescent="0.25">
      <c r="A218" s="28" t="s">
        <v>28120</v>
      </c>
      <c r="B218" s="28" t="s">
        <v>28121</v>
      </c>
    </row>
    <row r="219" spans="1:2" x14ac:dyDescent="0.25">
      <c r="A219" s="28" t="s">
        <v>29745</v>
      </c>
      <c r="B219" s="28" t="s">
        <v>29746</v>
      </c>
    </row>
    <row r="220" spans="1:2" x14ac:dyDescent="0.25">
      <c r="A220" s="28" t="s">
        <v>29747</v>
      </c>
      <c r="B220" s="28" t="s">
        <v>29748</v>
      </c>
    </row>
    <row r="221" spans="1:2" x14ac:dyDescent="0.25">
      <c r="A221" s="28" t="s">
        <v>29749</v>
      </c>
      <c r="B221" s="28" t="s">
        <v>29750</v>
      </c>
    </row>
    <row r="222" spans="1:2" x14ac:dyDescent="0.25">
      <c r="A222" s="28" t="s">
        <v>29751</v>
      </c>
      <c r="B222" s="28" t="s">
        <v>29752</v>
      </c>
    </row>
    <row r="223" spans="1:2" x14ac:dyDescent="0.25">
      <c r="A223" s="28" t="s">
        <v>29753</v>
      </c>
      <c r="B223" s="28" t="s">
        <v>29754</v>
      </c>
    </row>
    <row r="224" spans="1:2" x14ac:dyDescent="0.25">
      <c r="A224" s="28" t="s">
        <v>29755</v>
      </c>
      <c r="B224" s="28" t="s">
        <v>29756</v>
      </c>
    </row>
    <row r="225" spans="1:2" x14ac:dyDescent="0.25">
      <c r="A225" s="28" t="s">
        <v>29757</v>
      </c>
      <c r="B225" s="28" t="s">
        <v>29758</v>
      </c>
    </row>
    <row r="226" spans="1:2" x14ac:dyDescent="0.25">
      <c r="A226" s="28" t="s">
        <v>29759</v>
      </c>
      <c r="B226" s="28" t="s">
        <v>29760</v>
      </c>
    </row>
    <row r="227" spans="1:2" x14ac:dyDescent="0.25">
      <c r="A227" s="28" t="s">
        <v>29761</v>
      </c>
      <c r="B227" s="28" t="s">
        <v>29762</v>
      </c>
    </row>
    <row r="228" spans="1:2" x14ac:dyDescent="0.25">
      <c r="A228" s="28" t="s">
        <v>29763</v>
      </c>
      <c r="B228" s="28" t="s">
        <v>29764</v>
      </c>
    </row>
    <row r="229" spans="1:2" x14ac:dyDescent="0.25">
      <c r="A229" s="28" t="s">
        <v>29765</v>
      </c>
      <c r="B229" s="28" t="s">
        <v>29766</v>
      </c>
    </row>
    <row r="230" spans="1:2" x14ac:dyDescent="0.25">
      <c r="A230" s="28" t="s">
        <v>29767</v>
      </c>
      <c r="B230" s="28" t="s">
        <v>29768</v>
      </c>
    </row>
    <row r="231" spans="1:2" x14ac:dyDescent="0.25">
      <c r="A231" s="28" t="s">
        <v>29769</v>
      </c>
      <c r="B231" s="28" t="s">
        <v>29770</v>
      </c>
    </row>
    <row r="232" spans="1:2" x14ac:dyDescent="0.25">
      <c r="A232" s="28" t="s">
        <v>29771</v>
      </c>
      <c r="B232" s="28" t="s">
        <v>29772</v>
      </c>
    </row>
    <row r="233" spans="1:2" x14ac:dyDescent="0.25">
      <c r="A233" s="28" t="s">
        <v>29773</v>
      </c>
      <c r="B233" s="28" t="s">
        <v>29774</v>
      </c>
    </row>
    <row r="234" spans="1:2" x14ac:dyDescent="0.25">
      <c r="A234" s="28" t="s">
        <v>29775</v>
      </c>
      <c r="B234" s="28" t="s">
        <v>29776</v>
      </c>
    </row>
    <row r="235" spans="1:2" x14ac:dyDescent="0.25">
      <c r="A235" s="28" t="s">
        <v>29777</v>
      </c>
      <c r="B235" s="28" t="s">
        <v>29778</v>
      </c>
    </row>
    <row r="236" spans="1:2" x14ac:dyDescent="0.25">
      <c r="A236" s="28" t="s">
        <v>29779</v>
      </c>
      <c r="B236" s="28" t="s">
        <v>29780</v>
      </c>
    </row>
    <row r="237" spans="1:2" x14ac:dyDescent="0.25">
      <c r="A237" s="28" t="s">
        <v>29781</v>
      </c>
      <c r="B237" s="28" t="s">
        <v>29782</v>
      </c>
    </row>
    <row r="238" spans="1:2" x14ac:dyDescent="0.25">
      <c r="A238" s="28" t="s">
        <v>29783</v>
      </c>
      <c r="B238" s="28" t="s">
        <v>29784</v>
      </c>
    </row>
    <row r="239" spans="1:2" x14ac:dyDescent="0.25">
      <c r="A239" s="28" t="s">
        <v>28513</v>
      </c>
      <c r="B239" s="28" t="s">
        <v>28514</v>
      </c>
    </row>
    <row r="240" spans="1:2" x14ac:dyDescent="0.25">
      <c r="A240" s="28" t="s">
        <v>28515</v>
      </c>
      <c r="B240" s="28" t="s">
        <v>28516</v>
      </c>
    </row>
    <row r="241" spans="1:2" x14ac:dyDescent="0.25">
      <c r="A241" s="28" t="s">
        <v>28517</v>
      </c>
      <c r="B241" s="28" t="s">
        <v>28518</v>
      </c>
    </row>
    <row r="242" spans="1:2" x14ac:dyDescent="0.25">
      <c r="A242" s="28" t="s">
        <v>28519</v>
      </c>
      <c r="B242" s="28" t="s">
        <v>28520</v>
      </c>
    </row>
    <row r="243" spans="1:2" x14ac:dyDescent="0.25">
      <c r="A243" s="28" t="s">
        <v>28521</v>
      </c>
      <c r="B243" s="28" t="s">
        <v>28522</v>
      </c>
    </row>
    <row r="244" spans="1:2" x14ac:dyDescent="0.25">
      <c r="A244" s="28" t="s">
        <v>28523</v>
      </c>
      <c r="B244" s="28" t="s">
        <v>28524</v>
      </c>
    </row>
    <row r="245" spans="1:2" x14ac:dyDescent="0.25">
      <c r="A245" s="28" t="s">
        <v>28525</v>
      </c>
      <c r="B245" s="28" t="s">
        <v>28526</v>
      </c>
    </row>
    <row r="246" spans="1:2" x14ac:dyDescent="0.25">
      <c r="A246" s="28" t="s">
        <v>28527</v>
      </c>
      <c r="B246" s="28" t="s">
        <v>28528</v>
      </c>
    </row>
    <row r="247" spans="1:2" x14ac:dyDescent="0.25">
      <c r="A247" s="28" t="s">
        <v>28529</v>
      </c>
      <c r="B247" s="28" t="s">
        <v>28530</v>
      </c>
    </row>
    <row r="248" spans="1:2" x14ac:dyDescent="0.25">
      <c r="A248" s="28" t="s">
        <v>28531</v>
      </c>
      <c r="B248" s="28" t="s">
        <v>28532</v>
      </c>
    </row>
    <row r="249" spans="1:2" x14ac:dyDescent="0.25">
      <c r="A249" s="28" t="s">
        <v>28533</v>
      </c>
      <c r="B249" s="28" t="s">
        <v>28534</v>
      </c>
    </row>
    <row r="250" spans="1:2" x14ac:dyDescent="0.25">
      <c r="A250" s="28" t="s">
        <v>28535</v>
      </c>
      <c r="B250" s="28" t="s">
        <v>28536</v>
      </c>
    </row>
    <row r="251" spans="1:2" x14ac:dyDescent="0.25">
      <c r="A251" s="28" t="s">
        <v>28537</v>
      </c>
      <c r="B251" s="28" t="s">
        <v>28538</v>
      </c>
    </row>
    <row r="252" spans="1:2" x14ac:dyDescent="0.25">
      <c r="A252" s="28" t="s">
        <v>28539</v>
      </c>
      <c r="B252" s="28" t="s">
        <v>28540</v>
      </c>
    </row>
    <row r="253" spans="1:2" x14ac:dyDescent="0.25">
      <c r="A253" s="28" t="s">
        <v>28541</v>
      </c>
      <c r="B253" s="28" t="s">
        <v>28542</v>
      </c>
    </row>
    <row r="254" spans="1:2" x14ac:dyDescent="0.25">
      <c r="A254" s="28" t="s">
        <v>28543</v>
      </c>
      <c r="B254" s="28" t="s">
        <v>28544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28545</v>
      </c>
      <c r="B256" s="28" t="s">
        <v>28546</v>
      </c>
    </row>
    <row r="257" spans="1:2" x14ac:dyDescent="0.25">
      <c r="A257" s="28" t="s">
        <v>28547</v>
      </c>
      <c r="B257" s="28" t="s">
        <v>28548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28549</v>
      </c>
      <c r="B260" s="28" t="s">
        <v>28550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28551</v>
      </c>
      <c r="B262" s="28" t="s">
        <v>28552</v>
      </c>
    </row>
    <row r="263" spans="1:2" x14ac:dyDescent="0.25">
      <c r="A263" s="28" t="s">
        <v>28553</v>
      </c>
      <c r="B263" s="28" t="s">
        <v>28554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28555</v>
      </c>
      <c r="B265" s="28" t="s">
        <v>28556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28557</v>
      </c>
      <c r="B267" s="28" t="s">
        <v>28558</v>
      </c>
    </row>
    <row r="268" spans="1:2" x14ac:dyDescent="0.25">
      <c r="A268" s="28" t="s">
        <v>28559</v>
      </c>
      <c r="B268" s="28" t="s">
        <v>28560</v>
      </c>
    </row>
    <row r="269" spans="1:2" x14ac:dyDescent="0.25">
      <c r="A269" s="28" t="s">
        <v>28561</v>
      </c>
      <c r="B269" s="28" t="s">
        <v>28562</v>
      </c>
    </row>
    <row r="270" spans="1:2" x14ac:dyDescent="0.25">
      <c r="A270" s="28" t="s">
        <v>28563</v>
      </c>
      <c r="B270" s="28" t="s">
        <v>28564</v>
      </c>
    </row>
    <row r="271" spans="1:2" x14ac:dyDescent="0.25">
      <c r="A271" s="28" t="s">
        <v>28565</v>
      </c>
      <c r="B271" s="28" t="s">
        <v>28566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28567</v>
      </c>
      <c r="B275" s="28" t="s">
        <v>28568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28569</v>
      </c>
      <c r="B278" s="28" t="s">
        <v>28570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28571</v>
      </c>
      <c r="B280" s="28" t="s">
        <v>28572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28573</v>
      </c>
      <c r="B284" s="28" t="s">
        <v>28574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28575</v>
      </c>
      <c r="B289" s="28" t="s">
        <v>28576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28577</v>
      </c>
      <c r="B293" s="28" t="s">
        <v>28578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28579</v>
      </c>
      <c r="B295" s="28" t="s">
        <v>28580</v>
      </c>
    </row>
    <row r="296" spans="1:2" x14ac:dyDescent="0.25">
      <c r="A296" s="28" t="s">
        <v>28581</v>
      </c>
      <c r="B296" s="28" t="s">
        <v>28582</v>
      </c>
    </row>
    <row r="297" spans="1:2" x14ac:dyDescent="0.25">
      <c r="A297" s="28" t="s">
        <v>28583</v>
      </c>
      <c r="B297" s="28" t="s">
        <v>28584</v>
      </c>
    </row>
    <row r="298" spans="1:2" x14ac:dyDescent="0.25">
      <c r="A298" s="28" t="s">
        <v>28585</v>
      </c>
      <c r="B298" s="28" t="s">
        <v>28586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28587</v>
      </c>
      <c r="B306" s="28" t="s">
        <v>28588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28589</v>
      </c>
      <c r="B318" s="28" t="s">
        <v>28590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28591</v>
      </c>
      <c r="B321" s="28" t="s">
        <v>28592</v>
      </c>
    </row>
    <row r="322" spans="1:2" x14ac:dyDescent="0.25">
      <c r="A322" s="28" t="s">
        <v>28593</v>
      </c>
      <c r="B322" s="28" t="s">
        <v>28594</v>
      </c>
    </row>
    <row r="323" spans="1:2" x14ac:dyDescent="0.25">
      <c r="A323" s="28" t="s">
        <v>28595</v>
      </c>
      <c r="B323" s="28" t="s">
        <v>28596</v>
      </c>
    </row>
    <row r="324" spans="1:2" x14ac:dyDescent="0.25">
      <c r="A324" s="28" t="s">
        <v>28597</v>
      </c>
      <c r="B324" s="28" t="s">
        <v>28598</v>
      </c>
    </row>
    <row r="325" spans="1:2" x14ac:dyDescent="0.25">
      <c r="A325" s="28" t="s">
        <v>28599</v>
      </c>
      <c r="B325" s="28" t="s">
        <v>28600</v>
      </c>
    </row>
    <row r="326" spans="1:2" x14ac:dyDescent="0.25">
      <c r="A326" s="28" t="s">
        <v>28601</v>
      </c>
      <c r="B326" s="28" t="s">
        <v>28602</v>
      </c>
    </row>
    <row r="327" spans="1:2" x14ac:dyDescent="0.25">
      <c r="A327" s="28" t="s">
        <v>28603</v>
      </c>
      <c r="B327" s="28" t="s">
        <v>28604</v>
      </c>
    </row>
    <row r="328" spans="1:2" x14ac:dyDescent="0.25">
      <c r="A328" s="28" t="s">
        <v>28605</v>
      </c>
      <c r="B328" s="28" t="s">
        <v>28606</v>
      </c>
    </row>
    <row r="329" spans="1:2" x14ac:dyDescent="0.25">
      <c r="A329" s="28" t="s">
        <v>28607</v>
      </c>
      <c r="B329" s="28" t="s">
        <v>28608</v>
      </c>
    </row>
    <row r="330" spans="1:2" x14ac:dyDescent="0.25">
      <c r="A330" s="28" t="s">
        <v>28609</v>
      </c>
      <c r="B330" s="28" t="s">
        <v>28610</v>
      </c>
    </row>
    <row r="331" spans="1:2" x14ac:dyDescent="0.25">
      <c r="A331" s="28" t="s">
        <v>29785</v>
      </c>
      <c r="B331" s="28" t="s">
        <v>29786</v>
      </c>
    </row>
    <row r="332" spans="1:2" x14ac:dyDescent="0.25">
      <c r="A332" s="28" t="s">
        <v>28611</v>
      </c>
      <c r="B332" s="28" t="s">
        <v>28612</v>
      </c>
    </row>
    <row r="333" spans="1:2" x14ac:dyDescent="0.25">
      <c r="A333" s="28" t="s">
        <v>29787</v>
      </c>
      <c r="B333" s="28" t="s">
        <v>29788</v>
      </c>
    </row>
    <row r="334" spans="1:2" x14ac:dyDescent="0.25">
      <c r="A334" s="28" t="s">
        <v>28613</v>
      </c>
      <c r="B334" s="28" t="s">
        <v>28614</v>
      </c>
    </row>
    <row r="335" spans="1:2" x14ac:dyDescent="0.25">
      <c r="A335" s="28" t="s">
        <v>28615</v>
      </c>
      <c r="B335" s="28" t="s">
        <v>28616</v>
      </c>
    </row>
    <row r="336" spans="1:2" x14ac:dyDescent="0.25">
      <c r="A336" s="28" t="s">
        <v>28617</v>
      </c>
      <c r="B336" s="28" t="s">
        <v>28618</v>
      </c>
    </row>
    <row r="337" spans="1:2" x14ac:dyDescent="0.25">
      <c r="A337" s="28" t="s">
        <v>28619</v>
      </c>
      <c r="B337" s="28" t="s">
        <v>28620</v>
      </c>
    </row>
    <row r="338" spans="1:2" x14ac:dyDescent="0.25">
      <c r="A338" s="28" t="s">
        <v>28621</v>
      </c>
      <c r="B338" s="28" t="s">
        <v>28622</v>
      </c>
    </row>
    <row r="339" spans="1:2" x14ac:dyDescent="0.25">
      <c r="A339" s="28" t="s">
        <v>28623</v>
      </c>
      <c r="B339" s="28" t="s">
        <v>28624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28625</v>
      </c>
      <c r="B346" s="28" t="s">
        <v>28626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28627</v>
      </c>
      <c r="B354" s="28" t="s">
        <v>28628</v>
      </c>
    </row>
    <row r="355" spans="1:2" x14ac:dyDescent="0.25">
      <c r="A355" s="28" t="s">
        <v>28629</v>
      </c>
      <c r="B355" s="28" t="s">
        <v>28630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28631</v>
      </c>
      <c r="B359" s="28" t="s">
        <v>28632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28633</v>
      </c>
      <c r="B364" s="28" t="s">
        <v>28634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28635</v>
      </c>
      <c r="B390" s="28" t="s">
        <v>28636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28637</v>
      </c>
      <c r="B392" s="28" t="s">
        <v>28638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28639</v>
      </c>
      <c r="B398" s="28" t="s">
        <v>28640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28641</v>
      </c>
      <c r="B410" s="28" t="s">
        <v>28642</v>
      </c>
    </row>
    <row r="411" spans="1:2" x14ac:dyDescent="0.25">
      <c r="A411" s="28" t="s">
        <v>28643</v>
      </c>
      <c r="B411" s="28" t="s">
        <v>28644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28645</v>
      </c>
      <c r="B416" s="28" t="s">
        <v>28646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28647</v>
      </c>
      <c r="B421" s="28" t="s">
        <v>28648</v>
      </c>
    </row>
    <row r="422" spans="1:2" x14ac:dyDescent="0.25">
      <c r="A422" s="28" t="s">
        <v>28649</v>
      </c>
      <c r="B422" s="28" t="s">
        <v>28650</v>
      </c>
    </row>
    <row r="423" spans="1:2" x14ac:dyDescent="0.25">
      <c r="A423" s="28" t="s">
        <v>28651</v>
      </c>
      <c r="B423" s="28" t="s">
        <v>28652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28653</v>
      </c>
      <c r="B429" s="28" t="s">
        <v>28654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28655</v>
      </c>
      <c r="B432" s="28" t="s">
        <v>28656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28657</v>
      </c>
      <c r="B439" s="28" t="s">
        <v>28658</v>
      </c>
    </row>
    <row r="440" spans="1:2" x14ac:dyDescent="0.25">
      <c r="A440" s="28" t="s">
        <v>28659</v>
      </c>
      <c r="B440" s="28" t="s">
        <v>28660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28661</v>
      </c>
      <c r="B446" s="28" t="s">
        <v>28662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28663</v>
      </c>
      <c r="B460" s="28" t="s">
        <v>28664</v>
      </c>
    </row>
    <row r="461" spans="1:2" x14ac:dyDescent="0.25">
      <c r="A461" s="28" t="s">
        <v>28665</v>
      </c>
      <c r="B461" s="28" t="s">
        <v>28666</v>
      </c>
    </row>
    <row r="462" spans="1:2" x14ac:dyDescent="0.25">
      <c r="A462" s="28" t="s">
        <v>28667</v>
      </c>
      <c r="B462" s="28" t="s">
        <v>28668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28669</v>
      </c>
      <c r="B469" s="28" t="s">
        <v>28670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28671</v>
      </c>
      <c r="B473" s="28" t="s">
        <v>28672</v>
      </c>
    </row>
    <row r="474" spans="1:2" x14ac:dyDescent="0.25">
      <c r="A474" s="28" t="s">
        <v>28673</v>
      </c>
      <c r="B474" s="28" t="s">
        <v>28674</v>
      </c>
    </row>
    <row r="475" spans="1:2" x14ac:dyDescent="0.25">
      <c r="A475" s="28" t="s">
        <v>28675</v>
      </c>
      <c r="B475" s="28" t="s">
        <v>28676</v>
      </c>
    </row>
    <row r="476" spans="1:2" x14ac:dyDescent="0.25">
      <c r="A476" s="28" t="s">
        <v>28677</v>
      </c>
      <c r="B476" s="28" t="s">
        <v>28678</v>
      </c>
    </row>
    <row r="477" spans="1:2" x14ac:dyDescent="0.25">
      <c r="A477" s="28" t="s">
        <v>28679</v>
      </c>
      <c r="B477" s="28" t="s">
        <v>28680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28681</v>
      </c>
      <c r="B479" s="28" t="s">
        <v>28682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28683</v>
      </c>
      <c r="B490" s="28" t="s">
        <v>28684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28685</v>
      </c>
      <c r="B505" s="28" t="s">
        <v>28686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28687</v>
      </c>
      <c r="B548" s="28" t="s">
        <v>28688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28689</v>
      </c>
      <c r="B550" s="28" t="s">
        <v>28690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28691</v>
      </c>
      <c r="B552" s="28" t="s">
        <v>28692</v>
      </c>
    </row>
    <row r="553" spans="1:2" x14ac:dyDescent="0.25">
      <c r="A553" s="28" t="s">
        <v>28693</v>
      </c>
      <c r="B553" s="28" t="s">
        <v>28694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28695</v>
      </c>
      <c r="B557" s="28" t="s">
        <v>28696</v>
      </c>
    </row>
    <row r="558" spans="1:2" x14ac:dyDescent="0.25">
      <c r="A558" s="28" t="s">
        <v>28697</v>
      </c>
      <c r="B558" s="28" t="s">
        <v>28698</v>
      </c>
    </row>
    <row r="559" spans="1:2" x14ac:dyDescent="0.25">
      <c r="A559" s="28" t="s">
        <v>28122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28699</v>
      </c>
      <c r="B561" s="28" t="s">
        <v>28700</v>
      </c>
    </row>
    <row r="562" spans="1:2" x14ac:dyDescent="0.25">
      <c r="A562" s="28" t="s">
        <v>28701</v>
      </c>
      <c r="B562" s="28" t="s">
        <v>28702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28703</v>
      </c>
      <c r="B579" s="28" t="s">
        <v>28704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28705</v>
      </c>
      <c r="B590" s="28" t="s">
        <v>28706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28707</v>
      </c>
      <c r="B592" s="28" t="s">
        <v>28708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28709</v>
      </c>
      <c r="B594" s="28" t="s">
        <v>28710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28711</v>
      </c>
      <c r="B597" s="28" t="s">
        <v>28712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28713</v>
      </c>
      <c r="B599" s="28" t="s">
        <v>28714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28715</v>
      </c>
      <c r="B602" s="28" t="s">
        <v>28716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28717</v>
      </c>
      <c r="B607" s="28" t="s">
        <v>28718</v>
      </c>
    </row>
    <row r="608" spans="1:2" x14ac:dyDescent="0.25">
      <c r="A608" s="28" t="s">
        <v>28719</v>
      </c>
      <c r="B608" s="28" t="s">
        <v>28720</v>
      </c>
    </row>
    <row r="609" spans="1:2" x14ac:dyDescent="0.25">
      <c r="A609" s="28" t="s">
        <v>28721</v>
      </c>
      <c r="B609" s="28" t="s">
        <v>28722</v>
      </c>
    </row>
    <row r="610" spans="1:2" x14ac:dyDescent="0.25">
      <c r="A610" s="28" t="s">
        <v>28723</v>
      </c>
      <c r="B610" s="28" t="s">
        <v>28724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28725</v>
      </c>
      <c r="B614" s="28" t="s">
        <v>28726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28727</v>
      </c>
      <c r="B618" s="28" t="s">
        <v>28728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28729</v>
      </c>
      <c r="B624" s="28" t="s">
        <v>28730</v>
      </c>
    </row>
    <row r="625" spans="1:2" x14ac:dyDescent="0.25">
      <c r="A625" s="28" t="s">
        <v>28731</v>
      </c>
      <c r="B625" s="28" t="s">
        <v>28732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28733</v>
      </c>
      <c r="B630" s="28" t="s">
        <v>28734</v>
      </c>
    </row>
    <row r="631" spans="1:2" x14ac:dyDescent="0.25">
      <c r="A631" s="28" t="s">
        <v>28735</v>
      </c>
      <c r="B631" s="28" t="s">
        <v>28736</v>
      </c>
    </row>
    <row r="632" spans="1:2" x14ac:dyDescent="0.25">
      <c r="A632" s="28" t="s">
        <v>28737</v>
      </c>
      <c r="B632" s="28" t="s">
        <v>28738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28123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28739</v>
      </c>
      <c r="B638" s="28" t="s">
        <v>28740</v>
      </c>
    </row>
    <row r="639" spans="1:2" x14ac:dyDescent="0.25">
      <c r="A639" s="28" t="s">
        <v>28741</v>
      </c>
      <c r="B639" s="28" t="s">
        <v>28742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28743</v>
      </c>
      <c r="B656" s="28" t="s">
        <v>28744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28745</v>
      </c>
      <c r="B666" s="28" t="s">
        <v>28746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28747</v>
      </c>
      <c r="B669" s="28" t="s">
        <v>28748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28749</v>
      </c>
      <c r="B671" s="28" t="s">
        <v>28750</v>
      </c>
    </row>
    <row r="672" spans="1:2" x14ac:dyDescent="0.25">
      <c r="A672" s="28" t="s">
        <v>28751</v>
      </c>
      <c r="B672" s="28" t="s">
        <v>28752</v>
      </c>
    </row>
    <row r="673" spans="1:2" x14ac:dyDescent="0.25">
      <c r="A673" s="28" t="s">
        <v>28396</v>
      </c>
      <c r="B673" s="28" t="s">
        <v>3431</v>
      </c>
    </row>
    <row r="674" spans="1:2" x14ac:dyDescent="0.25">
      <c r="A674" s="28" t="s">
        <v>28397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28753</v>
      </c>
      <c r="B678" s="28" t="s">
        <v>28754</v>
      </c>
    </row>
    <row r="679" spans="1:2" x14ac:dyDescent="0.25">
      <c r="A679" s="28" t="s">
        <v>28755</v>
      </c>
      <c r="B679" s="28" t="s">
        <v>28756</v>
      </c>
    </row>
    <row r="680" spans="1:2" x14ac:dyDescent="0.25">
      <c r="A680" s="28" t="s">
        <v>28757</v>
      </c>
      <c r="B680" s="28" t="s">
        <v>28758</v>
      </c>
    </row>
    <row r="681" spans="1:2" x14ac:dyDescent="0.25">
      <c r="A681" s="28" t="s">
        <v>28759</v>
      </c>
      <c r="B681" s="28" t="s">
        <v>28760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28761</v>
      </c>
      <c r="B684" s="28" t="s">
        <v>28762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28763</v>
      </c>
      <c r="B688" s="28" t="s">
        <v>28764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28765</v>
      </c>
      <c r="B697" s="28" t="s">
        <v>28766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27148</v>
      </c>
      <c r="B725" s="28" t="s">
        <v>27149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27231</v>
      </c>
      <c r="B742" s="28" t="s">
        <v>27232</v>
      </c>
    </row>
    <row r="743" spans="1:2" x14ac:dyDescent="0.25">
      <c r="A743" s="28" t="s">
        <v>28124</v>
      </c>
      <c r="B743" s="28" t="s">
        <v>28125</v>
      </c>
    </row>
    <row r="744" spans="1:2" x14ac:dyDescent="0.25">
      <c r="A744" s="28" t="s">
        <v>28126</v>
      </c>
      <c r="B744" s="28" t="s">
        <v>28127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28128</v>
      </c>
      <c r="B832" s="28" t="s">
        <v>28129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28130</v>
      </c>
      <c r="B848" s="28" t="s">
        <v>28131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28132</v>
      </c>
      <c r="B861" s="28" t="s">
        <v>28133</v>
      </c>
    </row>
    <row r="862" spans="1:2" x14ac:dyDescent="0.25">
      <c r="A862" s="28" t="s">
        <v>28134</v>
      </c>
      <c r="B862" s="28" t="s">
        <v>28135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28136</v>
      </c>
      <c r="B864" s="28" t="s">
        <v>28137</v>
      </c>
    </row>
    <row r="865" spans="1:2" x14ac:dyDescent="0.25">
      <c r="A865" s="28" t="s">
        <v>28138</v>
      </c>
      <c r="B865" s="28" t="s">
        <v>28139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28140</v>
      </c>
      <c r="B867" s="28" t="s">
        <v>28141</v>
      </c>
    </row>
    <row r="868" spans="1:2" x14ac:dyDescent="0.25">
      <c r="A868" s="28" t="s">
        <v>28142</v>
      </c>
      <c r="B868" s="28" t="s">
        <v>28143</v>
      </c>
    </row>
    <row r="869" spans="1:2" x14ac:dyDescent="0.25">
      <c r="A869" s="28" t="s">
        <v>28144</v>
      </c>
      <c r="B869" s="28" t="s">
        <v>28145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28146</v>
      </c>
      <c r="B872" s="28" t="s">
        <v>28147</v>
      </c>
    </row>
    <row r="873" spans="1:2" x14ac:dyDescent="0.25">
      <c r="A873" s="28" t="s">
        <v>28148</v>
      </c>
      <c r="B873" s="28" t="s">
        <v>28149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28150</v>
      </c>
      <c r="B875" s="28" t="s">
        <v>28151</v>
      </c>
    </row>
    <row r="876" spans="1:2" x14ac:dyDescent="0.25">
      <c r="A876" s="28" t="s">
        <v>28152</v>
      </c>
      <c r="B876" s="28" t="s">
        <v>28153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28154</v>
      </c>
      <c r="B882" s="28" t="s">
        <v>28155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28156</v>
      </c>
      <c r="B884" s="28" t="s">
        <v>28157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28158</v>
      </c>
      <c r="B891" s="28" t="s">
        <v>28159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28160</v>
      </c>
      <c r="B904" s="28" t="s">
        <v>28161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28162</v>
      </c>
      <c r="B909" s="28" t="s">
        <v>28163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27559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28164</v>
      </c>
      <c r="B931" s="28" t="s">
        <v>28165</v>
      </c>
    </row>
    <row r="932" spans="1:2" x14ac:dyDescent="0.25">
      <c r="A932" s="28" t="s">
        <v>28166</v>
      </c>
      <c r="B932" s="28" t="s">
        <v>28167</v>
      </c>
    </row>
    <row r="933" spans="1:2" x14ac:dyDescent="0.25">
      <c r="A933" s="28" t="s">
        <v>28168</v>
      </c>
      <c r="B933" s="28" t="s">
        <v>28169</v>
      </c>
    </row>
    <row r="934" spans="1:2" x14ac:dyDescent="0.25">
      <c r="A934" s="28" t="s">
        <v>28170</v>
      </c>
      <c r="B934" s="28" t="s">
        <v>28171</v>
      </c>
    </row>
    <row r="935" spans="1:2" x14ac:dyDescent="0.25">
      <c r="A935" s="28" t="s">
        <v>28172</v>
      </c>
      <c r="B935" s="28" t="s">
        <v>28173</v>
      </c>
    </row>
    <row r="936" spans="1:2" x14ac:dyDescent="0.25">
      <c r="A936" s="28" t="s">
        <v>29789</v>
      </c>
      <c r="B936" s="28" t="s">
        <v>28174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28175</v>
      </c>
      <c r="B949" s="28" t="s">
        <v>28176</v>
      </c>
    </row>
    <row r="950" spans="1:2" x14ac:dyDescent="0.25">
      <c r="A950" s="28" t="s">
        <v>27560</v>
      </c>
      <c r="B950" s="28" t="s">
        <v>22371</v>
      </c>
    </row>
    <row r="951" spans="1:2" x14ac:dyDescent="0.25">
      <c r="A951" s="28" t="s">
        <v>28177</v>
      </c>
      <c r="B951" s="28" t="s">
        <v>28178</v>
      </c>
    </row>
    <row r="952" spans="1:2" x14ac:dyDescent="0.25">
      <c r="A952" s="28" t="s">
        <v>28179</v>
      </c>
      <c r="B952" s="28" t="s">
        <v>28180</v>
      </c>
    </row>
    <row r="953" spans="1:2" x14ac:dyDescent="0.25">
      <c r="A953" s="28" t="s">
        <v>28181</v>
      </c>
      <c r="B953" s="28" t="s">
        <v>28182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28183</v>
      </c>
      <c r="B975" s="28" t="s">
        <v>28184</v>
      </c>
    </row>
    <row r="976" spans="1:2" x14ac:dyDescent="0.25">
      <c r="A976" s="28" t="s">
        <v>28185</v>
      </c>
      <c r="B976" s="28" t="s">
        <v>28186</v>
      </c>
    </row>
    <row r="977" spans="1:2" x14ac:dyDescent="0.25">
      <c r="A977" s="28" t="s">
        <v>28187</v>
      </c>
      <c r="B977" s="28" t="s">
        <v>28188</v>
      </c>
    </row>
    <row r="978" spans="1:2" x14ac:dyDescent="0.25">
      <c r="A978" s="28" t="s">
        <v>28189</v>
      </c>
      <c r="B978" s="28" t="s">
        <v>28190</v>
      </c>
    </row>
    <row r="979" spans="1:2" x14ac:dyDescent="0.25">
      <c r="A979" s="28" t="s">
        <v>28191</v>
      </c>
      <c r="B979" s="28" t="s">
        <v>28192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27297</v>
      </c>
      <c r="B1052" s="28" t="s">
        <v>27298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28193</v>
      </c>
      <c r="B1066" s="28" t="s">
        <v>14998</v>
      </c>
    </row>
    <row r="1067" spans="1:2" x14ac:dyDescent="0.25">
      <c r="A1067" s="28" t="s">
        <v>28194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29790</v>
      </c>
      <c r="B1175" s="28" t="s">
        <v>29791</v>
      </c>
    </row>
    <row r="1176" spans="1:2" x14ac:dyDescent="0.25">
      <c r="A1176" s="28" t="s">
        <v>28767</v>
      </c>
      <c r="B1176" s="28" t="s">
        <v>28423</v>
      </c>
    </row>
    <row r="1177" spans="1:2" x14ac:dyDescent="0.25">
      <c r="A1177" s="28" t="s">
        <v>28768</v>
      </c>
      <c r="B1177" s="28" t="s">
        <v>28422</v>
      </c>
    </row>
    <row r="1178" spans="1:2" x14ac:dyDescent="0.25">
      <c r="A1178" s="28" t="s">
        <v>28769</v>
      </c>
      <c r="B1178" s="28" t="s">
        <v>28428</v>
      </c>
    </row>
    <row r="1179" spans="1:2" x14ac:dyDescent="0.25">
      <c r="A1179" s="28" t="s">
        <v>28770</v>
      </c>
      <c r="B1179" s="28" t="s">
        <v>28426</v>
      </c>
    </row>
    <row r="1180" spans="1:2" x14ac:dyDescent="0.25">
      <c r="A1180" s="28" t="s">
        <v>28771</v>
      </c>
      <c r="B1180" s="28" t="s">
        <v>28427</v>
      </c>
    </row>
    <row r="1181" spans="1:2" x14ac:dyDescent="0.25">
      <c r="A1181" s="28" t="s">
        <v>28772</v>
      </c>
      <c r="B1181" s="28" t="s">
        <v>28424</v>
      </c>
    </row>
    <row r="1182" spans="1:2" x14ac:dyDescent="0.25">
      <c r="A1182" s="28" t="s">
        <v>28773</v>
      </c>
      <c r="B1182" s="28" t="s">
        <v>28425</v>
      </c>
    </row>
    <row r="1183" spans="1:2" x14ac:dyDescent="0.25">
      <c r="A1183" s="28" t="s">
        <v>28774</v>
      </c>
      <c r="B1183" s="28" t="s">
        <v>28431</v>
      </c>
    </row>
    <row r="1184" spans="1:2" x14ac:dyDescent="0.25">
      <c r="A1184" s="28" t="s">
        <v>28775</v>
      </c>
      <c r="B1184" s="28" t="s">
        <v>28432</v>
      </c>
    </row>
    <row r="1185" spans="1:2" x14ac:dyDescent="0.25">
      <c r="A1185" s="28" t="s">
        <v>28776</v>
      </c>
      <c r="B1185" s="28" t="s">
        <v>28430</v>
      </c>
    </row>
    <row r="1186" spans="1:2" x14ac:dyDescent="0.25">
      <c r="A1186" s="28" t="s">
        <v>28777</v>
      </c>
      <c r="B1186" s="28" t="s">
        <v>28429</v>
      </c>
    </row>
    <row r="1187" spans="1:2" x14ac:dyDescent="0.25">
      <c r="A1187" s="28" t="s">
        <v>28778</v>
      </c>
      <c r="B1187" s="28" t="s">
        <v>28438</v>
      </c>
    </row>
    <row r="1188" spans="1:2" x14ac:dyDescent="0.25">
      <c r="A1188" s="28" t="s">
        <v>28779</v>
      </c>
      <c r="B1188" s="28" t="s">
        <v>28437</v>
      </c>
    </row>
    <row r="1189" spans="1:2" x14ac:dyDescent="0.25">
      <c r="A1189" s="28" t="s">
        <v>28780</v>
      </c>
      <c r="B1189" s="28" t="s">
        <v>28435</v>
      </c>
    </row>
    <row r="1190" spans="1:2" x14ac:dyDescent="0.25">
      <c r="A1190" s="28" t="s">
        <v>28781</v>
      </c>
      <c r="B1190" s="28" t="s">
        <v>28434</v>
      </c>
    </row>
    <row r="1191" spans="1:2" x14ac:dyDescent="0.25">
      <c r="A1191" s="28" t="s">
        <v>28782</v>
      </c>
      <c r="B1191" s="28" t="s">
        <v>28436</v>
      </c>
    </row>
    <row r="1192" spans="1:2" x14ac:dyDescent="0.25">
      <c r="A1192" s="28" t="s">
        <v>28783</v>
      </c>
      <c r="B1192" s="28" t="s">
        <v>28433</v>
      </c>
    </row>
    <row r="1193" spans="1:2" x14ac:dyDescent="0.25">
      <c r="A1193" s="28" t="s">
        <v>28784</v>
      </c>
      <c r="B1193" s="28" t="s">
        <v>28443</v>
      </c>
    </row>
    <row r="1194" spans="1:2" x14ac:dyDescent="0.25">
      <c r="A1194" s="28" t="s">
        <v>28785</v>
      </c>
      <c r="B1194" s="28" t="s">
        <v>28440</v>
      </c>
    </row>
    <row r="1195" spans="1:2" x14ac:dyDescent="0.25">
      <c r="A1195" s="28" t="s">
        <v>28786</v>
      </c>
      <c r="B1195" s="28" t="s">
        <v>28441</v>
      </c>
    </row>
    <row r="1196" spans="1:2" x14ac:dyDescent="0.25">
      <c r="A1196" s="28" t="s">
        <v>28787</v>
      </c>
      <c r="B1196" s="28" t="s">
        <v>28442</v>
      </c>
    </row>
    <row r="1197" spans="1:2" x14ac:dyDescent="0.25">
      <c r="A1197" s="28" t="s">
        <v>28788</v>
      </c>
      <c r="B1197" s="28" t="s">
        <v>28439</v>
      </c>
    </row>
    <row r="1198" spans="1:2" x14ac:dyDescent="0.25">
      <c r="A1198" s="28" t="s">
        <v>29792</v>
      </c>
      <c r="B1198" s="28" t="s">
        <v>29793</v>
      </c>
    </row>
    <row r="1199" spans="1:2" x14ac:dyDescent="0.25">
      <c r="A1199" s="28" t="s">
        <v>29794</v>
      </c>
      <c r="B1199" s="28" t="s">
        <v>29795</v>
      </c>
    </row>
    <row r="1200" spans="1:2" x14ac:dyDescent="0.25">
      <c r="A1200" s="28" t="s">
        <v>29796</v>
      </c>
      <c r="B1200" s="28" t="s">
        <v>29797</v>
      </c>
    </row>
    <row r="1201" spans="1:2" x14ac:dyDescent="0.25">
      <c r="A1201" s="28" t="s">
        <v>29798</v>
      </c>
      <c r="B1201" s="28" t="s">
        <v>29799</v>
      </c>
    </row>
    <row r="1202" spans="1:2" x14ac:dyDescent="0.25">
      <c r="A1202" s="28" t="s">
        <v>28789</v>
      </c>
      <c r="B1202" s="28" t="s">
        <v>28444</v>
      </c>
    </row>
    <row r="1203" spans="1:2" x14ac:dyDescent="0.25">
      <c r="A1203" s="28" t="s">
        <v>28790</v>
      </c>
      <c r="B1203" s="28" t="s">
        <v>28456</v>
      </c>
    </row>
    <row r="1204" spans="1:2" x14ac:dyDescent="0.25">
      <c r="A1204" s="28" t="s">
        <v>28791</v>
      </c>
      <c r="B1204" s="28" t="s">
        <v>28449</v>
      </c>
    </row>
    <row r="1205" spans="1:2" x14ac:dyDescent="0.25">
      <c r="A1205" s="28" t="s">
        <v>28792</v>
      </c>
      <c r="B1205" s="28" t="s">
        <v>28455</v>
      </c>
    </row>
    <row r="1206" spans="1:2" x14ac:dyDescent="0.25">
      <c r="A1206" s="28" t="s">
        <v>29800</v>
      </c>
      <c r="B1206" s="28" t="s">
        <v>28448</v>
      </c>
    </row>
    <row r="1207" spans="1:2" x14ac:dyDescent="0.25">
      <c r="A1207" s="28" t="s">
        <v>28793</v>
      </c>
      <c r="B1207" s="28" t="s">
        <v>28452</v>
      </c>
    </row>
    <row r="1208" spans="1:2" x14ac:dyDescent="0.25">
      <c r="A1208" s="28" t="s">
        <v>28794</v>
      </c>
      <c r="B1208" s="28" t="s">
        <v>28451</v>
      </c>
    </row>
    <row r="1209" spans="1:2" x14ac:dyDescent="0.25">
      <c r="A1209" s="28" t="s">
        <v>28795</v>
      </c>
      <c r="B1209" s="28" t="s">
        <v>28447</v>
      </c>
    </row>
    <row r="1210" spans="1:2" x14ac:dyDescent="0.25">
      <c r="A1210" s="28" t="s">
        <v>29801</v>
      </c>
      <c r="B1210" s="28" t="s">
        <v>29802</v>
      </c>
    </row>
    <row r="1211" spans="1:2" x14ac:dyDescent="0.25">
      <c r="A1211" s="28" t="s">
        <v>28796</v>
      </c>
      <c r="B1211" s="28" t="s">
        <v>28454</v>
      </c>
    </row>
    <row r="1212" spans="1:2" x14ac:dyDescent="0.25">
      <c r="A1212" s="28" t="s">
        <v>28797</v>
      </c>
      <c r="B1212" s="28" t="s">
        <v>28453</v>
      </c>
    </row>
    <row r="1213" spans="1:2" x14ac:dyDescent="0.25">
      <c r="A1213" s="28" t="s">
        <v>28798</v>
      </c>
      <c r="B1213" s="28" t="s">
        <v>28446</v>
      </c>
    </row>
    <row r="1214" spans="1:2" x14ac:dyDescent="0.25">
      <c r="A1214" s="28" t="s">
        <v>28799</v>
      </c>
      <c r="B1214" s="28" t="s">
        <v>28450</v>
      </c>
    </row>
    <row r="1215" spans="1:2" x14ac:dyDescent="0.25">
      <c r="A1215" s="28" t="s">
        <v>28800</v>
      </c>
      <c r="B1215" s="28" t="s">
        <v>28445</v>
      </c>
    </row>
    <row r="1216" spans="1:2" x14ac:dyDescent="0.25">
      <c r="A1216" s="28" t="s">
        <v>28801</v>
      </c>
      <c r="B1216" s="28" t="s">
        <v>28457</v>
      </c>
    </row>
    <row r="1217" spans="1:2" x14ac:dyDescent="0.25">
      <c r="A1217" s="28" t="s">
        <v>28802</v>
      </c>
      <c r="B1217" s="28" t="s">
        <v>28462</v>
      </c>
    </row>
    <row r="1218" spans="1:2" x14ac:dyDescent="0.25">
      <c r="A1218" s="28" t="s">
        <v>28803</v>
      </c>
      <c r="B1218" s="28" t="s">
        <v>28461</v>
      </c>
    </row>
    <row r="1219" spans="1:2" x14ac:dyDescent="0.25">
      <c r="A1219" s="28" t="s">
        <v>29803</v>
      </c>
      <c r="B1219" s="28" t="s">
        <v>29804</v>
      </c>
    </row>
    <row r="1220" spans="1:2" x14ac:dyDescent="0.25">
      <c r="A1220" s="28" t="s">
        <v>29805</v>
      </c>
      <c r="B1220" s="28" t="s">
        <v>29806</v>
      </c>
    </row>
    <row r="1221" spans="1:2" x14ac:dyDescent="0.25">
      <c r="A1221" s="28" t="s">
        <v>28804</v>
      </c>
      <c r="B1221" s="28" t="s">
        <v>28460</v>
      </c>
    </row>
    <row r="1222" spans="1:2" x14ac:dyDescent="0.25">
      <c r="A1222" s="28" t="s">
        <v>28805</v>
      </c>
      <c r="B1222" s="28" t="s">
        <v>28464</v>
      </c>
    </row>
    <row r="1223" spans="1:2" x14ac:dyDescent="0.25">
      <c r="A1223" s="28" t="s">
        <v>29807</v>
      </c>
      <c r="B1223" s="28" t="s">
        <v>29808</v>
      </c>
    </row>
    <row r="1224" spans="1:2" x14ac:dyDescent="0.25">
      <c r="A1224" s="28" t="s">
        <v>28806</v>
      </c>
      <c r="B1224" s="28" t="s">
        <v>28463</v>
      </c>
    </row>
    <row r="1225" spans="1:2" x14ac:dyDescent="0.25">
      <c r="A1225" s="28" t="s">
        <v>28807</v>
      </c>
      <c r="B1225" s="28" t="s">
        <v>28458</v>
      </c>
    </row>
    <row r="1226" spans="1:2" x14ac:dyDescent="0.25">
      <c r="A1226" s="28" t="s">
        <v>28808</v>
      </c>
      <c r="B1226" s="28" t="s">
        <v>28459</v>
      </c>
    </row>
    <row r="1227" spans="1:2" x14ac:dyDescent="0.25">
      <c r="A1227" s="28" t="s">
        <v>28809</v>
      </c>
      <c r="B1227" s="28" t="s">
        <v>28465</v>
      </c>
    </row>
    <row r="1228" spans="1:2" x14ac:dyDescent="0.25">
      <c r="A1228" s="28" t="s">
        <v>29809</v>
      </c>
      <c r="B1228" s="28" t="s">
        <v>29810</v>
      </c>
    </row>
    <row r="1229" spans="1:2" x14ac:dyDescent="0.25">
      <c r="A1229" s="28" t="s">
        <v>29811</v>
      </c>
      <c r="B1229" s="28" t="s">
        <v>29812</v>
      </c>
    </row>
    <row r="1230" spans="1:2" x14ac:dyDescent="0.25">
      <c r="A1230" s="28" t="s">
        <v>29813</v>
      </c>
      <c r="B1230" s="28" t="s">
        <v>29814</v>
      </c>
    </row>
    <row r="1231" spans="1:2" x14ac:dyDescent="0.25">
      <c r="A1231" s="28" t="s">
        <v>28810</v>
      </c>
      <c r="B1231" s="28" t="s">
        <v>28467</v>
      </c>
    </row>
    <row r="1232" spans="1:2" x14ac:dyDescent="0.25">
      <c r="A1232" s="28" t="s">
        <v>29815</v>
      </c>
      <c r="B1232" s="28" t="s">
        <v>29816</v>
      </c>
    </row>
    <row r="1233" spans="1:2" x14ac:dyDescent="0.25">
      <c r="A1233" s="28" t="s">
        <v>28811</v>
      </c>
      <c r="B1233" s="28" t="s">
        <v>28466</v>
      </c>
    </row>
    <row r="1234" spans="1:2" x14ac:dyDescent="0.25">
      <c r="A1234" s="28" t="s">
        <v>29817</v>
      </c>
      <c r="B1234" s="28" t="s">
        <v>29818</v>
      </c>
    </row>
    <row r="1235" spans="1:2" x14ac:dyDescent="0.25">
      <c r="A1235" s="28" t="s">
        <v>29819</v>
      </c>
      <c r="B1235" s="28" t="s">
        <v>29820</v>
      </c>
    </row>
    <row r="1236" spans="1:2" x14ac:dyDescent="0.25">
      <c r="A1236" s="28" t="s">
        <v>29821</v>
      </c>
      <c r="B1236" s="28" t="s">
        <v>29822</v>
      </c>
    </row>
    <row r="1237" spans="1:2" x14ac:dyDescent="0.25">
      <c r="A1237" s="28" t="s">
        <v>29823</v>
      </c>
      <c r="B1237" s="28" t="s">
        <v>29824</v>
      </c>
    </row>
    <row r="1238" spans="1:2" x14ac:dyDescent="0.25">
      <c r="A1238" s="28" t="s">
        <v>29825</v>
      </c>
      <c r="B1238" s="28" t="s">
        <v>29826</v>
      </c>
    </row>
    <row r="1239" spans="1:2" x14ac:dyDescent="0.25">
      <c r="A1239" s="28" t="s">
        <v>29827</v>
      </c>
      <c r="B1239" s="28" t="s">
        <v>29828</v>
      </c>
    </row>
    <row r="1240" spans="1:2" x14ac:dyDescent="0.25">
      <c r="A1240" s="28" t="s">
        <v>28812</v>
      </c>
      <c r="B1240" s="28" t="s">
        <v>28468</v>
      </c>
    </row>
    <row r="1241" spans="1:2" x14ac:dyDescent="0.25">
      <c r="A1241" s="28" t="s">
        <v>28813</v>
      </c>
      <c r="B1241" s="28" t="s">
        <v>28469</v>
      </c>
    </row>
    <row r="1242" spans="1:2" x14ac:dyDescent="0.25">
      <c r="A1242" s="28" t="s">
        <v>28814</v>
      </c>
      <c r="B1242" s="28" t="s">
        <v>28470</v>
      </c>
    </row>
    <row r="1243" spans="1:2" x14ac:dyDescent="0.25">
      <c r="A1243" s="28" t="s">
        <v>28815</v>
      </c>
      <c r="B1243" s="28" t="s">
        <v>28472</v>
      </c>
    </row>
    <row r="1244" spans="1:2" x14ac:dyDescent="0.25">
      <c r="A1244" s="28" t="s">
        <v>28816</v>
      </c>
      <c r="B1244" s="28" t="s">
        <v>28471</v>
      </c>
    </row>
    <row r="1245" spans="1:2" x14ac:dyDescent="0.25">
      <c r="A1245" s="28" t="s">
        <v>28817</v>
      </c>
      <c r="B1245" s="28" t="s">
        <v>28473</v>
      </c>
    </row>
    <row r="1246" spans="1:2" x14ac:dyDescent="0.25">
      <c r="A1246" s="28" t="s">
        <v>28818</v>
      </c>
      <c r="B1246" s="28" t="s">
        <v>28475</v>
      </c>
    </row>
    <row r="1247" spans="1:2" x14ac:dyDescent="0.25">
      <c r="A1247" s="28" t="s">
        <v>29829</v>
      </c>
      <c r="B1247" s="28" t="s">
        <v>29830</v>
      </c>
    </row>
    <row r="1248" spans="1:2" x14ac:dyDescent="0.25">
      <c r="A1248" s="28" t="s">
        <v>29831</v>
      </c>
      <c r="B1248" s="28" t="s">
        <v>29832</v>
      </c>
    </row>
    <row r="1249" spans="1:2" x14ac:dyDescent="0.25">
      <c r="A1249" s="28" t="s">
        <v>29833</v>
      </c>
      <c r="B1249" s="28" t="s">
        <v>29834</v>
      </c>
    </row>
    <row r="1250" spans="1:2" x14ac:dyDescent="0.25">
      <c r="A1250" s="28" t="s">
        <v>28819</v>
      </c>
      <c r="B1250" s="28" t="s">
        <v>28474</v>
      </c>
    </row>
    <row r="1251" spans="1:2" x14ac:dyDescent="0.25">
      <c r="A1251" s="28" t="s">
        <v>29835</v>
      </c>
      <c r="B1251" s="28" t="s">
        <v>29836</v>
      </c>
    </row>
    <row r="1252" spans="1:2" x14ac:dyDescent="0.25">
      <c r="A1252" s="28" t="s">
        <v>29837</v>
      </c>
      <c r="B1252" s="28" t="s">
        <v>29838</v>
      </c>
    </row>
    <row r="1253" spans="1:2" x14ac:dyDescent="0.25">
      <c r="A1253" s="28" t="s">
        <v>29839</v>
      </c>
      <c r="B1253" s="28" t="s">
        <v>29840</v>
      </c>
    </row>
    <row r="1254" spans="1:2" x14ac:dyDescent="0.25">
      <c r="A1254" s="28" t="s">
        <v>29841</v>
      </c>
      <c r="B1254" s="28" t="s">
        <v>29842</v>
      </c>
    </row>
    <row r="1255" spans="1:2" x14ac:dyDescent="0.25">
      <c r="A1255" s="28" t="s">
        <v>29843</v>
      </c>
      <c r="B1255" s="28" t="s">
        <v>29844</v>
      </c>
    </row>
    <row r="1256" spans="1:2" x14ac:dyDescent="0.25">
      <c r="A1256" s="28" t="s">
        <v>29845</v>
      </c>
      <c r="B1256" s="28" t="s">
        <v>29846</v>
      </c>
    </row>
    <row r="1257" spans="1:2" x14ac:dyDescent="0.25">
      <c r="A1257" s="28" t="s">
        <v>29847</v>
      </c>
      <c r="B1257" s="28" t="s">
        <v>29848</v>
      </c>
    </row>
    <row r="1258" spans="1:2" x14ac:dyDescent="0.25">
      <c r="A1258" s="28" t="s">
        <v>29849</v>
      </c>
      <c r="B1258" s="28" t="s">
        <v>29850</v>
      </c>
    </row>
    <row r="1259" spans="1:2" x14ac:dyDescent="0.25">
      <c r="A1259" s="28" t="s">
        <v>29851</v>
      </c>
      <c r="B1259" s="28" t="s">
        <v>29852</v>
      </c>
    </row>
    <row r="1260" spans="1:2" x14ac:dyDescent="0.25">
      <c r="A1260" s="28" t="s">
        <v>29853</v>
      </c>
      <c r="B1260" s="28" t="s">
        <v>29854</v>
      </c>
    </row>
    <row r="1261" spans="1:2" x14ac:dyDescent="0.25">
      <c r="A1261" s="28" t="s">
        <v>29855</v>
      </c>
      <c r="B1261" s="28" t="s">
        <v>29856</v>
      </c>
    </row>
    <row r="1262" spans="1:2" x14ac:dyDescent="0.25">
      <c r="A1262" s="28" t="s">
        <v>29857</v>
      </c>
      <c r="B1262" s="28" t="s">
        <v>29858</v>
      </c>
    </row>
    <row r="1263" spans="1:2" x14ac:dyDescent="0.25">
      <c r="A1263" s="28" t="s">
        <v>29859</v>
      </c>
      <c r="B1263" s="28" t="s">
        <v>29860</v>
      </c>
    </row>
    <row r="1264" spans="1:2" x14ac:dyDescent="0.25">
      <c r="A1264" s="28" t="s">
        <v>29861</v>
      </c>
      <c r="B1264" s="28" t="s">
        <v>29862</v>
      </c>
    </row>
    <row r="1265" spans="1:2" x14ac:dyDescent="0.25">
      <c r="A1265" s="28" t="s">
        <v>29863</v>
      </c>
      <c r="B1265" s="28" t="s">
        <v>29864</v>
      </c>
    </row>
    <row r="1266" spans="1:2" x14ac:dyDescent="0.25">
      <c r="A1266" s="28" t="s">
        <v>29865</v>
      </c>
      <c r="B1266" s="28" t="s">
        <v>29866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28820</v>
      </c>
      <c r="B1268" s="28" t="s">
        <v>28821</v>
      </c>
    </row>
    <row r="1269" spans="1:2" x14ac:dyDescent="0.25">
      <c r="A1269" s="28" t="s">
        <v>28822</v>
      </c>
      <c r="B1269" s="28" t="s">
        <v>28823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28824</v>
      </c>
      <c r="B1271" s="28" t="s">
        <v>28825</v>
      </c>
    </row>
    <row r="1272" spans="1:2" x14ac:dyDescent="0.25">
      <c r="A1272" s="28" t="s">
        <v>28826</v>
      </c>
      <c r="B1272" s="28" t="s">
        <v>28827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28828</v>
      </c>
      <c r="B1312" s="28" t="s">
        <v>28829</v>
      </c>
    </row>
    <row r="1313" spans="1:2" x14ac:dyDescent="0.25">
      <c r="A1313" s="28" t="s">
        <v>28830</v>
      </c>
      <c r="B1313" s="28" t="s">
        <v>28831</v>
      </c>
    </row>
    <row r="1314" spans="1:2" x14ac:dyDescent="0.25">
      <c r="A1314" s="28" t="s">
        <v>28832</v>
      </c>
      <c r="B1314" s="28" t="s">
        <v>28833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28834</v>
      </c>
      <c r="B1317" s="28" t="s">
        <v>28835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27330</v>
      </c>
      <c r="B1324" s="28" t="s">
        <v>27331</v>
      </c>
    </row>
    <row r="1325" spans="1:2" x14ac:dyDescent="0.25">
      <c r="A1325" s="28" t="s">
        <v>27328</v>
      </c>
      <c r="B1325" s="28" t="s">
        <v>27329</v>
      </c>
    </row>
    <row r="1326" spans="1:2" x14ac:dyDescent="0.25">
      <c r="A1326" s="28" t="s">
        <v>28836</v>
      </c>
      <c r="B1326" s="28" t="s">
        <v>28837</v>
      </c>
    </row>
    <row r="1327" spans="1:2" x14ac:dyDescent="0.25">
      <c r="A1327" s="28" t="s">
        <v>28838</v>
      </c>
      <c r="B1327" s="28" t="s">
        <v>28839</v>
      </c>
    </row>
    <row r="1328" spans="1:2" x14ac:dyDescent="0.25">
      <c r="A1328" s="28" t="s">
        <v>28840</v>
      </c>
      <c r="B1328" s="28" t="s">
        <v>28841</v>
      </c>
    </row>
    <row r="1329" spans="1:2" x14ac:dyDescent="0.25">
      <c r="A1329" s="28" t="s">
        <v>28842</v>
      </c>
      <c r="B1329" s="28" t="s">
        <v>28843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27332</v>
      </c>
      <c r="B1331" s="28" t="s">
        <v>27333</v>
      </c>
    </row>
    <row r="1332" spans="1:2" x14ac:dyDescent="0.25">
      <c r="A1332" s="28" t="s">
        <v>27334</v>
      </c>
      <c r="B1332" s="28" t="s">
        <v>27335</v>
      </c>
    </row>
    <row r="1333" spans="1:2" x14ac:dyDescent="0.25">
      <c r="A1333" s="28" t="s">
        <v>27336</v>
      </c>
      <c r="B1333" s="28" t="s">
        <v>27337</v>
      </c>
    </row>
    <row r="1334" spans="1:2" x14ac:dyDescent="0.25">
      <c r="A1334" s="28" t="s">
        <v>27338</v>
      </c>
      <c r="B1334" s="28" t="s">
        <v>27339</v>
      </c>
    </row>
    <row r="1335" spans="1:2" x14ac:dyDescent="0.25">
      <c r="A1335" s="28" t="s">
        <v>27340</v>
      </c>
      <c r="B1335" s="28" t="s">
        <v>27341</v>
      </c>
    </row>
    <row r="1336" spans="1:2" x14ac:dyDescent="0.25">
      <c r="A1336" s="28" t="s">
        <v>27342</v>
      </c>
      <c r="B1336" s="28" t="s">
        <v>27343</v>
      </c>
    </row>
    <row r="1337" spans="1:2" x14ac:dyDescent="0.25">
      <c r="A1337" s="28" t="s">
        <v>27344</v>
      </c>
      <c r="B1337" s="28" t="s">
        <v>27345</v>
      </c>
    </row>
    <row r="1338" spans="1:2" x14ac:dyDescent="0.25">
      <c r="A1338" s="28" t="s">
        <v>27346</v>
      </c>
      <c r="B1338" s="28" t="s">
        <v>27347</v>
      </c>
    </row>
    <row r="1339" spans="1:2" x14ac:dyDescent="0.25">
      <c r="A1339" s="28" t="s">
        <v>27348</v>
      </c>
      <c r="B1339" s="28" t="s">
        <v>27349</v>
      </c>
    </row>
    <row r="1340" spans="1:2" x14ac:dyDescent="0.25">
      <c r="A1340" s="28" t="s">
        <v>27350</v>
      </c>
      <c r="B1340" s="28" t="s">
        <v>27351</v>
      </c>
    </row>
    <row r="1341" spans="1:2" x14ac:dyDescent="0.25">
      <c r="A1341" s="28" t="s">
        <v>27352</v>
      </c>
      <c r="B1341" s="28" t="s">
        <v>27353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27313</v>
      </c>
      <c r="B1350" s="28" t="s">
        <v>27314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28844</v>
      </c>
      <c r="B1352" s="28" t="s">
        <v>28845</v>
      </c>
    </row>
    <row r="1353" spans="1:2" x14ac:dyDescent="0.25">
      <c r="A1353" s="28" t="s">
        <v>28846</v>
      </c>
      <c r="B1353" s="28" t="s">
        <v>28847</v>
      </c>
    </row>
    <row r="1354" spans="1:2" x14ac:dyDescent="0.25">
      <c r="A1354" s="28" t="s">
        <v>28848</v>
      </c>
      <c r="B1354" s="28" t="s">
        <v>28849</v>
      </c>
    </row>
    <row r="1355" spans="1:2" x14ac:dyDescent="0.25">
      <c r="A1355" s="28" t="s">
        <v>28850</v>
      </c>
      <c r="B1355" s="28" t="s">
        <v>28851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27325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27354</v>
      </c>
      <c r="B1381" s="28" t="s">
        <v>27355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28852</v>
      </c>
      <c r="B1424" s="28" t="s">
        <v>28853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28854</v>
      </c>
      <c r="B1434" s="28" t="s">
        <v>28855</v>
      </c>
    </row>
    <row r="1435" spans="1:2" x14ac:dyDescent="0.25">
      <c r="A1435" s="28" t="s">
        <v>28856</v>
      </c>
      <c r="B1435" s="28" t="s">
        <v>28857</v>
      </c>
    </row>
    <row r="1436" spans="1:2" x14ac:dyDescent="0.25">
      <c r="A1436" s="28" t="s">
        <v>28858</v>
      </c>
      <c r="B1436" s="28" t="s">
        <v>28859</v>
      </c>
    </row>
    <row r="1437" spans="1:2" x14ac:dyDescent="0.25">
      <c r="A1437" s="28" t="s">
        <v>28860</v>
      </c>
      <c r="B1437" s="28" t="s">
        <v>28861</v>
      </c>
    </row>
    <row r="1438" spans="1:2" x14ac:dyDescent="0.25">
      <c r="A1438" s="28" t="s">
        <v>28862</v>
      </c>
      <c r="B1438" s="28" t="s">
        <v>28863</v>
      </c>
    </row>
    <row r="1439" spans="1:2" x14ac:dyDescent="0.25">
      <c r="A1439" s="28" t="s">
        <v>28864</v>
      </c>
      <c r="B1439" s="28" t="s">
        <v>28865</v>
      </c>
    </row>
    <row r="1440" spans="1:2" x14ac:dyDescent="0.25">
      <c r="A1440" s="28" t="s">
        <v>28866</v>
      </c>
      <c r="B1440" s="28" t="s">
        <v>28867</v>
      </c>
    </row>
    <row r="1441" spans="1:2" x14ac:dyDescent="0.25">
      <c r="A1441" s="28" t="s">
        <v>28868</v>
      </c>
      <c r="B1441" s="28" t="s">
        <v>28869</v>
      </c>
    </row>
    <row r="1442" spans="1:2" x14ac:dyDescent="0.25">
      <c r="A1442" s="28" t="s">
        <v>28870</v>
      </c>
      <c r="B1442" s="28" t="s">
        <v>28871</v>
      </c>
    </row>
    <row r="1443" spans="1:2" x14ac:dyDescent="0.25">
      <c r="A1443" s="28" t="s">
        <v>28872</v>
      </c>
      <c r="B1443" s="28" t="s">
        <v>28873</v>
      </c>
    </row>
    <row r="1444" spans="1:2" x14ac:dyDescent="0.25">
      <c r="A1444" s="28" t="s">
        <v>28874</v>
      </c>
      <c r="B1444" s="28" t="s">
        <v>28875</v>
      </c>
    </row>
    <row r="1445" spans="1:2" x14ac:dyDescent="0.25">
      <c r="A1445" s="28" t="s">
        <v>28876</v>
      </c>
      <c r="B1445" s="28" t="s">
        <v>28877</v>
      </c>
    </row>
    <row r="1446" spans="1:2" x14ac:dyDescent="0.25">
      <c r="A1446" s="28" t="s">
        <v>28878</v>
      </c>
      <c r="B1446" s="28" t="s">
        <v>28879</v>
      </c>
    </row>
    <row r="1447" spans="1:2" x14ac:dyDescent="0.25">
      <c r="A1447" s="28" t="s">
        <v>28880</v>
      </c>
      <c r="B1447" s="28" t="s">
        <v>28881</v>
      </c>
    </row>
    <row r="1448" spans="1:2" x14ac:dyDescent="0.25">
      <c r="A1448" s="28" t="s">
        <v>28882</v>
      </c>
      <c r="B1448" s="28" t="s">
        <v>28883</v>
      </c>
    </row>
    <row r="1449" spans="1:2" x14ac:dyDescent="0.25">
      <c r="A1449" s="28" t="s">
        <v>28884</v>
      </c>
      <c r="B1449" s="28" t="s">
        <v>28885</v>
      </c>
    </row>
    <row r="1450" spans="1:2" x14ac:dyDescent="0.25">
      <c r="A1450" s="28" t="s">
        <v>28886</v>
      </c>
      <c r="B1450" s="28" t="s">
        <v>28887</v>
      </c>
    </row>
    <row r="1451" spans="1:2" x14ac:dyDescent="0.25">
      <c r="A1451" s="28" t="s">
        <v>28888</v>
      </c>
      <c r="B1451" s="28" t="s">
        <v>28889</v>
      </c>
    </row>
    <row r="1452" spans="1:2" x14ac:dyDescent="0.25">
      <c r="A1452" s="28" t="s">
        <v>28890</v>
      </c>
      <c r="B1452" s="28" t="s">
        <v>28891</v>
      </c>
    </row>
    <row r="1453" spans="1:2" x14ac:dyDescent="0.25">
      <c r="A1453" s="28" t="s">
        <v>28892</v>
      </c>
      <c r="B1453" s="28" t="s">
        <v>28893</v>
      </c>
    </row>
    <row r="1454" spans="1:2" x14ac:dyDescent="0.25">
      <c r="A1454" s="28" t="s">
        <v>28894</v>
      </c>
      <c r="B1454" s="28" t="s">
        <v>28895</v>
      </c>
    </row>
    <row r="1455" spans="1:2" x14ac:dyDescent="0.25">
      <c r="A1455" s="28" t="s">
        <v>28896</v>
      </c>
      <c r="B1455" s="28" t="s">
        <v>28897</v>
      </c>
    </row>
    <row r="1456" spans="1:2" x14ac:dyDescent="0.25">
      <c r="A1456" s="28" t="s">
        <v>28898</v>
      </c>
      <c r="B1456" s="28" t="s">
        <v>28899</v>
      </c>
    </row>
    <row r="1457" spans="1:2" x14ac:dyDescent="0.25">
      <c r="A1457" s="28" t="s">
        <v>28900</v>
      </c>
      <c r="B1457" s="28" t="s">
        <v>28901</v>
      </c>
    </row>
    <row r="1458" spans="1:2" x14ac:dyDescent="0.25">
      <c r="A1458" s="28" t="s">
        <v>28902</v>
      </c>
      <c r="B1458" s="28" t="s">
        <v>28903</v>
      </c>
    </row>
    <row r="1459" spans="1:2" x14ac:dyDescent="0.25">
      <c r="A1459" s="28" t="s">
        <v>28904</v>
      </c>
      <c r="B1459" s="28" t="s">
        <v>28905</v>
      </c>
    </row>
    <row r="1460" spans="1:2" x14ac:dyDescent="0.25">
      <c r="A1460" s="28" t="s">
        <v>28906</v>
      </c>
      <c r="B1460" s="28" t="s">
        <v>28907</v>
      </c>
    </row>
    <row r="1461" spans="1:2" x14ac:dyDescent="0.25">
      <c r="A1461" s="28" t="s">
        <v>28908</v>
      </c>
      <c r="B1461" s="28" t="s">
        <v>28909</v>
      </c>
    </row>
    <row r="1462" spans="1:2" x14ac:dyDescent="0.25">
      <c r="A1462" s="28" t="s">
        <v>28910</v>
      </c>
      <c r="B1462" s="28" t="s">
        <v>28911</v>
      </c>
    </row>
    <row r="1463" spans="1:2" x14ac:dyDescent="0.25">
      <c r="A1463" s="28" t="s">
        <v>28912</v>
      </c>
      <c r="B1463" s="28" t="s">
        <v>28913</v>
      </c>
    </row>
    <row r="1464" spans="1:2" x14ac:dyDescent="0.25">
      <c r="A1464" s="28" t="s">
        <v>28914</v>
      </c>
      <c r="B1464" s="28" t="s">
        <v>28915</v>
      </c>
    </row>
    <row r="1465" spans="1:2" x14ac:dyDescent="0.25">
      <c r="A1465" s="28" t="s">
        <v>28916</v>
      </c>
      <c r="B1465" s="28" t="s">
        <v>28917</v>
      </c>
    </row>
    <row r="1466" spans="1:2" x14ac:dyDescent="0.25">
      <c r="A1466" s="28" t="s">
        <v>28918</v>
      </c>
      <c r="B1466" s="28" t="s">
        <v>28919</v>
      </c>
    </row>
    <row r="1467" spans="1:2" x14ac:dyDescent="0.25">
      <c r="A1467" s="28" t="s">
        <v>28920</v>
      </c>
      <c r="B1467" s="28" t="s">
        <v>28921</v>
      </c>
    </row>
    <row r="1468" spans="1:2" x14ac:dyDescent="0.25">
      <c r="A1468" s="28" t="s">
        <v>28922</v>
      </c>
      <c r="B1468" s="28" t="s">
        <v>28923</v>
      </c>
    </row>
    <row r="1469" spans="1:2" x14ac:dyDescent="0.25">
      <c r="A1469" s="28" t="s">
        <v>28924</v>
      </c>
      <c r="B1469" s="28" t="s">
        <v>28925</v>
      </c>
    </row>
    <row r="1470" spans="1:2" x14ac:dyDescent="0.25">
      <c r="A1470" s="28" t="s">
        <v>28926</v>
      </c>
      <c r="B1470" s="28" t="s">
        <v>28927</v>
      </c>
    </row>
    <row r="1471" spans="1:2" x14ac:dyDescent="0.25">
      <c r="A1471" s="28" t="s">
        <v>28928</v>
      </c>
      <c r="B1471" s="28" t="s">
        <v>28929</v>
      </c>
    </row>
    <row r="1472" spans="1:2" x14ac:dyDescent="0.25">
      <c r="A1472" s="28" t="s">
        <v>28930</v>
      </c>
      <c r="B1472" s="28" t="s">
        <v>28931</v>
      </c>
    </row>
    <row r="1473" spans="1:2" x14ac:dyDescent="0.25">
      <c r="A1473" s="28" t="s">
        <v>28932</v>
      </c>
      <c r="B1473" s="28" t="s">
        <v>28933</v>
      </c>
    </row>
    <row r="1474" spans="1:2" x14ac:dyDescent="0.25">
      <c r="A1474" s="28" t="s">
        <v>28934</v>
      </c>
      <c r="B1474" s="28" t="s">
        <v>28935</v>
      </c>
    </row>
    <row r="1475" spans="1:2" x14ac:dyDescent="0.25">
      <c r="A1475" s="28" t="s">
        <v>28936</v>
      </c>
      <c r="B1475" s="28" t="s">
        <v>28937</v>
      </c>
    </row>
    <row r="1476" spans="1:2" x14ac:dyDescent="0.25">
      <c r="A1476" s="28" t="s">
        <v>28938</v>
      </c>
      <c r="B1476" s="28" t="s">
        <v>28939</v>
      </c>
    </row>
    <row r="1477" spans="1:2" x14ac:dyDescent="0.25">
      <c r="A1477" s="28" t="s">
        <v>28940</v>
      </c>
      <c r="B1477" s="28" t="s">
        <v>28941</v>
      </c>
    </row>
    <row r="1478" spans="1:2" x14ac:dyDescent="0.25">
      <c r="A1478" s="28" t="s">
        <v>28942</v>
      </c>
      <c r="B1478" s="28" t="s">
        <v>28943</v>
      </c>
    </row>
    <row r="1479" spans="1:2" x14ac:dyDescent="0.25">
      <c r="A1479" s="28" t="s">
        <v>28944</v>
      </c>
      <c r="B1479" s="28" t="s">
        <v>28945</v>
      </c>
    </row>
    <row r="1480" spans="1:2" x14ac:dyDescent="0.25">
      <c r="A1480" s="28" t="s">
        <v>28946</v>
      </c>
      <c r="B1480" s="28" t="s">
        <v>28947</v>
      </c>
    </row>
    <row r="1481" spans="1:2" x14ac:dyDescent="0.25">
      <c r="A1481" s="28" t="s">
        <v>28948</v>
      </c>
      <c r="B1481" s="28" t="s">
        <v>28949</v>
      </c>
    </row>
    <row r="1482" spans="1:2" x14ac:dyDescent="0.25">
      <c r="A1482" s="28" t="s">
        <v>28950</v>
      </c>
      <c r="B1482" s="28" t="s">
        <v>28951</v>
      </c>
    </row>
    <row r="1483" spans="1:2" x14ac:dyDescent="0.25">
      <c r="A1483" s="28" t="s">
        <v>28952</v>
      </c>
      <c r="B1483" s="28" t="s">
        <v>28953</v>
      </c>
    </row>
    <row r="1484" spans="1:2" x14ac:dyDescent="0.25">
      <c r="A1484" s="28" t="s">
        <v>28954</v>
      </c>
      <c r="B1484" s="28" t="s">
        <v>28955</v>
      </c>
    </row>
    <row r="1485" spans="1:2" x14ac:dyDescent="0.25">
      <c r="A1485" s="28" t="s">
        <v>28956</v>
      </c>
      <c r="B1485" s="28" t="s">
        <v>28957</v>
      </c>
    </row>
    <row r="1486" spans="1:2" x14ac:dyDescent="0.25">
      <c r="A1486" s="28" t="s">
        <v>28958</v>
      </c>
      <c r="B1486" s="28" t="s">
        <v>28959</v>
      </c>
    </row>
    <row r="1487" spans="1:2" x14ac:dyDescent="0.25">
      <c r="A1487" s="28" t="s">
        <v>28960</v>
      </c>
      <c r="B1487" s="28" t="s">
        <v>28961</v>
      </c>
    </row>
    <row r="1488" spans="1:2" x14ac:dyDescent="0.25">
      <c r="A1488" s="28" t="s">
        <v>28962</v>
      </c>
      <c r="B1488" s="28" t="s">
        <v>28963</v>
      </c>
    </row>
    <row r="1489" spans="1:2" x14ac:dyDescent="0.25">
      <c r="A1489" s="28" t="s">
        <v>28964</v>
      </c>
      <c r="B1489" s="28" t="s">
        <v>28965</v>
      </c>
    </row>
    <row r="1490" spans="1:2" x14ac:dyDescent="0.25">
      <c r="A1490" s="28" t="s">
        <v>28966</v>
      </c>
      <c r="B1490" s="28" t="s">
        <v>28967</v>
      </c>
    </row>
    <row r="1491" spans="1:2" x14ac:dyDescent="0.25">
      <c r="A1491" s="28" t="s">
        <v>28968</v>
      </c>
      <c r="B1491" s="28" t="s">
        <v>28969</v>
      </c>
    </row>
    <row r="1492" spans="1:2" x14ac:dyDescent="0.25">
      <c r="A1492" s="28" t="s">
        <v>28970</v>
      </c>
      <c r="B1492" s="28" t="s">
        <v>28971</v>
      </c>
    </row>
    <row r="1493" spans="1:2" x14ac:dyDescent="0.25">
      <c r="A1493" s="28" t="s">
        <v>28972</v>
      </c>
      <c r="B1493" s="28" t="s">
        <v>28973</v>
      </c>
    </row>
    <row r="1494" spans="1:2" x14ac:dyDescent="0.25">
      <c r="A1494" s="28" t="s">
        <v>28974</v>
      </c>
      <c r="B1494" s="28" t="s">
        <v>28975</v>
      </c>
    </row>
    <row r="1495" spans="1:2" x14ac:dyDescent="0.25">
      <c r="A1495" s="28" t="s">
        <v>28976</v>
      </c>
      <c r="B1495" s="28" t="s">
        <v>28977</v>
      </c>
    </row>
    <row r="1496" spans="1:2" x14ac:dyDescent="0.25">
      <c r="A1496" s="28" t="s">
        <v>28978</v>
      </c>
      <c r="B1496" s="28" t="s">
        <v>28979</v>
      </c>
    </row>
    <row r="1497" spans="1:2" x14ac:dyDescent="0.25">
      <c r="A1497" s="28" t="s">
        <v>28980</v>
      </c>
      <c r="B1497" s="28" t="s">
        <v>28981</v>
      </c>
    </row>
    <row r="1498" spans="1:2" x14ac:dyDescent="0.25">
      <c r="A1498" s="28" t="s">
        <v>28982</v>
      </c>
      <c r="B1498" s="28" t="s">
        <v>28983</v>
      </c>
    </row>
    <row r="1499" spans="1:2" x14ac:dyDescent="0.25">
      <c r="A1499" s="28" t="s">
        <v>28984</v>
      </c>
      <c r="B1499" s="28" t="s">
        <v>28985</v>
      </c>
    </row>
    <row r="1500" spans="1:2" x14ac:dyDescent="0.25">
      <c r="A1500" s="28" t="s">
        <v>28986</v>
      </c>
      <c r="B1500" s="28" t="s">
        <v>28987</v>
      </c>
    </row>
    <row r="1501" spans="1:2" x14ac:dyDescent="0.25">
      <c r="A1501" s="28" t="s">
        <v>28988</v>
      </c>
      <c r="B1501" s="28" t="s">
        <v>28989</v>
      </c>
    </row>
    <row r="1502" spans="1:2" x14ac:dyDescent="0.25">
      <c r="A1502" s="28" t="s">
        <v>28990</v>
      </c>
      <c r="B1502" s="28" t="s">
        <v>28991</v>
      </c>
    </row>
    <row r="1503" spans="1:2" x14ac:dyDescent="0.25">
      <c r="A1503" s="28" t="s">
        <v>28992</v>
      </c>
      <c r="B1503" s="28" t="s">
        <v>28993</v>
      </c>
    </row>
    <row r="1504" spans="1:2" x14ac:dyDescent="0.25">
      <c r="A1504" s="28" t="s">
        <v>28994</v>
      </c>
      <c r="B1504" s="28" t="s">
        <v>28995</v>
      </c>
    </row>
    <row r="1505" spans="1:2" x14ac:dyDescent="0.25">
      <c r="A1505" s="28" t="s">
        <v>28996</v>
      </c>
      <c r="B1505" s="28" t="s">
        <v>28997</v>
      </c>
    </row>
    <row r="1506" spans="1:2" x14ac:dyDescent="0.25">
      <c r="A1506" s="28" t="s">
        <v>28998</v>
      </c>
      <c r="B1506" s="28" t="s">
        <v>28999</v>
      </c>
    </row>
    <row r="1507" spans="1:2" x14ac:dyDescent="0.25">
      <c r="A1507" s="28" t="s">
        <v>29000</v>
      </c>
      <c r="B1507" s="28" t="s">
        <v>29001</v>
      </c>
    </row>
    <row r="1508" spans="1:2" x14ac:dyDescent="0.25">
      <c r="A1508" s="28" t="s">
        <v>29002</v>
      </c>
      <c r="B1508" s="28" t="s">
        <v>29003</v>
      </c>
    </row>
    <row r="1509" spans="1:2" x14ac:dyDescent="0.25">
      <c r="A1509" s="28" t="s">
        <v>29004</v>
      </c>
      <c r="B1509" s="28" t="s">
        <v>29005</v>
      </c>
    </row>
    <row r="1510" spans="1:2" x14ac:dyDescent="0.25">
      <c r="A1510" s="28" t="s">
        <v>29006</v>
      </c>
      <c r="B1510" s="28" t="s">
        <v>29007</v>
      </c>
    </row>
    <row r="1511" spans="1:2" x14ac:dyDescent="0.25">
      <c r="A1511" s="28" t="s">
        <v>29008</v>
      </c>
      <c r="B1511" s="28" t="s">
        <v>29009</v>
      </c>
    </row>
    <row r="1512" spans="1:2" x14ac:dyDescent="0.25">
      <c r="A1512" s="28" t="s">
        <v>29010</v>
      </c>
      <c r="B1512" s="28" t="s">
        <v>29011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29012</v>
      </c>
      <c r="B1517" s="28" t="s">
        <v>29013</v>
      </c>
    </row>
    <row r="1518" spans="1:2" x14ac:dyDescent="0.25">
      <c r="A1518" s="28" t="s">
        <v>29014</v>
      </c>
      <c r="B1518" s="28" t="s">
        <v>29015</v>
      </c>
    </row>
    <row r="1519" spans="1:2" x14ac:dyDescent="0.25">
      <c r="A1519" s="28" t="s">
        <v>29016</v>
      </c>
      <c r="B1519" s="28" t="s">
        <v>29017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27390</v>
      </c>
      <c r="B1522" s="28" t="s">
        <v>27391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29018</v>
      </c>
      <c r="B1530" s="28" t="s">
        <v>29019</v>
      </c>
    </row>
    <row r="1531" spans="1:2" x14ac:dyDescent="0.25">
      <c r="A1531" s="28" t="s">
        <v>29020</v>
      </c>
      <c r="B1531" s="28" t="s">
        <v>29021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29022</v>
      </c>
      <c r="B1535" s="28" t="s">
        <v>29023</v>
      </c>
    </row>
    <row r="1536" spans="1:2" x14ac:dyDescent="0.25">
      <c r="A1536" s="28" t="s">
        <v>29024</v>
      </c>
      <c r="B1536" s="28" t="s">
        <v>29025</v>
      </c>
    </row>
    <row r="1537" spans="1:2" x14ac:dyDescent="0.25">
      <c r="A1537" s="28" t="s">
        <v>29026</v>
      </c>
      <c r="B1537" s="28" t="s">
        <v>29027</v>
      </c>
    </row>
    <row r="1538" spans="1:2" x14ac:dyDescent="0.25">
      <c r="A1538" s="28" t="s">
        <v>29028</v>
      </c>
      <c r="B1538" s="28" t="s">
        <v>29029</v>
      </c>
    </row>
    <row r="1539" spans="1:2" x14ac:dyDescent="0.25">
      <c r="A1539" s="28" t="s">
        <v>29030</v>
      </c>
      <c r="B1539" s="28" t="s">
        <v>29031</v>
      </c>
    </row>
    <row r="1540" spans="1:2" x14ac:dyDescent="0.25">
      <c r="A1540" s="28" t="s">
        <v>29032</v>
      </c>
      <c r="B1540" s="28" t="s">
        <v>29033</v>
      </c>
    </row>
    <row r="1541" spans="1:2" x14ac:dyDescent="0.25">
      <c r="A1541" s="28" t="s">
        <v>29034</v>
      </c>
      <c r="B1541" s="28" t="s">
        <v>29035</v>
      </c>
    </row>
    <row r="1542" spans="1:2" x14ac:dyDescent="0.25">
      <c r="A1542" s="28" t="s">
        <v>29036</v>
      </c>
      <c r="B1542" s="28" t="s">
        <v>29037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29038</v>
      </c>
      <c r="B1552" s="28" t="s">
        <v>29039</v>
      </c>
    </row>
    <row r="1553" spans="1:2" x14ac:dyDescent="0.25">
      <c r="A1553" s="28" t="s">
        <v>29040</v>
      </c>
      <c r="B1553" s="28" t="s">
        <v>29041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29042</v>
      </c>
      <c r="B1558" s="28" t="s">
        <v>29043</v>
      </c>
    </row>
    <row r="1559" spans="1:2" x14ac:dyDescent="0.25">
      <c r="A1559" s="28" t="s">
        <v>29044</v>
      </c>
      <c r="B1559" s="28" t="s">
        <v>29045</v>
      </c>
    </row>
    <row r="1560" spans="1:2" x14ac:dyDescent="0.25">
      <c r="A1560" s="28" t="s">
        <v>29046</v>
      </c>
      <c r="B1560" s="28" t="s">
        <v>29047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29048</v>
      </c>
      <c r="B1562" s="28" t="s">
        <v>29049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29050</v>
      </c>
      <c r="B1566" s="28" t="s">
        <v>29051</v>
      </c>
    </row>
    <row r="1567" spans="1:2" x14ac:dyDescent="0.25">
      <c r="A1567" s="28" t="s">
        <v>29052</v>
      </c>
      <c r="B1567" s="28" t="s">
        <v>29053</v>
      </c>
    </row>
    <row r="1568" spans="1:2" x14ac:dyDescent="0.25">
      <c r="A1568" s="28" t="s">
        <v>29054</v>
      </c>
      <c r="B1568" s="28" t="s">
        <v>29055</v>
      </c>
    </row>
    <row r="1569" spans="1:2" x14ac:dyDescent="0.25">
      <c r="A1569" s="28" t="s">
        <v>29056</v>
      </c>
      <c r="B1569" s="28" t="s">
        <v>29057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29058</v>
      </c>
      <c r="B1573" s="28" t="s">
        <v>29059</v>
      </c>
    </row>
    <row r="1574" spans="1:2" x14ac:dyDescent="0.25">
      <c r="A1574" s="28" t="s">
        <v>29060</v>
      </c>
      <c r="B1574" s="28" t="s">
        <v>29061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27356</v>
      </c>
      <c r="B1589" s="28" t="s">
        <v>27357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29062</v>
      </c>
      <c r="B1591" s="28" t="s">
        <v>29063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27315</v>
      </c>
      <c r="B1603" s="28" t="s">
        <v>27316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27317</v>
      </c>
      <c r="B1608" s="28" t="s">
        <v>27318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27577</v>
      </c>
      <c r="B1617" s="28" t="s">
        <v>27578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27319</v>
      </c>
      <c r="B1622" s="28" t="s">
        <v>27320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29064</v>
      </c>
      <c r="B1627" s="28" t="s">
        <v>29065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27358</v>
      </c>
      <c r="B1642" s="28" t="s">
        <v>27359</v>
      </c>
    </row>
    <row r="1643" spans="1:2" x14ac:dyDescent="0.25">
      <c r="A1643" s="28" t="s">
        <v>27321</v>
      </c>
      <c r="B1643" s="28" t="s">
        <v>27322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27323</v>
      </c>
      <c r="B1653" s="28" t="s">
        <v>27324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27360</v>
      </c>
      <c r="B1732" s="28" t="s">
        <v>27361</v>
      </c>
    </row>
    <row r="1733" spans="1:2" x14ac:dyDescent="0.25">
      <c r="A1733" s="28" t="s">
        <v>27362</v>
      </c>
      <c r="B1733" s="28" t="s">
        <v>27363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29066</v>
      </c>
      <c r="B1825" s="28" t="s">
        <v>29067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29068</v>
      </c>
      <c r="B1827" s="28" t="s">
        <v>29069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27233</v>
      </c>
      <c r="B1876" s="28" t="s">
        <v>27234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27364</v>
      </c>
      <c r="B1974" s="28" t="s">
        <v>27365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27311</v>
      </c>
      <c r="B1994" s="28" t="s">
        <v>27312</v>
      </c>
    </row>
    <row r="1995" spans="1:2" x14ac:dyDescent="0.25">
      <c r="A1995" s="28" t="s">
        <v>27309</v>
      </c>
      <c r="B1995" s="28" t="s">
        <v>27310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29070</v>
      </c>
      <c r="B2000" s="28" t="s">
        <v>29071</v>
      </c>
    </row>
    <row r="2001" spans="1:2" x14ac:dyDescent="0.25">
      <c r="A2001" s="28" t="s">
        <v>29072</v>
      </c>
      <c r="B2001" s="28" t="s">
        <v>29073</v>
      </c>
    </row>
    <row r="2002" spans="1:2" x14ac:dyDescent="0.25">
      <c r="A2002" s="28" t="s">
        <v>29074</v>
      </c>
      <c r="B2002" s="28" t="s">
        <v>29075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29076</v>
      </c>
      <c r="B2008" s="28" t="s">
        <v>29077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29078</v>
      </c>
      <c r="B2014" s="28" t="s">
        <v>29079</v>
      </c>
    </row>
    <row r="2015" spans="1:2" x14ac:dyDescent="0.25">
      <c r="A2015" s="28" t="s">
        <v>27388</v>
      </c>
      <c r="B2015" s="28" t="s">
        <v>27389</v>
      </c>
    </row>
    <row r="2016" spans="1:2" x14ac:dyDescent="0.25">
      <c r="A2016" s="28" t="s">
        <v>29080</v>
      </c>
      <c r="B2016" s="28" t="s">
        <v>29081</v>
      </c>
    </row>
    <row r="2017" spans="1:2" x14ac:dyDescent="0.25">
      <c r="A2017" s="28" t="s">
        <v>29082</v>
      </c>
      <c r="B2017" s="28" t="s">
        <v>29083</v>
      </c>
    </row>
    <row r="2018" spans="1:2" x14ac:dyDescent="0.25">
      <c r="A2018" s="28" t="s">
        <v>29084</v>
      </c>
      <c r="B2018" s="28" t="s">
        <v>29085</v>
      </c>
    </row>
    <row r="2019" spans="1:2" x14ac:dyDescent="0.25">
      <c r="A2019" s="28" t="s">
        <v>29086</v>
      </c>
      <c r="B2019" s="28" t="s">
        <v>29087</v>
      </c>
    </row>
    <row r="2020" spans="1:2" x14ac:dyDescent="0.25">
      <c r="A2020" s="28" t="s">
        <v>29088</v>
      </c>
      <c r="B2020" s="28" t="s">
        <v>29089</v>
      </c>
    </row>
    <row r="2021" spans="1:2" x14ac:dyDescent="0.25">
      <c r="A2021" s="28" t="s">
        <v>29090</v>
      </c>
      <c r="B2021" s="28" t="s">
        <v>29091</v>
      </c>
    </row>
    <row r="2022" spans="1:2" x14ac:dyDescent="0.25">
      <c r="A2022" s="28" t="s">
        <v>29092</v>
      </c>
      <c r="B2022" s="28" t="s">
        <v>29093</v>
      </c>
    </row>
    <row r="2023" spans="1:2" x14ac:dyDescent="0.25">
      <c r="A2023" s="28" t="s">
        <v>29094</v>
      </c>
      <c r="B2023" s="28" t="s">
        <v>29095</v>
      </c>
    </row>
    <row r="2024" spans="1:2" x14ac:dyDescent="0.25">
      <c r="A2024" s="28" t="s">
        <v>29096</v>
      </c>
      <c r="B2024" s="28" t="s">
        <v>29097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27299</v>
      </c>
      <c r="B2149" s="28" t="s">
        <v>27300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27579</v>
      </c>
      <c r="B2403" s="28" t="s">
        <v>27580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27581</v>
      </c>
      <c r="B2426" s="28" t="s">
        <v>27582</v>
      </c>
    </row>
    <row r="2427" spans="1:2" x14ac:dyDescent="0.25">
      <c r="A2427" s="28" t="s">
        <v>27583</v>
      </c>
      <c r="B2427" s="28" t="s">
        <v>27584</v>
      </c>
    </row>
    <row r="2428" spans="1:2" x14ac:dyDescent="0.25">
      <c r="A2428" s="28" t="s">
        <v>27585</v>
      </c>
      <c r="B2428" s="28" t="s">
        <v>27586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27587</v>
      </c>
      <c r="B2430" s="28" t="s">
        <v>27588</v>
      </c>
    </row>
    <row r="2431" spans="1:2" x14ac:dyDescent="0.25">
      <c r="A2431" s="28" t="s">
        <v>27589</v>
      </c>
      <c r="B2431" s="28" t="s">
        <v>27590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29098</v>
      </c>
      <c r="B2464" s="28" t="s">
        <v>29099</v>
      </c>
    </row>
    <row r="2465" spans="1:2" x14ac:dyDescent="0.25">
      <c r="A2465" s="28" t="s">
        <v>29100</v>
      </c>
      <c r="B2465" s="28" t="s">
        <v>29101</v>
      </c>
    </row>
    <row r="2466" spans="1:2" x14ac:dyDescent="0.25">
      <c r="A2466" s="28" t="s">
        <v>29102</v>
      </c>
      <c r="B2466" s="28" t="s">
        <v>29103</v>
      </c>
    </row>
    <row r="2467" spans="1:2" x14ac:dyDescent="0.25">
      <c r="A2467" s="28" t="s">
        <v>29104</v>
      </c>
      <c r="B2467" s="28" t="s">
        <v>29105</v>
      </c>
    </row>
    <row r="2468" spans="1:2" x14ac:dyDescent="0.25">
      <c r="A2468" s="28" t="s">
        <v>29106</v>
      </c>
      <c r="B2468" s="28" t="s">
        <v>29107</v>
      </c>
    </row>
    <row r="2469" spans="1:2" x14ac:dyDescent="0.25">
      <c r="A2469" s="28" t="s">
        <v>29108</v>
      </c>
      <c r="B2469" s="28" t="s">
        <v>29109</v>
      </c>
    </row>
    <row r="2470" spans="1:2" x14ac:dyDescent="0.25">
      <c r="A2470" s="28" t="s">
        <v>29110</v>
      </c>
      <c r="B2470" s="28" t="s">
        <v>29111</v>
      </c>
    </row>
    <row r="2471" spans="1:2" x14ac:dyDescent="0.25">
      <c r="A2471" s="28" t="s">
        <v>29112</v>
      </c>
      <c r="B2471" s="28" t="s">
        <v>29113</v>
      </c>
    </row>
    <row r="2472" spans="1:2" x14ac:dyDescent="0.25">
      <c r="A2472" s="28" t="s">
        <v>29114</v>
      </c>
      <c r="B2472" s="28" t="s">
        <v>29115</v>
      </c>
    </row>
    <row r="2473" spans="1:2" x14ac:dyDescent="0.25">
      <c r="A2473" s="28" t="s">
        <v>29116</v>
      </c>
      <c r="B2473" s="28" t="s">
        <v>29117</v>
      </c>
    </row>
    <row r="2474" spans="1:2" x14ac:dyDescent="0.25">
      <c r="A2474" s="28" t="s">
        <v>29118</v>
      </c>
      <c r="B2474" s="28" t="s">
        <v>29119</v>
      </c>
    </row>
    <row r="2475" spans="1:2" x14ac:dyDescent="0.25">
      <c r="A2475" s="28" t="s">
        <v>29120</v>
      </c>
      <c r="B2475" s="28" t="s">
        <v>29121</v>
      </c>
    </row>
    <row r="2476" spans="1:2" x14ac:dyDescent="0.25">
      <c r="A2476" s="28" t="s">
        <v>29122</v>
      </c>
      <c r="B2476" s="28" t="s">
        <v>29123</v>
      </c>
    </row>
    <row r="2477" spans="1:2" x14ac:dyDescent="0.25">
      <c r="A2477" s="28" t="s">
        <v>29124</v>
      </c>
      <c r="B2477" s="28" t="s">
        <v>29125</v>
      </c>
    </row>
    <row r="2478" spans="1:2" x14ac:dyDescent="0.25">
      <c r="A2478" s="28" t="s">
        <v>29126</v>
      </c>
      <c r="B2478" s="28" t="s">
        <v>29127</v>
      </c>
    </row>
    <row r="2479" spans="1:2" x14ac:dyDescent="0.25">
      <c r="A2479" s="28" t="s">
        <v>29128</v>
      </c>
      <c r="B2479" s="28" t="s">
        <v>29129</v>
      </c>
    </row>
    <row r="2480" spans="1:2" x14ac:dyDescent="0.25">
      <c r="A2480" s="28" t="s">
        <v>29130</v>
      </c>
      <c r="B2480" s="28" t="s">
        <v>29131</v>
      </c>
    </row>
    <row r="2481" spans="1:2" x14ac:dyDescent="0.25">
      <c r="A2481" s="28" t="s">
        <v>29132</v>
      </c>
      <c r="B2481" s="28" t="s">
        <v>29133</v>
      </c>
    </row>
    <row r="2482" spans="1:2" x14ac:dyDescent="0.25">
      <c r="A2482" s="28" t="s">
        <v>29134</v>
      </c>
      <c r="B2482" s="28" t="s">
        <v>29135</v>
      </c>
    </row>
    <row r="2483" spans="1:2" x14ac:dyDescent="0.25">
      <c r="A2483" s="28" t="s">
        <v>29136</v>
      </c>
      <c r="B2483" s="28" t="s">
        <v>29137</v>
      </c>
    </row>
    <row r="2484" spans="1:2" x14ac:dyDescent="0.25">
      <c r="A2484" s="28" t="s">
        <v>29138</v>
      </c>
      <c r="B2484" s="28" t="s">
        <v>29139</v>
      </c>
    </row>
    <row r="2485" spans="1:2" x14ac:dyDescent="0.25">
      <c r="A2485" s="28" t="s">
        <v>29140</v>
      </c>
      <c r="B2485" s="28" t="s">
        <v>29141</v>
      </c>
    </row>
    <row r="2486" spans="1:2" x14ac:dyDescent="0.25">
      <c r="A2486" s="28" t="s">
        <v>29142</v>
      </c>
      <c r="B2486" s="28" t="s">
        <v>29143</v>
      </c>
    </row>
    <row r="2487" spans="1:2" x14ac:dyDescent="0.25">
      <c r="A2487" s="28" t="s">
        <v>29144</v>
      </c>
      <c r="B2487" s="28" t="s">
        <v>29145</v>
      </c>
    </row>
    <row r="2488" spans="1:2" x14ac:dyDescent="0.25">
      <c r="A2488" s="28" t="s">
        <v>29146</v>
      </c>
      <c r="B2488" s="28" t="s">
        <v>29147</v>
      </c>
    </row>
    <row r="2489" spans="1:2" x14ac:dyDescent="0.25">
      <c r="A2489" s="28" t="s">
        <v>29148</v>
      </c>
      <c r="B2489" s="28" t="s">
        <v>29149</v>
      </c>
    </row>
    <row r="2490" spans="1:2" x14ac:dyDescent="0.25">
      <c r="A2490" s="28" t="s">
        <v>29150</v>
      </c>
      <c r="B2490" s="28" t="s">
        <v>29151</v>
      </c>
    </row>
    <row r="2491" spans="1:2" x14ac:dyDescent="0.25">
      <c r="A2491" s="28" t="s">
        <v>29152</v>
      </c>
      <c r="B2491" s="28" t="s">
        <v>29153</v>
      </c>
    </row>
    <row r="2492" spans="1:2" x14ac:dyDescent="0.25">
      <c r="A2492" s="28" t="s">
        <v>29154</v>
      </c>
      <c r="B2492" s="28" t="s">
        <v>29155</v>
      </c>
    </row>
    <row r="2493" spans="1:2" x14ac:dyDescent="0.25">
      <c r="A2493" s="28" t="s">
        <v>29156</v>
      </c>
      <c r="B2493" s="28" t="s">
        <v>29157</v>
      </c>
    </row>
    <row r="2494" spans="1:2" x14ac:dyDescent="0.25">
      <c r="A2494" s="28" t="s">
        <v>29158</v>
      </c>
      <c r="B2494" s="28" t="s">
        <v>29159</v>
      </c>
    </row>
    <row r="2495" spans="1:2" x14ac:dyDescent="0.25">
      <c r="A2495" s="28" t="s">
        <v>29160</v>
      </c>
      <c r="B2495" s="28" t="s">
        <v>29161</v>
      </c>
    </row>
    <row r="2496" spans="1:2" x14ac:dyDescent="0.25">
      <c r="A2496" s="28" t="s">
        <v>29162</v>
      </c>
      <c r="B2496" s="28" t="s">
        <v>29163</v>
      </c>
    </row>
    <row r="2497" spans="1:2" x14ac:dyDescent="0.25">
      <c r="A2497" s="28" t="s">
        <v>29164</v>
      </c>
      <c r="B2497" s="28" t="s">
        <v>29165</v>
      </c>
    </row>
    <row r="2498" spans="1:2" x14ac:dyDescent="0.25">
      <c r="A2498" s="28" t="s">
        <v>29166</v>
      </c>
      <c r="B2498" s="28" t="s">
        <v>29167</v>
      </c>
    </row>
    <row r="2499" spans="1:2" x14ac:dyDescent="0.25">
      <c r="A2499" s="28" t="s">
        <v>29168</v>
      </c>
      <c r="B2499" s="28" t="s">
        <v>29169</v>
      </c>
    </row>
    <row r="2500" spans="1:2" x14ac:dyDescent="0.25">
      <c r="A2500" s="28" t="s">
        <v>29170</v>
      </c>
      <c r="B2500" s="28" t="s">
        <v>29171</v>
      </c>
    </row>
    <row r="2501" spans="1:2" x14ac:dyDescent="0.25">
      <c r="A2501" s="28" t="s">
        <v>29172</v>
      </c>
      <c r="B2501" s="28" t="s">
        <v>29173</v>
      </c>
    </row>
    <row r="2502" spans="1:2" x14ac:dyDescent="0.25">
      <c r="A2502" s="28" t="s">
        <v>29174</v>
      </c>
      <c r="B2502" s="28" t="s">
        <v>29175</v>
      </c>
    </row>
    <row r="2503" spans="1:2" x14ac:dyDescent="0.25">
      <c r="A2503" s="28" t="s">
        <v>29176</v>
      </c>
      <c r="B2503" s="28" t="s">
        <v>29177</v>
      </c>
    </row>
    <row r="2504" spans="1:2" x14ac:dyDescent="0.25">
      <c r="A2504" s="28" t="s">
        <v>29178</v>
      </c>
      <c r="B2504" s="28" t="s">
        <v>29179</v>
      </c>
    </row>
    <row r="2505" spans="1:2" x14ac:dyDescent="0.25">
      <c r="A2505" s="28" t="s">
        <v>29180</v>
      </c>
      <c r="B2505" s="28" t="s">
        <v>29181</v>
      </c>
    </row>
    <row r="2506" spans="1:2" x14ac:dyDescent="0.25">
      <c r="A2506" s="28" t="s">
        <v>29182</v>
      </c>
      <c r="B2506" s="28" t="s">
        <v>29183</v>
      </c>
    </row>
    <row r="2507" spans="1:2" x14ac:dyDescent="0.25">
      <c r="A2507" s="28" t="s">
        <v>29184</v>
      </c>
      <c r="B2507" s="28" t="s">
        <v>29185</v>
      </c>
    </row>
    <row r="2508" spans="1:2" x14ac:dyDescent="0.25">
      <c r="A2508" s="28" t="s">
        <v>29186</v>
      </c>
      <c r="B2508" s="28" t="s">
        <v>29187</v>
      </c>
    </row>
    <row r="2509" spans="1:2" x14ac:dyDescent="0.25">
      <c r="A2509" s="28" t="s">
        <v>29188</v>
      </c>
      <c r="B2509" s="28" t="s">
        <v>29189</v>
      </c>
    </row>
    <row r="2510" spans="1:2" x14ac:dyDescent="0.25">
      <c r="A2510" s="28" t="s">
        <v>29190</v>
      </c>
      <c r="B2510" s="28" t="s">
        <v>29191</v>
      </c>
    </row>
    <row r="2511" spans="1:2" x14ac:dyDescent="0.25">
      <c r="A2511" s="28" t="s">
        <v>29192</v>
      </c>
      <c r="B2511" s="28" t="s">
        <v>29193</v>
      </c>
    </row>
    <row r="2512" spans="1:2" x14ac:dyDescent="0.25">
      <c r="A2512" s="28" t="s">
        <v>29194</v>
      </c>
      <c r="B2512" s="28" t="s">
        <v>29195</v>
      </c>
    </row>
    <row r="2513" spans="1:2" x14ac:dyDescent="0.25">
      <c r="A2513" s="28" t="s">
        <v>29196</v>
      </c>
      <c r="B2513" s="28" t="s">
        <v>29197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27591</v>
      </c>
      <c r="B2529" s="28" t="s">
        <v>27592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29867</v>
      </c>
      <c r="B2557" s="28" t="s">
        <v>29868</v>
      </c>
    </row>
    <row r="2558" spans="1:2" x14ac:dyDescent="0.25">
      <c r="A2558" s="28" t="s">
        <v>29869</v>
      </c>
      <c r="B2558" s="28" t="s">
        <v>29870</v>
      </c>
    </row>
    <row r="2559" spans="1:2" x14ac:dyDescent="0.25">
      <c r="A2559" s="28" t="s">
        <v>29871</v>
      </c>
      <c r="B2559" s="28" t="s">
        <v>29872</v>
      </c>
    </row>
    <row r="2560" spans="1:2" x14ac:dyDescent="0.25">
      <c r="A2560" s="28" t="s">
        <v>29873</v>
      </c>
      <c r="B2560" s="28" t="s">
        <v>29874</v>
      </c>
    </row>
    <row r="2561" spans="1:2" x14ac:dyDescent="0.25">
      <c r="A2561" s="28" t="s">
        <v>29875</v>
      </c>
      <c r="B2561" s="28" t="s">
        <v>29876</v>
      </c>
    </row>
    <row r="2562" spans="1:2" x14ac:dyDescent="0.25">
      <c r="A2562" s="28" t="s">
        <v>29877</v>
      </c>
      <c r="B2562" s="28" t="s">
        <v>29878</v>
      </c>
    </row>
    <row r="2563" spans="1:2" x14ac:dyDescent="0.25">
      <c r="A2563" s="28" t="s">
        <v>29879</v>
      </c>
      <c r="B2563" s="28" t="s">
        <v>29880</v>
      </c>
    </row>
    <row r="2564" spans="1:2" x14ac:dyDescent="0.25">
      <c r="A2564" s="28" t="s">
        <v>29881</v>
      </c>
      <c r="B2564" s="28" t="s">
        <v>29882</v>
      </c>
    </row>
    <row r="2565" spans="1:2" x14ac:dyDescent="0.25">
      <c r="A2565" s="28" t="s">
        <v>29883</v>
      </c>
      <c r="B2565" s="28" t="s">
        <v>29884</v>
      </c>
    </row>
    <row r="2566" spans="1:2" x14ac:dyDescent="0.25">
      <c r="A2566" s="28" t="s">
        <v>29885</v>
      </c>
      <c r="B2566" s="28" t="s">
        <v>29886</v>
      </c>
    </row>
    <row r="2567" spans="1:2" x14ac:dyDescent="0.25">
      <c r="A2567" s="28" t="s">
        <v>29887</v>
      </c>
      <c r="B2567" s="28" t="s">
        <v>29888</v>
      </c>
    </row>
    <row r="2568" spans="1:2" x14ac:dyDescent="0.25">
      <c r="A2568" s="28" t="s">
        <v>29889</v>
      </c>
      <c r="B2568" s="28" t="s">
        <v>29890</v>
      </c>
    </row>
    <row r="2569" spans="1:2" x14ac:dyDescent="0.25">
      <c r="A2569" s="28" t="s">
        <v>29891</v>
      </c>
      <c r="B2569" s="28" t="s">
        <v>29892</v>
      </c>
    </row>
    <row r="2570" spans="1:2" x14ac:dyDescent="0.25">
      <c r="A2570" s="28" t="s">
        <v>29893</v>
      </c>
      <c r="B2570" s="28" t="s">
        <v>29894</v>
      </c>
    </row>
    <row r="2571" spans="1:2" x14ac:dyDescent="0.25">
      <c r="A2571" s="28" t="s">
        <v>29895</v>
      </c>
      <c r="B2571" s="28" t="s">
        <v>29896</v>
      </c>
    </row>
    <row r="2572" spans="1:2" x14ac:dyDescent="0.25">
      <c r="A2572" s="28" t="s">
        <v>29897</v>
      </c>
      <c r="B2572" s="28" t="s">
        <v>29898</v>
      </c>
    </row>
    <row r="2573" spans="1:2" x14ac:dyDescent="0.25">
      <c r="A2573" s="28" t="s">
        <v>29899</v>
      </c>
      <c r="B2573" s="28" t="s">
        <v>29900</v>
      </c>
    </row>
    <row r="2574" spans="1:2" x14ac:dyDescent="0.25">
      <c r="A2574" s="28" t="s">
        <v>29901</v>
      </c>
      <c r="B2574" s="28" t="s">
        <v>29902</v>
      </c>
    </row>
    <row r="2575" spans="1:2" x14ac:dyDescent="0.25">
      <c r="A2575" s="28" t="s">
        <v>29903</v>
      </c>
      <c r="B2575" s="28" t="s">
        <v>29904</v>
      </c>
    </row>
    <row r="2576" spans="1:2" x14ac:dyDescent="0.25">
      <c r="A2576" s="28" t="s">
        <v>29905</v>
      </c>
      <c r="B2576" s="28" t="s">
        <v>29906</v>
      </c>
    </row>
    <row r="2577" spans="1:2" x14ac:dyDescent="0.25">
      <c r="A2577" s="28" t="s">
        <v>29907</v>
      </c>
      <c r="B2577" s="28" t="s">
        <v>29908</v>
      </c>
    </row>
    <row r="2578" spans="1:2" x14ac:dyDescent="0.25">
      <c r="A2578" s="28" t="s">
        <v>29909</v>
      </c>
      <c r="B2578" s="28" t="s">
        <v>29910</v>
      </c>
    </row>
    <row r="2579" spans="1:2" x14ac:dyDescent="0.25">
      <c r="A2579" s="28" t="s">
        <v>29911</v>
      </c>
      <c r="B2579" s="28" t="s">
        <v>29912</v>
      </c>
    </row>
    <row r="2580" spans="1:2" x14ac:dyDescent="0.25">
      <c r="A2580" s="28" t="s">
        <v>29913</v>
      </c>
      <c r="B2580" s="28" t="s">
        <v>29914</v>
      </c>
    </row>
    <row r="2581" spans="1:2" x14ac:dyDescent="0.25">
      <c r="A2581" s="28" t="s">
        <v>29915</v>
      </c>
      <c r="B2581" s="28" t="s">
        <v>29916</v>
      </c>
    </row>
    <row r="2582" spans="1:2" x14ac:dyDescent="0.25">
      <c r="A2582" s="28" t="s">
        <v>29917</v>
      </c>
      <c r="B2582" s="28" t="s">
        <v>29918</v>
      </c>
    </row>
    <row r="2583" spans="1:2" x14ac:dyDescent="0.25">
      <c r="A2583" s="28" t="s">
        <v>29919</v>
      </c>
      <c r="B2583" s="28" t="s">
        <v>29920</v>
      </c>
    </row>
    <row r="2584" spans="1:2" x14ac:dyDescent="0.25">
      <c r="A2584" s="28" t="s">
        <v>29921</v>
      </c>
      <c r="B2584" s="28" t="s">
        <v>29922</v>
      </c>
    </row>
    <row r="2585" spans="1:2" x14ac:dyDescent="0.25">
      <c r="A2585" s="28" t="s">
        <v>29923</v>
      </c>
      <c r="B2585" s="28" t="s">
        <v>29924</v>
      </c>
    </row>
    <row r="2586" spans="1:2" x14ac:dyDescent="0.25">
      <c r="A2586" s="28" t="s">
        <v>29925</v>
      </c>
      <c r="B2586" s="28" t="s">
        <v>29926</v>
      </c>
    </row>
    <row r="2587" spans="1:2" x14ac:dyDescent="0.25">
      <c r="A2587" s="28" t="s">
        <v>29927</v>
      </c>
      <c r="B2587" s="28" t="s">
        <v>29928</v>
      </c>
    </row>
    <row r="2588" spans="1:2" x14ac:dyDescent="0.25">
      <c r="A2588" s="28" t="s">
        <v>29929</v>
      </c>
      <c r="B2588" s="28" t="s">
        <v>29930</v>
      </c>
    </row>
    <row r="2589" spans="1:2" x14ac:dyDescent="0.25">
      <c r="A2589" s="28" t="s">
        <v>29931</v>
      </c>
      <c r="B2589" s="28" t="s">
        <v>29932</v>
      </c>
    </row>
    <row r="2590" spans="1:2" x14ac:dyDescent="0.25">
      <c r="A2590" s="28" t="s">
        <v>29933</v>
      </c>
      <c r="B2590" s="28" t="s">
        <v>29934</v>
      </c>
    </row>
    <row r="2591" spans="1:2" x14ac:dyDescent="0.25">
      <c r="A2591" s="28" t="s">
        <v>29935</v>
      </c>
      <c r="B2591" s="28" t="s">
        <v>29936</v>
      </c>
    </row>
    <row r="2592" spans="1:2" x14ac:dyDescent="0.25">
      <c r="A2592" s="28" t="s">
        <v>29937</v>
      </c>
      <c r="B2592" s="28" t="s">
        <v>29938</v>
      </c>
    </row>
    <row r="2593" spans="1:2" x14ac:dyDescent="0.25">
      <c r="A2593" s="28" t="s">
        <v>29939</v>
      </c>
      <c r="B2593" s="28" t="s">
        <v>29940</v>
      </c>
    </row>
    <row r="2594" spans="1:2" x14ac:dyDescent="0.25">
      <c r="A2594" s="28" t="s">
        <v>29941</v>
      </c>
      <c r="B2594" s="28" t="s">
        <v>29942</v>
      </c>
    </row>
    <row r="2595" spans="1:2" x14ac:dyDescent="0.25">
      <c r="A2595" s="28" t="s">
        <v>29943</v>
      </c>
      <c r="B2595" s="28" t="s">
        <v>29944</v>
      </c>
    </row>
    <row r="2596" spans="1:2" x14ac:dyDescent="0.25">
      <c r="A2596" s="28" t="s">
        <v>29945</v>
      </c>
      <c r="B2596" s="28" t="s">
        <v>29946</v>
      </c>
    </row>
    <row r="2597" spans="1:2" x14ac:dyDescent="0.25">
      <c r="A2597" s="28" t="s">
        <v>29947</v>
      </c>
      <c r="B2597" s="28" t="s">
        <v>29948</v>
      </c>
    </row>
    <row r="2598" spans="1:2" x14ac:dyDescent="0.25">
      <c r="A2598" s="28" t="s">
        <v>29949</v>
      </c>
      <c r="B2598" s="28" t="s">
        <v>29950</v>
      </c>
    </row>
    <row r="2599" spans="1:2" x14ac:dyDescent="0.25">
      <c r="A2599" s="28" t="s">
        <v>29951</v>
      </c>
      <c r="B2599" s="28" t="s">
        <v>29952</v>
      </c>
    </row>
    <row r="2600" spans="1:2" x14ac:dyDescent="0.25">
      <c r="A2600" s="28" t="s">
        <v>29953</v>
      </c>
      <c r="B2600" s="28" t="s">
        <v>29954</v>
      </c>
    </row>
    <row r="2601" spans="1:2" x14ac:dyDescent="0.25">
      <c r="A2601" s="28" t="s">
        <v>29955</v>
      </c>
      <c r="B2601" s="28" t="s">
        <v>29956</v>
      </c>
    </row>
    <row r="2602" spans="1:2" x14ac:dyDescent="0.25">
      <c r="A2602" s="28" t="s">
        <v>29957</v>
      </c>
      <c r="B2602" s="28" t="s">
        <v>29958</v>
      </c>
    </row>
    <row r="2603" spans="1:2" x14ac:dyDescent="0.25">
      <c r="A2603" s="28" t="s">
        <v>29959</v>
      </c>
      <c r="B2603" s="28" t="s">
        <v>29960</v>
      </c>
    </row>
    <row r="2604" spans="1:2" x14ac:dyDescent="0.25">
      <c r="A2604" s="28" t="s">
        <v>29961</v>
      </c>
      <c r="B2604" s="28" t="s">
        <v>29962</v>
      </c>
    </row>
    <row r="2605" spans="1:2" x14ac:dyDescent="0.25">
      <c r="A2605" s="28" t="s">
        <v>29963</v>
      </c>
      <c r="B2605" s="28" t="s">
        <v>29964</v>
      </c>
    </row>
    <row r="2606" spans="1:2" x14ac:dyDescent="0.25">
      <c r="A2606" s="28" t="s">
        <v>29965</v>
      </c>
      <c r="B2606" s="28" t="s">
        <v>29966</v>
      </c>
    </row>
    <row r="2607" spans="1:2" x14ac:dyDescent="0.25">
      <c r="A2607" s="28" t="s">
        <v>29967</v>
      </c>
      <c r="B2607" s="28" t="s">
        <v>29968</v>
      </c>
    </row>
    <row r="2608" spans="1:2" x14ac:dyDescent="0.25">
      <c r="A2608" s="28" t="s">
        <v>29969</v>
      </c>
      <c r="B2608" s="28" t="s">
        <v>29970</v>
      </c>
    </row>
    <row r="2609" spans="1:2" x14ac:dyDescent="0.25">
      <c r="A2609" s="28" t="s">
        <v>29971</v>
      </c>
      <c r="B2609" s="28" t="s">
        <v>29972</v>
      </c>
    </row>
    <row r="2610" spans="1:2" x14ac:dyDescent="0.25">
      <c r="A2610" s="28" t="s">
        <v>29973</v>
      </c>
      <c r="B2610" s="28" t="s">
        <v>29974</v>
      </c>
    </row>
    <row r="2611" spans="1:2" x14ac:dyDescent="0.25">
      <c r="A2611" s="28" t="s">
        <v>29975</v>
      </c>
      <c r="B2611" s="28" t="s">
        <v>29976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29977</v>
      </c>
      <c r="B2674" s="28" t="s">
        <v>29978</v>
      </c>
    </row>
    <row r="2675" spans="1:2" x14ac:dyDescent="0.25">
      <c r="A2675" s="28" t="s">
        <v>29979</v>
      </c>
      <c r="B2675" s="28" t="s">
        <v>29980</v>
      </c>
    </row>
    <row r="2676" spans="1:2" x14ac:dyDescent="0.25">
      <c r="A2676" s="28" t="s">
        <v>29981</v>
      </c>
      <c r="B2676" s="28" t="s">
        <v>29982</v>
      </c>
    </row>
    <row r="2677" spans="1:2" x14ac:dyDescent="0.25">
      <c r="A2677" s="28" t="s">
        <v>29983</v>
      </c>
      <c r="B2677" s="28" t="s">
        <v>29984</v>
      </c>
    </row>
    <row r="2678" spans="1:2" x14ac:dyDescent="0.25">
      <c r="A2678" s="28" t="s">
        <v>29985</v>
      </c>
      <c r="B2678" s="28" t="s">
        <v>29986</v>
      </c>
    </row>
    <row r="2679" spans="1:2" x14ac:dyDescent="0.25">
      <c r="A2679" s="28" t="s">
        <v>29987</v>
      </c>
      <c r="B2679" s="28" t="s">
        <v>29988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29198</v>
      </c>
      <c r="B2689" s="28" t="s">
        <v>29199</v>
      </c>
    </row>
    <row r="2690" spans="1:2" x14ac:dyDescent="0.25">
      <c r="A2690" s="28" t="s">
        <v>29200</v>
      </c>
      <c r="B2690" s="28" t="s">
        <v>29201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29202</v>
      </c>
      <c r="B2708" s="28" t="s">
        <v>29203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27593</v>
      </c>
      <c r="B2714" s="28" t="s">
        <v>27594</v>
      </c>
    </row>
    <row r="2715" spans="1:2" x14ac:dyDescent="0.25">
      <c r="A2715" s="28" t="s">
        <v>27595</v>
      </c>
      <c r="B2715" s="28" t="s">
        <v>27596</v>
      </c>
    </row>
    <row r="2716" spans="1:2" x14ac:dyDescent="0.25">
      <c r="A2716" s="28" t="s">
        <v>27597</v>
      </c>
      <c r="B2716" s="28" t="s">
        <v>27598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27599</v>
      </c>
      <c r="B2723" s="28" t="s">
        <v>27600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27601</v>
      </c>
      <c r="B2732" s="28" t="s">
        <v>27602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29204</v>
      </c>
      <c r="B2742" s="28" t="s">
        <v>29205</v>
      </c>
    </row>
    <row r="2743" spans="1:2" x14ac:dyDescent="0.25">
      <c r="A2743" s="28" t="s">
        <v>29206</v>
      </c>
      <c r="B2743" s="28" t="s">
        <v>29207</v>
      </c>
    </row>
    <row r="2744" spans="1:2" x14ac:dyDescent="0.25">
      <c r="A2744" s="28" t="s">
        <v>27603</v>
      </c>
      <c r="B2744" s="28" t="s">
        <v>27604</v>
      </c>
    </row>
    <row r="2745" spans="1:2" x14ac:dyDescent="0.25">
      <c r="A2745" s="28" t="s">
        <v>29208</v>
      </c>
      <c r="B2745" s="28" t="s">
        <v>29209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29210</v>
      </c>
      <c r="B2756" s="28" t="s">
        <v>29211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29212</v>
      </c>
      <c r="B2786" s="28" t="s">
        <v>29213</v>
      </c>
    </row>
    <row r="2787" spans="1:2" x14ac:dyDescent="0.25">
      <c r="A2787" s="28" t="s">
        <v>29214</v>
      </c>
      <c r="B2787" s="28" t="s">
        <v>29215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27605</v>
      </c>
      <c r="B2800" s="28" t="s">
        <v>27606</v>
      </c>
    </row>
    <row r="2801" spans="1:2" x14ac:dyDescent="0.25">
      <c r="A2801" s="28" t="s">
        <v>27607</v>
      </c>
      <c r="B2801" s="28" t="s">
        <v>27608</v>
      </c>
    </row>
    <row r="2802" spans="1:2" x14ac:dyDescent="0.25">
      <c r="A2802" s="28" t="s">
        <v>29216</v>
      </c>
      <c r="B2802" s="28" t="s">
        <v>29217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29989</v>
      </c>
      <c r="B2805" s="28" t="s">
        <v>29990</v>
      </c>
    </row>
    <row r="2806" spans="1:2" x14ac:dyDescent="0.25">
      <c r="A2806" s="28" t="s">
        <v>29218</v>
      </c>
      <c r="B2806" s="28" t="s">
        <v>29219</v>
      </c>
    </row>
    <row r="2807" spans="1:2" x14ac:dyDescent="0.25">
      <c r="A2807" s="28" t="s">
        <v>29220</v>
      </c>
      <c r="B2807" s="28" t="s">
        <v>29221</v>
      </c>
    </row>
    <row r="2808" spans="1:2" x14ac:dyDescent="0.25">
      <c r="A2808" s="28" t="s">
        <v>29222</v>
      </c>
      <c r="B2808" s="28" t="s">
        <v>29223</v>
      </c>
    </row>
    <row r="2809" spans="1:2" x14ac:dyDescent="0.25">
      <c r="A2809" s="28" t="s">
        <v>29224</v>
      </c>
      <c r="B2809" s="28" t="s">
        <v>29225</v>
      </c>
    </row>
    <row r="2810" spans="1:2" x14ac:dyDescent="0.25">
      <c r="A2810" s="28" t="s">
        <v>29991</v>
      </c>
      <c r="B2810" s="28" t="s">
        <v>29992</v>
      </c>
    </row>
    <row r="2811" spans="1:2" x14ac:dyDescent="0.25">
      <c r="A2811" s="28" t="s">
        <v>29226</v>
      </c>
      <c r="B2811" s="28" t="s">
        <v>29227</v>
      </c>
    </row>
    <row r="2812" spans="1:2" x14ac:dyDescent="0.25">
      <c r="A2812" s="28" t="s">
        <v>29228</v>
      </c>
      <c r="B2812" s="28" t="s">
        <v>29229</v>
      </c>
    </row>
    <row r="2813" spans="1:2" x14ac:dyDescent="0.25">
      <c r="A2813" s="28" t="s">
        <v>29230</v>
      </c>
      <c r="B2813" s="28" t="s">
        <v>29231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29232</v>
      </c>
      <c r="B2827" s="28" t="s">
        <v>29233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29234</v>
      </c>
      <c r="B2841" s="28" t="s">
        <v>29235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29236</v>
      </c>
      <c r="B2845" s="28" t="s">
        <v>29237</v>
      </c>
    </row>
    <row r="2846" spans="1:2" x14ac:dyDescent="0.25">
      <c r="A2846" s="28" t="s">
        <v>29238</v>
      </c>
      <c r="B2846" s="28" t="s">
        <v>29239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29993</v>
      </c>
      <c r="B2851" s="28" t="s">
        <v>29994</v>
      </c>
    </row>
    <row r="2852" spans="1:2" x14ac:dyDescent="0.25">
      <c r="A2852" s="28" t="s">
        <v>29995</v>
      </c>
      <c r="B2852" s="28" t="s">
        <v>29996</v>
      </c>
    </row>
    <row r="2853" spans="1:2" x14ac:dyDescent="0.25">
      <c r="A2853" s="28" t="s">
        <v>29997</v>
      </c>
      <c r="B2853" s="28" t="s">
        <v>29998</v>
      </c>
    </row>
    <row r="2854" spans="1:2" x14ac:dyDescent="0.25">
      <c r="A2854" s="28" t="s">
        <v>29999</v>
      </c>
      <c r="B2854" s="28" t="s">
        <v>30000</v>
      </c>
    </row>
    <row r="2855" spans="1:2" x14ac:dyDescent="0.25">
      <c r="A2855" s="28" t="s">
        <v>30001</v>
      </c>
      <c r="B2855" s="28" t="s">
        <v>30002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27609</v>
      </c>
      <c r="B2954" s="28" t="s">
        <v>27610</v>
      </c>
    </row>
    <row r="2955" spans="1:2" x14ac:dyDescent="0.25">
      <c r="A2955" s="28" t="s">
        <v>27611</v>
      </c>
      <c r="B2955" s="28" t="s">
        <v>27612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27242</v>
      </c>
      <c r="B2960" s="28" t="s">
        <v>27243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27244</v>
      </c>
      <c r="B2972" s="28" t="s">
        <v>27245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27613</v>
      </c>
      <c r="B2991" s="28" t="s">
        <v>14354</v>
      </c>
    </row>
    <row r="2992" spans="1:2" x14ac:dyDescent="0.25">
      <c r="A2992" s="28" t="s">
        <v>27235</v>
      </c>
      <c r="B2992" s="28" t="s">
        <v>27236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27237</v>
      </c>
      <c r="B3003" s="28" t="s">
        <v>27238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27246</v>
      </c>
      <c r="B3027" s="28" t="s">
        <v>27247</v>
      </c>
    </row>
    <row r="3028" spans="1:2" x14ac:dyDescent="0.25">
      <c r="A3028" s="28" t="s">
        <v>27250</v>
      </c>
      <c r="B3028" s="28" t="s">
        <v>27251</v>
      </c>
    </row>
    <row r="3029" spans="1:2" x14ac:dyDescent="0.25">
      <c r="A3029" s="28" t="s">
        <v>27248</v>
      </c>
      <c r="B3029" s="28" t="s">
        <v>27249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27261</v>
      </c>
      <c r="B3054" s="28" t="s">
        <v>27262</v>
      </c>
    </row>
    <row r="3055" spans="1:2" x14ac:dyDescent="0.25">
      <c r="A3055" s="28" t="s">
        <v>27259</v>
      </c>
      <c r="B3055" s="28" t="s">
        <v>27260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27263</v>
      </c>
      <c r="B3094" s="28" t="s">
        <v>27264</v>
      </c>
    </row>
    <row r="3095" spans="1:2" x14ac:dyDescent="0.25">
      <c r="A3095" s="28" t="s">
        <v>27255</v>
      </c>
      <c r="B3095" s="28" t="s">
        <v>27256</v>
      </c>
    </row>
    <row r="3096" spans="1:2" x14ac:dyDescent="0.25">
      <c r="A3096" s="28" t="s">
        <v>27257</v>
      </c>
      <c r="B3096" s="28" t="s">
        <v>27258</v>
      </c>
    </row>
    <row r="3097" spans="1:2" x14ac:dyDescent="0.25">
      <c r="A3097" s="28" t="s">
        <v>27253</v>
      </c>
      <c r="B3097" s="28" t="s">
        <v>27254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27614</v>
      </c>
      <c r="B3107" s="28" t="s">
        <v>27241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27239</v>
      </c>
      <c r="B3112" s="28" t="s">
        <v>27240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27252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27265</v>
      </c>
      <c r="B3197" s="28" t="s">
        <v>27266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27267</v>
      </c>
      <c r="B3239" s="28" t="s">
        <v>27268</v>
      </c>
    </row>
    <row r="3240" spans="1:2" x14ac:dyDescent="0.25">
      <c r="A3240" s="28" t="s">
        <v>27269</v>
      </c>
      <c r="B3240" s="28" t="s">
        <v>27270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27271</v>
      </c>
      <c r="B3244" s="28" t="s">
        <v>27272</v>
      </c>
    </row>
    <row r="3245" spans="1:2" x14ac:dyDescent="0.25">
      <c r="A3245" s="28" t="s">
        <v>27273</v>
      </c>
      <c r="B3245" s="28" t="s">
        <v>27274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27279</v>
      </c>
      <c r="B3258" s="28" t="s">
        <v>27280</v>
      </c>
    </row>
    <row r="3259" spans="1:2" x14ac:dyDescent="0.25">
      <c r="A3259" s="28" t="s">
        <v>27275</v>
      </c>
      <c r="B3259" s="28" t="s">
        <v>27276</v>
      </c>
    </row>
    <row r="3260" spans="1:2" x14ac:dyDescent="0.25">
      <c r="A3260" s="28" t="s">
        <v>27277</v>
      </c>
      <c r="B3260" s="28" t="s">
        <v>27278</v>
      </c>
    </row>
    <row r="3261" spans="1:2" x14ac:dyDescent="0.25">
      <c r="A3261" s="28" t="s">
        <v>27287</v>
      </c>
      <c r="B3261" s="28" t="s">
        <v>27288</v>
      </c>
    </row>
    <row r="3262" spans="1:2" x14ac:dyDescent="0.25">
      <c r="A3262" s="28" t="s">
        <v>27283</v>
      </c>
      <c r="B3262" s="28" t="s">
        <v>27284</v>
      </c>
    </row>
    <row r="3263" spans="1:2" x14ac:dyDescent="0.25">
      <c r="A3263" s="28" t="s">
        <v>27281</v>
      </c>
      <c r="B3263" s="28" t="s">
        <v>27282</v>
      </c>
    </row>
    <row r="3264" spans="1:2" x14ac:dyDescent="0.25">
      <c r="A3264" s="28" t="s">
        <v>27285</v>
      </c>
      <c r="B3264" s="28" t="s">
        <v>27286</v>
      </c>
    </row>
    <row r="3265" spans="1:2" x14ac:dyDescent="0.25">
      <c r="A3265" s="28" t="s">
        <v>27289</v>
      </c>
      <c r="B3265" s="28" t="s">
        <v>27290</v>
      </c>
    </row>
    <row r="3266" spans="1:2" x14ac:dyDescent="0.25">
      <c r="A3266" s="28" t="s">
        <v>27291</v>
      </c>
      <c r="B3266" s="28" t="s">
        <v>27292</v>
      </c>
    </row>
    <row r="3267" spans="1:2" x14ac:dyDescent="0.25">
      <c r="A3267" s="28" t="s">
        <v>27293</v>
      </c>
      <c r="B3267" s="28" t="s">
        <v>27294</v>
      </c>
    </row>
    <row r="3268" spans="1:2" x14ac:dyDescent="0.25">
      <c r="A3268" s="28" t="s">
        <v>27295</v>
      </c>
      <c r="B3268" s="28" t="s">
        <v>27296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29240</v>
      </c>
      <c r="B3383" s="28" t="s">
        <v>29241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27615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27616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27617</v>
      </c>
      <c r="B3577" s="28" t="s">
        <v>9299</v>
      </c>
    </row>
    <row r="3578" spans="1:2" x14ac:dyDescent="0.25">
      <c r="A3578" s="28" t="s">
        <v>27618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27619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29242</v>
      </c>
      <c r="B3582" s="28" t="s">
        <v>29243</v>
      </c>
    </row>
    <row r="3583" spans="1:2" x14ac:dyDescent="0.25">
      <c r="A3583" s="28" t="s">
        <v>29244</v>
      </c>
      <c r="B3583" s="28" t="s">
        <v>29245</v>
      </c>
    </row>
    <row r="3584" spans="1:2" x14ac:dyDescent="0.25">
      <c r="A3584" s="28" t="s">
        <v>29246</v>
      </c>
      <c r="B3584" s="28" t="s">
        <v>29247</v>
      </c>
    </row>
    <row r="3585" spans="1:2" x14ac:dyDescent="0.25">
      <c r="A3585" s="28" t="s">
        <v>29248</v>
      </c>
      <c r="B3585" s="28" t="s">
        <v>29249</v>
      </c>
    </row>
    <row r="3586" spans="1:2" x14ac:dyDescent="0.25">
      <c r="A3586" s="28" t="s">
        <v>29250</v>
      </c>
      <c r="B3586" s="28" t="s">
        <v>29251</v>
      </c>
    </row>
    <row r="3587" spans="1:2" x14ac:dyDescent="0.25">
      <c r="A3587" s="28" t="s">
        <v>29252</v>
      </c>
      <c r="B3587" s="28" t="s">
        <v>29253</v>
      </c>
    </row>
    <row r="3588" spans="1:2" x14ac:dyDescent="0.25">
      <c r="A3588" s="28" t="s">
        <v>29254</v>
      </c>
      <c r="B3588" s="28" t="s">
        <v>29255</v>
      </c>
    </row>
    <row r="3589" spans="1:2" x14ac:dyDescent="0.25">
      <c r="A3589" s="28" t="s">
        <v>29256</v>
      </c>
      <c r="B3589" s="28" t="s">
        <v>29257</v>
      </c>
    </row>
    <row r="3590" spans="1:2" x14ac:dyDescent="0.25">
      <c r="A3590" s="28" t="s">
        <v>29258</v>
      </c>
      <c r="B3590" s="28" t="s">
        <v>29259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27128</v>
      </c>
      <c r="B3708" s="28" t="s">
        <v>27129</v>
      </c>
    </row>
    <row r="3709" spans="1:2" x14ac:dyDescent="0.25">
      <c r="A3709" s="28" t="s">
        <v>29260</v>
      </c>
      <c r="B3709" s="28" t="s">
        <v>29261</v>
      </c>
    </row>
    <row r="3710" spans="1:2" x14ac:dyDescent="0.25">
      <c r="A3710" s="28" t="s">
        <v>27130</v>
      </c>
      <c r="B3710" s="28" t="s">
        <v>27131</v>
      </c>
    </row>
    <row r="3711" spans="1:2" x14ac:dyDescent="0.25">
      <c r="A3711" s="28" t="s">
        <v>27132</v>
      </c>
      <c r="B3711" s="28" t="s">
        <v>27133</v>
      </c>
    </row>
    <row r="3712" spans="1:2" x14ac:dyDescent="0.25">
      <c r="A3712" s="28" t="s">
        <v>29262</v>
      </c>
      <c r="B3712" s="28" t="s">
        <v>29263</v>
      </c>
    </row>
    <row r="3713" spans="1:2" x14ac:dyDescent="0.25">
      <c r="A3713" s="28" t="s">
        <v>27134</v>
      </c>
      <c r="B3713" s="28" t="s">
        <v>27135</v>
      </c>
    </row>
    <row r="3714" spans="1:2" x14ac:dyDescent="0.25">
      <c r="A3714" s="28" t="s">
        <v>29264</v>
      </c>
      <c r="B3714" s="28" t="s">
        <v>29265</v>
      </c>
    </row>
    <row r="3715" spans="1:2" x14ac:dyDescent="0.25">
      <c r="A3715" s="28" t="s">
        <v>27136</v>
      </c>
      <c r="B3715" s="28" t="s">
        <v>27137</v>
      </c>
    </row>
    <row r="3716" spans="1:2" x14ac:dyDescent="0.25">
      <c r="A3716" s="28" t="s">
        <v>27138</v>
      </c>
      <c r="B3716" s="28" t="s">
        <v>27139</v>
      </c>
    </row>
    <row r="3717" spans="1:2" x14ac:dyDescent="0.25">
      <c r="A3717" s="28" t="s">
        <v>29266</v>
      </c>
      <c r="B3717" s="28" t="s">
        <v>29267</v>
      </c>
    </row>
    <row r="3718" spans="1:2" x14ac:dyDescent="0.25">
      <c r="A3718" s="28" t="s">
        <v>27140</v>
      </c>
      <c r="B3718" s="28" t="s">
        <v>27141</v>
      </c>
    </row>
    <row r="3719" spans="1:2" x14ac:dyDescent="0.25">
      <c r="A3719" s="28" t="s">
        <v>27146</v>
      </c>
      <c r="B3719" s="28" t="s">
        <v>27147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30003</v>
      </c>
      <c r="B4074" s="28" t="s">
        <v>30004</v>
      </c>
    </row>
    <row r="4075" spans="1:2" x14ac:dyDescent="0.25">
      <c r="A4075" s="28" t="s">
        <v>30005</v>
      </c>
      <c r="B4075" s="28" t="s">
        <v>30006</v>
      </c>
    </row>
    <row r="4076" spans="1:2" x14ac:dyDescent="0.25">
      <c r="A4076" s="28" t="s">
        <v>30007</v>
      </c>
      <c r="B4076" s="28" t="s">
        <v>30008</v>
      </c>
    </row>
    <row r="4077" spans="1:2" x14ac:dyDescent="0.25">
      <c r="A4077" s="28" t="s">
        <v>30009</v>
      </c>
      <c r="B4077" s="28" t="s">
        <v>30010</v>
      </c>
    </row>
    <row r="4078" spans="1:2" x14ac:dyDescent="0.25">
      <c r="A4078" s="28" t="s">
        <v>30011</v>
      </c>
      <c r="B4078" s="28" t="s">
        <v>30012</v>
      </c>
    </row>
    <row r="4079" spans="1:2" x14ac:dyDescent="0.25">
      <c r="A4079" s="28" t="s">
        <v>30013</v>
      </c>
      <c r="B4079" s="28" t="s">
        <v>30014</v>
      </c>
    </row>
    <row r="4080" spans="1:2" x14ac:dyDescent="0.25">
      <c r="A4080" s="28" t="s">
        <v>30015</v>
      </c>
      <c r="B4080" s="28" t="s">
        <v>30016</v>
      </c>
    </row>
    <row r="4081" spans="1:2" x14ac:dyDescent="0.25">
      <c r="A4081" s="28" t="s">
        <v>30017</v>
      </c>
      <c r="B4081" s="28" t="s">
        <v>30018</v>
      </c>
    </row>
    <row r="4082" spans="1:2" x14ac:dyDescent="0.25">
      <c r="A4082" s="28" t="s">
        <v>30019</v>
      </c>
      <c r="B4082" s="28" t="s">
        <v>30020</v>
      </c>
    </row>
    <row r="4083" spans="1:2" x14ac:dyDescent="0.25">
      <c r="A4083" s="28" t="s">
        <v>30021</v>
      </c>
      <c r="B4083" s="28" t="s">
        <v>30022</v>
      </c>
    </row>
    <row r="4084" spans="1:2" x14ac:dyDescent="0.25">
      <c r="A4084" s="28" t="s">
        <v>30023</v>
      </c>
      <c r="B4084" s="28" t="s">
        <v>30024</v>
      </c>
    </row>
    <row r="4085" spans="1:2" x14ac:dyDescent="0.25">
      <c r="A4085" s="28" t="s">
        <v>30025</v>
      </c>
      <c r="B4085" s="28" t="s">
        <v>30026</v>
      </c>
    </row>
    <row r="4086" spans="1:2" x14ac:dyDescent="0.25">
      <c r="A4086" s="28" t="s">
        <v>30027</v>
      </c>
      <c r="B4086" s="28" t="s">
        <v>30028</v>
      </c>
    </row>
    <row r="4087" spans="1:2" x14ac:dyDescent="0.25">
      <c r="A4087" s="28" t="s">
        <v>30029</v>
      </c>
      <c r="B4087" s="28" t="s">
        <v>30030</v>
      </c>
    </row>
    <row r="4088" spans="1:2" x14ac:dyDescent="0.25">
      <c r="A4088" s="28" t="s">
        <v>30031</v>
      </c>
      <c r="B4088" s="28" t="s">
        <v>30032</v>
      </c>
    </row>
    <row r="4089" spans="1:2" x14ac:dyDescent="0.25">
      <c r="A4089" s="28" t="s">
        <v>30033</v>
      </c>
      <c r="B4089" s="28" t="s">
        <v>30034</v>
      </c>
    </row>
    <row r="4090" spans="1:2" x14ac:dyDescent="0.25">
      <c r="A4090" s="28" t="s">
        <v>30035</v>
      </c>
      <c r="B4090" s="28" t="s">
        <v>30036</v>
      </c>
    </row>
    <row r="4091" spans="1:2" x14ac:dyDescent="0.25">
      <c r="A4091" s="28" t="s">
        <v>30037</v>
      </c>
      <c r="B4091" s="28" t="s">
        <v>30038</v>
      </c>
    </row>
    <row r="4092" spans="1:2" x14ac:dyDescent="0.25">
      <c r="A4092" s="28" t="s">
        <v>30039</v>
      </c>
      <c r="B4092" s="28" t="s">
        <v>30040</v>
      </c>
    </row>
    <row r="4093" spans="1:2" x14ac:dyDescent="0.25">
      <c r="A4093" s="28" t="s">
        <v>30041</v>
      </c>
      <c r="B4093" s="28" t="s">
        <v>30042</v>
      </c>
    </row>
    <row r="4094" spans="1:2" x14ac:dyDescent="0.25">
      <c r="A4094" s="28" t="s">
        <v>30043</v>
      </c>
      <c r="B4094" s="28" t="s">
        <v>30044</v>
      </c>
    </row>
    <row r="4095" spans="1:2" x14ac:dyDescent="0.25">
      <c r="A4095" s="28" t="s">
        <v>30045</v>
      </c>
      <c r="B4095" s="28" t="s">
        <v>30046</v>
      </c>
    </row>
    <row r="4096" spans="1:2" x14ac:dyDescent="0.25">
      <c r="A4096" s="28" t="s">
        <v>30047</v>
      </c>
      <c r="B4096" s="28" t="s">
        <v>30048</v>
      </c>
    </row>
    <row r="4097" spans="1:2" x14ac:dyDescent="0.25">
      <c r="A4097" s="28" t="s">
        <v>30049</v>
      </c>
      <c r="B4097" s="28" t="s">
        <v>30050</v>
      </c>
    </row>
    <row r="4098" spans="1:2" x14ac:dyDescent="0.25">
      <c r="A4098" s="28" t="s">
        <v>30051</v>
      </c>
      <c r="B4098" s="28" t="s">
        <v>30052</v>
      </c>
    </row>
    <row r="4099" spans="1:2" x14ac:dyDescent="0.25">
      <c r="A4099" s="28" t="s">
        <v>30053</v>
      </c>
      <c r="B4099" s="28" t="s">
        <v>30054</v>
      </c>
    </row>
    <row r="4100" spans="1:2" x14ac:dyDescent="0.25">
      <c r="A4100" s="28" t="s">
        <v>30055</v>
      </c>
      <c r="B4100" s="28" t="s">
        <v>30056</v>
      </c>
    </row>
    <row r="4101" spans="1:2" x14ac:dyDescent="0.25">
      <c r="A4101" s="28" t="s">
        <v>30057</v>
      </c>
      <c r="B4101" s="28" t="s">
        <v>30058</v>
      </c>
    </row>
    <row r="4102" spans="1:2" x14ac:dyDescent="0.25">
      <c r="A4102" s="28" t="s">
        <v>30059</v>
      </c>
      <c r="B4102" s="28" t="s">
        <v>30060</v>
      </c>
    </row>
    <row r="4103" spans="1:2" x14ac:dyDescent="0.25">
      <c r="A4103" s="28" t="s">
        <v>30061</v>
      </c>
      <c r="B4103" s="28" t="s">
        <v>30062</v>
      </c>
    </row>
    <row r="4104" spans="1:2" x14ac:dyDescent="0.25">
      <c r="A4104" s="28" t="s">
        <v>30063</v>
      </c>
      <c r="B4104" s="28" t="s">
        <v>30064</v>
      </c>
    </row>
    <row r="4105" spans="1:2" x14ac:dyDescent="0.25">
      <c r="A4105" s="28" t="s">
        <v>30065</v>
      </c>
      <c r="B4105" s="28" t="s">
        <v>30066</v>
      </c>
    </row>
    <row r="4106" spans="1:2" x14ac:dyDescent="0.25">
      <c r="A4106" s="28" t="s">
        <v>30067</v>
      </c>
      <c r="B4106" s="28" t="s">
        <v>30068</v>
      </c>
    </row>
    <row r="4107" spans="1:2" x14ac:dyDescent="0.25">
      <c r="A4107" s="28" t="s">
        <v>30069</v>
      </c>
      <c r="B4107" s="28" t="s">
        <v>30070</v>
      </c>
    </row>
    <row r="4108" spans="1:2" x14ac:dyDescent="0.25">
      <c r="A4108" s="28" t="s">
        <v>30071</v>
      </c>
      <c r="B4108" s="28" t="s">
        <v>30072</v>
      </c>
    </row>
    <row r="4109" spans="1:2" x14ac:dyDescent="0.25">
      <c r="A4109" s="28" t="s">
        <v>30073</v>
      </c>
      <c r="B4109" s="28" t="s">
        <v>30074</v>
      </c>
    </row>
    <row r="4110" spans="1:2" x14ac:dyDescent="0.25">
      <c r="A4110" s="28" t="s">
        <v>30075</v>
      </c>
      <c r="B4110" s="28" t="s">
        <v>30076</v>
      </c>
    </row>
    <row r="4111" spans="1:2" x14ac:dyDescent="0.25">
      <c r="A4111" s="28" t="s">
        <v>30077</v>
      </c>
      <c r="B4111" s="28" t="s">
        <v>30078</v>
      </c>
    </row>
    <row r="4112" spans="1:2" x14ac:dyDescent="0.25">
      <c r="A4112" s="28" t="s">
        <v>30079</v>
      </c>
      <c r="B4112" s="28" t="s">
        <v>30080</v>
      </c>
    </row>
    <row r="4113" spans="1:2" x14ac:dyDescent="0.25">
      <c r="A4113" s="28" t="s">
        <v>30081</v>
      </c>
      <c r="B4113" s="28" t="s">
        <v>30082</v>
      </c>
    </row>
    <row r="4114" spans="1:2" x14ac:dyDescent="0.25">
      <c r="A4114" s="28" t="s">
        <v>30083</v>
      </c>
      <c r="B4114" s="28" t="s">
        <v>30084</v>
      </c>
    </row>
    <row r="4115" spans="1:2" x14ac:dyDescent="0.25">
      <c r="A4115" s="28" t="s">
        <v>30085</v>
      </c>
      <c r="B4115" s="28" t="s">
        <v>30086</v>
      </c>
    </row>
    <row r="4116" spans="1:2" x14ac:dyDescent="0.25">
      <c r="A4116" s="28" t="s">
        <v>30087</v>
      </c>
      <c r="B4116" s="28" t="s">
        <v>30088</v>
      </c>
    </row>
    <row r="4117" spans="1:2" x14ac:dyDescent="0.25">
      <c r="A4117" s="28" t="s">
        <v>30089</v>
      </c>
      <c r="B4117" s="28" t="s">
        <v>30090</v>
      </c>
    </row>
    <row r="4118" spans="1:2" x14ac:dyDescent="0.25">
      <c r="A4118" s="28" t="s">
        <v>30091</v>
      </c>
      <c r="B4118" s="28" t="s">
        <v>30092</v>
      </c>
    </row>
    <row r="4119" spans="1:2" x14ac:dyDescent="0.25">
      <c r="A4119" s="28" t="s">
        <v>30093</v>
      </c>
      <c r="B4119" s="28" t="s">
        <v>30094</v>
      </c>
    </row>
    <row r="4120" spans="1:2" x14ac:dyDescent="0.25">
      <c r="A4120" s="28" t="s">
        <v>30095</v>
      </c>
      <c r="B4120" s="28" t="s">
        <v>30096</v>
      </c>
    </row>
    <row r="4121" spans="1:2" x14ac:dyDescent="0.25">
      <c r="A4121" s="28" t="s">
        <v>30097</v>
      </c>
      <c r="B4121" s="28" t="s">
        <v>30098</v>
      </c>
    </row>
    <row r="4122" spans="1:2" x14ac:dyDescent="0.25">
      <c r="A4122" s="28" t="s">
        <v>30099</v>
      </c>
      <c r="B4122" s="28" t="s">
        <v>30100</v>
      </c>
    </row>
    <row r="4123" spans="1:2" x14ac:dyDescent="0.25">
      <c r="A4123" s="28" t="s">
        <v>30101</v>
      </c>
      <c r="B4123" s="28" t="s">
        <v>30102</v>
      </c>
    </row>
    <row r="4124" spans="1:2" x14ac:dyDescent="0.25">
      <c r="A4124" s="28" t="s">
        <v>30103</v>
      </c>
      <c r="B4124" s="28" t="s">
        <v>30104</v>
      </c>
    </row>
    <row r="4125" spans="1:2" x14ac:dyDescent="0.25">
      <c r="A4125" s="28" t="s">
        <v>30105</v>
      </c>
      <c r="B4125" s="28" t="s">
        <v>30106</v>
      </c>
    </row>
    <row r="4126" spans="1:2" x14ac:dyDescent="0.25">
      <c r="A4126" s="28" t="s">
        <v>30107</v>
      </c>
      <c r="B4126" s="28" t="s">
        <v>30108</v>
      </c>
    </row>
    <row r="4127" spans="1:2" x14ac:dyDescent="0.25">
      <c r="A4127" s="28" t="s">
        <v>30109</v>
      </c>
      <c r="B4127" s="28" t="s">
        <v>30110</v>
      </c>
    </row>
    <row r="4128" spans="1:2" x14ac:dyDescent="0.25">
      <c r="A4128" s="28" t="s">
        <v>30111</v>
      </c>
      <c r="B4128" s="28" t="s">
        <v>30112</v>
      </c>
    </row>
    <row r="4129" spans="1:2" x14ac:dyDescent="0.25">
      <c r="A4129" s="28" t="s">
        <v>30113</v>
      </c>
      <c r="B4129" s="28" t="s">
        <v>30114</v>
      </c>
    </row>
    <row r="4130" spans="1:2" x14ac:dyDescent="0.25">
      <c r="A4130" s="28" t="s">
        <v>30115</v>
      </c>
      <c r="B4130" s="28" t="s">
        <v>30116</v>
      </c>
    </row>
    <row r="4131" spans="1:2" x14ac:dyDescent="0.25">
      <c r="A4131" s="28" t="s">
        <v>30117</v>
      </c>
      <c r="B4131" s="28" t="s">
        <v>30118</v>
      </c>
    </row>
    <row r="4132" spans="1:2" x14ac:dyDescent="0.25">
      <c r="A4132" s="28" t="s">
        <v>30119</v>
      </c>
      <c r="B4132" s="28" t="s">
        <v>30120</v>
      </c>
    </row>
    <row r="4133" spans="1:2" x14ac:dyDescent="0.25">
      <c r="A4133" s="28" t="s">
        <v>30121</v>
      </c>
      <c r="B4133" s="28" t="s">
        <v>30122</v>
      </c>
    </row>
    <row r="4134" spans="1:2" x14ac:dyDescent="0.25">
      <c r="A4134" s="28" t="s">
        <v>30123</v>
      </c>
      <c r="B4134" s="28" t="s">
        <v>30124</v>
      </c>
    </row>
    <row r="4135" spans="1:2" x14ac:dyDescent="0.25">
      <c r="A4135" s="28" t="s">
        <v>30125</v>
      </c>
      <c r="B4135" s="28" t="s">
        <v>30126</v>
      </c>
    </row>
    <row r="4136" spans="1:2" x14ac:dyDescent="0.25">
      <c r="A4136" s="28" t="s">
        <v>30127</v>
      </c>
      <c r="B4136" s="28" t="s">
        <v>30128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27366</v>
      </c>
      <c r="B4275" s="28" t="s">
        <v>27367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27370</v>
      </c>
      <c r="B4277" s="28" t="s">
        <v>27371</v>
      </c>
    </row>
    <row r="4278" spans="1:2" x14ac:dyDescent="0.25">
      <c r="A4278" s="28" t="s">
        <v>27368</v>
      </c>
      <c r="B4278" s="28" t="s">
        <v>27369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27620</v>
      </c>
      <c r="B4286" s="28" t="s">
        <v>27621</v>
      </c>
    </row>
    <row r="4287" spans="1:2" x14ac:dyDescent="0.25">
      <c r="A4287" s="28" t="s">
        <v>27622</v>
      </c>
      <c r="B4287" s="28" t="s">
        <v>27623</v>
      </c>
    </row>
    <row r="4288" spans="1:2" x14ac:dyDescent="0.25">
      <c r="A4288" s="28" t="s">
        <v>27624</v>
      </c>
      <c r="B4288" s="28" t="s">
        <v>27625</v>
      </c>
    </row>
    <row r="4289" spans="1:2" x14ac:dyDescent="0.25">
      <c r="A4289" s="28" t="s">
        <v>27626</v>
      </c>
      <c r="B4289" s="28" t="s">
        <v>27627</v>
      </c>
    </row>
    <row r="4290" spans="1:2" x14ac:dyDescent="0.25">
      <c r="A4290" s="28" t="s">
        <v>27628</v>
      </c>
      <c r="B4290" s="28" t="s">
        <v>27629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30129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27305</v>
      </c>
      <c r="B5098" s="28" t="s">
        <v>27306</v>
      </c>
    </row>
    <row r="5099" spans="1:2" x14ac:dyDescent="0.25">
      <c r="A5099" s="28" t="s">
        <v>27307</v>
      </c>
      <c r="B5099" s="28" t="s">
        <v>27308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27303</v>
      </c>
      <c r="B5101" s="28" t="s">
        <v>27304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27301</v>
      </c>
      <c r="B5104" s="28" t="s">
        <v>27302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27630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27631</v>
      </c>
      <c r="B5699" s="28" t="s">
        <v>27632</v>
      </c>
    </row>
    <row r="5700" spans="1:2" x14ac:dyDescent="0.25">
      <c r="A5700" s="28" t="s">
        <v>27633</v>
      </c>
      <c r="B5700" s="28" t="s">
        <v>27634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27635</v>
      </c>
      <c r="B5721" s="28" t="s">
        <v>27636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30130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27637</v>
      </c>
      <c r="B5744" s="28" t="s">
        <v>27638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27639</v>
      </c>
      <c r="B5761" s="28" t="s">
        <v>27640</v>
      </c>
    </row>
    <row r="5762" spans="1:2" x14ac:dyDescent="0.25">
      <c r="A5762" s="28" t="s">
        <v>27641</v>
      </c>
      <c r="B5762" s="28" t="s">
        <v>27642</v>
      </c>
    </row>
    <row r="5763" spans="1:2" x14ac:dyDescent="0.25">
      <c r="A5763" s="28" t="s">
        <v>27643</v>
      </c>
      <c r="B5763" s="28" t="s">
        <v>27644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30131</v>
      </c>
      <c r="B5770" s="28" t="s">
        <v>21774</v>
      </c>
    </row>
    <row r="5771" spans="1:2" x14ac:dyDescent="0.25">
      <c r="A5771" s="28" t="s">
        <v>30132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27645</v>
      </c>
      <c r="B5893" s="28" t="s">
        <v>27646</v>
      </c>
    </row>
    <row r="5894" spans="1:2" x14ac:dyDescent="0.25">
      <c r="A5894" s="28" t="s">
        <v>27647</v>
      </c>
      <c r="B5894" s="28" t="s">
        <v>27648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27649</v>
      </c>
      <c r="B5970" s="28" t="s">
        <v>27650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27651</v>
      </c>
      <c r="B5977" s="28" t="s">
        <v>27652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27653</v>
      </c>
      <c r="B6193" s="28" t="s">
        <v>27654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29268</v>
      </c>
      <c r="B6201" s="28" t="s">
        <v>29269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29270</v>
      </c>
      <c r="B6246" s="28" t="s">
        <v>29271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27655</v>
      </c>
      <c r="B6264" s="28" t="s">
        <v>27656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29272</v>
      </c>
      <c r="B6288" s="28" t="s">
        <v>29273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29274</v>
      </c>
      <c r="B6291" s="28" t="s">
        <v>29275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29276</v>
      </c>
      <c r="B6296" s="28" t="s">
        <v>29277</v>
      </c>
    </row>
    <row r="6297" spans="1:2" x14ac:dyDescent="0.25">
      <c r="A6297" s="28" t="s">
        <v>29278</v>
      </c>
      <c r="B6297" s="28" t="s">
        <v>29279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27657</v>
      </c>
      <c r="B6314" s="28" t="s">
        <v>27658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29280</v>
      </c>
      <c r="B6362" s="28" t="s">
        <v>29281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27659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29282</v>
      </c>
      <c r="B6401" s="28" t="s">
        <v>29283</v>
      </c>
    </row>
    <row r="6402" spans="1:2" x14ac:dyDescent="0.25">
      <c r="A6402" s="28" t="s">
        <v>27660</v>
      </c>
      <c r="B6402" s="28" t="s">
        <v>27661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27662</v>
      </c>
      <c r="B6433" s="28" t="s">
        <v>27663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27664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29284</v>
      </c>
      <c r="B6481" s="28" t="s">
        <v>29285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29286</v>
      </c>
      <c r="B6486" s="28" t="s">
        <v>29287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29288</v>
      </c>
      <c r="B6490" s="28" t="s">
        <v>29289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29290</v>
      </c>
      <c r="B6493" s="28" t="s">
        <v>29291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27665</v>
      </c>
      <c r="B6499" s="28" t="s">
        <v>27666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29292</v>
      </c>
      <c r="B6513" s="28" t="s">
        <v>29293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29294</v>
      </c>
      <c r="B6521" s="28" t="s">
        <v>29295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27217</v>
      </c>
      <c r="B6540" s="28" t="s">
        <v>27218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28195</v>
      </c>
      <c r="B6562" s="28" t="s">
        <v>27667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30133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27142</v>
      </c>
      <c r="B6750" s="28" t="s">
        <v>27143</v>
      </c>
    </row>
    <row r="6751" spans="1:2" x14ac:dyDescent="0.25">
      <c r="A6751" s="28" t="s">
        <v>27144</v>
      </c>
      <c r="B6751" s="28" t="s">
        <v>27145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27225</v>
      </c>
      <c r="B6768" s="28" t="s">
        <v>27226</v>
      </c>
    </row>
    <row r="6769" spans="1:2" x14ac:dyDescent="0.25">
      <c r="A6769" s="28" t="s">
        <v>27227</v>
      </c>
      <c r="B6769" s="28" t="s">
        <v>27228</v>
      </c>
    </row>
    <row r="6770" spans="1:2" x14ac:dyDescent="0.25">
      <c r="A6770" s="28" t="s">
        <v>27229</v>
      </c>
      <c r="B6770" s="28" t="s">
        <v>27230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30134</v>
      </c>
      <c r="B6787" s="28" t="s">
        <v>30135</v>
      </c>
    </row>
    <row r="6788" spans="1:2" x14ac:dyDescent="0.25">
      <c r="A6788" s="28" t="s">
        <v>30136</v>
      </c>
      <c r="B6788" s="28" t="s">
        <v>30137</v>
      </c>
    </row>
    <row r="6789" spans="1:2" x14ac:dyDescent="0.25">
      <c r="A6789" s="28" t="s">
        <v>30138</v>
      </c>
      <c r="B6789" s="28" t="s">
        <v>30139</v>
      </c>
    </row>
    <row r="6790" spans="1:2" x14ac:dyDescent="0.25">
      <c r="A6790" s="28" t="s">
        <v>30140</v>
      </c>
      <c r="B6790" s="28" t="s">
        <v>30141</v>
      </c>
    </row>
    <row r="6791" spans="1:2" x14ac:dyDescent="0.25">
      <c r="A6791" s="28" t="s">
        <v>30142</v>
      </c>
      <c r="B6791" s="28" t="s">
        <v>30143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27372</v>
      </c>
      <c r="B6795" s="28" t="s">
        <v>27373</v>
      </c>
    </row>
    <row r="6796" spans="1:2" x14ac:dyDescent="0.25">
      <c r="A6796" s="28" t="s">
        <v>27374</v>
      </c>
      <c r="B6796" s="28" t="s">
        <v>27375</v>
      </c>
    </row>
    <row r="6797" spans="1:2" x14ac:dyDescent="0.25">
      <c r="A6797" s="28" t="s">
        <v>27376</v>
      </c>
      <c r="B6797" s="28" t="s">
        <v>27377</v>
      </c>
    </row>
    <row r="6798" spans="1:2" x14ac:dyDescent="0.25">
      <c r="A6798" s="28" t="s">
        <v>27378</v>
      </c>
      <c r="B6798" s="28" t="s">
        <v>27379</v>
      </c>
    </row>
    <row r="6799" spans="1:2" x14ac:dyDescent="0.25">
      <c r="A6799" s="28" t="s">
        <v>27668</v>
      </c>
      <c r="B6799" s="28" t="s">
        <v>27669</v>
      </c>
    </row>
    <row r="6800" spans="1:2" x14ac:dyDescent="0.25">
      <c r="A6800" s="28" t="s">
        <v>27670</v>
      </c>
      <c r="B6800" s="28" t="s">
        <v>27671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29296</v>
      </c>
      <c r="B6802" s="28" t="s">
        <v>29297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29298</v>
      </c>
      <c r="B6804" s="28" t="s">
        <v>29299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29300</v>
      </c>
      <c r="B6806" s="28" t="s">
        <v>29301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29302</v>
      </c>
      <c r="B6808" s="28" t="s">
        <v>29303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27382</v>
      </c>
      <c r="B6818" s="28" t="s">
        <v>27383</v>
      </c>
    </row>
    <row r="6819" spans="1:2" x14ac:dyDescent="0.25">
      <c r="A6819" s="28" t="s">
        <v>27380</v>
      </c>
      <c r="B6819" s="28" t="s">
        <v>27381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29304</v>
      </c>
      <c r="B6821" s="28" t="s">
        <v>29305</v>
      </c>
    </row>
    <row r="6822" spans="1:2" x14ac:dyDescent="0.25">
      <c r="A6822" s="28" t="s">
        <v>27384</v>
      </c>
      <c r="B6822" s="28" t="s">
        <v>27385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29306</v>
      </c>
      <c r="B6824" s="28" t="s">
        <v>29307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27672</v>
      </c>
      <c r="B6951" s="28" t="s">
        <v>27673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27674</v>
      </c>
      <c r="B7005" s="28" t="s">
        <v>27675</v>
      </c>
    </row>
    <row r="7006" spans="1:2" x14ac:dyDescent="0.25">
      <c r="A7006" s="28" t="s">
        <v>27676</v>
      </c>
      <c r="B7006" s="28" t="s">
        <v>27677</v>
      </c>
    </row>
    <row r="7007" spans="1:2" x14ac:dyDescent="0.25">
      <c r="A7007" s="28" t="s">
        <v>27678</v>
      </c>
      <c r="B7007" s="28" t="s">
        <v>27679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29308</v>
      </c>
      <c r="B7065" s="28" t="s">
        <v>29309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27680</v>
      </c>
      <c r="B7073" s="28" t="s">
        <v>26883</v>
      </c>
    </row>
    <row r="7074" spans="1:2" x14ac:dyDescent="0.25">
      <c r="A7074" s="28" t="s">
        <v>29310</v>
      </c>
      <c r="B7074" s="28" t="s">
        <v>29311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29312</v>
      </c>
      <c r="B7078" s="28" t="s">
        <v>29313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29314</v>
      </c>
      <c r="B7080" s="28" t="s">
        <v>29315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29316</v>
      </c>
      <c r="B7609" s="28" t="s">
        <v>29317</v>
      </c>
    </row>
    <row r="7610" spans="1:2" x14ac:dyDescent="0.25">
      <c r="A7610" s="28" t="s">
        <v>29318</v>
      </c>
      <c r="B7610" s="28" t="s">
        <v>29319</v>
      </c>
    </row>
    <row r="7611" spans="1:2" x14ac:dyDescent="0.25">
      <c r="A7611" s="28" t="s">
        <v>29320</v>
      </c>
      <c r="B7611" s="28" t="s">
        <v>29321</v>
      </c>
    </row>
    <row r="7612" spans="1:2" x14ac:dyDescent="0.25">
      <c r="A7612" s="28" t="s">
        <v>29322</v>
      </c>
      <c r="B7612" s="28" t="s">
        <v>29323</v>
      </c>
    </row>
    <row r="7613" spans="1:2" x14ac:dyDescent="0.25">
      <c r="A7613" s="28" t="s">
        <v>29324</v>
      </c>
      <c r="B7613" s="28" t="s">
        <v>29325</v>
      </c>
    </row>
    <row r="7614" spans="1:2" x14ac:dyDescent="0.25">
      <c r="A7614" s="28" t="s">
        <v>29326</v>
      </c>
      <c r="B7614" s="28" t="s">
        <v>29327</v>
      </c>
    </row>
    <row r="7615" spans="1:2" x14ac:dyDescent="0.25">
      <c r="A7615" s="28" t="s">
        <v>29328</v>
      </c>
      <c r="B7615" s="28" t="s">
        <v>29329</v>
      </c>
    </row>
    <row r="7616" spans="1:2" x14ac:dyDescent="0.25">
      <c r="A7616" s="28" t="s">
        <v>29330</v>
      </c>
      <c r="B7616" s="28" t="s">
        <v>29331</v>
      </c>
    </row>
    <row r="7617" spans="1:2" x14ac:dyDescent="0.25">
      <c r="A7617" s="28" t="s">
        <v>29332</v>
      </c>
      <c r="B7617" s="28" t="s">
        <v>29333</v>
      </c>
    </row>
    <row r="7618" spans="1:2" x14ac:dyDescent="0.25">
      <c r="A7618" s="28" t="s">
        <v>29334</v>
      </c>
      <c r="B7618" s="28" t="s">
        <v>29335</v>
      </c>
    </row>
    <row r="7619" spans="1:2" x14ac:dyDescent="0.25">
      <c r="A7619" s="28" t="s">
        <v>29336</v>
      </c>
      <c r="B7619" s="28" t="s">
        <v>29337</v>
      </c>
    </row>
    <row r="7620" spans="1:2" x14ac:dyDescent="0.25">
      <c r="A7620" s="28" t="s">
        <v>29338</v>
      </c>
      <c r="B7620" s="28" t="s">
        <v>29339</v>
      </c>
    </row>
    <row r="7621" spans="1:2" x14ac:dyDescent="0.25">
      <c r="A7621" s="28" t="s">
        <v>29340</v>
      </c>
      <c r="B7621" s="28" t="s">
        <v>29341</v>
      </c>
    </row>
    <row r="7622" spans="1:2" x14ac:dyDescent="0.25">
      <c r="A7622" s="28" t="s">
        <v>29342</v>
      </c>
      <c r="B7622" s="28" t="s">
        <v>29343</v>
      </c>
    </row>
    <row r="7623" spans="1:2" x14ac:dyDescent="0.25">
      <c r="A7623" s="28" t="s">
        <v>29344</v>
      </c>
      <c r="B7623" s="28" t="s">
        <v>29345</v>
      </c>
    </row>
    <row r="7624" spans="1:2" x14ac:dyDescent="0.25">
      <c r="A7624" s="28" t="s">
        <v>29346</v>
      </c>
      <c r="B7624" s="28" t="s">
        <v>29347</v>
      </c>
    </row>
    <row r="7625" spans="1:2" x14ac:dyDescent="0.25">
      <c r="A7625" s="28" t="s">
        <v>29348</v>
      </c>
      <c r="B7625" s="28" t="s">
        <v>29349</v>
      </c>
    </row>
    <row r="7626" spans="1:2" x14ac:dyDescent="0.25">
      <c r="A7626" s="28" t="s">
        <v>29350</v>
      </c>
      <c r="B7626" s="28" t="s">
        <v>29351</v>
      </c>
    </row>
    <row r="7627" spans="1:2" x14ac:dyDescent="0.25">
      <c r="A7627" s="28" t="s">
        <v>29352</v>
      </c>
      <c r="B7627" s="28" t="s">
        <v>29353</v>
      </c>
    </row>
    <row r="7628" spans="1:2" x14ac:dyDescent="0.25">
      <c r="A7628" s="28" t="s">
        <v>29354</v>
      </c>
      <c r="B7628" s="28" t="s">
        <v>29355</v>
      </c>
    </row>
    <row r="7629" spans="1:2" x14ac:dyDescent="0.25">
      <c r="A7629" s="28" t="s">
        <v>29356</v>
      </c>
      <c r="B7629" s="28" t="s">
        <v>29357</v>
      </c>
    </row>
    <row r="7630" spans="1:2" x14ac:dyDescent="0.25">
      <c r="A7630" s="28" t="s">
        <v>29358</v>
      </c>
      <c r="B7630" s="28" t="s">
        <v>29359</v>
      </c>
    </row>
    <row r="7631" spans="1:2" x14ac:dyDescent="0.25">
      <c r="A7631" s="28" t="s">
        <v>29360</v>
      </c>
      <c r="B7631" s="28" t="s">
        <v>29361</v>
      </c>
    </row>
    <row r="7632" spans="1:2" x14ac:dyDescent="0.25">
      <c r="A7632" s="28" t="s">
        <v>29362</v>
      </c>
      <c r="B7632" s="28" t="s">
        <v>29363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28196</v>
      </c>
      <c r="B7703" s="28" t="s">
        <v>28197</v>
      </c>
    </row>
    <row r="7704" spans="1:2" x14ac:dyDescent="0.25">
      <c r="A7704" s="28" t="s">
        <v>28198</v>
      </c>
      <c r="B7704" s="28" t="s">
        <v>28199</v>
      </c>
    </row>
    <row r="7705" spans="1:2" x14ac:dyDescent="0.25">
      <c r="A7705" s="28" t="s">
        <v>28200</v>
      </c>
      <c r="B7705" s="28" t="s">
        <v>28201</v>
      </c>
    </row>
    <row r="7706" spans="1:2" x14ac:dyDescent="0.25">
      <c r="A7706" s="28" t="s">
        <v>28202</v>
      </c>
      <c r="B7706" s="28" t="s">
        <v>28203</v>
      </c>
    </row>
    <row r="7707" spans="1:2" x14ac:dyDescent="0.25">
      <c r="A7707" s="28" t="s">
        <v>28204</v>
      </c>
      <c r="B7707" s="28" t="s">
        <v>28205</v>
      </c>
    </row>
    <row r="7708" spans="1:2" x14ac:dyDescent="0.25">
      <c r="A7708" s="28" t="s">
        <v>28206</v>
      </c>
      <c r="B7708" s="28" t="s">
        <v>28207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29364</v>
      </c>
      <c r="B7742" s="28" t="s">
        <v>28487</v>
      </c>
    </row>
    <row r="7743" spans="1:2" x14ac:dyDescent="0.25">
      <c r="A7743" s="28" t="s">
        <v>29365</v>
      </c>
      <c r="B7743" s="28" t="s">
        <v>28482</v>
      </c>
    </row>
    <row r="7744" spans="1:2" x14ac:dyDescent="0.25">
      <c r="A7744" s="28" t="s">
        <v>29366</v>
      </c>
      <c r="B7744" s="28" t="s">
        <v>28480</v>
      </c>
    </row>
    <row r="7745" spans="1:2" x14ac:dyDescent="0.25">
      <c r="A7745" s="28" t="s">
        <v>29367</v>
      </c>
      <c r="B7745" s="28" t="s">
        <v>28478</v>
      </c>
    </row>
    <row r="7746" spans="1:2" x14ac:dyDescent="0.25">
      <c r="A7746" s="28" t="s">
        <v>29368</v>
      </c>
      <c r="B7746" s="28" t="s">
        <v>28485</v>
      </c>
    </row>
    <row r="7747" spans="1:2" x14ac:dyDescent="0.25">
      <c r="A7747" s="28" t="s">
        <v>29369</v>
      </c>
      <c r="B7747" s="28" t="s">
        <v>28484</v>
      </c>
    </row>
    <row r="7748" spans="1:2" x14ac:dyDescent="0.25">
      <c r="A7748" s="28" t="s">
        <v>29370</v>
      </c>
      <c r="B7748" s="28" t="s">
        <v>28476</v>
      </c>
    </row>
    <row r="7749" spans="1:2" x14ac:dyDescent="0.25">
      <c r="A7749" s="28" t="s">
        <v>29371</v>
      </c>
      <c r="B7749" s="28" t="s">
        <v>28481</v>
      </c>
    </row>
    <row r="7750" spans="1:2" x14ac:dyDescent="0.25">
      <c r="A7750" s="28" t="s">
        <v>29372</v>
      </c>
      <c r="B7750" s="28" t="s">
        <v>28486</v>
      </c>
    </row>
    <row r="7751" spans="1:2" x14ac:dyDescent="0.25">
      <c r="A7751" s="28" t="s">
        <v>29373</v>
      </c>
      <c r="B7751" s="28" t="s">
        <v>28479</v>
      </c>
    </row>
    <row r="7752" spans="1:2" x14ac:dyDescent="0.25">
      <c r="A7752" s="28" t="s">
        <v>29374</v>
      </c>
      <c r="B7752" s="28" t="s">
        <v>28483</v>
      </c>
    </row>
    <row r="7753" spans="1:2" x14ac:dyDescent="0.25">
      <c r="A7753" s="28" t="s">
        <v>29375</v>
      </c>
      <c r="B7753" s="28" t="s">
        <v>28477</v>
      </c>
    </row>
    <row r="7754" spans="1:2" x14ac:dyDescent="0.25">
      <c r="A7754" s="28" t="s">
        <v>29376</v>
      </c>
      <c r="B7754" s="28" t="s">
        <v>28495</v>
      </c>
    </row>
    <row r="7755" spans="1:2" x14ac:dyDescent="0.25">
      <c r="A7755" s="28" t="s">
        <v>29377</v>
      </c>
      <c r="B7755" s="28" t="s">
        <v>28491</v>
      </c>
    </row>
    <row r="7756" spans="1:2" x14ac:dyDescent="0.25">
      <c r="A7756" s="28" t="s">
        <v>29378</v>
      </c>
      <c r="B7756" s="28" t="s">
        <v>28501</v>
      </c>
    </row>
    <row r="7757" spans="1:2" x14ac:dyDescent="0.25">
      <c r="A7757" s="28" t="s">
        <v>29379</v>
      </c>
      <c r="B7757" s="28" t="s">
        <v>28493</v>
      </c>
    </row>
    <row r="7758" spans="1:2" x14ac:dyDescent="0.25">
      <c r="A7758" s="28" t="s">
        <v>29380</v>
      </c>
      <c r="B7758" s="28" t="s">
        <v>28489</v>
      </c>
    </row>
    <row r="7759" spans="1:2" x14ac:dyDescent="0.25">
      <c r="A7759" s="28" t="s">
        <v>29381</v>
      </c>
      <c r="B7759" s="28" t="s">
        <v>28498</v>
      </c>
    </row>
    <row r="7760" spans="1:2" x14ac:dyDescent="0.25">
      <c r="A7760" s="28" t="s">
        <v>29382</v>
      </c>
      <c r="B7760" s="28" t="s">
        <v>28497</v>
      </c>
    </row>
    <row r="7761" spans="1:2" x14ac:dyDescent="0.25">
      <c r="A7761" s="28" t="s">
        <v>29383</v>
      </c>
      <c r="B7761" s="28" t="s">
        <v>28488</v>
      </c>
    </row>
    <row r="7762" spans="1:2" x14ac:dyDescent="0.25">
      <c r="A7762" s="28" t="s">
        <v>29384</v>
      </c>
      <c r="B7762" s="28" t="s">
        <v>28500</v>
      </c>
    </row>
    <row r="7763" spans="1:2" x14ac:dyDescent="0.25">
      <c r="A7763" s="28" t="s">
        <v>29385</v>
      </c>
      <c r="B7763" s="28" t="s">
        <v>28490</v>
      </c>
    </row>
    <row r="7764" spans="1:2" x14ac:dyDescent="0.25">
      <c r="A7764" s="28" t="s">
        <v>29386</v>
      </c>
      <c r="B7764" s="28" t="s">
        <v>28494</v>
      </c>
    </row>
    <row r="7765" spans="1:2" x14ac:dyDescent="0.25">
      <c r="A7765" s="28" t="s">
        <v>29387</v>
      </c>
      <c r="B7765" s="28" t="s">
        <v>28499</v>
      </c>
    </row>
    <row r="7766" spans="1:2" x14ac:dyDescent="0.25">
      <c r="A7766" s="28" t="s">
        <v>29388</v>
      </c>
      <c r="B7766" s="28" t="s">
        <v>28492</v>
      </c>
    </row>
    <row r="7767" spans="1:2" x14ac:dyDescent="0.25">
      <c r="A7767" s="28" t="s">
        <v>29389</v>
      </c>
      <c r="B7767" s="28" t="s">
        <v>28496</v>
      </c>
    </row>
    <row r="7768" spans="1:2" x14ac:dyDescent="0.25">
      <c r="A7768" s="28" t="s">
        <v>29390</v>
      </c>
      <c r="B7768" s="28" t="s">
        <v>28506</v>
      </c>
    </row>
    <row r="7769" spans="1:2" x14ac:dyDescent="0.25">
      <c r="A7769" s="28" t="s">
        <v>29391</v>
      </c>
      <c r="B7769" s="28" t="s">
        <v>28504</v>
      </c>
    </row>
    <row r="7770" spans="1:2" x14ac:dyDescent="0.25">
      <c r="A7770" s="28" t="s">
        <v>29392</v>
      </c>
      <c r="B7770" s="28" t="s">
        <v>28507</v>
      </c>
    </row>
    <row r="7771" spans="1:2" x14ac:dyDescent="0.25">
      <c r="A7771" s="28" t="s">
        <v>29393</v>
      </c>
      <c r="B7771" s="28" t="s">
        <v>28503</v>
      </c>
    </row>
    <row r="7772" spans="1:2" x14ac:dyDescent="0.25">
      <c r="A7772" s="28" t="s">
        <v>29394</v>
      </c>
      <c r="B7772" s="28" t="s">
        <v>28505</v>
      </c>
    </row>
    <row r="7773" spans="1:2" x14ac:dyDescent="0.25">
      <c r="A7773" s="28" t="s">
        <v>29395</v>
      </c>
      <c r="B7773" s="28" t="s">
        <v>28502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29396</v>
      </c>
      <c r="B7818" s="28" t="s">
        <v>29397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27326</v>
      </c>
      <c r="B7825" s="28" t="s">
        <v>27327</v>
      </c>
    </row>
    <row r="7826" spans="1:2" x14ac:dyDescent="0.25">
      <c r="A7826" s="28" t="s">
        <v>29398</v>
      </c>
      <c r="B7826" s="28" t="s">
        <v>29399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29400</v>
      </c>
      <c r="B7830" s="28" t="s">
        <v>29401</v>
      </c>
    </row>
    <row r="7831" spans="1:2" x14ac:dyDescent="0.25">
      <c r="A7831" s="28" t="s">
        <v>29402</v>
      </c>
      <c r="B7831" s="28" t="s">
        <v>29403</v>
      </c>
    </row>
    <row r="7832" spans="1:2" x14ac:dyDescent="0.25">
      <c r="A7832" s="28" t="s">
        <v>29404</v>
      </c>
      <c r="B7832" s="28" t="s">
        <v>29405</v>
      </c>
    </row>
    <row r="7833" spans="1:2" x14ac:dyDescent="0.25">
      <c r="A7833" s="28" t="s">
        <v>29406</v>
      </c>
      <c r="B7833" s="28" t="s">
        <v>29407</v>
      </c>
    </row>
    <row r="7834" spans="1:2" x14ac:dyDescent="0.25">
      <c r="A7834" s="28" t="s">
        <v>29408</v>
      </c>
      <c r="B7834" s="28" t="s">
        <v>29409</v>
      </c>
    </row>
    <row r="7835" spans="1:2" x14ac:dyDescent="0.25">
      <c r="A7835" s="28" t="s">
        <v>29410</v>
      </c>
      <c r="B7835" s="28" t="s">
        <v>29411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29412</v>
      </c>
      <c r="B7837" s="28" t="s">
        <v>29413</v>
      </c>
    </row>
    <row r="7838" spans="1:2" x14ac:dyDescent="0.25">
      <c r="A7838" s="28" t="s">
        <v>29414</v>
      </c>
      <c r="B7838" s="28" t="s">
        <v>29415</v>
      </c>
    </row>
    <row r="7839" spans="1:2" x14ac:dyDescent="0.25">
      <c r="A7839" s="28" t="s">
        <v>29416</v>
      </c>
      <c r="B7839" s="28" t="s">
        <v>29417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29418</v>
      </c>
      <c r="B7889" s="28" t="s">
        <v>29419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29420</v>
      </c>
      <c r="B7899" s="28" t="s">
        <v>29421</v>
      </c>
    </row>
    <row r="7900" spans="1:2" x14ac:dyDescent="0.25">
      <c r="A7900" s="28" t="s">
        <v>29422</v>
      </c>
      <c r="B7900" s="28" t="s">
        <v>29423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27681</v>
      </c>
      <c r="B8350" s="28" t="s">
        <v>27682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27683</v>
      </c>
      <c r="B8425" s="28" t="s">
        <v>27684</v>
      </c>
    </row>
    <row r="8426" spans="1:2" x14ac:dyDescent="0.25">
      <c r="A8426" s="28" t="s">
        <v>27685</v>
      </c>
      <c r="B8426" s="28" t="s">
        <v>27686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27687</v>
      </c>
      <c r="B8530" s="28" t="s">
        <v>27688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27689</v>
      </c>
      <c r="B8621" s="28" t="s">
        <v>27690</v>
      </c>
    </row>
    <row r="8622" spans="1:2" x14ac:dyDescent="0.25">
      <c r="A8622" s="28" t="s">
        <v>27691</v>
      </c>
      <c r="B8622" s="28" t="s">
        <v>27692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27693</v>
      </c>
      <c r="B8659" s="28" t="s">
        <v>27694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27695</v>
      </c>
      <c r="B8983" s="28" t="s">
        <v>27696</v>
      </c>
    </row>
    <row r="8984" spans="1:2" x14ac:dyDescent="0.25">
      <c r="A8984" s="28" t="s">
        <v>27697</v>
      </c>
      <c r="B8984" s="28" t="s">
        <v>27698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27699</v>
      </c>
      <c r="B8986" s="28" t="s">
        <v>27700</v>
      </c>
    </row>
    <row r="8987" spans="1:2" x14ac:dyDescent="0.25">
      <c r="A8987" s="28" t="s">
        <v>27701</v>
      </c>
      <c r="B8987" s="28" t="s">
        <v>27702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27192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27193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30144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27703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27704</v>
      </c>
      <c r="B9775" s="28" t="s">
        <v>27705</v>
      </c>
    </row>
    <row r="9776" spans="1:2" x14ac:dyDescent="0.25">
      <c r="A9776" s="28" t="s">
        <v>27706</v>
      </c>
      <c r="B9776" s="28" t="s">
        <v>27707</v>
      </c>
    </row>
    <row r="9777" spans="1:2" x14ac:dyDescent="0.25">
      <c r="A9777" s="28" t="s">
        <v>27708</v>
      </c>
      <c r="B9777" s="28" t="s">
        <v>27709</v>
      </c>
    </row>
    <row r="9778" spans="1:2" x14ac:dyDescent="0.25">
      <c r="A9778" s="28" t="s">
        <v>27710</v>
      </c>
      <c r="B9778" s="28" t="s">
        <v>27711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27712</v>
      </c>
      <c r="B9816" s="28" t="s">
        <v>27713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27714</v>
      </c>
      <c r="B9836" s="28" t="s">
        <v>27715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27716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27717</v>
      </c>
      <c r="B9841" s="28" t="s">
        <v>27718</v>
      </c>
    </row>
    <row r="9842" spans="1:2" x14ac:dyDescent="0.25">
      <c r="A9842" s="28" t="s">
        <v>27719</v>
      </c>
      <c r="B9842" s="28" t="s">
        <v>27720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27721</v>
      </c>
      <c r="B10162" s="28" t="s">
        <v>26954</v>
      </c>
    </row>
    <row r="10163" spans="1:2" x14ac:dyDescent="0.25">
      <c r="A10163" s="28" t="s">
        <v>27722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29424</v>
      </c>
      <c r="B10223" s="28" t="s">
        <v>29425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29426</v>
      </c>
      <c r="B10233" s="28" t="s">
        <v>29427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29428</v>
      </c>
      <c r="B10257" s="28" t="s">
        <v>29429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29430</v>
      </c>
      <c r="B10319" s="28" t="s">
        <v>29431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29432</v>
      </c>
      <c r="B10336" s="28" t="s">
        <v>29433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29434</v>
      </c>
      <c r="B10356" s="28" t="s">
        <v>29435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29436</v>
      </c>
      <c r="B10410" s="28" t="s">
        <v>29437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29438</v>
      </c>
      <c r="B10422" s="28" t="s">
        <v>29439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29440</v>
      </c>
      <c r="B10428" s="28" t="s">
        <v>29441</v>
      </c>
    </row>
    <row r="10429" spans="1:2" x14ac:dyDescent="0.25">
      <c r="A10429" s="28" t="s">
        <v>29442</v>
      </c>
      <c r="B10429" s="28" t="s">
        <v>29443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29444</v>
      </c>
      <c r="B10431" s="28" t="s">
        <v>29445</v>
      </c>
    </row>
    <row r="10432" spans="1:2" x14ac:dyDescent="0.25">
      <c r="A10432" s="28" t="s">
        <v>29446</v>
      </c>
      <c r="B10432" s="28" t="s">
        <v>29447</v>
      </c>
    </row>
    <row r="10433" spans="1:2" x14ac:dyDescent="0.25">
      <c r="A10433" s="28" t="s">
        <v>29448</v>
      </c>
      <c r="B10433" s="28" t="s">
        <v>29449</v>
      </c>
    </row>
    <row r="10434" spans="1:2" x14ac:dyDescent="0.25">
      <c r="A10434" s="28" t="s">
        <v>29450</v>
      </c>
      <c r="B10434" s="28" t="s">
        <v>29451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29452</v>
      </c>
      <c r="B10501" s="28" t="s">
        <v>29453</v>
      </c>
    </row>
    <row r="10502" spans="1:2" x14ac:dyDescent="0.25">
      <c r="A10502" s="28" t="s">
        <v>29454</v>
      </c>
      <c r="B10502" s="28" t="s">
        <v>29455</v>
      </c>
    </row>
    <row r="10503" spans="1:2" x14ac:dyDescent="0.25">
      <c r="A10503" s="28" t="s">
        <v>29456</v>
      </c>
      <c r="B10503" s="28" t="s">
        <v>29457</v>
      </c>
    </row>
    <row r="10504" spans="1:2" x14ac:dyDescent="0.25">
      <c r="A10504" s="28" t="s">
        <v>29458</v>
      </c>
      <c r="B10504" s="28" t="s">
        <v>29459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29460</v>
      </c>
      <c r="B10582" s="28" t="s">
        <v>29461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27120</v>
      </c>
      <c r="B10688" s="28" t="s">
        <v>27121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29462</v>
      </c>
      <c r="B10691" s="28" t="s">
        <v>29463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29464</v>
      </c>
      <c r="B10717" s="28" t="s">
        <v>29465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29466</v>
      </c>
      <c r="B10735" s="28" t="s">
        <v>29467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29468</v>
      </c>
      <c r="B10773" s="28" t="s">
        <v>29469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29470</v>
      </c>
      <c r="B10788" s="28" t="s">
        <v>29471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29472</v>
      </c>
      <c r="B10889" s="28" t="s">
        <v>29473</v>
      </c>
    </row>
    <row r="10890" spans="1:2" x14ac:dyDescent="0.25">
      <c r="A10890" s="28" t="s">
        <v>29474</v>
      </c>
      <c r="B10890" s="28" t="s">
        <v>29475</v>
      </c>
    </row>
    <row r="10891" spans="1:2" x14ac:dyDescent="0.25">
      <c r="A10891" s="28" t="s">
        <v>29476</v>
      </c>
      <c r="B10891" s="28" t="s">
        <v>29477</v>
      </c>
    </row>
    <row r="10892" spans="1:2" x14ac:dyDescent="0.25">
      <c r="A10892" s="28" t="s">
        <v>29478</v>
      </c>
      <c r="B10892" s="28" t="s">
        <v>29479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29480</v>
      </c>
      <c r="B10902" s="28" t="s">
        <v>29481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29482</v>
      </c>
      <c r="B10936" s="28" t="s">
        <v>29483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29484</v>
      </c>
      <c r="B10958" s="28" t="s">
        <v>29485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29486</v>
      </c>
      <c r="B10979" s="28" t="s">
        <v>29487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29488</v>
      </c>
      <c r="B10982" s="28" t="s">
        <v>29489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29490</v>
      </c>
      <c r="B10985" s="28" t="s">
        <v>29491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29492</v>
      </c>
      <c r="B10993" s="28" t="s">
        <v>29493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29494</v>
      </c>
      <c r="B11003" s="28" t="s">
        <v>29495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29496</v>
      </c>
      <c r="B11020" s="28" t="s">
        <v>29497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29498</v>
      </c>
      <c r="B11044" s="28" t="s">
        <v>29499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29500</v>
      </c>
      <c r="B11068" s="28" t="s">
        <v>29501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29502</v>
      </c>
      <c r="B11070" s="28" t="s">
        <v>29503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27122</v>
      </c>
      <c r="B11073" s="28" t="s">
        <v>27123</v>
      </c>
    </row>
    <row r="11074" spans="1:2" x14ac:dyDescent="0.25">
      <c r="A11074" s="28" t="s">
        <v>29504</v>
      </c>
      <c r="B11074" s="28" t="s">
        <v>29505</v>
      </c>
    </row>
    <row r="11075" spans="1:2" x14ac:dyDescent="0.25">
      <c r="A11075" s="28" t="s">
        <v>29506</v>
      </c>
      <c r="B11075" s="28" t="s">
        <v>29507</v>
      </c>
    </row>
    <row r="11076" spans="1:2" x14ac:dyDescent="0.25">
      <c r="A11076" s="28" t="s">
        <v>27124</v>
      </c>
      <c r="B11076" s="28" t="s">
        <v>27125</v>
      </c>
    </row>
    <row r="11077" spans="1:2" x14ac:dyDescent="0.25">
      <c r="A11077" s="28" t="s">
        <v>27126</v>
      </c>
      <c r="B11077" s="28" t="s">
        <v>27127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27150</v>
      </c>
      <c r="B11112" s="28" t="s">
        <v>27151</v>
      </c>
    </row>
    <row r="11113" spans="1:2" x14ac:dyDescent="0.25">
      <c r="A11113" s="28" t="s">
        <v>27152</v>
      </c>
      <c r="B11113" s="28" t="s">
        <v>27153</v>
      </c>
    </row>
    <row r="11114" spans="1:2" x14ac:dyDescent="0.25">
      <c r="A11114" s="28" t="s">
        <v>27154</v>
      </c>
      <c r="B11114" s="28" t="s">
        <v>27155</v>
      </c>
    </row>
    <row r="11115" spans="1:2" x14ac:dyDescent="0.25">
      <c r="A11115" s="28" t="s">
        <v>27156</v>
      </c>
      <c r="B11115" s="28" t="s">
        <v>27157</v>
      </c>
    </row>
    <row r="11116" spans="1:2" x14ac:dyDescent="0.25">
      <c r="A11116" s="28" t="s">
        <v>27158</v>
      </c>
      <c r="B11116" s="28" t="s">
        <v>27159</v>
      </c>
    </row>
    <row r="11117" spans="1:2" x14ac:dyDescent="0.25">
      <c r="A11117" s="28" t="s">
        <v>27160</v>
      </c>
      <c r="B11117" s="28" t="s">
        <v>27161</v>
      </c>
    </row>
    <row r="11118" spans="1:2" x14ac:dyDescent="0.25">
      <c r="A11118" s="28" t="s">
        <v>27162</v>
      </c>
      <c r="B11118" s="28" t="s">
        <v>27163</v>
      </c>
    </row>
    <row r="11119" spans="1:2" x14ac:dyDescent="0.25">
      <c r="A11119" s="28" t="s">
        <v>27164</v>
      </c>
      <c r="B11119" s="28" t="s">
        <v>27165</v>
      </c>
    </row>
    <row r="11120" spans="1:2" x14ac:dyDescent="0.25">
      <c r="A11120" s="28" t="s">
        <v>27166</v>
      </c>
      <c r="B11120" s="28" t="s">
        <v>27167</v>
      </c>
    </row>
    <row r="11121" spans="1:2" x14ac:dyDescent="0.25">
      <c r="A11121" s="28" t="s">
        <v>27168</v>
      </c>
      <c r="B11121" s="28" t="s">
        <v>27169</v>
      </c>
    </row>
    <row r="11122" spans="1:2" x14ac:dyDescent="0.25">
      <c r="A11122" s="28" t="s">
        <v>27170</v>
      </c>
      <c r="B11122" s="28" t="s">
        <v>27171</v>
      </c>
    </row>
    <row r="11123" spans="1:2" x14ac:dyDescent="0.25">
      <c r="A11123" s="28" t="s">
        <v>27172</v>
      </c>
      <c r="B11123" s="28" t="s">
        <v>27173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27174</v>
      </c>
      <c r="B11126" s="28" t="s">
        <v>27175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29508</v>
      </c>
      <c r="B11139" s="28" t="s">
        <v>29509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27176</v>
      </c>
      <c r="B11162" s="28" t="s">
        <v>27177</v>
      </c>
    </row>
    <row r="11163" spans="1:2" x14ac:dyDescent="0.25">
      <c r="A11163" s="28" t="s">
        <v>27180</v>
      </c>
      <c r="B11163" s="28" t="s">
        <v>27181</v>
      </c>
    </row>
    <row r="11164" spans="1:2" x14ac:dyDescent="0.25">
      <c r="A11164" s="28" t="s">
        <v>27178</v>
      </c>
      <c r="B11164" s="28" t="s">
        <v>27179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27182</v>
      </c>
      <c r="B11166" s="28" t="s">
        <v>27183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27184</v>
      </c>
      <c r="B11174" s="28" t="s">
        <v>27185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27186</v>
      </c>
      <c r="B11179" s="28" t="s">
        <v>27187</v>
      </c>
    </row>
    <row r="11180" spans="1:2" x14ac:dyDescent="0.25">
      <c r="A11180" s="28" t="s">
        <v>27188</v>
      </c>
      <c r="B11180" s="28" t="s">
        <v>27189</v>
      </c>
    </row>
    <row r="11181" spans="1:2" x14ac:dyDescent="0.25">
      <c r="A11181" s="28" t="s">
        <v>27190</v>
      </c>
      <c r="B11181" s="28" t="s">
        <v>27191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29510</v>
      </c>
      <c r="B11191" s="28" t="s">
        <v>29511</v>
      </c>
    </row>
    <row r="11192" spans="1:2" x14ac:dyDescent="0.25">
      <c r="A11192" s="28" t="s">
        <v>29512</v>
      </c>
      <c r="B11192" s="28" t="s">
        <v>29513</v>
      </c>
    </row>
    <row r="11193" spans="1:2" x14ac:dyDescent="0.25">
      <c r="A11193" s="28" t="s">
        <v>29514</v>
      </c>
      <c r="B11193" s="28" t="s">
        <v>29515</v>
      </c>
    </row>
    <row r="11194" spans="1:2" x14ac:dyDescent="0.25">
      <c r="A11194" s="28" t="s">
        <v>29516</v>
      </c>
      <c r="B11194" s="28" t="s">
        <v>29517</v>
      </c>
    </row>
    <row r="11195" spans="1:2" x14ac:dyDescent="0.25">
      <c r="A11195" s="28" t="s">
        <v>29518</v>
      </c>
      <c r="B11195" s="28" t="s">
        <v>29519</v>
      </c>
    </row>
    <row r="11196" spans="1:2" x14ac:dyDescent="0.25">
      <c r="A11196" s="28" t="s">
        <v>29520</v>
      </c>
      <c r="B11196" s="28" t="s">
        <v>29521</v>
      </c>
    </row>
    <row r="11197" spans="1:2" x14ac:dyDescent="0.25">
      <c r="A11197" s="28" t="s">
        <v>29522</v>
      </c>
      <c r="B11197" s="28" t="s">
        <v>29523</v>
      </c>
    </row>
    <row r="11198" spans="1:2" x14ac:dyDescent="0.25">
      <c r="A11198" s="28" t="s">
        <v>29524</v>
      </c>
      <c r="B11198" s="28" t="s">
        <v>29525</v>
      </c>
    </row>
    <row r="11199" spans="1:2" x14ac:dyDescent="0.25">
      <c r="A11199" s="28" t="s">
        <v>29526</v>
      </c>
      <c r="B11199" s="28" t="s">
        <v>29527</v>
      </c>
    </row>
    <row r="11200" spans="1:2" x14ac:dyDescent="0.25">
      <c r="A11200" s="28" t="s">
        <v>29528</v>
      </c>
      <c r="B11200" s="28" t="s">
        <v>29529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29530</v>
      </c>
      <c r="B11346" s="28" t="s">
        <v>29531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27197</v>
      </c>
      <c r="B11377" s="28" t="s">
        <v>27198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28208</v>
      </c>
      <c r="B11391" s="28" t="s">
        <v>27194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29532</v>
      </c>
      <c r="B11448" s="28" t="s">
        <v>29533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27195</v>
      </c>
      <c r="B11465" s="28" t="s">
        <v>27196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29534</v>
      </c>
      <c r="B11553" s="28" t="s">
        <v>29535</v>
      </c>
    </row>
    <row r="11554" spans="1:2" x14ac:dyDescent="0.25">
      <c r="A11554" s="28" t="s">
        <v>27199</v>
      </c>
      <c r="B11554" s="28" t="s">
        <v>27200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27209</v>
      </c>
      <c r="B11592" s="28" t="s">
        <v>27210</v>
      </c>
    </row>
    <row r="11593" spans="1:2" x14ac:dyDescent="0.25">
      <c r="A11593" s="28" t="s">
        <v>27211</v>
      </c>
      <c r="B11593" s="28" t="s">
        <v>27212</v>
      </c>
    </row>
    <row r="11594" spans="1:2" x14ac:dyDescent="0.25">
      <c r="A11594" s="28" t="s">
        <v>27207</v>
      </c>
      <c r="B11594" s="28" t="s">
        <v>27208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29536</v>
      </c>
      <c r="B11610" s="28" t="s">
        <v>29537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x14ac:dyDescent="0.25">
      <c r="A11623" s="29" t="s">
        <v>27203</v>
      </c>
      <c r="B11623" s="28" t="s">
        <v>27204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27201</v>
      </c>
      <c r="B11625" s="28" t="s">
        <v>27202</v>
      </c>
    </row>
    <row r="11626" spans="1:2" x14ac:dyDescent="0.25">
      <c r="A11626" s="28" t="s">
        <v>27205</v>
      </c>
      <c r="B11626" s="28" t="s">
        <v>27206</v>
      </c>
    </row>
    <row r="11627" spans="1:2" x14ac:dyDescent="0.25">
      <c r="A11627" s="28" t="s">
        <v>27213</v>
      </c>
      <c r="B11627" s="28" t="s">
        <v>27214</v>
      </c>
    </row>
    <row r="11628" spans="1:2" x14ac:dyDescent="0.25">
      <c r="A11628" s="28" t="s">
        <v>27215</v>
      </c>
      <c r="B11628" s="28" t="s">
        <v>27216</v>
      </c>
    </row>
    <row r="11629" spans="1:2" x14ac:dyDescent="0.25">
      <c r="A11629" s="28" t="s">
        <v>27219</v>
      </c>
      <c r="B11629" s="28" t="s">
        <v>27220</v>
      </c>
    </row>
    <row r="11630" spans="1:2" x14ac:dyDescent="0.25">
      <c r="A11630" s="28" t="s">
        <v>27221</v>
      </c>
      <c r="B11630" s="28" t="s">
        <v>27222</v>
      </c>
    </row>
    <row r="11631" spans="1:2" x14ac:dyDescent="0.25">
      <c r="A11631" s="28" t="s">
        <v>27223</v>
      </c>
      <c r="B11631" s="28" t="s">
        <v>27224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27386</v>
      </c>
      <c r="B12032" s="28" t="s">
        <v>27387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27723</v>
      </c>
      <c r="B13188" s="30" t="s">
        <v>27724</v>
      </c>
    </row>
    <row r="13189" spans="1:2" x14ac:dyDescent="0.25">
      <c r="A13189" s="30" t="s">
        <v>27725</v>
      </c>
      <c r="B13189" s="30" t="s">
        <v>27726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30145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27727</v>
      </c>
      <c r="B13246" s="30" t="s">
        <v>27728</v>
      </c>
    </row>
    <row r="13247" spans="1:2" x14ac:dyDescent="0.25">
      <c r="A13247" s="30" t="s">
        <v>27729</v>
      </c>
      <c r="B13247" s="30" t="s">
        <v>27730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27731</v>
      </c>
      <c r="B13272" s="30" t="s">
        <v>27732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27733</v>
      </c>
      <c r="B13389" s="30" t="s">
        <v>27734</v>
      </c>
    </row>
    <row r="13390" spans="1:2" x14ac:dyDescent="0.25">
      <c r="A13390" s="30" t="s">
        <v>27735</v>
      </c>
      <c r="B13390" s="30" t="s">
        <v>27736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27737</v>
      </c>
      <c r="B13409" s="30" t="s">
        <v>27738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27739</v>
      </c>
      <c r="B13414" s="30" t="s">
        <v>27740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27741</v>
      </c>
      <c r="B13439" s="30" t="s">
        <v>27742</v>
      </c>
    </row>
    <row r="13440" spans="1:2" x14ac:dyDescent="0.25">
      <c r="A13440" s="30" t="s">
        <v>27743</v>
      </c>
      <c r="B13440" s="30" t="s">
        <v>27744</v>
      </c>
    </row>
    <row r="13441" spans="1:2" x14ac:dyDescent="0.25">
      <c r="A13441" s="30" t="s">
        <v>27745</v>
      </c>
      <c r="B13441" s="30" t="s">
        <v>27746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27747</v>
      </c>
      <c r="B13449" s="30" t="s">
        <v>27748</v>
      </c>
    </row>
    <row r="13450" spans="1:2" x14ac:dyDescent="0.25">
      <c r="A13450" s="30" t="s">
        <v>27749</v>
      </c>
      <c r="B13450" s="30" t="s">
        <v>27750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27751</v>
      </c>
      <c r="B13457" s="30" t="s">
        <v>27752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27753</v>
      </c>
      <c r="B13465" s="30" t="s">
        <v>27754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27755</v>
      </c>
      <c r="B13468" s="30" t="s">
        <v>27756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27757</v>
      </c>
      <c r="B13470" s="30" t="s">
        <v>27758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27759</v>
      </c>
      <c r="B13488" s="30" t="s">
        <v>27760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27761</v>
      </c>
      <c r="B13555" s="30" t="s">
        <v>27762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29538</v>
      </c>
      <c r="B13758" s="30" t="s">
        <v>29539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27763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29540</v>
      </c>
      <c r="B13811" s="30" t="s">
        <v>29541</v>
      </c>
    </row>
    <row r="13812" spans="1:2" x14ac:dyDescent="0.25">
      <c r="A13812" s="30" t="s">
        <v>29542</v>
      </c>
      <c r="B13812" s="30" t="s">
        <v>29543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29544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29545</v>
      </c>
      <c r="B13835" s="30" t="s">
        <v>29546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27764</v>
      </c>
      <c r="B13906" s="30" t="s">
        <v>27765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30146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29547</v>
      </c>
      <c r="B13940" s="30" t="s">
        <v>29548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29549</v>
      </c>
      <c r="B13989" s="30" t="s">
        <v>29550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27766</v>
      </c>
      <c r="B14006" s="30" t="s">
        <v>27767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29551</v>
      </c>
      <c r="B14013" s="30" t="s">
        <v>29552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318"/>
  <sheetViews>
    <sheetView tabSelected="1" topLeftCell="AO1" zoomScaleNormal="100" workbookViewId="0">
      <pane ySplit="1" topLeftCell="A299" activePane="bottomLeft" state="frozen"/>
      <selection pane="bottomLeft" activeCell="AU302" sqref="AU302"/>
    </sheetView>
  </sheetViews>
  <sheetFormatPr defaultColWidth="18.7109375" defaultRowHeight="15" outlineLevelCol="1" x14ac:dyDescent="0.25"/>
  <cols>
    <col min="1" max="1" width="10.85546875" style="111" customWidth="1"/>
    <col min="2" max="2" width="16.28515625" style="108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28404</v>
      </c>
      <c r="O1" s="87" t="s">
        <v>28405</v>
      </c>
      <c r="P1" s="69" t="s">
        <v>28420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27561</v>
      </c>
      <c r="Y1" s="77" t="s">
        <v>27768</v>
      </c>
      <c r="Z1" s="116" t="s">
        <v>2</v>
      </c>
      <c r="AA1" s="98" t="str" cm="1">
        <f t="array" aca="1" ref="AA1:AA318" ca="1">_xlfn._xlws.SORT(INDIRECT(АртикулХарактеристики),1,-1,FALSE)</f>
        <v>Артикул характеристики</v>
      </c>
      <c r="AB1" s="74" t="s">
        <v>247</v>
      </c>
      <c r="AC1" s="70" t="s">
        <v>27564</v>
      </c>
      <c r="AD1" s="70" t="s">
        <v>27565</v>
      </c>
      <c r="AE1" s="70" t="s">
        <v>27566</v>
      </c>
      <c r="AF1" s="70" t="s">
        <v>27563</v>
      </c>
      <c r="AG1" s="70" t="s">
        <v>27562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27568</v>
      </c>
      <c r="AM1" s="70" t="s">
        <v>27569</v>
      </c>
      <c r="AN1" s="70" t="s">
        <v>27570</v>
      </c>
      <c r="AO1" s="70" t="s">
        <v>27571</v>
      </c>
      <c r="AP1" s="70" t="s">
        <v>27572</v>
      </c>
      <c r="AQ1" s="70" t="s">
        <v>27573</v>
      </c>
      <c r="AR1" s="70" t="s">
        <v>27574</v>
      </c>
      <c r="AS1" s="70" t="s">
        <v>27575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81-095-17</v>
      </c>
      <c r="B2" s="107" t="str">
        <f ca="1">_xlfn.LET(_xlpm.CAPS,0,_xlpm.Style,TRIM(_xlfn.XLOOKUP($A2,Строчный!$A:$A,Строчный!B:B,"ERR",0)),IF(_xlpm.CAPS=0,_xlpm.Style,UPPER(_xlpm.Style)))</f>
        <v>EDMOND 088</v>
      </c>
      <c r="C2" s="81" t="str">
        <f ca="1">TRIM(PROPER(_xlfn.XLOOKUP($A2,Строчный!$A:$A,Строчный!C:C,"ERR",0)))</f>
        <v>Шапки</v>
      </c>
      <c r="D2" s="81" t="str">
        <f ca="1">_xlfn.LET(_xlpm.DATA,TRIM(_xlfn.XLOOKUP($A2,Строчный!$A:$A,Строчный!D:D,"ERR",0)),UPPER(MID(_xlpm.DATA,1,1))&amp;LOWER(MID(_xlpm.DATA,2,LEN(_xlpm.DATA)-1)))</f>
        <v>Шапка вязаная</v>
      </c>
      <c r="E2" s="81" t="str">
        <f ca="1">PROPER(TRIM(_xlfn.XLOOKUP($A2,Строчный!$A:$A,Строчный!E:E,"ERR",0)))</f>
        <v>Herman</v>
      </c>
      <c r="F2" s="81" t="str">
        <f ca="1">LOWER(TRIM(_xlfn.XLOOKUP($A2,Строчный!$A:$A,Строчный!F:F,"ERR",0)))</f>
        <v>зимний</v>
      </c>
      <c r="G2" s="81" t="str">
        <f ca="1">UPPER(TRIM(_xlfn.XLOOKUP($A2,Строчный!$A:$A,Строчный!G:G,"ERR",0)))</f>
        <v>HERMAN</v>
      </c>
      <c r="H2" s="81" t="str">
        <f ca="1">LOWER(TRIM(_xlfn.XLOOKUP($A2,Строчный!$A:$A,Строчный!H:H,"ERR",0)))</f>
        <v>offwhite</v>
      </c>
      <c r="I2" s="81" t="str">
        <f ca="1">LOWER(TRIM(_xlfn.XLOOKUP($A2,Строчный!$A:$A,Строчный!I:I,"ERR",0)))</f>
        <v>белый</v>
      </c>
      <c r="J2" s="81" t="str">
        <f ca="1">SUBSTITUTE(LOWER(TRIM(_xlfn.XLOOKUP($A2,Строчный!$A:$A,Строчный!J:J,"ERR",0))),"подклад","Подклад")</f>
        <v>100% акрилл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Польша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755.1</v>
      </c>
      <c r="R2" s="89" t="str">
        <f ca="1">_xlfn.XLOOKUP($G2,Фабрика!A:A,Фабрика!B:B,"ERR",0)</f>
        <v>Chapellerie Herman S.A.; Rue Jean Meunier, 6, 6922 Wellin, Belgium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12</v>
      </c>
      <c r="U2" s="14" t="s">
        <v>265</v>
      </c>
      <c r="V2" s="101" t="str">
        <f ca="1">TRIM(CONCATENATE(AB2," ",G2," арт. ",B2," (",I2,")"))</f>
        <v>Шапка HERMAN арт. EDMOND 088 (белый)</v>
      </c>
      <c r="W2" s="100" t="str">
        <f ca="1">TRIM(CONCATENATE(AB2," ",G2," арт. ",B2," (",I2,") {",H2,"}"))</f>
        <v>Шапка HERMAN арт. EDMOND 088 (белый) {offwhite}</v>
      </c>
      <c r="X2" s="18" t="str">
        <f t="shared" ref="X2" ca="1" si="0">IFERROR(MID(I2,FIND("-",I2)+1,LEN(I2)),IFERROR(MID(I2,1,FIND("/",I2)-2),I2))</f>
        <v>белый</v>
      </c>
      <c r="Y2" s="18" t="str">
        <f t="shared" ref="Y2" ca="1" si="1">IFERROR(MID(I2,FIND("-",I2)+1,LEN(I2)),IFERROR(MID(I2,FIND("/",I2)+2,LEN(I2)),I2))</f>
        <v>белый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белый</v>
      </c>
      <c r="AA2" s="73" t="str">
        <f ca="1"/>
        <v>81-095-17-00</v>
      </c>
      <c r="AB2" s="75" t="str">
        <f ca="1">VLOOKUP(C2,Группа!A:B,2,FALSE)</f>
        <v>Шапка</v>
      </c>
      <c r="AC2" s="97" t="str">
        <f ca="1">IFERROR(VLOOKUP(S2,Размеры!A:C,3,FALSE),"")</f>
        <v>ONE</v>
      </c>
      <c r="AD2" s="97" t="str">
        <f ca="1">VLOOKUP(I2,ЦветПолный!A:B,2,FALSE)</f>
        <v>17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81-095-16</v>
      </c>
      <c r="B3" s="107" t="str">
        <f ca="1">_xlfn.LET(_xlpm.CAPS,0,_xlpm.Style,TRIM(_xlfn.XLOOKUP($A3,Строчный!$A:$A,Строчный!B:B,"ERR",0)),IF(_xlpm.CAPS=0,_xlpm.Style,UPPER(_xlpm.Style)))</f>
        <v>EDMOND 088</v>
      </c>
      <c r="C3" s="81" t="str">
        <f ca="1">TRIM(PROPER(_xlfn.XLOOKUP($A3,Строчный!$A:$A,Строчный!C:C,"ERR",0)))</f>
        <v>Шапки</v>
      </c>
      <c r="D3" s="81" t="str">
        <f ca="1">_xlfn.LET(_xlpm.DATA,TRIM(_xlfn.XLOOKUP($A3,Строчный!$A:$A,Строчный!D:D,"ERR",0)),UPPER(MID(_xlpm.DATA,1,1))&amp;LOWER(MID(_xlpm.DATA,2,LEN(_xlpm.DATA)-1)))</f>
        <v>Шапка вязаная</v>
      </c>
      <c r="E3" s="81" t="str">
        <f ca="1">PROPER(TRIM(_xlfn.XLOOKUP($A3,Строчный!$A:$A,Строчный!E:E,"ERR",0)))</f>
        <v>Herman</v>
      </c>
      <c r="F3" s="81" t="str">
        <f ca="1">LOWER(TRIM(_xlfn.XLOOKUP($A3,Строчный!$A:$A,Строчный!F:F,"ERR",0)))</f>
        <v>зимний</v>
      </c>
      <c r="G3" s="81" t="str">
        <f ca="1">UPPER(TRIM(_xlfn.XLOOKUP($A3,Строчный!$A:$A,Строчный!G:G,"ERR",0)))</f>
        <v>HERMAN</v>
      </c>
      <c r="H3" s="81" t="str">
        <f ca="1">LOWER(TRIM(_xlfn.XLOOKUP($A3,Строчный!$A:$A,Строчный!H:H,"ERR",0)))</f>
        <v>navy</v>
      </c>
      <c r="I3" s="81" t="str">
        <f ca="1">LOWER(TRIM(_xlfn.XLOOKUP($A3,Строчный!$A:$A,Строчный!I:I,"ERR",0)))</f>
        <v>темно-синий</v>
      </c>
      <c r="J3" s="81" t="str">
        <f ca="1">SUBSTITUTE(LOWER(TRIM(_xlfn.XLOOKUP($A3,Строчный!$A:$A,Строчный!J:J,"ERR",0))),"подклад","Подклад")</f>
        <v>100% акрилл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Польша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755.1</v>
      </c>
      <c r="R3" s="89" t="str">
        <f ca="1">_xlfn.XLOOKUP($G3,Фабрика!A:A,Фабрика!B:B,"ERR",0)</f>
        <v>Chapellerie Herman S.A.; Rue Jean Meunier, 6, 6922 Wellin, Belgium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30</v>
      </c>
      <c r="U3" s="14" t="s">
        <v>265</v>
      </c>
      <c r="V3" s="101" t="str">
        <f t="shared" ref="V3:V66" ca="1" si="3">TRIM(CONCATENATE(AB3," ",G3," арт. ",B3," (",I3,")"))</f>
        <v>Шапка HERMAN арт. EDMOND 088 (темно-синий)</v>
      </c>
      <c r="W3" s="100" t="str">
        <f t="shared" ref="W3:W66" ca="1" si="4">TRIM(CONCATENATE(AB3," ",G3," арт. ",B3," (",I3,") {",H3,"}"))</f>
        <v>Шапка HERMAN арт. EDMOND 088 (темно-синий) {navy}</v>
      </c>
      <c r="X3" s="18" t="str">
        <f t="shared" ref="X3:X66" ca="1" si="5">IFERROR(MID(I3,FIND("-",I3)+1,LEN(I3)),IFERROR(MID(I3,1,FIND("/",I3)-2),I3))</f>
        <v>синий</v>
      </c>
      <c r="Y3" s="18" t="str">
        <f t="shared" ref="Y3:Y66" ca="1" si="6">IFERROR(MID(I3,FIND("-",I3)+1,LEN(I3)),IFERROR(MID(I3,FIND("/",I3)+2,LEN(I3)),I3))</f>
        <v>синий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синий</v>
      </c>
      <c r="AA3" s="73" t="str">
        <f ca="1"/>
        <v>81-095-16-00</v>
      </c>
      <c r="AB3" s="75" t="str">
        <f ca="1">VLOOKUP(C3,Группа!A:B,2,FALSE)</f>
        <v>Шапка</v>
      </c>
      <c r="AC3" s="97" t="str">
        <f ca="1">IFERROR(VLOOKUP(S3,Размеры!A:C,3,FALSE),"")</f>
        <v>ONE</v>
      </c>
      <c r="AD3" s="97" t="str">
        <f ca="1">VLOOKUP(I3,ЦветПолный!A:B,2,FALSE)</f>
        <v>16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81-095-09</v>
      </c>
      <c r="B4" s="107" t="str">
        <f ca="1">_xlfn.LET(_xlpm.CAPS,0,_xlpm.Style,TRIM(_xlfn.XLOOKUP($A4,Строчный!$A:$A,Строчный!B:B,"ERR",0)),IF(_xlpm.CAPS=0,_xlpm.Style,UPPER(_xlpm.Style)))</f>
        <v>EDMOND 088</v>
      </c>
      <c r="C4" s="81" t="str">
        <f ca="1">TRIM(PROPER(_xlfn.XLOOKUP($A4,Строчный!$A:$A,Строчный!C:C,"ERR",0)))</f>
        <v>Шапки</v>
      </c>
      <c r="D4" s="81" t="str">
        <f ca="1">_xlfn.LET(_xlpm.DATA,TRIM(_xlfn.XLOOKUP($A4,Строчный!$A:$A,Строчный!D:D,"ERR",0)),UPPER(MID(_xlpm.DATA,1,1))&amp;LOWER(MID(_xlpm.DATA,2,LEN(_xlpm.DATA)-1)))</f>
        <v>Шапка вязаная</v>
      </c>
      <c r="E4" s="81" t="str">
        <f ca="1">PROPER(TRIM(_xlfn.XLOOKUP($A4,Строчный!$A:$A,Строчный!E:E,"ERR",0)))</f>
        <v>Herman</v>
      </c>
      <c r="F4" s="81" t="str">
        <f ca="1">LOWER(TRIM(_xlfn.XLOOKUP($A4,Строчный!$A:$A,Строчный!F:F,"ERR",0)))</f>
        <v>зимний</v>
      </c>
      <c r="G4" s="81" t="str">
        <f ca="1">UPPER(TRIM(_xlfn.XLOOKUP($A4,Строчный!$A:$A,Строчный!G:G,"ERR",0)))</f>
        <v>HERMAN</v>
      </c>
      <c r="H4" s="81" t="str">
        <f ca="1">LOWER(TRIM(_xlfn.XLOOKUP($A4,Строчный!$A:$A,Строчный!H:H,"ERR",0)))</f>
        <v>black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100% акрилл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Польша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755.1</v>
      </c>
      <c r="R4" s="89" t="str">
        <f ca="1">_xlfn.XLOOKUP($G4,Фабрика!A:A,Фабрика!B:B,"ERR",0)</f>
        <v>Chapellerie Herman S.A.; Rue Jean Meunier, 6, 6922 Wellin, Belgium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40</v>
      </c>
      <c r="U4" s="14" t="s">
        <v>265</v>
      </c>
      <c r="V4" s="101" t="str">
        <f t="shared" ca="1" si="3"/>
        <v>Шапка HERMAN арт. EDMOND 088 (черный)</v>
      </c>
      <c r="W4" s="100" t="str">
        <f t="shared" ca="1" si="4"/>
        <v>Шапка HERMAN арт. EDMOND 088 (черный) {black}</v>
      </c>
      <c r="X4" s="18" t="str">
        <f t="shared" ca="1" si="5"/>
        <v>черный</v>
      </c>
      <c r="Y4" s="18" t="str">
        <f t="shared" ca="1" si="6"/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81-095-09-00</v>
      </c>
      <c r="AB4" s="75" t="str">
        <f ca="1">VLOOKUP(C4,Группа!A:B,2,FALSE)</f>
        <v>Шапка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81-095-06</v>
      </c>
      <c r="B5" s="107" t="str">
        <f ca="1">_xlfn.LET(_xlpm.CAPS,0,_xlpm.Style,TRIM(_xlfn.XLOOKUP($A5,Строчный!$A:$A,Строчный!B:B,"ERR",0)),IF(_xlpm.CAPS=0,_xlpm.Style,UPPER(_xlpm.Style)))</f>
        <v>EDMOND 088</v>
      </c>
      <c r="C5" s="81" t="str">
        <f ca="1">TRIM(PROPER(_xlfn.XLOOKUP($A5,Строчный!$A:$A,Строчный!C:C,"ERR",0)))</f>
        <v>Шапки</v>
      </c>
      <c r="D5" s="81" t="str">
        <f ca="1">_xlfn.LET(_xlpm.DATA,TRIM(_xlfn.XLOOKUP($A5,Строчный!$A:$A,Строчный!D:D,"ERR",0)),UPPER(MID(_xlpm.DATA,1,1))&amp;LOWER(MID(_xlpm.DATA,2,LEN(_xlpm.DATA)-1)))</f>
        <v>Шапка вязаная</v>
      </c>
      <c r="E5" s="81" t="str">
        <f ca="1">PROPER(TRIM(_xlfn.XLOOKUP($A5,Строчный!$A:$A,Строчный!E:E,"ERR",0)))</f>
        <v>Herman</v>
      </c>
      <c r="F5" s="81" t="str">
        <f ca="1">LOWER(TRIM(_xlfn.XLOOKUP($A5,Строчный!$A:$A,Строчный!F:F,"ERR",0)))</f>
        <v>зимний</v>
      </c>
      <c r="G5" s="81" t="str">
        <f ca="1">UPPER(TRIM(_xlfn.XLOOKUP($A5,Строчный!$A:$A,Строчный!G:G,"ERR",0)))</f>
        <v>HERMAN</v>
      </c>
      <c r="H5" s="81" t="str">
        <f ca="1">LOWER(TRIM(_xlfn.XLOOKUP($A5,Строчный!$A:$A,Строчный!H:H,"ERR",0)))</f>
        <v>denim</v>
      </c>
      <c r="I5" s="81" t="str">
        <f ca="1">LOWER(TRIM(_xlfn.XLOOKUP($A5,Строчный!$A:$A,Строчный!I:I,"ERR",0)))</f>
        <v>синий</v>
      </c>
      <c r="J5" s="81" t="str">
        <f ca="1">SUBSTITUTE(LOWER(TRIM(_xlfn.XLOOKUP($A5,Строчный!$A:$A,Строчный!J:J,"ERR",0))),"подклад","Подклад")</f>
        <v>100% акрилл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Польша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755.1</v>
      </c>
      <c r="R5" s="89" t="str">
        <f ca="1">_xlfn.XLOOKUP($G5,Фабрика!A:A,Фабрика!B:B,"ERR",0)</f>
        <v>Chapellerie Herman S.A.; Rue Jean Meunier, 6, 6922 Wellin, Belgium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12</v>
      </c>
      <c r="U5" s="14" t="s">
        <v>265</v>
      </c>
      <c r="V5" s="101" t="str">
        <f t="shared" ca="1" si="3"/>
        <v>Шапка HERMAN арт. EDMOND 088 (синий)</v>
      </c>
      <c r="W5" s="100" t="str">
        <f t="shared" ca="1" si="4"/>
        <v>Шапка HERMAN арт. EDMOND 088 (синий) {denim}</v>
      </c>
      <c r="X5" s="18" t="str">
        <f t="shared" ca="1" si="5"/>
        <v>синий</v>
      </c>
      <c r="Y5" s="18" t="str">
        <f t="shared" ca="1" si="6"/>
        <v>синий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73" t="str">
        <f ca="1"/>
        <v>81-095-06-00</v>
      </c>
      <c r="AB5" s="75" t="str">
        <f ca="1">VLOOKUP(C5,Группа!A:B,2,FALSE)</f>
        <v>Шапка</v>
      </c>
      <c r="AC5" s="97" t="str">
        <f ca="1">IFERROR(VLOOKUP(S5,Размеры!A:C,3,FALSE),"")</f>
        <v>ONE</v>
      </c>
      <c r="AD5" s="97" t="str">
        <f ca="1">VLOOKUP(I5,ЦветПолный!A:B,2,FALSE)</f>
        <v>06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81-094-34</v>
      </c>
      <c r="B6" s="107" t="str">
        <f ca="1">_xlfn.LET(_xlpm.CAPS,0,_xlpm.Style,TRIM(_xlfn.XLOOKUP($A6,Строчный!$A:$A,Строчный!B:B,"ERR",0)),IF(_xlpm.CAPS=0,_xlpm.Style,UPPER(_xlpm.Style)))</f>
        <v>KENDAL</v>
      </c>
      <c r="C6" s="81" t="str">
        <f ca="1">TRIM(PROPER(_xlfn.XLOOKUP($A6,Строчный!$A:$A,Строчный!C:C,"ERR",0)))</f>
        <v>Панамы</v>
      </c>
      <c r="D6" s="81" t="str">
        <f ca="1">_xlfn.LET(_xlpm.DATA,TRIM(_xlfn.XLOOKUP($A6,Строчный!$A:$A,Строчный!D:D,"ERR",0)),UPPER(MID(_xlpm.DATA,1,1))&amp;LOWER(MID(_xlpm.DATA,2,LEN(_xlpm.DATA)-1)))</f>
        <v>Панама</v>
      </c>
      <c r="E6" s="81" t="str">
        <f ca="1">PROPER(TRIM(_xlfn.XLOOKUP($A6,Строчный!$A:$A,Строчный!E:E,"ERR",0)))</f>
        <v>Herman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HERMAN</v>
      </c>
      <c r="H6" s="81" t="str">
        <f ca="1">LOWER(TRIM(_xlfn.XLOOKUP($A6,Строчный!$A:$A,Строчный!H:H,"ERR",0)))</f>
        <v>old pink</v>
      </c>
      <c r="I6" s="81" t="str">
        <f ca="1">LOWER(TRIM(_xlfn.XLOOKUP($A6,Строчный!$A:$A,Строчный!I:I,"ERR",0)))</f>
        <v>розовый</v>
      </c>
      <c r="J6" s="81" t="str">
        <f ca="1">SUBSTITUTE(LOWER(TRIM(_xlfn.XLOOKUP($A6,Строчный!$A:$A,Строчный!J:J,"ERR",0))),"подклад","Подклад")</f>
        <v>100% хлопок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Женский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813.59999999999991</v>
      </c>
      <c r="R6" s="89" t="str">
        <f ca="1">_xlfn.XLOOKUP($G6,Фабрика!A:A,Фабрика!B:B,"ERR",0)</f>
        <v>Chapellerie Herman S.A.; Rue Jean Meunier, 6, 6922 Wellin, Belgium</v>
      </c>
      <c r="S6" s="80" t="str">
        <f ca="1">_xlfn.XLOOKUP(RIGHT(AA6,2),Размеры!D:D,Размеры!A:A,"ERR",0)</f>
        <v>59</v>
      </c>
      <c r="T6" s="80">
        <f ca="1">VALUE(_xlfn.XLOOKUP($AA6,Строчный!$S:$S,Строчный!U:U,"ERR",0))</f>
        <v>6</v>
      </c>
      <c r="U6" s="14" t="s">
        <v>265</v>
      </c>
      <c r="V6" s="101" t="str">
        <f t="shared" ca="1" si="3"/>
        <v>Панама HERMAN арт. KENDAL (розовый)</v>
      </c>
      <c r="W6" s="100" t="str">
        <f t="shared" ca="1" si="4"/>
        <v>Панама HERMAN арт. KENDAL (розовый) {old pink}</v>
      </c>
      <c r="X6" s="18" t="str">
        <f t="shared" ca="1" si="5"/>
        <v>розовый</v>
      </c>
      <c r="Y6" s="18" t="str">
        <f t="shared" ca="1" si="6"/>
        <v>розовый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розовый</v>
      </c>
      <c r="AA6" s="73" t="str">
        <f ca="1"/>
        <v>81-094-34-59</v>
      </c>
      <c r="AB6" s="75" t="str">
        <f ca="1">VLOOKUP(C6,Группа!A:B,2,FALSE)</f>
        <v>Панама</v>
      </c>
      <c r="AC6" s="97" t="str">
        <f ca="1">IFERROR(VLOOKUP(S6,Размеры!A:C,3,FALSE),"")</f>
        <v>59 L</v>
      </c>
      <c r="AD6" s="97" t="str">
        <f ca="1">VLOOKUP(I6,ЦветПолный!A:B,2,FALSE)</f>
        <v>34</v>
      </c>
      <c r="AE6" s="97" t="str">
        <f ca="1">IFERROR(VLOOKUP(S6,Размеры!A:D,4,FALSE),"")</f>
        <v>59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81-094-34</v>
      </c>
      <c r="B7" s="107" t="str">
        <f ca="1">_xlfn.LET(_xlpm.CAPS,0,_xlpm.Style,TRIM(_xlfn.XLOOKUP($A7,Строчный!$A:$A,Строчный!B:B,"ERR",0)),IF(_xlpm.CAPS=0,_xlpm.Style,UPPER(_xlpm.Style)))</f>
        <v>KENDAL</v>
      </c>
      <c r="C7" s="81" t="str">
        <f ca="1">TRIM(PROPER(_xlfn.XLOOKUP($A7,Строчный!$A:$A,Строчный!C:C,"ERR",0)))</f>
        <v>Панамы</v>
      </c>
      <c r="D7" s="81" t="str">
        <f ca="1">_xlfn.LET(_xlpm.DATA,TRIM(_xlfn.XLOOKUP($A7,Строчный!$A:$A,Строчный!D:D,"ERR",0)),UPPER(MID(_xlpm.DATA,1,1))&amp;LOWER(MID(_xlpm.DATA,2,LEN(_xlpm.DATA)-1)))</f>
        <v>Панама</v>
      </c>
      <c r="E7" s="81" t="str">
        <f ca="1">PROPER(TRIM(_xlfn.XLOOKUP($A7,Строчный!$A:$A,Строчный!E:E,"ERR",0)))</f>
        <v>Herman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HERMAN</v>
      </c>
      <c r="H7" s="81" t="str">
        <f ca="1">LOWER(TRIM(_xlfn.XLOOKUP($A7,Строчный!$A:$A,Строчный!H:H,"ERR",0)))</f>
        <v>old pink</v>
      </c>
      <c r="I7" s="81" t="str">
        <f ca="1">LOWER(TRIM(_xlfn.XLOOKUP($A7,Строчный!$A:$A,Строчный!I:I,"ERR",0)))</f>
        <v>розовый</v>
      </c>
      <c r="J7" s="81" t="str">
        <f ca="1">SUBSTITUTE(LOWER(TRIM(_xlfn.XLOOKUP($A7,Строчный!$A:$A,Строчный!J:J,"ERR",0))),"подклад","Подклад")</f>
        <v>100% хлопок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Женский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813.59999999999991</v>
      </c>
      <c r="R7" s="89" t="str">
        <f ca="1">_xlfn.XLOOKUP($G7,Фабрика!A:A,Фабрика!B:B,"ERR",0)</f>
        <v>Chapellerie Herman S.A.; Rue Jean Meunier, 6, 6922 Wellin, Belgium</v>
      </c>
      <c r="S7" s="80" t="str">
        <f ca="1">_xlfn.XLOOKUP(RIGHT(AA7,2),Размеры!D:D,Размеры!A:A,"ERR",0)</f>
        <v>57</v>
      </c>
      <c r="T7" s="80">
        <f ca="1">VALUE(_xlfn.XLOOKUP($AA7,Строчный!$S:$S,Строчный!U:U,"ERR",0))</f>
        <v>6</v>
      </c>
      <c r="U7" s="14" t="s">
        <v>265</v>
      </c>
      <c r="V7" s="101" t="str">
        <f t="shared" ca="1" si="3"/>
        <v>Панама HERMAN арт. KENDAL (розовый)</v>
      </c>
      <c r="W7" s="100" t="str">
        <f t="shared" ca="1" si="4"/>
        <v>Панама HERMAN арт. KENDAL (розовый) {old pink}</v>
      </c>
      <c r="X7" s="18" t="str">
        <f t="shared" ca="1" si="5"/>
        <v>розовый</v>
      </c>
      <c r="Y7" s="18" t="str">
        <f t="shared" ca="1" si="6"/>
        <v>розовый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розовый</v>
      </c>
      <c r="AA7" s="73" t="str">
        <f ca="1"/>
        <v>81-094-34-57</v>
      </c>
      <c r="AB7" s="75" t="str">
        <f ca="1">VLOOKUP(C7,Группа!A:B,2,FALSE)</f>
        <v>Панама</v>
      </c>
      <c r="AC7" s="97" t="str">
        <f ca="1">IFERROR(VLOOKUP(S7,Размеры!A:C,3,FALSE),"")</f>
        <v>57 M</v>
      </c>
      <c r="AD7" s="97" t="str">
        <f ca="1">VLOOKUP(I7,ЦветПолный!A:B,2,FALSE)</f>
        <v>34</v>
      </c>
      <c r="AE7" s="97" t="str">
        <f ca="1">IFERROR(VLOOKUP(S7,Размеры!A:D,4,FALSE),"")</f>
        <v>57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81-094-20</v>
      </c>
      <c r="B8" s="107" t="str">
        <f ca="1">_xlfn.LET(_xlpm.CAPS,0,_xlpm.Style,TRIM(_xlfn.XLOOKUP($A8,Строчный!$A:$A,Строчный!B:B,"ERR",0)),IF(_xlpm.CAPS=0,_xlpm.Style,UPPER(_xlpm.Style)))</f>
        <v>KENDAL</v>
      </c>
      <c r="C8" s="81" t="str">
        <f ca="1">TRIM(PROPER(_xlfn.XLOOKUP($A8,Строчный!$A:$A,Строчный!C:C,"ERR",0)))</f>
        <v>Панамы</v>
      </c>
      <c r="D8" s="81" t="str">
        <f ca="1">_xlfn.LET(_xlpm.DATA,TRIM(_xlfn.XLOOKUP($A8,Строчный!$A:$A,Строчный!D:D,"ERR",0)),UPPER(MID(_xlpm.DATA,1,1))&amp;LOWER(MID(_xlpm.DATA,2,LEN(_xlpm.DATA)-1)))</f>
        <v>Панама</v>
      </c>
      <c r="E8" s="81" t="str">
        <f ca="1">PROPER(TRIM(_xlfn.XLOOKUP($A8,Строчный!$A:$A,Строчный!E:E,"ERR",0)))</f>
        <v>Herman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HERMAN</v>
      </c>
      <c r="H8" s="81" t="str">
        <f ca="1">LOWER(TRIM(_xlfn.XLOOKUP($A8,Строчный!$A:$A,Строчный!H:H,"ERR",0)))</f>
        <v>mustard</v>
      </c>
      <c r="I8" s="81" t="str">
        <f ca="1">LOWER(TRIM(_xlfn.XLOOKUP($A8,Строчный!$A:$A,Строчный!I:I,"ERR",0)))</f>
        <v>желтый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813.59999999999991</v>
      </c>
      <c r="R8" s="89" t="str">
        <f ca="1">_xlfn.XLOOKUP($G8,Фабрика!A:A,Фабрика!B:B,"ERR",0)</f>
        <v>Chapellerie Herman S.A.; Rue Jean Meunier, 6, 6922 Wellin, Belgium</v>
      </c>
      <c r="S8" s="80" t="str">
        <f ca="1">_xlfn.XLOOKUP(RIGHT(AA8,2),Размеры!D:D,Размеры!A:A,"ERR",0)</f>
        <v>59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Панама HERMAN арт. KENDAL (желтый)</v>
      </c>
      <c r="W8" s="100" t="str">
        <f t="shared" ca="1" si="4"/>
        <v>Панама HERMAN арт. KENDAL (желтый) {mustard}</v>
      </c>
      <c r="X8" s="18" t="str">
        <f t="shared" ca="1" si="5"/>
        <v>желтый</v>
      </c>
      <c r="Y8" s="18" t="str">
        <f t="shared" ca="1" si="6"/>
        <v>желтый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желтый</v>
      </c>
      <c r="AA8" s="73" t="str">
        <f ca="1"/>
        <v>81-094-20-59</v>
      </c>
      <c r="AB8" s="75" t="str">
        <f ca="1">VLOOKUP(C8,Группа!A:B,2,FALSE)</f>
        <v>Панама</v>
      </c>
      <c r="AC8" s="97" t="str">
        <f ca="1">IFERROR(VLOOKUP(S8,Размеры!A:C,3,FALSE),"")</f>
        <v>59 L</v>
      </c>
      <c r="AD8" s="97" t="str">
        <f ca="1">VLOOKUP(I8,ЦветПолный!A:B,2,FALSE)</f>
        <v>20</v>
      </c>
      <c r="AE8" s="97" t="str">
        <f ca="1">IFERROR(VLOOKUP(S8,Размеры!A:D,4,FALSE),"")</f>
        <v>59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81-094-20</v>
      </c>
      <c r="B9" s="107" t="str">
        <f ca="1">_xlfn.LET(_xlpm.CAPS,0,_xlpm.Style,TRIM(_xlfn.XLOOKUP($A9,Строчный!$A:$A,Строчный!B:B,"ERR",0)),IF(_xlpm.CAPS=0,_xlpm.Style,UPPER(_xlpm.Style)))</f>
        <v>KENDAL</v>
      </c>
      <c r="C9" s="81" t="str">
        <f ca="1">TRIM(PROPER(_xlfn.XLOOKUP($A9,Строчный!$A:$A,Строчный!C:C,"ERR",0)))</f>
        <v>Панамы</v>
      </c>
      <c r="D9" s="81" t="str">
        <f ca="1">_xlfn.LET(_xlpm.DATA,TRIM(_xlfn.XLOOKUP($A9,Строчный!$A:$A,Строчный!D:D,"ERR",0)),UPPER(MID(_xlpm.DATA,1,1))&amp;LOWER(MID(_xlpm.DATA,2,LEN(_xlpm.DATA)-1)))</f>
        <v>Панама</v>
      </c>
      <c r="E9" s="81" t="str">
        <f ca="1">PROPER(TRIM(_xlfn.XLOOKUP($A9,Строчный!$A:$A,Строчный!E:E,"ERR",0)))</f>
        <v>Herman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HERMAN</v>
      </c>
      <c r="H9" s="81" t="str">
        <f ca="1">LOWER(TRIM(_xlfn.XLOOKUP($A9,Строчный!$A:$A,Строчный!H:H,"ERR",0)))</f>
        <v>mustard</v>
      </c>
      <c r="I9" s="81" t="str">
        <f ca="1">LOWER(TRIM(_xlfn.XLOOKUP($A9,Строчный!$A:$A,Строчный!I:I,"ERR",0)))</f>
        <v>желтый</v>
      </c>
      <c r="J9" s="81" t="str">
        <f ca="1">SUBSTITUTE(LOWER(TRIM(_xlfn.XLOOKUP($A9,Строчный!$A:$A,Строчный!J:J,"ERR",0))),"подклад","Подклад")</f>
        <v>100% хлопок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813.59999999999991</v>
      </c>
      <c r="R9" s="89" t="str">
        <f ca="1">_xlfn.XLOOKUP($G9,Фабрика!A:A,Фабрика!B:B,"ERR",0)</f>
        <v>Chapellerie Herman S.A.; Rue Jean Meunier, 6, 6922 Wellin, Belgium</v>
      </c>
      <c r="S9" s="80" t="str">
        <f ca="1">_xlfn.XLOOKUP(RIGHT(AA9,2),Размеры!D:D,Размеры!A:A,"ERR",0)</f>
        <v>57</v>
      </c>
      <c r="T9" s="80">
        <f ca="1">VALUE(_xlfn.XLOOKUP($AA9,Строчный!$S:$S,Строчный!U:U,"ERR",0))</f>
        <v>6</v>
      </c>
      <c r="U9" s="14" t="s">
        <v>265</v>
      </c>
      <c r="V9" s="101" t="str">
        <f t="shared" ca="1" si="3"/>
        <v>Панама HERMAN арт. KENDAL (желтый)</v>
      </c>
      <c r="W9" s="100" t="str">
        <f t="shared" ca="1" si="4"/>
        <v>Панама HERMAN арт. KENDAL (желтый) {mustard}</v>
      </c>
      <c r="X9" s="18" t="str">
        <f t="shared" ca="1" si="5"/>
        <v>желтый</v>
      </c>
      <c r="Y9" s="18" t="str">
        <f t="shared" ca="1" si="6"/>
        <v>желтый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желтый</v>
      </c>
      <c r="AA9" s="73" t="str">
        <f ca="1"/>
        <v>81-094-20-57</v>
      </c>
      <c r="AB9" s="75" t="str">
        <f ca="1">VLOOKUP(C9,Группа!A:B,2,FALSE)</f>
        <v>Панама</v>
      </c>
      <c r="AC9" s="97" t="str">
        <f ca="1">IFERROR(VLOOKUP(S9,Размеры!A:C,3,FALSE),"")</f>
        <v>57 M</v>
      </c>
      <c r="AD9" s="97" t="str">
        <f ca="1">VLOOKUP(I9,ЦветПолный!A:B,2,FALSE)</f>
        <v>20</v>
      </c>
      <c r="AE9" s="97" t="str">
        <f ca="1">IFERROR(VLOOKUP(S9,Размеры!A:D,4,FALSE),"")</f>
        <v>57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81-094-09</v>
      </c>
      <c r="B10" s="107" t="str">
        <f ca="1">_xlfn.LET(_xlpm.CAPS,0,_xlpm.Style,TRIM(_xlfn.XLOOKUP($A10,Строчный!$A:$A,Строчный!B:B,"ERR",0)),IF(_xlpm.CAPS=0,_xlpm.Style,UPPER(_xlpm.Style)))</f>
        <v>KENDAL</v>
      </c>
      <c r="C10" s="81" t="str">
        <f ca="1">TRIM(PROPER(_xlfn.XLOOKUP($A10,Строчный!$A:$A,Строчный!C:C,"ERR",0)))</f>
        <v>Панамы</v>
      </c>
      <c r="D10" s="81" t="str">
        <f ca="1">_xlfn.LET(_xlpm.DATA,TRIM(_xlfn.XLOOKUP($A10,Строчный!$A:$A,Строчный!D:D,"ERR",0)),UPPER(MID(_xlpm.DATA,1,1))&amp;LOWER(MID(_xlpm.DATA,2,LEN(_xlpm.DATA)-1)))</f>
        <v>Панама</v>
      </c>
      <c r="E10" s="81" t="str">
        <f ca="1">PROPER(TRIM(_xlfn.XLOOKUP($A10,Строчный!$A:$A,Строчный!E:E,"ERR",0)))</f>
        <v>Herman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HERMAN</v>
      </c>
      <c r="H10" s="81" t="str">
        <f ca="1">LOWER(TRIM(_xlfn.XLOOKUP($A10,Строчный!$A:$A,Строчный!H:H,"ERR",0)))</f>
        <v>black</v>
      </c>
      <c r="I10" s="81" t="str">
        <f ca="1">LOWER(TRIM(_xlfn.XLOOKUP($A10,Строчный!$A:$A,Строчный!I:I,"ERR",0)))</f>
        <v>черный</v>
      </c>
      <c r="J10" s="81" t="str">
        <f ca="1">SUBSTITUTE(LOWER(TRIM(_xlfn.XLOOKUP($A10,Строчный!$A:$A,Строчный!J:J,"ERR",0))),"подклад","Подклад")</f>
        <v>100% хлопок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813.59999999999991</v>
      </c>
      <c r="R10" s="89" t="str">
        <f ca="1">_xlfn.XLOOKUP($G10,Фабрика!A:A,Фабрика!B:B,"ERR",0)</f>
        <v>Chapellerie Herman S.A.; Rue Jean Meunier, 6, 6922 Wellin, Belgium</v>
      </c>
      <c r="S10" s="80" t="str">
        <f ca="1">_xlfn.XLOOKUP(RIGHT(AA10,2),Размеры!D:D,Размеры!A:A,"ERR",0)</f>
        <v>59</v>
      </c>
      <c r="T10" s="80">
        <f ca="1">VALUE(_xlfn.XLOOKUP($AA10,Строчный!$S:$S,Строчный!U:U,"ERR",0))</f>
        <v>16</v>
      </c>
      <c r="U10" s="14" t="s">
        <v>265</v>
      </c>
      <c r="V10" s="101" t="str">
        <f t="shared" ca="1" si="3"/>
        <v>Панама HERMAN арт. KENDAL (черный)</v>
      </c>
      <c r="W10" s="100" t="str">
        <f t="shared" ca="1" si="4"/>
        <v>Панама HERMAN арт. KENDAL (черный) {black}</v>
      </c>
      <c r="X10" s="18" t="str">
        <f t="shared" ca="1" si="5"/>
        <v>черный</v>
      </c>
      <c r="Y10" s="18" t="str">
        <f t="shared" ca="1" si="6"/>
        <v>черный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3" t="str">
        <f ca="1"/>
        <v>81-094-09-59</v>
      </c>
      <c r="AB10" s="75" t="str">
        <f ca="1">VLOOKUP(C10,Группа!A:B,2,FALSE)</f>
        <v>Панама</v>
      </c>
      <c r="AC10" s="97" t="str">
        <f ca="1">IFERROR(VLOOKUP(S10,Размеры!A:C,3,FALSE),"")</f>
        <v>59 L</v>
      </c>
      <c r="AD10" s="97" t="str">
        <f ca="1">VLOOKUP(I10,ЦветПолный!A:B,2,FALSE)</f>
        <v>09</v>
      </c>
      <c r="AE10" s="97" t="str">
        <f ca="1">IFERROR(VLOOKUP(S10,Размеры!A:D,4,FALSE),"")</f>
        <v>59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81-094-09</v>
      </c>
      <c r="B11" s="107" t="str">
        <f ca="1">_xlfn.LET(_xlpm.CAPS,0,_xlpm.Style,TRIM(_xlfn.XLOOKUP($A11,Строчный!$A:$A,Строчный!B:B,"ERR",0)),IF(_xlpm.CAPS=0,_xlpm.Style,UPPER(_xlpm.Style)))</f>
        <v>KENDAL</v>
      </c>
      <c r="C11" s="81" t="str">
        <f ca="1">TRIM(PROPER(_xlfn.XLOOKUP($A11,Строчный!$A:$A,Строчный!C:C,"ERR",0)))</f>
        <v>Панамы</v>
      </c>
      <c r="D11" s="81" t="str">
        <f ca="1">_xlfn.LET(_xlpm.DATA,TRIM(_xlfn.XLOOKUP($A11,Строчный!$A:$A,Строчный!D:D,"ERR",0)),UPPER(MID(_xlpm.DATA,1,1))&amp;LOWER(MID(_xlpm.DATA,2,LEN(_xlpm.DATA)-1)))</f>
        <v>Панама</v>
      </c>
      <c r="E11" s="81" t="str">
        <f ca="1">PROPER(TRIM(_xlfn.XLOOKUP($A11,Строчный!$A:$A,Строчный!E:E,"ERR",0)))</f>
        <v>Herman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HERMAN</v>
      </c>
      <c r="H11" s="81" t="str">
        <f ca="1">LOWER(TRIM(_xlfn.XLOOKUP($A11,Строчный!$A:$A,Строчный!H:H,"ERR",0)))</f>
        <v>black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813.59999999999991</v>
      </c>
      <c r="R11" s="89" t="str">
        <f ca="1">_xlfn.XLOOKUP($G11,Фабрика!A:A,Фабрика!B:B,"ERR",0)</f>
        <v>Chapellerie Herman S.A.; Rue Jean Meunier, 6, 6922 Wellin, Belgium</v>
      </c>
      <c r="S11" s="80" t="str">
        <f ca="1">_xlfn.XLOOKUP(RIGHT(AA11,2),Размеры!D:D,Размеры!A:A,"ERR",0)</f>
        <v>57</v>
      </c>
      <c r="T11" s="80">
        <f ca="1">VALUE(_xlfn.XLOOKUP($AA11,Строчный!$S:$S,Строчный!U:U,"ERR",0))</f>
        <v>16</v>
      </c>
      <c r="U11" s="14" t="s">
        <v>265</v>
      </c>
      <c r="V11" s="101" t="str">
        <f t="shared" ca="1" si="3"/>
        <v>Панама HERMAN арт. KENDAL (черный)</v>
      </c>
      <c r="W11" s="100" t="str">
        <f t="shared" ca="1" si="4"/>
        <v>Панама HERMAN арт. KENDAL (черный) {black}</v>
      </c>
      <c r="X11" s="18" t="str">
        <f t="shared" ca="1" si="5"/>
        <v>черный</v>
      </c>
      <c r="Y11" s="18" t="str">
        <f t="shared" ca="1" si="6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81-094-09-57</v>
      </c>
      <c r="AB11" s="75" t="str">
        <f ca="1">VLOOKUP(C11,Группа!A:B,2,FALSE)</f>
        <v>Панама</v>
      </c>
      <c r="AC11" s="97" t="str">
        <f ca="1">IFERROR(VLOOKUP(S11,Размеры!A:C,3,FALSE),"")</f>
        <v>57 M</v>
      </c>
      <c r="AD11" s="97" t="str">
        <f ca="1">VLOOKUP(I11,ЦветПолный!A:B,2,FALSE)</f>
        <v>09</v>
      </c>
      <c r="AE11" s="97" t="str">
        <f ca="1">IFERROR(VLOOKUP(S11,Размеры!A:D,4,FALSE),"")</f>
        <v>57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81-094-02</v>
      </c>
      <c r="B12" s="107" t="str">
        <f ca="1">_xlfn.LET(_xlpm.CAPS,0,_xlpm.Style,TRIM(_xlfn.XLOOKUP($A12,Строчный!$A:$A,Строчный!B:B,"ERR",0)),IF(_xlpm.CAPS=0,_xlpm.Style,UPPER(_xlpm.Style)))</f>
        <v>KENDAL</v>
      </c>
      <c r="C12" s="81" t="str">
        <f ca="1">TRIM(PROPER(_xlfn.XLOOKUP($A12,Строчный!$A:$A,Строчный!C:C,"ERR",0)))</f>
        <v>Панамы</v>
      </c>
      <c r="D12" s="81" t="str">
        <f ca="1">_xlfn.LET(_xlpm.DATA,TRIM(_xlfn.XLOOKUP($A12,Строчный!$A:$A,Строчный!D:D,"ERR",0)),UPPER(MID(_xlpm.DATA,1,1))&amp;LOWER(MID(_xlpm.DATA,2,LEN(_xlpm.DATA)-1)))</f>
        <v>Панама</v>
      </c>
      <c r="E12" s="81" t="str">
        <f ca="1">PROPER(TRIM(_xlfn.XLOOKUP($A12,Строчный!$A:$A,Строчный!E:E,"ERR",0)))</f>
        <v>Herman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HERMAN</v>
      </c>
      <c r="H12" s="81" t="str">
        <f ca="1">LOWER(TRIM(_xlfn.XLOOKUP($A12,Строчный!$A:$A,Строчный!H:H,"ERR",0)))</f>
        <v>beige</v>
      </c>
      <c r="I12" s="81" t="str">
        <f ca="1">LOWER(TRIM(_xlfn.XLOOKUP($A12,Строчный!$A:$A,Строчный!I:I,"ERR",0)))</f>
        <v>бежевый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813.59999999999991</v>
      </c>
      <c r="R12" s="89" t="str">
        <f ca="1">_xlfn.XLOOKUP($G12,Фабрика!A:A,Фабрика!B:B,"ERR",0)</f>
        <v>Chapellerie Herman S.A.; Rue Jean Meunier, 6, 6922 Wellin, Belgium</v>
      </c>
      <c r="S12" s="80" t="str">
        <f ca="1">_xlfn.XLOOKUP(RIGHT(AA12,2),Размеры!D:D,Размеры!A:A,"ERR",0)</f>
        <v>59</v>
      </c>
      <c r="T12" s="80">
        <f ca="1">VALUE(_xlfn.XLOOKUP($AA12,Строчный!$S:$S,Строчный!U:U,"ERR",0))</f>
        <v>6</v>
      </c>
      <c r="U12" s="14" t="s">
        <v>265</v>
      </c>
      <c r="V12" s="101" t="str">
        <f t="shared" ca="1" si="3"/>
        <v>Панама HERMAN арт. KENDAL (бежевый)</v>
      </c>
      <c r="W12" s="100" t="str">
        <f t="shared" ca="1" si="4"/>
        <v>Панама HERMAN арт. KENDAL (бежевый) {beige}</v>
      </c>
      <c r="X12" s="18" t="str">
        <f t="shared" ca="1" si="5"/>
        <v>бежевый</v>
      </c>
      <c r="Y12" s="18" t="str">
        <f t="shared" ca="1" si="6"/>
        <v>бежевый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бежевый</v>
      </c>
      <c r="AA12" s="73" t="str">
        <f ca="1"/>
        <v>81-094-02-59</v>
      </c>
      <c r="AB12" s="75" t="str">
        <f ca="1">VLOOKUP(C12,Группа!A:B,2,FALSE)</f>
        <v>Панама</v>
      </c>
      <c r="AC12" s="97" t="str">
        <f ca="1">IFERROR(VLOOKUP(S12,Размеры!A:C,3,FALSE),"")</f>
        <v>59 L</v>
      </c>
      <c r="AD12" s="97" t="str">
        <f ca="1">VLOOKUP(I12,ЦветПолный!A:B,2,FALSE)</f>
        <v>02</v>
      </c>
      <c r="AE12" s="97" t="str">
        <f ca="1">IFERROR(VLOOKUP(S12,Размеры!A:D,4,FALSE),"")</f>
        <v>59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81-094-02</v>
      </c>
      <c r="B13" s="107" t="str">
        <f ca="1">_xlfn.LET(_xlpm.CAPS,0,_xlpm.Style,TRIM(_xlfn.XLOOKUP($A13,Строчный!$A:$A,Строчный!B:B,"ERR",0)),IF(_xlpm.CAPS=0,_xlpm.Style,UPPER(_xlpm.Style)))</f>
        <v>KENDAL</v>
      </c>
      <c r="C13" s="81" t="str">
        <f ca="1">TRIM(PROPER(_xlfn.XLOOKUP($A13,Строчный!$A:$A,Строчный!C:C,"ERR",0)))</f>
        <v>Панамы</v>
      </c>
      <c r="D13" s="81" t="str">
        <f ca="1">_xlfn.LET(_xlpm.DATA,TRIM(_xlfn.XLOOKUP($A13,Строчный!$A:$A,Строчный!D:D,"ERR",0)),UPPER(MID(_xlpm.DATA,1,1))&amp;LOWER(MID(_xlpm.DATA,2,LEN(_xlpm.DATA)-1)))</f>
        <v>Панама</v>
      </c>
      <c r="E13" s="81" t="str">
        <f ca="1">PROPER(TRIM(_xlfn.XLOOKUP($A13,Строчный!$A:$A,Строчный!E:E,"ERR",0)))</f>
        <v>Herman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HERMAN</v>
      </c>
      <c r="H13" s="81" t="str">
        <f ca="1">LOWER(TRIM(_xlfn.XLOOKUP($A13,Строчный!$A:$A,Строчный!H:H,"ERR",0)))</f>
        <v>beige</v>
      </c>
      <c r="I13" s="81" t="str">
        <f ca="1">LOWER(TRIM(_xlfn.XLOOKUP($A13,Строчный!$A:$A,Строчный!I:I,"ERR",0)))</f>
        <v>бежевый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813.59999999999991</v>
      </c>
      <c r="R13" s="89" t="str">
        <f ca="1">_xlfn.XLOOKUP($G13,Фабрика!A:A,Фабрика!B:B,"ERR",0)</f>
        <v>Chapellerie Herman S.A.; Rue Jean Meunier, 6, 6922 Wellin, Belgium</v>
      </c>
      <c r="S13" s="80" t="str">
        <f ca="1">_xlfn.XLOOKUP(RIGHT(AA13,2),Размеры!D:D,Размеры!A:A,"ERR",0)</f>
        <v>57</v>
      </c>
      <c r="T13" s="80">
        <f ca="1">VALUE(_xlfn.XLOOKUP($AA13,Строчный!$S:$S,Строчный!U:U,"ERR",0))</f>
        <v>6</v>
      </c>
      <c r="U13" s="14" t="s">
        <v>265</v>
      </c>
      <c r="V13" s="101" t="str">
        <f t="shared" ca="1" si="3"/>
        <v>Панама HERMAN арт. KENDAL (бежевый)</v>
      </c>
      <c r="W13" s="100" t="str">
        <f t="shared" ca="1" si="4"/>
        <v>Панама HERMAN арт. KENDAL (бежевый) {beige}</v>
      </c>
      <c r="X13" s="18" t="str">
        <f t="shared" ca="1" si="5"/>
        <v>бежевый</v>
      </c>
      <c r="Y13" s="18" t="str">
        <f t="shared" ca="1" si="6"/>
        <v>бежевый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AA13" s="73" t="str">
        <f ca="1"/>
        <v>81-094-02-57</v>
      </c>
      <c r="AB13" s="75" t="str">
        <f ca="1">VLOOKUP(C13,Группа!A:B,2,FALSE)</f>
        <v>Панама</v>
      </c>
      <c r="AC13" s="97" t="str">
        <f ca="1">IFERROR(VLOOKUP(S13,Размеры!A:C,3,FALSE),"")</f>
        <v>57 M</v>
      </c>
      <c r="AD13" s="97" t="str">
        <f ca="1">VLOOKUP(I13,ЦветПолный!A:B,2,FALSE)</f>
        <v>02</v>
      </c>
      <c r="AE13" s="97" t="str">
        <f ca="1">IFERROR(VLOOKUP(S13,Размеры!A:D,4,FALSE),"")</f>
        <v>57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81-093-80</v>
      </c>
      <c r="B14" s="107" t="str">
        <f ca="1">_xlfn.LET(_xlpm.CAPS,0,_xlpm.Style,TRIM(_xlfn.XLOOKUP($A14,Строчный!$A:$A,Строчный!B:B,"ERR",0)),IF(_xlpm.CAPS=0,_xlpm.Style,UPPER(_xlpm.Style)))</f>
        <v>TABARLY</v>
      </c>
      <c r="C14" s="81" t="str">
        <f ca="1">TRIM(PROPER(_xlfn.XLOOKUP($A14,Строчный!$A:$A,Строчный!C:C,"ERR",0)))</f>
        <v>Шапки</v>
      </c>
      <c r="D14" s="81" t="str">
        <f ca="1">_xlfn.LET(_xlpm.DATA,TRIM(_xlfn.XLOOKUP($A14,Строчный!$A:$A,Строчный!D:D,"ERR",0)),UPPER(MID(_xlpm.DATA,1,1))&amp;LOWER(MID(_xlpm.DATA,2,LEN(_xlpm.DATA)-1)))</f>
        <v>Шапка докер</v>
      </c>
      <c r="E14" s="81" t="str">
        <f ca="1">PROPER(TRIM(_xlfn.XLOOKUP($A14,Строчный!$A:$A,Строчный!E:E,"ERR",0)))</f>
        <v>Herman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HERMAN</v>
      </c>
      <c r="H14" s="81" t="str">
        <f ca="1">LOWER(TRIM(_xlfn.XLOOKUP($A14,Строчный!$A:$A,Строчный!H:H,"ERR",0)))</f>
        <v>grey</v>
      </c>
      <c r="I14" s="81" t="str">
        <f ca="1">LOWER(TRIM(_xlfn.XLOOKUP($A14,Строчный!$A:$A,Строчный!I:I,"ERR",0)))</f>
        <v>серый</v>
      </c>
      <c r="J14" s="81" t="str">
        <f ca="1">SUBSTITUTE(LOWER(TRIM(_xlfn.XLOOKUP($A14,Строчный!$A:$A,Строчный!J:J,"ERR",0))),"подклад","Подклад")</f>
        <v>50% шерсть - 50% полиэстер</v>
      </c>
      <c r="K14" s="81" t="str">
        <f ca="1">LOWER(TRIM(_xlfn.XLOOKUP($A14,Строчный!$A:$A,Строчный!K:K,"ERR",0)))</f>
        <v>шерстяные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579.6</v>
      </c>
      <c r="R14" s="89" t="str">
        <f ca="1">_xlfn.XLOOKUP($G14,Фабрика!A:A,Фабрика!B:B,"ERR",0)</f>
        <v>Chapellerie Herman S.A.; Rue Jean Meunier, 6, 6922 Wellin, Belgium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4</v>
      </c>
      <c r="U14" s="14" t="s">
        <v>265</v>
      </c>
      <c r="V14" s="101" t="str">
        <f t="shared" ca="1" si="3"/>
        <v>Шапка HERMAN арт. TABARLY (серый)</v>
      </c>
      <c r="W14" s="100" t="str">
        <f t="shared" ca="1" si="4"/>
        <v>Шапка HERMAN арт. TABARLY (серый) {grey}</v>
      </c>
      <c r="X14" s="18" t="str">
        <f t="shared" ca="1" si="5"/>
        <v>серый</v>
      </c>
      <c r="Y14" s="18" t="str">
        <f t="shared" ca="1" si="6"/>
        <v>серый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серый</v>
      </c>
      <c r="AA14" s="73" t="str">
        <f ca="1"/>
        <v>81-093-80-00</v>
      </c>
      <c r="AB14" s="75" t="str">
        <f ca="1">VLOOKUP(C14,Группа!A:B,2,FALSE)</f>
        <v>Шапка</v>
      </c>
      <c r="AC14" s="97" t="str">
        <f ca="1">IFERROR(VLOOKUP(S14,Размеры!A:C,3,FALSE),"")</f>
        <v>ONE</v>
      </c>
      <c r="AD14" s="97" t="str">
        <f ca="1">VLOOKUP(I14,ЦветПолный!A:B,2,FALSE)</f>
        <v>80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81-093-16</v>
      </c>
      <c r="B15" s="107" t="str">
        <f ca="1">_xlfn.LET(_xlpm.CAPS,0,_xlpm.Style,TRIM(_xlfn.XLOOKUP($A15,Строчный!$A:$A,Строчный!B:B,"ERR",0)),IF(_xlpm.CAPS=0,_xlpm.Style,UPPER(_xlpm.Style)))</f>
        <v>TABARLY</v>
      </c>
      <c r="C15" s="81" t="str">
        <f ca="1">TRIM(PROPER(_xlfn.XLOOKUP($A15,Строчный!$A:$A,Строчный!C:C,"ERR",0)))</f>
        <v>Шапки</v>
      </c>
      <c r="D15" s="81" t="str">
        <f ca="1">_xlfn.LET(_xlpm.DATA,TRIM(_xlfn.XLOOKUP($A15,Строчный!$A:$A,Строчный!D:D,"ERR",0)),UPPER(MID(_xlpm.DATA,1,1))&amp;LOWER(MID(_xlpm.DATA,2,LEN(_xlpm.DATA)-1)))</f>
        <v>Шапка докер</v>
      </c>
      <c r="E15" s="81" t="str">
        <f ca="1">PROPER(TRIM(_xlfn.XLOOKUP($A15,Строчный!$A:$A,Строчный!E:E,"ERR",0)))</f>
        <v>Herman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HERMAN</v>
      </c>
      <c r="H15" s="81" t="str">
        <f ca="1">LOWER(TRIM(_xlfn.XLOOKUP($A15,Строчный!$A:$A,Строчный!H:H,"ERR",0)))</f>
        <v>navy</v>
      </c>
      <c r="I15" s="81" t="str">
        <f ca="1">LOWER(TRIM(_xlfn.XLOOKUP($A15,Строчный!$A:$A,Строчный!I:I,"ERR",0)))</f>
        <v>темно-синий</v>
      </c>
      <c r="J15" s="81" t="str">
        <f ca="1">SUBSTITUTE(LOWER(TRIM(_xlfn.XLOOKUP($A15,Строчный!$A:$A,Строчный!J:J,"ERR",0))),"подклад","Подклад")</f>
        <v>50% шерсть - 50% полиэстер</v>
      </c>
      <c r="K15" s="81" t="str">
        <f ca="1">LOWER(TRIM(_xlfn.XLOOKUP($A15,Строчный!$A:$A,Строчный!K:K,"ERR",0)))</f>
        <v>шерстяные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579.6</v>
      </c>
      <c r="R15" s="89" t="str">
        <f ca="1">_xlfn.XLOOKUP($G15,Фабрика!A:A,Фабрика!B:B,"ERR",0)</f>
        <v>Chapellerie Herman S.A.; Rue Jean Meunier, 6, 6922 Wellin, Belgium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4</v>
      </c>
      <c r="U15" s="14" t="s">
        <v>265</v>
      </c>
      <c r="V15" s="101" t="str">
        <f t="shared" ca="1" si="3"/>
        <v>Шапка HERMAN арт. TABARLY (темно-синий)</v>
      </c>
      <c r="W15" s="100" t="str">
        <f t="shared" ca="1" si="4"/>
        <v>Шапка HERMAN арт. TABARLY (темно-синий) {navy}</v>
      </c>
      <c r="X15" s="18" t="str">
        <f t="shared" ca="1" si="5"/>
        <v>синий</v>
      </c>
      <c r="Y15" s="18" t="str">
        <f t="shared" ca="1" si="6"/>
        <v>синий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73" t="str">
        <f ca="1"/>
        <v>81-093-16-00</v>
      </c>
      <c r="AB15" s="75" t="str">
        <f ca="1">VLOOKUP(C15,Группа!A:B,2,FALSE)</f>
        <v>Шапка</v>
      </c>
      <c r="AC15" s="97" t="str">
        <f ca="1">IFERROR(VLOOKUP(S15,Размеры!A:C,3,FALSE),"")</f>
        <v>ONE</v>
      </c>
      <c r="AD15" s="97" t="str">
        <f ca="1">VLOOKUP(I15,ЦветПолный!A:B,2,FALSE)</f>
        <v>16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81-092-80</v>
      </c>
      <c r="B16" s="107" t="str">
        <f ca="1">_xlfn.LET(_xlpm.CAPS,0,_xlpm.Style,TRIM(_xlfn.XLOOKUP($A16,Строчный!$A:$A,Строчный!B:B,"ERR",0)),IF(_xlpm.CAPS=0,_xlpm.Style,UPPER(_xlpm.Style)))</f>
        <v>BRUCE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Herman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HERMAN</v>
      </c>
      <c r="H16" s="81" t="str">
        <f ca="1">LOWER(TRIM(_xlfn.XLOOKUP($A16,Строчный!$A:$A,Строчный!H:H,"ERR",0)))</f>
        <v>charcoal</v>
      </c>
      <c r="I16" s="81" t="str">
        <f ca="1">LOWER(TRIM(_xlfn.XLOOKUP($A16,Строчный!$A:$A,Строчный!I:I,"ERR",0)))</f>
        <v>серый</v>
      </c>
      <c r="J16" s="81" t="str">
        <f ca="1">SUBSTITUTE(LOWER(TRIM(_xlfn.XLOOKUP($A16,Строчный!$A:$A,Строчный!J:J,"ERR",0))),"подклад","Подклад")</f>
        <v>57% полиэстер - 33% акрилл - 10% хлопок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755.1</v>
      </c>
      <c r="R16" s="89" t="str">
        <f ca="1">_xlfn.XLOOKUP($G16,Фабрика!A:A,Фабрика!B:B,"ERR",0)</f>
        <v>Chapellerie Herman S.A.; Rue Jean Meunier, 6, 6922 Wellin, Belgium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40</v>
      </c>
      <c r="U16" s="14" t="s">
        <v>265</v>
      </c>
      <c r="V16" s="101" t="str">
        <f t="shared" ca="1" si="3"/>
        <v>Бейсболка HERMAN арт. BRUCE (серый)</v>
      </c>
      <c r="W16" s="100" t="str">
        <f t="shared" ca="1" si="4"/>
        <v>Бейсболка HERMAN арт. BRUCE (серый) {charcoal}</v>
      </c>
      <c r="X16" s="18" t="str">
        <f t="shared" ca="1" si="5"/>
        <v>серый</v>
      </c>
      <c r="Y16" s="18" t="str">
        <f t="shared" ca="1" si="6"/>
        <v>серый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AA16" s="73" t="str">
        <f ca="1"/>
        <v>81-092-80-00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80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81-091-20</v>
      </c>
      <c r="B17" s="107" t="str">
        <f ca="1">_xlfn.LET(_xlpm.CAPS,0,_xlpm.Style,TRIM(_xlfn.XLOOKUP($A17,Строчный!$A:$A,Строчный!B:B,"ERR",0)),IF(_xlpm.CAPS=0,_xlpm.Style,UPPER(_xlpm.Style)))</f>
        <v>HARTLEY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Herman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HERMAN</v>
      </c>
      <c r="H17" s="81" t="str">
        <f ca="1">LOWER(TRIM(_xlfn.XLOOKUP($A17,Строчный!$A:$A,Строчный!H:H,"ERR",0)))</f>
        <v>mustard</v>
      </c>
      <c r="I17" s="81" t="str">
        <f ca="1">LOWER(TRIM(_xlfn.XLOOKUP($A17,Строчный!$A:$A,Строчный!I:I,"ERR",0)))</f>
        <v>желтый</v>
      </c>
      <c r="J17" s="81" t="str">
        <f ca="1">SUBSTITUTE(LOWER(TRIM(_xlfn.XLOOKUP($A17,Строчный!$A:$A,Строчный!J:J,"ERR",0))),"подклад","Подклад")</f>
        <v>100%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696.6</v>
      </c>
      <c r="R17" s="89" t="str">
        <f ca="1">_xlfn.XLOOKUP($G17,Фабрика!A:A,Фабрика!B:B,"ERR",0)</f>
        <v>Chapellerie Herman S.A.; Rue Jean Meunier, 6, 6922 Wellin, Belgium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12</v>
      </c>
      <c r="U17" s="14" t="s">
        <v>265</v>
      </c>
      <c r="V17" s="101" t="str">
        <f t="shared" ca="1" si="3"/>
        <v>Бейсболка HERMAN арт. HARTLEY (желтый)</v>
      </c>
      <c r="W17" s="100" t="str">
        <f t="shared" ca="1" si="4"/>
        <v>Бейсболка HERMAN арт. HARTLEY (желтый) {mustard}</v>
      </c>
      <c r="X17" s="18" t="str">
        <f t="shared" ca="1" si="5"/>
        <v>желтый</v>
      </c>
      <c r="Y17" s="18" t="str">
        <f t="shared" ca="1" si="6"/>
        <v>желтый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желтый</v>
      </c>
      <c r="AA17" s="73" t="str">
        <f ca="1"/>
        <v>81-091-20-00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20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81-091-09</v>
      </c>
      <c r="B18" s="107" t="str">
        <f ca="1">_xlfn.LET(_xlpm.CAPS,0,_xlpm.Style,TRIM(_xlfn.XLOOKUP($A18,Строчный!$A:$A,Строчный!B:B,"ERR",0)),IF(_xlpm.CAPS=0,_xlpm.Style,UPPER(_xlpm.Style)))</f>
        <v>HARTLEY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Herman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HERMAN</v>
      </c>
      <c r="H18" s="81" t="str">
        <f ca="1">LOWER(TRIM(_xlfn.XLOOKUP($A18,Строчный!$A:$A,Строчный!H:H,"ERR",0)))</f>
        <v>black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100%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696.6</v>
      </c>
      <c r="R18" s="89" t="str">
        <f ca="1">_xlfn.XLOOKUP($G18,Фабрика!A:A,Фабрика!B:B,"ERR",0)</f>
        <v>Chapellerie Herman S.A.; Rue Jean Meunier, 6, 6922 Wellin, Belgium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70</v>
      </c>
      <c r="U18" s="14" t="s">
        <v>265</v>
      </c>
      <c r="V18" s="101" t="str">
        <f t="shared" ca="1" si="3"/>
        <v>Бейсболка HERMAN арт. HARTLEY (черный)</v>
      </c>
      <c r="W18" s="100" t="str">
        <f t="shared" ca="1" si="4"/>
        <v>Бейсболка HERMAN арт. HARTLEY (черный) {black}</v>
      </c>
      <c r="X18" s="18" t="str">
        <f t="shared" ca="1" si="5"/>
        <v>черный</v>
      </c>
      <c r="Y18" s="18" t="str">
        <f t="shared" ca="1" si="6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3" t="str">
        <f ca="1"/>
        <v>81-091-09-00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09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81-091-02</v>
      </c>
      <c r="B19" s="107" t="str">
        <f ca="1">_xlfn.LET(_xlpm.CAPS,0,_xlpm.Style,TRIM(_xlfn.XLOOKUP($A19,Строчный!$A:$A,Строчный!B:B,"ERR",0)),IF(_xlpm.CAPS=0,_xlpm.Style,UPPER(_xlpm.Style)))</f>
        <v>HARTLEY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Herman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HERMAN</v>
      </c>
      <c r="H19" s="81" t="str">
        <f ca="1">LOWER(TRIM(_xlfn.XLOOKUP($A19,Строчный!$A:$A,Строчный!H:H,"ERR",0)))</f>
        <v>beige</v>
      </c>
      <c r="I19" s="81" t="str">
        <f ca="1">LOWER(TRIM(_xlfn.XLOOKUP($A19,Строчный!$A:$A,Строчный!I:I,"ERR",0)))</f>
        <v>бежевый</v>
      </c>
      <c r="J19" s="81" t="str">
        <f ca="1">SUBSTITUTE(LOWER(TRIM(_xlfn.XLOOKUP($A19,Строчный!$A:$A,Строчный!J:J,"ERR",0))),"подклад","Подклад")</f>
        <v>100%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696.6</v>
      </c>
      <c r="R19" s="89" t="str">
        <f ca="1">_xlfn.XLOOKUP($G19,Фабрика!A:A,Фабрика!B:B,"ERR",0)</f>
        <v>Chapellerie Herman S.A.; Rue Jean Meunier, 6, 6922 Wellin, Belgium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20</v>
      </c>
      <c r="U19" s="14" t="s">
        <v>265</v>
      </c>
      <c r="V19" s="101" t="str">
        <f t="shared" ca="1" si="3"/>
        <v>Бейсболка HERMAN арт. HARTLEY (бежевый)</v>
      </c>
      <c r="W19" s="100" t="str">
        <f t="shared" ca="1" si="4"/>
        <v>Бейсболка HERMAN арт. HARTLEY (бежевый) {beige}</v>
      </c>
      <c r="X19" s="18" t="str">
        <f t="shared" ca="1" si="5"/>
        <v>бежевый</v>
      </c>
      <c r="Y19" s="18" t="str">
        <f t="shared" ca="1" si="6"/>
        <v>бежевый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бежевый</v>
      </c>
      <c r="AA19" s="73" t="str">
        <f ca="1"/>
        <v>81-091-02-00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02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81-090-13</v>
      </c>
      <c r="B20" s="107" t="str">
        <f ca="1">_xlfn.LET(_xlpm.CAPS,0,_xlpm.Style,TRIM(_xlfn.XLOOKUP($A20,Строчный!$A:$A,Строчный!B:B,"ERR",0)),IF(_xlpm.CAPS=0,_xlpm.Style,UPPER(_xlpm.Style)))</f>
        <v>KING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Herman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HERMAN</v>
      </c>
      <c r="H20" s="81" t="str">
        <f ca="1">LOWER(TRIM(_xlfn.XLOOKUP($A20,Строчный!$A:$A,Строчный!H:H,"ERR",0)))</f>
        <v>cognac</v>
      </c>
      <c r="I20" s="81" t="str">
        <f ca="1">LOWER(TRIM(_xlfn.XLOOKUP($A20,Строчный!$A:$A,Строчный!I:I,"ERR",0)))</f>
        <v>рыжий</v>
      </c>
      <c r="J20" s="81" t="str">
        <f ca="1">SUBSTITUTE(LOWER(TRIM(_xlfn.XLOOKUP($A20,Строчный!$A:$A,Строчный!J:J,"ERR",0))),"подклад","Подклад")</f>
        <v>100% кожа</v>
      </c>
      <c r="K20" s="81" t="str">
        <f ca="1">LOWER(TRIM(_xlfn.XLOOKUP($A20,Строчный!$A:$A,Строчный!K:K,"ERR",0)))</f>
        <v>кожаные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Италия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2451.6</v>
      </c>
      <c r="R20" s="89" t="str">
        <f ca="1">_xlfn.XLOOKUP($G20,Фабрика!A:A,Фабрика!B:B,"ERR",0)</f>
        <v>Chapellerie Herman S.A.; Rue Jean Meunier, 6, 6922 Wellin, Belgium</v>
      </c>
      <c r="S20" s="80" t="str">
        <f ca="1">_xlfn.XLOOKUP(RIGHT(AA20,2),Размеры!D:D,Размеры!A:A,"ERR",0)</f>
        <v>61</v>
      </c>
      <c r="T20" s="80">
        <f ca="1">VALUE(_xlfn.XLOOKUP($AA20,Строчный!$S:$S,Строчный!U:U,"ERR",0))</f>
        <v>2</v>
      </c>
      <c r="U20" s="14" t="s">
        <v>265</v>
      </c>
      <c r="V20" s="101" t="str">
        <f t="shared" ca="1" si="3"/>
        <v>Бейсболка HERMAN арт. KING (рыжий)</v>
      </c>
      <c r="W20" s="100" t="str">
        <f t="shared" ca="1" si="4"/>
        <v>Бейсболка HERMAN арт. KING (рыжий) {cognac}</v>
      </c>
      <c r="X20" s="18" t="str">
        <f t="shared" ca="1" si="5"/>
        <v>рыжий</v>
      </c>
      <c r="Y20" s="18" t="str">
        <f t="shared" ca="1" si="6"/>
        <v>рыжий</v>
      </c>
      <c r="Z20" s="117" t="s">
        <v>123</v>
      </c>
      <c r="AA20" s="73" t="str">
        <f ca="1"/>
        <v>81-090-13-61</v>
      </c>
      <c r="AB20" s="75" t="str">
        <f ca="1">VLOOKUP(C20,Группа!A:B,2,FALSE)</f>
        <v>Бейсболка</v>
      </c>
      <c r="AC20" s="97" t="str">
        <f ca="1">IFERROR(VLOOKUP(S20,Размеры!A:C,3,FALSE),"")</f>
        <v>61 XL</v>
      </c>
      <c r="AD20" s="97" t="str">
        <f ca="1">VLOOKUP(I20,ЦветПолный!A:B,2,FALSE)</f>
        <v>13</v>
      </c>
      <c r="AE20" s="97" t="str">
        <f ca="1">IFERROR(VLOOKUP(S20,Размеры!A:D,4,FALSE),"")</f>
        <v>61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81-090-13</v>
      </c>
      <c r="B21" s="107" t="str">
        <f ca="1">_xlfn.LET(_xlpm.CAPS,0,_xlpm.Style,TRIM(_xlfn.XLOOKUP($A21,Строчный!$A:$A,Строчный!B:B,"ERR",0)),IF(_xlpm.CAPS=0,_xlpm.Style,UPPER(_xlpm.Style)))</f>
        <v>KING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Herman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HERMAN</v>
      </c>
      <c r="H21" s="81" t="str">
        <f ca="1">LOWER(TRIM(_xlfn.XLOOKUP($A21,Строчный!$A:$A,Строчный!H:H,"ERR",0)))</f>
        <v>cognac</v>
      </c>
      <c r="I21" s="81" t="str">
        <f ca="1">LOWER(TRIM(_xlfn.XLOOKUP($A21,Строчный!$A:$A,Строчный!I:I,"ERR",0)))</f>
        <v>рыжий</v>
      </c>
      <c r="J21" s="81" t="str">
        <f ca="1">SUBSTITUTE(LOWER(TRIM(_xlfn.XLOOKUP($A21,Строчный!$A:$A,Строчный!J:J,"ERR",0))),"подклад","Подклад")</f>
        <v>100% кожа</v>
      </c>
      <c r="K21" s="81" t="str">
        <f ca="1">LOWER(TRIM(_xlfn.XLOOKUP($A21,Строчный!$A:$A,Строчный!K:K,"ERR",0)))</f>
        <v>кожаные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Италия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2451.6</v>
      </c>
      <c r="R21" s="89" t="str">
        <f ca="1">_xlfn.XLOOKUP($G21,Фабрика!A:A,Фабрика!B:B,"ERR",0)</f>
        <v>Chapellerie Herman S.A.; Rue Jean Meunier, 6, 6922 Wellin, Belgium</v>
      </c>
      <c r="S21" s="80" t="str">
        <f ca="1">_xlfn.XLOOKUP(RIGHT(AA21,2),Размеры!D:D,Размеры!A:A,"ERR",0)</f>
        <v>60</v>
      </c>
      <c r="T21" s="80">
        <f ca="1">VALUE(_xlfn.XLOOKUP($AA21,Строчный!$S:$S,Строчный!U:U,"ERR",0))</f>
        <v>1</v>
      </c>
      <c r="U21" s="14" t="s">
        <v>265</v>
      </c>
      <c r="V21" s="101" t="str">
        <f t="shared" ca="1" si="3"/>
        <v>Бейсболка HERMAN арт. KING (рыжий)</v>
      </c>
      <c r="W21" s="100" t="str">
        <f t="shared" ca="1" si="4"/>
        <v>Бейсболка HERMAN арт. KING (рыжий) {cognac}</v>
      </c>
      <c r="X21" s="18" t="str">
        <f t="shared" ca="1" si="5"/>
        <v>рыжий</v>
      </c>
      <c r="Y21" s="18" t="str">
        <f t="shared" ca="1" si="6"/>
        <v>рыжий</v>
      </c>
      <c r="Z21" s="117" t="s">
        <v>123</v>
      </c>
      <c r="AA21" s="73" t="str">
        <f ca="1"/>
        <v>81-090-13-60</v>
      </c>
      <c r="AB21" s="75" t="str">
        <f ca="1">VLOOKUP(C21,Группа!A:B,2,FALSE)</f>
        <v>Бейсболка</v>
      </c>
      <c r="AC21" s="97" t="str">
        <f ca="1">IFERROR(VLOOKUP(S21,Размеры!A:C,3,FALSE),"")</f>
        <v>60 L/XL</v>
      </c>
      <c r="AD21" s="97" t="str">
        <f ca="1">VLOOKUP(I21,ЦветПолный!A:B,2,FALSE)</f>
        <v>13</v>
      </c>
      <c r="AE21" s="97" t="str">
        <f ca="1">IFERROR(VLOOKUP(S21,Размеры!A:D,4,FALSE),"")</f>
        <v>60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81-090-13</v>
      </c>
      <c r="B22" s="107" t="str">
        <f ca="1">_xlfn.LET(_xlpm.CAPS,0,_xlpm.Style,TRIM(_xlfn.XLOOKUP($A22,Строчный!$A:$A,Строчный!B:B,"ERR",0)),IF(_xlpm.CAPS=0,_xlpm.Style,UPPER(_xlpm.Style)))</f>
        <v>KING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Herman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HERMAN</v>
      </c>
      <c r="H22" s="81" t="str">
        <f ca="1">LOWER(TRIM(_xlfn.XLOOKUP($A22,Строчный!$A:$A,Строчный!H:H,"ERR",0)))</f>
        <v>cognac</v>
      </c>
      <c r="I22" s="81" t="str">
        <f ca="1">LOWER(TRIM(_xlfn.XLOOKUP($A22,Строчный!$A:$A,Строчный!I:I,"ERR",0)))</f>
        <v>рыжий</v>
      </c>
      <c r="J22" s="81" t="str">
        <f ca="1">SUBSTITUTE(LOWER(TRIM(_xlfn.XLOOKUP($A22,Строчный!$A:$A,Строчный!J:J,"ERR",0))),"подклад","Подклад")</f>
        <v>100% кожа</v>
      </c>
      <c r="K22" s="81" t="str">
        <f ca="1">LOWER(TRIM(_xlfn.XLOOKUP($A22,Строчный!$A:$A,Строчный!K:K,"ERR",0)))</f>
        <v>кожаные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Италия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2451.6</v>
      </c>
      <c r="R22" s="89" t="str">
        <f ca="1">_xlfn.XLOOKUP($G22,Фабрика!A:A,Фабрика!B:B,"ERR",0)</f>
        <v>Chapellerie Herman S.A.; Rue Jean Meunier, 6, 6922 Wellin, Belgium</v>
      </c>
      <c r="S22" s="80" t="str">
        <f ca="1">_xlfn.XLOOKUP(RIGHT(AA22,2),Размеры!D:D,Размеры!A:A,"ERR",0)</f>
        <v>59</v>
      </c>
      <c r="T22" s="80">
        <f ca="1">VALUE(_xlfn.XLOOKUP($AA22,Строчный!$S:$S,Строчный!U:U,"ERR",0))</f>
        <v>5</v>
      </c>
      <c r="U22" s="14" t="s">
        <v>265</v>
      </c>
      <c r="V22" s="101" t="str">
        <f t="shared" ca="1" si="3"/>
        <v>Бейсболка HERMAN арт. KING (рыжий)</v>
      </c>
      <c r="W22" s="100" t="str">
        <f t="shared" ca="1" si="4"/>
        <v>Бейсболка HERMAN арт. KING (рыжий) {cognac}</v>
      </c>
      <c r="X22" s="18" t="str">
        <f t="shared" ca="1" si="5"/>
        <v>рыжий</v>
      </c>
      <c r="Y22" s="18" t="str">
        <f t="shared" ca="1" si="6"/>
        <v>рыжий</v>
      </c>
      <c r="Z22" s="117" t="s">
        <v>123</v>
      </c>
      <c r="AA22" s="73" t="str">
        <f ca="1"/>
        <v>81-090-13-59</v>
      </c>
      <c r="AB22" s="75" t="str">
        <f ca="1">VLOOKUP(C22,Группа!A:B,2,FALSE)</f>
        <v>Бейсболка</v>
      </c>
      <c r="AC22" s="97" t="str">
        <f ca="1">IFERROR(VLOOKUP(S22,Размеры!A:C,3,FALSE),"")</f>
        <v>59 L</v>
      </c>
      <c r="AD22" s="97" t="str">
        <f ca="1">VLOOKUP(I22,ЦветПолный!A:B,2,FALSE)</f>
        <v>13</v>
      </c>
      <c r="AE22" s="97" t="str">
        <f ca="1">IFERROR(VLOOKUP(S22,Размеры!A:D,4,FALSE),"")</f>
        <v>59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81-090-13</v>
      </c>
      <c r="B23" s="107" t="str">
        <f ca="1">_xlfn.LET(_xlpm.CAPS,0,_xlpm.Style,TRIM(_xlfn.XLOOKUP($A23,Строчный!$A:$A,Строчный!B:B,"ERR",0)),IF(_xlpm.CAPS=0,_xlpm.Style,UPPER(_xlpm.Style)))</f>
        <v>KING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Herman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HERMAN</v>
      </c>
      <c r="H23" s="81" t="str">
        <f ca="1">LOWER(TRIM(_xlfn.XLOOKUP($A23,Строчный!$A:$A,Строчный!H:H,"ERR",0)))</f>
        <v>cognac</v>
      </c>
      <c r="I23" s="81" t="str">
        <f ca="1">LOWER(TRIM(_xlfn.XLOOKUP($A23,Строчный!$A:$A,Строчный!I:I,"ERR",0)))</f>
        <v>рыжий</v>
      </c>
      <c r="J23" s="81" t="str">
        <f ca="1">SUBSTITUTE(LOWER(TRIM(_xlfn.XLOOKUP($A23,Строчный!$A:$A,Строчный!J:J,"ERR",0))),"подклад","Подклад")</f>
        <v>100% кожа</v>
      </c>
      <c r="K23" s="81" t="str">
        <f ca="1">LOWER(TRIM(_xlfn.XLOOKUP($A23,Строчный!$A:$A,Строчный!K:K,"ERR",0)))</f>
        <v>кожаные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Италия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2451.6</v>
      </c>
      <c r="R23" s="89" t="str">
        <f ca="1">_xlfn.XLOOKUP($G23,Фабрика!A:A,Фабрика!B:B,"ERR",0)</f>
        <v>Chapellerie Herman S.A.; Rue Jean Meunier, 6, 6922 Wellin, Belgium</v>
      </c>
      <c r="S23" s="80" t="str">
        <f ca="1">_xlfn.XLOOKUP(RIGHT(AA23,2),Размеры!D:D,Размеры!A:A,"ERR",0)</f>
        <v>58</v>
      </c>
      <c r="T23" s="80">
        <f ca="1">VALUE(_xlfn.XLOOKUP($AA23,Строчный!$S:$S,Строчный!U:U,"ERR",0))</f>
        <v>4</v>
      </c>
      <c r="U23" s="14" t="s">
        <v>265</v>
      </c>
      <c r="V23" s="101" t="str">
        <f t="shared" ca="1" si="3"/>
        <v>Бейсболка HERMAN арт. KING (рыжий)</v>
      </c>
      <c r="W23" s="100" t="str">
        <f t="shared" ca="1" si="4"/>
        <v>Бейсболка HERMAN арт. KING (рыжий) {cognac}</v>
      </c>
      <c r="X23" s="18" t="str">
        <f t="shared" ca="1" si="5"/>
        <v>рыжий</v>
      </c>
      <c r="Y23" s="18" t="str">
        <f t="shared" ca="1" si="6"/>
        <v>рыжий</v>
      </c>
      <c r="Z23" s="117" t="s">
        <v>123</v>
      </c>
      <c r="AA23" s="73" t="str">
        <f ca="1"/>
        <v>81-090-13-58</v>
      </c>
      <c r="AB23" s="75" t="str">
        <f ca="1">VLOOKUP(C23,Группа!A:B,2,FALSE)</f>
        <v>Бейсболка</v>
      </c>
      <c r="AC23" s="97" t="str">
        <f ca="1">IFERROR(VLOOKUP(S23,Размеры!A:C,3,FALSE),"")</f>
        <v>58 M/L</v>
      </c>
      <c r="AD23" s="97" t="str">
        <f ca="1">VLOOKUP(I23,ЦветПолный!A:B,2,FALSE)</f>
        <v>13</v>
      </c>
      <c r="AE23" s="97" t="str">
        <f ca="1">IFERROR(VLOOKUP(S23,Размеры!A:D,4,FALSE),"")</f>
        <v>58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81-090-13</v>
      </c>
      <c r="B24" s="107" t="str">
        <f ca="1">_xlfn.LET(_xlpm.CAPS,0,_xlpm.Style,TRIM(_xlfn.XLOOKUP($A24,Строчный!$A:$A,Строчный!B:B,"ERR",0)),IF(_xlpm.CAPS=0,_xlpm.Style,UPPER(_xlpm.Style)))</f>
        <v>KING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Herman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HERMAN</v>
      </c>
      <c r="H24" s="81" t="str">
        <f ca="1">LOWER(TRIM(_xlfn.XLOOKUP($A24,Строчный!$A:$A,Строчный!H:H,"ERR",0)))</f>
        <v>cognac</v>
      </c>
      <c r="I24" s="81" t="str">
        <f ca="1">LOWER(TRIM(_xlfn.XLOOKUP($A24,Строчный!$A:$A,Строчный!I:I,"ERR",0)))</f>
        <v>рыжий</v>
      </c>
      <c r="J24" s="81" t="str">
        <f ca="1">SUBSTITUTE(LOWER(TRIM(_xlfn.XLOOKUP($A24,Строчный!$A:$A,Строчный!J:J,"ERR",0))),"подклад","Подклад")</f>
        <v>100% кожа</v>
      </c>
      <c r="K24" s="81" t="str">
        <f ca="1">LOWER(TRIM(_xlfn.XLOOKUP($A24,Строчный!$A:$A,Строчный!K:K,"ERR",0)))</f>
        <v>кожаные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Италия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2451.6</v>
      </c>
      <c r="R24" s="89" t="str">
        <f ca="1">_xlfn.XLOOKUP($G24,Фабрика!A:A,Фабрика!B:B,"ERR",0)</f>
        <v>Chapellerie Herman S.A.; Rue Jean Meunier, 6, 6922 Wellin, Belgium</v>
      </c>
      <c r="S24" s="80" t="str">
        <f ca="1">_xlfn.XLOOKUP(RIGHT(AA24,2),Размеры!D:D,Размеры!A:A,"ERR",0)</f>
        <v>57</v>
      </c>
      <c r="T24" s="80">
        <f ca="1">VALUE(_xlfn.XLOOKUP($AA24,Строчный!$S:$S,Строчный!U:U,"ERR",0))</f>
        <v>3</v>
      </c>
      <c r="U24" s="14" t="s">
        <v>265</v>
      </c>
      <c r="V24" s="101" t="str">
        <f t="shared" ca="1" si="3"/>
        <v>Бейсболка HERMAN арт. KING (рыжий)</v>
      </c>
      <c r="W24" s="100" t="str">
        <f t="shared" ca="1" si="4"/>
        <v>Бейсболка HERMAN арт. KING (рыжий) {cognac}</v>
      </c>
      <c r="X24" s="18" t="str">
        <f t="shared" ca="1" si="5"/>
        <v>рыжий</v>
      </c>
      <c r="Y24" s="18" t="str">
        <f t="shared" ca="1" si="6"/>
        <v>рыжий</v>
      </c>
      <c r="Z24" s="117" t="s">
        <v>123</v>
      </c>
      <c r="AA24" s="73" t="str">
        <f ca="1"/>
        <v>81-090-13-57</v>
      </c>
      <c r="AB24" s="75" t="str">
        <f ca="1">VLOOKUP(C24,Группа!A:B,2,FALSE)</f>
        <v>Бейсболка</v>
      </c>
      <c r="AC24" s="97" t="str">
        <f ca="1">IFERROR(VLOOKUP(S24,Размеры!A:C,3,FALSE),"")</f>
        <v>57 M</v>
      </c>
      <c r="AD24" s="97" t="str">
        <f ca="1">VLOOKUP(I24,ЦветПолный!A:B,2,FALSE)</f>
        <v>13</v>
      </c>
      <c r="AE24" s="97" t="str">
        <f ca="1">IFERROR(VLOOKUP(S24,Размеры!A:D,4,FALSE),"")</f>
        <v>57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81-089-16</v>
      </c>
      <c r="B25" s="107" t="str">
        <f ca="1">_xlfn.LET(_xlpm.CAPS,0,_xlpm.Style,TRIM(_xlfn.XLOOKUP($A25,Строчный!$A:$A,Строчный!B:B,"ERR",0)),IF(_xlpm.CAPS=0,_xlpm.Style,UPPER(_xlpm.Style)))</f>
        <v>HATTAWAY</v>
      </c>
      <c r="C25" s="81" t="str">
        <f ca="1">TRIM(PROPER(_xlfn.XLOOKUP($A25,Строчный!$A:$A,Строчный!C:C,"ERR",0)))</f>
        <v>Шляпы</v>
      </c>
      <c r="D25" s="81" t="str">
        <f ca="1">_xlfn.LET(_xlpm.DATA,TRIM(_xlfn.XLOOKUP($A25,Строчный!$A:$A,Строчный!D:D,"ERR",0)),UPPER(MID(_xlpm.DATA,1,1))&amp;LOWER(MID(_xlpm.DATA,2,LEN(_xlpm.DATA)-1)))</f>
        <v>Шляпа федора</v>
      </c>
      <c r="E25" s="81" t="str">
        <f ca="1">PROPER(TRIM(_xlfn.XLOOKUP($A25,Строчный!$A:$A,Строчный!E:E,"ERR",0)))</f>
        <v>Herman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HERMAN</v>
      </c>
      <c r="H25" s="81" t="str">
        <f ca="1">LOWER(TRIM(_xlfn.XLOOKUP($A25,Строчный!$A:$A,Строчный!H:H,"ERR",0)))</f>
        <v>navy</v>
      </c>
      <c r="I25" s="81" t="str">
        <f ca="1">LOWER(TRIM(_xlfn.XLOOKUP($A25,Строчный!$A:$A,Строчный!I:I,"ERR",0)))</f>
        <v>темно-синий</v>
      </c>
      <c r="J25" s="81" t="str">
        <f ca="1">SUBSTITUTE(LOWER(TRIM(_xlfn.XLOOKUP($A25,Строчный!$A:$A,Строчный!J:J,"ERR",0))),"подклад","Подклад")</f>
        <v>100% шерсть</v>
      </c>
      <c r="K25" s="81" t="str">
        <f ca="1">LOWER(TRIM(_xlfn.XLOOKUP($A25,Строчный!$A:$A,Строчный!K:K,"ERR",0)))</f>
        <v>фетровые</v>
      </c>
      <c r="L25" s="81" t="str">
        <f ca="1">PROPER(TRIM(_xlfn.XLOOKUP($A25,Строчный!$A:$A,Строчный!L:L,"ERR",0)))</f>
        <v>Женский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450</v>
      </c>
      <c r="R25" s="89" t="str">
        <f ca="1">_xlfn.XLOOKUP($G25,Фабрика!A:A,Фабрика!B:B,"ERR",0)</f>
        <v>Chapellerie Herman S.A.; Rue Jean Meunier, 6, 6922 Wellin, Belgium</v>
      </c>
      <c r="S25" s="80" t="str">
        <f ca="1">_xlfn.XLOOKUP(RIGHT(AA25,2),Размеры!D:D,Размеры!A:A,"ERR",0)</f>
        <v>59</v>
      </c>
      <c r="T25" s="80">
        <f ca="1">VALUE(_xlfn.XLOOKUP($AA25,Строчный!$S:$S,Строчный!U:U,"ERR",0))</f>
        <v>15</v>
      </c>
      <c r="U25" s="14" t="s">
        <v>265</v>
      </c>
      <c r="V25" s="101" t="str">
        <f t="shared" ca="1" si="3"/>
        <v>Шляпа HERMAN арт. HATTAWAY (темно-синий)</v>
      </c>
      <c r="W25" s="100" t="str">
        <f t="shared" ca="1" si="4"/>
        <v>Шляпа HERMAN арт. HATTAWAY (темно-синий) {navy}</v>
      </c>
      <c r="X25" s="18" t="str">
        <f t="shared" ca="1" si="5"/>
        <v>синий</v>
      </c>
      <c r="Y25" s="18" t="str">
        <f t="shared" ca="1" si="6"/>
        <v>синий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3" t="str">
        <f ca="1"/>
        <v>81-089-16-59</v>
      </c>
      <c r="AB25" s="75" t="str">
        <f ca="1">VLOOKUP(C25,Группа!A:B,2,FALSE)</f>
        <v>Шляпа</v>
      </c>
      <c r="AC25" s="97" t="str">
        <f ca="1">IFERROR(VLOOKUP(S25,Размеры!A:C,3,FALSE),"")</f>
        <v>59 L</v>
      </c>
      <c r="AD25" s="97" t="str">
        <f ca="1">VLOOKUP(I25,ЦветПолный!A:B,2,FALSE)</f>
        <v>16</v>
      </c>
      <c r="AE25" s="97" t="str">
        <f ca="1">IFERROR(VLOOKUP(S25,Размеры!A:D,4,FALSE),"")</f>
        <v>59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81-089-16</v>
      </c>
      <c r="B26" s="107" t="str">
        <f ca="1">_xlfn.LET(_xlpm.CAPS,0,_xlpm.Style,TRIM(_xlfn.XLOOKUP($A26,Строчный!$A:$A,Строчный!B:B,"ERR",0)),IF(_xlpm.CAPS=0,_xlpm.Style,UPPER(_xlpm.Style)))</f>
        <v>HATTAWAY</v>
      </c>
      <c r="C26" s="81" t="str">
        <f ca="1">TRIM(PROPER(_xlfn.XLOOKUP($A26,Строчный!$A:$A,Строчный!C:C,"ERR",0)))</f>
        <v>Шляпы</v>
      </c>
      <c r="D26" s="81" t="str">
        <f ca="1">_xlfn.LET(_xlpm.DATA,TRIM(_xlfn.XLOOKUP($A26,Строчный!$A:$A,Строчный!D:D,"ERR",0)),UPPER(MID(_xlpm.DATA,1,1))&amp;LOWER(MID(_xlpm.DATA,2,LEN(_xlpm.DATA)-1)))</f>
        <v>Шляпа федора</v>
      </c>
      <c r="E26" s="81" t="str">
        <f ca="1">PROPER(TRIM(_xlfn.XLOOKUP($A26,Строчный!$A:$A,Строчный!E:E,"ERR",0)))</f>
        <v>Herman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HERMAN</v>
      </c>
      <c r="H26" s="81" t="str">
        <f ca="1">LOWER(TRIM(_xlfn.XLOOKUP($A26,Строчный!$A:$A,Строчный!H:H,"ERR",0)))</f>
        <v>navy</v>
      </c>
      <c r="I26" s="81" t="str">
        <f ca="1">LOWER(TRIM(_xlfn.XLOOKUP($A26,Строчный!$A:$A,Строчный!I:I,"ERR",0)))</f>
        <v>темно-синий</v>
      </c>
      <c r="J26" s="81" t="str">
        <f ca="1">SUBSTITUTE(LOWER(TRIM(_xlfn.XLOOKUP($A26,Строчный!$A:$A,Строчный!J:J,"ERR",0))),"подклад","Подклад")</f>
        <v>100% шерсть</v>
      </c>
      <c r="K26" s="81" t="str">
        <f ca="1">LOWER(TRIM(_xlfn.XLOOKUP($A26,Строчный!$A:$A,Строчный!K:K,"ERR",0)))</f>
        <v>фетровые</v>
      </c>
      <c r="L26" s="81" t="str">
        <f ca="1">PROPER(TRIM(_xlfn.XLOOKUP($A26,Строчный!$A:$A,Строчный!L:L,"ERR",0)))</f>
        <v>Женский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450</v>
      </c>
      <c r="R26" s="89" t="str">
        <f ca="1">_xlfn.XLOOKUP($G26,Фабрика!A:A,Фабрика!B:B,"ERR",0)</f>
        <v>Chapellerie Herman S.A.; Rue Jean Meunier, 6, 6922 Wellin, Belgium</v>
      </c>
      <c r="S26" s="80" t="str">
        <f ca="1">_xlfn.XLOOKUP(RIGHT(AA26,2),Размеры!D:D,Размеры!A:A,"ERR",0)</f>
        <v>57</v>
      </c>
      <c r="T26" s="80">
        <f ca="1">VALUE(_xlfn.XLOOKUP($AA26,Строчный!$S:$S,Строчный!U:U,"ERR",0))</f>
        <v>6</v>
      </c>
      <c r="U26" s="14" t="s">
        <v>265</v>
      </c>
      <c r="V26" s="101" t="str">
        <f t="shared" ca="1" si="3"/>
        <v>Шляпа HERMAN арт. HATTAWAY (темно-синий)</v>
      </c>
      <c r="W26" s="100" t="str">
        <f t="shared" ca="1" si="4"/>
        <v>Шляпа HERMAN арт. HATTAWAY (темно-синий) {navy}</v>
      </c>
      <c r="X26" s="18" t="str">
        <f t="shared" ca="1" si="5"/>
        <v>синий</v>
      </c>
      <c r="Y26" s="18" t="str">
        <f t="shared" ca="1" si="6"/>
        <v>синий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73" t="str">
        <f ca="1"/>
        <v>81-089-16-57</v>
      </c>
      <c r="AB26" s="75" t="str">
        <f ca="1">VLOOKUP(C26,Группа!A:B,2,FALSE)</f>
        <v>Шляпа</v>
      </c>
      <c r="AC26" s="97" t="str">
        <f ca="1">IFERROR(VLOOKUP(S26,Размеры!A:C,3,FALSE),"")</f>
        <v>57 M</v>
      </c>
      <c r="AD26" s="97" t="str">
        <f ca="1">VLOOKUP(I26,ЦветПолный!A:B,2,FALSE)</f>
        <v>16</v>
      </c>
      <c r="AE26" s="97" t="str">
        <f ca="1">IFERROR(VLOOKUP(S26,Размеры!A:D,4,FALSE),"")</f>
        <v>57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81-088-21</v>
      </c>
      <c r="B27" s="107" t="str">
        <f ca="1">_xlfn.LET(_xlpm.CAPS,0,_xlpm.Style,TRIM(_xlfn.XLOOKUP($A27,Строчный!$A:$A,Строчный!B:B,"ERR",0)),IF(_xlpm.CAPS=0,_xlpm.Style,UPPER(_xlpm.Style)))</f>
        <v>VALERE</v>
      </c>
      <c r="C27" s="81" t="str">
        <f ca="1">TRIM(PROPER(_xlfn.XLOOKUP($A27,Строчный!$A:$A,Строчный!C:C,"ERR",0)))</f>
        <v>Шарфы</v>
      </c>
      <c r="D27" s="81" t="str">
        <f ca="1">_xlfn.LET(_xlpm.DATA,TRIM(_xlfn.XLOOKUP($A27,Строчный!$A:$A,Строчный!D:D,"ERR",0)),UPPER(MID(_xlpm.DATA,1,1))&amp;LOWER(MID(_xlpm.DATA,2,LEN(_xlpm.DATA)-1)))</f>
        <v>Шарф</v>
      </c>
      <c r="E27" s="81" t="str">
        <f ca="1">PROPER(TRIM(_xlfn.XLOOKUP($A27,Строчный!$A:$A,Строчный!E:E,"ERR",0)))</f>
        <v>Herman</v>
      </c>
      <c r="F27" s="81" t="str">
        <f ca="1">LOWER(TRIM(_xlfn.XLOOKUP($A27,Строчный!$A:$A,Строчный!F:F,"ERR",0)))</f>
        <v>зимний</v>
      </c>
      <c r="G27" s="81" t="str">
        <f ca="1">UPPER(TRIM(_xlfn.XLOOKUP($A27,Строчный!$A:$A,Строчный!G:G,"ERR",0)))</f>
        <v>HERMAN</v>
      </c>
      <c r="H27" s="81" t="str">
        <f ca="1">LOWER(TRIM(_xlfn.XLOOKUP($A27,Строчный!$A:$A,Строчный!H:H,"ERR",0)))</f>
        <v>red</v>
      </c>
      <c r="I27" s="81" t="str">
        <f ca="1">LOWER(TRIM(_xlfn.XLOOKUP($A27,Строчный!$A:$A,Строчный!I:I,"ERR",0)))</f>
        <v>синий / красный</v>
      </c>
      <c r="J27" s="81" t="str">
        <f ca="1">SUBSTITUTE(LOWER(TRIM(_xlfn.XLOOKUP($A27,Строчный!$A:$A,Строчный!J:J,"ERR",0))),"подклад","Подклад")</f>
        <v>50% шерсть - 50% акрилл</v>
      </c>
      <c r="K27" s="81" t="str">
        <f ca="1">LOWER(TRIM(_xlfn.XLOOKUP($A27,Строчный!$A:$A,Строчный!K:K,"ERR",0)))</f>
        <v>шерстяные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Италия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270</v>
      </c>
      <c r="R27" s="89" t="str">
        <f ca="1">_xlfn.XLOOKUP($G27,Фабрика!A:A,Фабрика!B:B,"ERR",0)</f>
        <v>Chapellerie Herman S.A.; Rue Jean Meunier, 6, 6922 Wellin, Belgium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10</v>
      </c>
      <c r="U27" s="14" t="s">
        <v>265</v>
      </c>
      <c r="V27" s="101" t="str">
        <f t="shared" ca="1" si="3"/>
        <v>Шарф HERMAN арт. VALERE (синий / красный)</v>
      </c>
      <c r="W27" s="100" t="str">
        <f t="shared" ca="1" si="4"/>
        <v>Шарф HERMAN арт. VALERE (синий / красный) {red}</v>
      </c>
      <c r="X27" s="18" t="str">
        <f t="shared" ca="1" si="5"/>
        <v>синий</v>
      </c>
      <c r="Y27" s="18" t="str">
        <f t="shared" ca="1" si="6"/>
        <v>красный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синий</v>
      </c>
      <c r="AA27" s="73" t="str">
        <f ca="1"/>
        <v>81-088-21-00</v>
      </c>
      <c r="AB27" s="75" t="str">
        <f ca="1">VLOOKUP(C27,Группа!A:B,2,FALSE)</f>
        <v>Шарф</v>
      </c>
      <c r="AC27" s="97" t="str">
        <f ca="1">IFERROR(VLOOKUP(S27,Размеры!A:C,3,FALSE),"")</f>
        <v>ONE</v>
      </c>
      <c r="AD27" s="97" t="str">
        <f ca="1">VLOOKUP(I27,ЦветПолный!A:B,2,FALSE)</f>
        <v>21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81-088-08</v>
      </c>
      <c r="B28" s="107" t="str">
        <f ca="1">_xlfn.LET(_xlpm.CAPS,0,_xlpm.Style,TRIM(_xlfn.XLOOKUP($A28,Строчный!$A:$A,Строчный!B:B,"ERR",0)),IF(_xlpm.CAPS=0,_xlpm.Style,UPPER(_xlpm.Style)))</f>
        <v>VALERE</v>
      </c>
      <c r="C28" s="81" t="str">
        <f ca="1">TRIM(PROPER(_xlfn.XLOOKUP($A28,Строчный!$A:$A,Строчный!C:C,"ERR",0)))</f>
        <v>Шарфы</v>
      </c>
      <c r="D28" s="81" t="str">
        <f ca="1">_xlfn.LET(_xlpm.DATA,TRIM(_xlfn.XLOOKUP($A28,Строчный!$A:$A,Строчный!D:D,"ERR",0)),UPPER(MID(_xlpm.DATA,1,1))&amp;LOWER(MID(_xlpm.DATA,2,LEN(_xlpm.DATA)-1)))</f>
        <v>Шарф</v>
      </c>
      <c r="E28" s="81" t="str">
        <f ca="1">PROPER(TRIM(_xlfn.XLOOKUP($A28,Строчный!$A:$A,Строчный!E:E,"ERR",0)))</f>
        <v>Herman</v>
      </c>
      <c r="F28" s="81" t="str">
        <f ca="1">LOWER(TRIM(_xlfn.XLOOKUP($A28,Строчный!$A:$A,Строчный!F:F,"ERR",0)))</f>
        <v>зимний</v>
      </c>
      <c r="G28" s="81" t="str">
        <f ca="1">UPPER(TRIM(_xlfn.XLOOKUP($A28,Строчный!$A:$A,Строчный!G:G,"ERR",0)))</f>
        <v>HERMAN</v>
      </c>
      <c r="H28" s="81" t="str">
        <f ca="1">LOWER(TRIM(_xlfn.XLOOKUP($A28,Строчный!$A:$A,Строчный!H:H,"ERR",0)))</f>
        <v>taupe</v>
      </c>
      <c r="I28" s="81" t="str">
        <f ca="1">LOWER(TRIM(_xlfn.XLOOKUP($A28,Строчный!$A:$A,Строчный!I:I,"ERR",0)))</f>
        <v>серый / коричневый</v>
      </c>
      <c r="J28" s="81" t="str">
        <f ca="1">SUBSTITUTE(LOWER(TRIM(_xlfn.XLOOKUP($A28,Строчный!$A:$A,Строчный!J:J,"ERR",0))),"подклад","Подклад")</f>
        <v>50% шерсть - 50% акрилл</v>
      </c>
      <c r="K28" s="81" t="str">
        <f ca="1">LOWER(TRIM(_xlfn.XLOOKUP($A28,Строчный!$A:$A,Строчный!K:K,"ERR",0)))</f>
        <v>шерстяные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Италия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270</v>
      </c>
      <c r="R28" s="89" t="str">
        <f ca="1">_xlfn.XLOOKUP($G28,Фабрика!A:A,Фабрика!B:B,"ERR",0)</f>
        <v>Chapellerie Herman S.A.; Rue Jean Meunier, 6, 6922 Wellin, Belgium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14</v>
      </c>
      <c r="U28" s="14" t="s">
        <v>265</v>
      </c>
      <c r="V28" s="101" t="str">
        <f t="shared" ca="1" si="3"/>
        <v>Шарф HERMAN арт. VALERE (серый / коричневый)</v>
      </c>
      <c r="W28" s="100" t="str">
        <f t="shared" ca="1" si="4"/>
        <v>Шарф HERMAN арт. VALERE (серый / коричневый) {taupe}</v>
      </c>
      <c r="X28" s="18" t="str">
        <f t="shared" ca="1" si="5"/>
        <v>серый</v>
      </c>
      <c r="Y28" s="18" t="str">
        <f t="shared" ca="1" si="6"/>
        <v>коричневый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серый</v>
      </c>
      <c r="AA28" s="73" t="str">
        <f ca="1"/>
        <v>81-088-08-00</v>
      </c>
      <c r="AB28" s="75" t="str">
        <f ca="1">VLOOKUP(C28,Группа!A:B,2,FALSE)</f>
        <v>Шарф</v>
      </c>
      <c r="AC28" s="97" t="str">
        <f ca="1">IFERROR(VLOOKUP(S28,Размеры!A:C,3,FALSE),"")</f>
        <v>ONE</v>
      </c>
      <c r="AD28" s="97" t="str">
        <f ca="1">VLOOKUP(I28,ЦветПолный!A:B,2,FALSE)</f>
        <v>08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81-087-16</v>
      </c>
      <c r="B29" s="107" t="str">
        <f ca="1">_xlfn.LET(_xlpm.CAPS,0,_xlpm.Style,TRIM(_xlfn.XLOOKUP($A29,Строчный!$A:$A,Строчный!B:B,"ERR",0)),IF(_xlpm.CAPS=0,_xlpm.Style,UPPER(_xlpm.Style)))</f>
        <v>EDMOND 004</v>
      </c>
      <c r="C29" s="81" t="str">
        <f ca="1">TRIM(PROPER(_xlfn.XLOOKUP($A29,Строчный!$A:$A,Строчный!C:C,"ERR",0)))</f>
        <v>Шарфы</v>
      </c>
      <c r="D29" s="81" t="str">
        <f ca="1">_xlfn.LET(_xlpm.DATA,TRIM(_xlfn.XLOOKUP($A29,Строчный!$A:$A,Строчный!D:D,"ERR",0)),UPPER(MID(_xlpm.DATA,1,1))&amp;LOWER(MID(_xlpm.DATA,2,LEN(_xlpm.DATA)-1)))</f>
        <v>Шарф</v>
      </c>
      <c r="E29" s="81" t="str">
        <f ca="1">PROPER(TRIM(_xlfn.XLOOKUP($A29,Строчный!$A:$A,Строчный!E:E,"ERR",0)))</f>
        <v>Herman</v>
      </c>
      <c r="F29" s="81" t="str">
        <f ca="1">LOWER(TRIM(_xlfn.XLOOKUP($A29,Строчный!$A:$A,Строчный!F:F,"ERR",0)))</f>
        <v>зимний</v>
      </c>
      <c r="G29" s="81" t="str">
        <f ca="1">UPPER(TRIM(_xlfn.XLOOKUP($A29,Строчный!$A:$A,Строчный!G:G,"ERR",0)))</f>
        <v>HERMAN</v>
      </c>
      <c r="H29" s="81" t="str">
        <f ca="1">LOWER(TRIM(_xlfn.XLOOKUP($A29,Строчный!$A:$A,Строчный!H:H,"ERR",0)))</f>
        <v>navy</v>
      </c>
      <c r="I29" s="81" t="str">
        <f ca="1">LOWER(TRIM(_xlfn.XLOOKUP($A29,Строчный!$A:$A,Строчный!I:I,"ERR",0)))</f>
        <v>темно-синий</v>
      </c>
      <c r="J29" s="81" t="str">
        <f ca="1">SUBSTITUTE(LOWER(TRIM(_xlfn.XLOOKUP($A29,Строчный!$A:$A,Строчный!J:J,"ERR",0))),"подклад","Подклад")</f>
        <v>100% шерсть</v>
      </c>
      <c r="K29" s="81" t="str">
        <f ca="1">LOWER(TRIM(_xlfn.XLOOKUP($A29,Строчный!$A:$A,Строчный!K:K,"ERR",0)))</f>
        <v>шерстяные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Италия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225</v>
      </c>
      <c r="R29" s="89" t="str">
        <f ca="1">_xlfn.XLOOKUP($G29,Фабрика!A:A,Фабрика!B:B,"ERR",0)</f>
        <v>Chapellerie Herman S.A.; Rue Jean Meunier, 6, 6922 Wellin, Belgium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8</v>
      </c>
      <c r="U29" s="14" t="s">
        <v>265</v>
      </c>
      <c r="V29" s="101" t="str">
        <f t="shared" ca="1" si="3"/>
        <v>Шарф HERMAN арт. EDMOND 004 (темно-синий)</v>
      </c>
      <c r="W29" s="100" t="str">
        <f t="shared" ca="1" si="4"/>
        <v>Шарф HERMAN арт. EDMOND 004 (темно-синий) {navy}</v>
      </c>
      <c r="X29" s="18" t="str">
        <f t="shared" ca="1" si="5"/>
        <v>синий</v>
      </c>
      <c r="Y29" s="18" t="str">
        <f t="shared" ca="1" si="6"/>
        <v>синий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синий</v>
      </c>
      <c r="AA29" s="73" t="str">
        <f ca="1"/>
        <v>81-087-16-00</v>
      </c>
      <c r="AB29" s="75" t="str">
        <f ca="1">VLOOKUP(C29,Группа!A:B,2,FALSE)</f>
        <v>Шарф</v>
      </c>
      <c r="AC29" s="97" t="str">
        <f ca="1">IFERROR(VLOOKUP(S29,Размеры!A:C,3,FALSE),"")</f>
        <v>ONE</v>
      </c>
      <c r="AD29" s="97" t="str">
        <f ca="1">VLOOKUP(I29,ЦветПолный!A:B,2,FALSE)</f>
        <v>16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81-087-09</v>
      </c>
      <c r="B30" s="107" t="str">
        <f ca="1">_xlfn.LET(_xlpm.CAPS,0,_xlpm.Style,TRIM(_xlfn.XLOOKUP($A30,Строчный!$A:$A,Строчный!B:B,"ERR",0)),IF(_xlpm.CAPS=0,_xlpm.Style,UPPER(_xlpm.Style)))</f>
        <v>EDMOND 004</v>
      </c>
      <c r="C30" s="81" t="str">
        <f ca="1">TRIM(PROPER(_xlfn.XLOOKUP($A30,Строчный!$A:$A,Строчный!C:C,"ERR",0)))</f>
        <v>Шарфы</v>
      </c>
      <c r="D30" s="81" t="str">
        <f ca="1">_xlfn.LET(_xlpm.DATA,TRIM(_xlfn.XLOOKUP($A30,Строчный!$A:$A,Строчный!D:D,"ERR",0)),UPPER(MID(_xlpm.DATA,1,1))&amp;LOWER(MID(_xlpm.DATA,2,LEN(_xlpm.DATA)-1)))</f>
        <v>Шарф</v>
      </c>
      <c r="E30" s="81" t="str">
        <f ca="1">PROPER(TRIM(_xlfn.XLOOKUP($A30,Строчный!$A:$A,Строчный!E:E,"ERR",0)))</f>
        <v>Herman</v>
      </c>
      <c r="F30" s="81" t="str">
        <f ca="1">LOWER(TRIM(_xlfn.XLOOKUP($A30,Строчный!$A:$A,Строчный!F:F,"ERR",0)))</f>
        <v>зимний</v>
      </c>
      <c r="G30" s="81" t="str">
        <f ca="1">UPPER(TRIM(_xlfn.XLOOKUP($A30,Строчный!$A:$A,Строчный!G:G,"ERR",0)))</f>
        <v>HERMAN</v>
      </c>
      <c r="H30" s="81" t="str">
        <f ca="1">LOWER(TRIM(_xlfn.XLOOKUP($A30,Строчный!$A:$A,Строчный!H:H,"ERR",0)))</f>
        <v>black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100% шерсть</v>
      </c>
      <c r="K30" s="81" t="str">
        <f ca="1">LOWER(TRIM(_xlfn.XLOOKUP($A30,Строчный!$A:$A,Строчный!K:K,"ERR",0)))</f>
        <v>шерстяные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Италия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225</v>
      </c>
      <c r="R30" s="89" t="str">
        <f ca="1">_xlfn.XLOOKUP($G30,Фабрика!A:A,Фабрика!B:B,"ERR",0)</f>
        <v>Chapellerie Herman S.A.; Rue Jean Meunier, 6, 6922 Wellin, Belgium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12</v>
      </c>
      <c r="U30" s="14" t="s">
        <v>265</v>
      </c>
      <c r="V30" s="101" t="str">
        <f t="shared" ca="1" si="3"/>
        <v>Шарф HERMAN арт. EDMOND 004 (черный)</v>
      </c>
      <c r="W30" s="100" t="str">
        <f t="shared" ca="1" si="4"/>
        <v>Шарф HERMAN арт. EDMOND 004 (черный) {black}</v>
      </c>
      <c r="X30" s="18" t="str">
        <f t="shared" ca="1" si="5"/>
        <v>черный</v>
      </c>
      <c r="Y30" s="18" t="str">
        <f t="shared" ca="1" si="6"/>
        <v>черный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81-087-09-00</v>
      </c>
      <c r="AB30" s="75" t="str">
        <f ca="1">VLOOKUP(C30,Группа!A:B,2,FALSE)</f>
        <v>Шарф</v>
      </c>
      <c r="AC30" s="97" t="str">
        <f ca="1">IFERROR(VLOOKUP(S30,Размеры!A:C,3,FALSE),"")</f>
        <v>ONE</v>
      </c>
      <c r="AD30" s="97" t="str">
        <f ca="1">VLOOKUP(I30,ЦветПолный!A:B,2,FALSE)</f>
        <v>09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81-086-16</v>
      </c>
      <c r="B31" s="107" t="str">
        <f ca="1">_xlfn.LET(_xlpm.CAPS,0,_xlpm.Style,TRIM(_xlfn.XLOOKUP($A31,Строчный!$A:$A,Строчный!B:B,"ERR",0)),IF(_xlpm.CAPS=0,_xlpm.Style,UPPER(_xlpm.Style)))</f>
        <v>DORIANE</v>
      </c>
      <c r="C31" s="81" t="str">
        <f ca="1">TRIM(PROPER(_xlfn.XLOOKUP($A31,Строчный!$A:$A,Строчный!C:C,"ERR",0)))</f>
        <v>Шарфы</v>
      </c>
      <c r="D31" s="81" t="str">
        <f ca="1">_xlfn.LET(_xlpm.DATA,TRIM(_xlfn.XLOOKUP($A31,Строчный!$A:$A,Строчный!D:D,"ERR",0)),UPPER(MID(_xlpm.DATA,1,1))&amp;LOWER(MID(_xlpm.DATA,2,LEN(_xlpm.DATA)-1)))</f>
        <v>Шарф</v>
      </c>
      <c r="E31" s="81" t="str">
        <f ca="1">PROPER(TRIM(_xlfn.XLOOKUP($A31,Строчный!$A:$A,Строчный!E:E,"ERR",0)))</f>
        <v>Herman</v>
      </c>
      <c r="F31" s="81" t="str">
        <f ca="1">LOWER(TRIM(_xlfn.XLOOKUP($A31,Строчный!$A:$A,Строчный!F:F,"ERR",0)))</f>
        <v>зимний</v>
      </c>
      <c r="G31" s="81" t="str">
        <f ca="1">UPPER(TRIM(_xlfn.XLOOKUP($A31,Строчный!$A:$A,Строчный!G:G,"ERR",0)))</f>
        <v>HERMAN</v>
      </c>
      <c r="H31" s="81" t="str">
        <f ca="1">LOWER(TRIM(_xlfn.XLOOKUP($A31,Строчный!$A:$A,Строчный!H:H,"ERR",0)))</f>
        <v>blue</v>
      </c>
      <c r="I31" s="81" t="str">
        <f ca="1">LOWER(TRIM(_xlfn.XLOOKUP($A31,Строчный!$A:$A,Строчный!I:I,"ERR",0)))</f>
        <v>темно-синий</v>
      </c>
      <c r="J31" s="81" t="str">
        <f ca="1">SUBSTITUTE(LOWER(TRIM(_xlfn.XLOOKUP($A31,Строчный!$A:$A,Строчный!J:J,"ERR",0))),"подклад","Подклад")</f>
        <v>40% шерсть - 40% акрилл - 20% полиэстер</v>
      </c>
      <c r="K31" s="81" t="str">
        <f ca="1">LOWER(TRIM(_xlfn.XLOOKUP($A31,Строчный!$A:$A,Строчный!K:K,"ERR",0)))</f>
        <v>шерстяные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Италия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225</v>
      </c>
      <c r="R31" s="89" t="str">
        <f ca="1">_xlfn.XLOOKUP($G31,Фабрика!A:A,Фабрика!B:B,"ERR",0)</f>
        <v>Chapellerie Herman S.A.; Rue Jean Meunier, 6, 6922 Wellin, Belgium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12</v>
      </c>
      <c r="U31" s="14" t="s">
        <v>265</v>
      </c>
      <c r="V31" s="101" t="str">
        <f t="shared" ca="1" si="3"/>
        <v>Шарф HERMAN арт. DORIANE (темно-синий)</v>
      </c>
      <c r="W31" s="100" t="str">
        <f t="shared" ca="1" si="4"/>
        <v>Шарф HERMAN арт. DORIANE (темно-синий) {blue}</v>
      </c>
      <c r="X31" s="18" t="str">
        <f t="shared" ca="1" si="5"/>
        <v>синий</v>
      </c>
      <c r="Y31" s="18" t="str">
        <f t="shared" ca="1" si="6"/>
        <v>синий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синий</v>
      </c>
      <c r="AA31" s="73" t="str">
        <f ca="1"/>
        <v>81-086-16-00</v>
      </c>
      <c r="AB31" s="75" t="str">
        <f ca="1">VLOOKUP(C31,Группа!A:B,2,FALSE)</f>
        <v>Шарф</v>
      </c>
      <c r="AC31" s="97" t="str">
        <f ca="1">IFERROR(VLOOKUP(S31,Размеры!A:C,3,FALSE),"")</f>
        <v>ONE</v>
      </c>
      <c r="AD31" s="97" t="str">
        <f ca="1">VLOOKUP(I31,ЦветПолный!A:B,2,FALSE)</f>
        <v>16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0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81-086-11</v>
      </c>
      <c r="B32" s="107" t="str">
        <f ca="1">_xlfn.LET(_xlpm.CAPS,0,_xlpm.Style,TRIM(_xlfn.XLOOKUP($A32,Строчный!$A:$A,Строчный!B:B,"ERR",0)),IF(_xlpm.CAPS=0,_xlpm.Style,UPPER(_xlpm.Style)))</f>
        <v>DORIANE</v>
      </c>
      <c r="C32" s="81" t="str">
        <f ca="1">TRIM(PROPER(_xlfn.XLOOKUP($A32,Строчный!$A:$A,Строчный!C:C,"ERR",0)))</f>
        <v>Шарфы</v>
      </c>
      <c r="D32" s="81" t="str">
        <f ca="1">_xlfn.LET(_xlpm.DATA,TRIM(_xlfn.XLOOKUP($A32,Строчный!$A:$A,Строчный!D:D,"ERR",0)),UPPER(MID(_xlpm.DATA,1,1))&amp;LOWER(MID(_xlpm.DATA,2,LEN(_xlpm.DATA)-1)))</f>
        <v>Шарф</v>
      </c>
      <c r="E32" s="81" t="str">
        <f ca="1">PROPER(TRIM(_xlfn.XLOOKUP($A32,Строчный!$A:$A,Строчный!E:E,"ERR",0)))</f>
        <v>Herman</v>
      </c>
      <c r="F32" s="81" t="str">
        <f ca="1">LOWER(TRIM(_xlfn.XLOOKUP($A32,Строчный!$A:$A,Строчный!F:F,"ERR",0)))</f>
        <v>зимний</v>
      </c>
      <c r="G32" s="81" t="str">
        <f ca="1">UPPER(TRIM(_xlfn.XLOOKUP($A32,Строчный!$A:$A,Строчный!G:G,"ERR",0)))</f>
        <v>HERMAN</v>
      </c>
      <c r="H32" s="81" t="str">
        <f ca="1">LOWER(TRIM(_xlfn.XLOOKUP($A32,Строчный!$A:$A,Строчный!H:H,"ERR",0)))</f>
        <v>taupe</v>
      </c>
      <c r="I32" s="81" t="str">
        <f ca="1">LOWER(TRIM(_xlfn.XLOOKUP($A32,Строчный!$A:$A,Строчный!I:I,"ERR",0)))</f>
        <v>зеленый</v>
      </c>
      <c r="J32" s="81" t="str">
        <f ca="1">SUBSTITUTE(LOWER(TRIM(_xlfn.XLOOKUP($A32,Строчный!$A:$A,Строчный!J:J,"ERR",0))),"подклад","Подклад")</f>
        <v>40% шерсть - 40% акрилл - 20% полиэстер</v>
      </c>
      <c r="K32" s="81" t="str">
        <f ca="1">LOWER(TRIM(_xlfn.XLOOKUP($A32,Строчный!$A:$A,Строчный!K:K,"ERR",0)))</f>
        <v>шерстяные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Италия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225</v>
      </c>
      <c r="R32" s="89" t="str">
        <f ca="1">_xlfn.XLOOKUP($G32,Фабрика!A:A,Фабрика!B:B,"ERR",0)</f>
        <v>Chapellerie Herman S.A.; Rue Jean Meunier, 6, 6922 Wellin, Belgium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12</v>
      </c>
      <c r="U32" s="14" t="s">
        <v>265</v>
      </c>
      <c r="V32" s="101" t="str">
        <f t="shared" ca="1" si="3"/>
        <v>Шарф HERMAN арт. DORIANE (зеленый)</v>
      </c>
      <c r="W32" s="100" t="str">
        <f t="shared" ca="1" si="4"/>
        <v>Шарф HERMAN арт. DORIANE (зеленый) {taupe}</v>
      </c>
      <c r="X32" s="18" t="str">
        <f t="shared" ca="1" si="5"/>
        <v>зеленый</v>
      </c>
      <c r="Y32" s="18" t="str">
        <f t="shared" ca="1" si="6"/>
        <v>зеленый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зеленый</v>
      </c>
      <c r="AA32" s="73" t="str">
        <f ca="1"/>
        <v>81-086-11-00</v>
      </c>
      <c r="AB32" s="75" t="str">
        <f ca="1">VLOOKUP(C32,Группа!A:B,2,FALSE)</f>
        <v>Шарф</v>
      </c>
      <c r="AC32" s="97" t="str">
        <f ca="1">IFERROR(VLOOKUP(S32,Размеры!A:C,3,FALSE),"")</f>
        <v>ONE</v>
      </c>
      <c r="AD32" s="97" t="str">
        <f ca="1">VLOOKUP(I32,ЦветПолный!A:B,2,FALSE)</f>
        <v>11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0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81-085-14</v>
      </c>
      <c r="B33" s="107" t="str">
        <f ca="1">_xlfn.LET(_xlpm.CAPS,0,_xlpm.Style,TRIM(_xlfn.XLOOKUP($A33,Строчный!$A:$A,Строчный!B:B,"ERR",0)),IF(_xlpm.CAPS=0,_xlpm.Style,UPPER(_xlpm.Style)))</f>
        <v>KANA W16</v>
      </c>
      <c r="C33" s="81" t="str">
        <f ca="1">TRIM(PROPER(_xlfn.XLOOKUP($A33,Строчный!$A:$A,Строчный!C:C,"ERR",0)))</f>
        <v>Шапки</v>
      </c>
      <c r="D33" s="81" t="str">
        <f ca="1">_xlfn.LET(_xlpm.DATA,TRIM(_xlfn.XLOOKUP($A33,Строчный!$A:$A,Строчный!D:D,"ERR",0)),UPPER(MID(_xlpm.DATA,1,1))&amp;LOWER(MID(_xlpm.DATA,2,LEN(_xlpm.DATA)-1)))</f>
        <v>Шапка вязаная</v>
      </c>
      <c r="E33" s="81" t="str">
        <f ca="1">PROPER(TRIM(_xlfn.XLOOKUP($A33,Строчный!$A:$A,Строчный!E:E,"ERR",0)))</f>
        <v>Herman</v>
      </c>
      <c r="F33" s="81" t="str">
        <f ca="1">LOWER(TRIM(_xlfn.XLOOKUP($A33,Строчный!$A:$A,Строчный!F:F,"ERR",0)))</f>
        <v>зимний</v>
      </c>
      <c r="G33" s="81" t="str">
        <f ca="1">UPPER(TRIM(_xlfn.XLOOKUP($A33,Строчный!$A:$A,Строчный!G:G,"ERR",0)))</f>
        <v>HERMAN</v>
      </c>
      <c r="H33" s="81" t="str">
        <f ca="1">LOWER(TRIM(_xlfn.XLOOKUP($A33,Строчный!$A:$A,Строчный!H:H,"ERR",0)))</f>
        <v>brown</v>
      </c>
      <c r="I33" s="81" t="str">
        <f ca="1">LOWER(TRIM(_xlfn.XLOOKUP($A33,Строчный!$A:$A,Строчный!I:I,"ERR",0)))</f>
        <v>коричневый</v>
      </c>
      <c r="J33" s="81" t="str">
        <f ca="1">SUBSTITUTE(LOWER(TRIM(_xlfn.XLOOKUP($A33,Строчный!$A:$A,Строчный!J:J,"ERR",0))),"подклад","Подклад")</f>
        <v>58% вискоза - 25% акрилл - 13% полиамид - 4% ангора</v>
      </c>
      <c r="K33" s="81" t="str">
        <f ca="1">LOWER(TRIM(_xlfn.XLOOKUP($A33,Строчный!$A:$A,Строчный!K:K,"ERR",0)))</f>
        <v/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270</v>
      </c>
      <c r="R33" s="89" t="str">
        <f ca="1">_xlfn.XLOOKUP($G33,Фабрика!A:A,Фабрика!B:B,"ERR",0)</f>
        <v>Chapellerie Herman S.A.; Rue Jean Meunier, 6, 6922 Wellin, Belgium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20</v>
      </c>
      <c r="U33" s="14" t="s">
        <v>265</v>
      </c>
      <c r="V33" s="101" t="str">
        <f t="shared" ca="1" si="3"/>
        <v>Шапка HERMAN арт. KANA W16 (коричневый)</v>
      </c>
      <c r="W33" s="100" t="str">
        <f t="shared" ca="1" si="4"/>
        <v>Шапка HERMAN арт. KANA W16 (коричневый) {brown}</v>
      </c>
      <c r="X33" s="18" t="str">
        <f t="shared" ca="1" si="5"/>
        <v>коричневый</v>
      </c>
      <c r="Y33" s="18" t="str">
        <f t="shared" ca="1" si="6"/>
        <v>коричневый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коричневый</v>
      </c>
      <c r="AA33" s="73" t="str">
        <f ca="1"/>
        <v>81-085-14-00</v>
      </c>
      <c r="AB33" s="75" t="str">
        <f ca="1">VLOOKUP(C33,Группа!A:B,2,FALSE)</f>
        <v>Шапка</v>
      </c>
      <c r="AC33" s="97" t="str">
        <f ca="1">IFERROR(VLOOKUP(S33,Размеры!A:C,3,FALSE),"")</f>
        <v>ONE</v>
      </c>
      <c r="AD33" s="97" t="str">
        <f ca="1">VLOOKUP(I33,ЦветПолный!A:B,2,FALSE)</f>
        <v>14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0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0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81-085-09</v>
      </c>
      <c r="B34" s="107" t="str">
        <f ca="1">_xlfn.LET(_xlpm.CAPS,0,_xlpm.Style,TRIM(_xlfn.XLOOKUP($A34,Строчный!$A:$A,Строчный!B:B,"ERR",0)),IF(_xlpm.CAPS=0,_xlpm.Style,UPPER(_xlpm.Style)))</f>
        <v>KANA W16</v>
      </c>
      <c r="C34" s="81" t="str">
        <f ca="1">TRIM(PROPER(_xlfn.XLOOKUP($A34,Строчный!$A:$A,Строчный!C:C,"ERR",0)))</f>
        <v>Шапки</v>
      </c>
      <c r="D34" s="81" t="str">
        <f ca="1">_xlfn.LET(_xlpm.DATA,TRIM(_xlfn.XLOOKUP($A34,Строчный!$A:$A,Строчный!D:D,"ERR",0)),UPPER(MID(_xlpm.DATA,1,1))&amp;LOWER(MID(_xlpm.DATA,2,LEN(_xlpm.DATA)-1)))</f>
        <v>Шапка вязаная</v>
      </c>
      <c r="E34" s="81" t="str">
        <f ca="1">PROPER(TRIM(_xlfn.XLOOKUP($A34,Строчный!$A:$A,Строчный!E:E,"ERR",0)))</f>
        <v>Herman</v>
      </c>
      <c r="F34" s="81" t="str">
        <f ca="1">LOWER(TRIM(_xlfn.XLOOKUP($A34,Строчный!$A:$A,Строчный!F:F,"ERR",0)))</f>
        <v>зимний</v>
      </c>
      <c r="G34" s="81" t="str">
        <f ca="1">UPPER(TRIM(_xlfn.XLOOKUP($A34,Строчный!$A:$A,Строчный!G:G,"ERR",0)))</f>
        <v>HERMAN</v>
      </c>
      <c r="H34" s="81" t="str">
        <f ca="1">LOWER(TRIM(_xlfn.XLOOKUP($A34,Строчный!$A:$A,Строчный!H:H,"ERR",0)))</f>
        <v>black</v>
      </c>
      <c r="I34" s="81" t="str">
        <f ca="1">LOWER(TRIM(_xlfn.XLOOKUP($A34,Строчный!$A:$A,Строчный!I:I,"ERR",0)))</f>
        <v>черный</v>
      </c>
      <c r="J34" s="81" t="str">
        <f ca="1">SUBSTITUTE(LOWER(TRIM(_xlfn.XLOOKUP($A34,Строчный!$A:$A,Строчный!J:J,"ERR",0))),"подклад","Подклад")</f>
        <v>58% вискоза - 25% акрилл - 13% полиамид - 4% ангора</v>
      </c>
      <c r="K34" s="81" t="str">
        <f ca="1">LOWER(TRIM(_xlfn.XLOOKUP($A34,Строчный!$A:$A,Строчный!K:K,"ERR",0)))</f>
        <v/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270</v>
      </c>
      <c r="R34" s="89" t="str">
        <f ca="1">_xlfn.XLOOKUP($G34,Фабрика!A:A,Фабрика!B:B,"ERR",0)</f>
        <v>Chapellerie Herman S.A.; Rue Jean Meunier, 6, 6922 Wellin, Belgium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30</v>
      </c>
      <c r="U34" s="14" t="s">
        <v>265</v>
      </c>
      <c r="V34" s="101" t="str">
        <f t="shared" ca="1" si="3"/>
        <v>Шапка HERMAN арт. KANA W16 (черный)</v>
      </c>
      <c r="W34" s="100" t="str">
        <f t="shared" ca="1" si="4"/>
        <v>Шапка HERMAN арт. KANA W16 (черный) {black}</v>
      </c>
      <c r="X34" s="18" t="str">
        <f t="shared" ca="1" si="5"/>
        <v>черный</v>
      </c>
      <c r="Y34" s="18" t="str">
        <f t="shared" ca="1" si="6"/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3" t="str">
        <f ca="1"/>
        <v>81-085-09-00</v>
      </c>
      <c r="AB34" s="75" t="str">
        <f ca="1">VLOOKUP(C34,Группа!A:B,2,FALSE)</f>
        <v>Шапка</v>
      </c>
      <c r="AC34" s="97" t="str">
        <f ca="1">IFERROR(VLOOKUP(S34,Размеры!A:C,3,FALSE),"")</f>
        <v>ONE</v>
      </c>
      <c r="AD34" s="97" t="str">
        <f ca="1">VLOOKUP(I34,ЦветПолный!A:B,2,FALSE)</f>
        <v>09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0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0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81-084-11</v>
      </c>
      <c r="B35" s="107" t="str">
        <f ca="1">_xlfn.LET(_xlpm.CAPS,0,_xlpm.Style,TRIM(_xlfn.XLOOKUP($A35,Строчный!$A:$A,Строчный!B:B,"ERR",0)),IF(_xlpm.CAPS=0,_xlpm.Style,UPPER(_xlpm.Style)))</f>
        <v>ICE 8523</v>
      </c>
      <c r="C35" s="81" t="str">
        <f ca="1">TRIM(PROPER(_xlfn.XLOOKUP($A35,Строчный!$A:$A,Строчный!C:C,"ERR",0)))</f>
        <v>Шапки</v>
      </c>
      <c r="D35" s="81" t="str">
        <f ca="1">_xlfn.LET(_xlpm.DATA,TRIM(_xlfn.XLOOKUP($A35,Строчный!$A:$A,Строчный!D:D,"ERR",0)),UPPER(MID(_xlpm.DATA,1,1))&amp;LOWER(MID(_xlpm.DATA,2,LEN(_xlpm.DATA)-1)))</f>
        <v>Шапка вязаная</v>
      </c>
      <c r="E35" s="81" t="str">
        <f ca="1">PROPER(TRIM(_xlfn.XLOOKUP($A35,Строчный!$A:$A,Строчный!E:E,"ERR",0)))</f>
        <v>Herman</v>
      </c>
      <c r="F35" s="81" t="str">
        <f ca="1">LOWER(TRIM(_xlfn.XLOOKUP($A35,Строчный!$A:$A,Строчный!F:F,"ERR",0)))</f>
        <v>зимний</v>
      </c>
      <c r="G35" s="81" t="str">
        <f ca="1">UPPER(TRIM(_xlfn.XLOOKUP($A35,Строчный!$A:$A,Строчный!G:G,"ERR",0)))</f>
        <v>HERMAN</v>
      </c>
      <c r="H35" s="81" t="str">
        <f ca="1">LOWER(TRIM(_xlfn.XLOOKUP($A35,Строчный!$A:$A,Строчный!H:H,"ERR",0)))</f>
        <v>green</v>
      </c>
      <c r="I35" s="81" t="str">
        <f ca="1">LOWER(TRIM(_xlfn.XLOOKUP($A35,Строчный!$A:$A,Строчный!I:I,"ERR",0)))</f>
        <v>зеленый</v>
      </c>
      <c r="J35" s="81" t="str">
        <f ca="1">SUBSTITUTE(LOWER(TRIM(_xlfn.XLOOKUP($A35,Строчный!$A:$A,Строчный!J:J,"ERR",0))),"подклад","Подклад")</f>
        <v>100% акрилл</v>
      </c>
      <c r="K35" s="81" t="str">
        <f ca="1">LOWER(TRIM(_xlfn.XLOOKUP($A35,Строчный!$A:$A,Строчный!K:K,"ERR",0)))</f>
        <v/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62.999999999999993</v>
      </c>
      <c r="R35" s="89" t="str">
        <f ca="1">_xlfn.XLOOKUP($G35,Фабрика!A:A,Фабрика!B:B,"ERR",0)</f>
        <v>Chapellerie Herman S.A.; Rue Jean Meunier, 6, 6922 Wellin, Belgium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30</v>
      </c>
      <c r="U35" s="14" t="s">
        <v>265</v>
      </c>
      <c r="V35" s="101" t="str">
        <f t="shared" ca="1" si="3"/>
        <v>Шапка HERMAN арт. ICE 8523 (зеленый)</v>
      </c>
      <c r="W35" s="100" t="str">
        <f t="shared" ca="1" si="4"/>
        <v>Шапка HERMAN арт. ICE 8523 (зеленый) {green}</v>
      </c>
      <c r="X35" s="18" t="str">
        <f t="shared" ca="1" si="5"/>
        <v>зеленый</v>
      </c>
      <c r="Y35" s="18" t="str">
        <f t="shared" ca="1" si="6"/>
        <v>зеленый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зеленый</v>
      </c>
      <c r="AA35" s="73" t="str">
        <f ca="1"/>
        <v>81-084-11-00</v>
      </c>
      <c r="AB35" s="75" t="str">
        <f ca="1">VLOOKUP(C35,Группа!A:B,2,FALSE)</f>
        <v>Шапка</v>
      </c>
      <c r="AC35" s="97" t="str">
        <f ca="1">IFERROR(VLOOKUP(S35,Размеры!A:C,3,FALSE),"")</f>
        <v>ONE</v>
      </c>
      <c r="AD35" s="97" t="str">
        <f ca="1">VLOOKUP(I35,ЦветПолный!A:B,2,FALSE)</f>
        <v>11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0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0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81-084-09</v>
      </c>
      <c r="B36" s="107" t="str">
        <f ca="1">_xlfn.LET(_xlpm.CAPS,0,_xlpm.Style,TRIM(_xlfn.XLOOKUP($A36,Строчный!$A:$A,Строчный!B:B,"ERR",0)),IF(_xlpm.CAPS=0,_xlpm.Style,UPPER(_xlpm.Style)))</f>
        <v>ICE 8523</v>
      </c>
      <c r="C36" s="81" t="str">
        <f ca="1">TRIM(PROPER(_xlfn.XLOOKUP($A36,Строчный!$A:$A,Строчный!C:C,"ERR",0)))</f>
        <v>Шапки</v>
      </c>
      <c r="D36" s="81" t="str">
        <f ca="1">_xlfn.LET(_xlpm.DATA,TRIM(_xlfn.XLOOKUP($A36,Строчный!$A:$A,Строчный!D:D,"ERR",0)),UPPER(MID(_xlpm.DATA,1,1))&amp;LOWER(MID(_xlpm.DATA,2,LEN(_xlpm.DATA)-1)))</f>
        <v>Шапка вязаная</v>
      </c>
      <c r="E36" s="81" t="str">
        <f ca="1">PROPER(TRIM(_xlfn.XLOOKUP($A36,Строчный!$A:$A,Строчный!E:E,"ERR",0)))</f>
        <v>Herman</v>
      </c>
      <c r="F36" s="81" t="str">
        <f ca="1">LOWER(TRIM(_xlfn.XLOOKUP($A36,Строчный!$A:$A,Строчный!F:F,"ERR",0)))</f>
        <v>зимний</v>
      </c>
      <c r="G36" s="81" t="str">
        <f ca="1">UPPER(TRIM(_xlfn.XLOOKUP($A36,Строчный!$A:$A,Строчный!G:G,"ERR",0)))</f>
        <v>HERMAN</v>
      </c>
      <c r="H36" s="81" t="str">
        <f ca="1">LOWER(TRIM(_xlfn.XLOOKUP($A36,Строчный!$A:$A,Строчный!H:H,"ERR",0)))</f>
        <v>black</v>
      </c>
      <c r="I36" s="81" t="str">
        <f ca="1">LOWER(TRIM(_xlfn.XLOOKUP($A36,Строчный!$A:$A,Строчный!I:I,"ERR",0)))</f>
        <v>черный</v>
      </c>
      <c r="J36" s="81" t="str">
        <f ca="1">SUBSTITUTE(LOWER(TRIM(_xlfn.XLOOKUP($A36,Строчный!$A:$A,Строчный!J:J,"ERR",0))),"подклад","Подклад")</f>
        <v>100% акрилл</v>
      </c>
      <c r="K36" s="81" t="str">
        <f ca="1">LOWER(TRIM(_xlfn.XLOOKUP($A36,Строчный!$A:$A,Строчный!K:K,"ERR",0)))</f>
        <v/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62.999999999999993</v>
      </c>
      <c r="R36" s="89" t="str">
        <f ca="1">_xlfn.XLOOKUP($G36,Фабрика!A:A,Фабрика!B:B,"ERR",0)</f>
        <v>Chapellerie Herman S.A.; Rue Jean Meunier, 6, 6922 Wellin, Belgium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5</v>
      </c>
      <c r="U36" s="14" t="s">
        <v>265</v>
      </c>
      <c r="V36" s="101" t="str">
        <f t="shared" ca="1" si="3"/>
        <v>Шапка HERMAN арт. ICE 8523 (черный)</v>
      </c>
      <c r="W36" s="100" t="str">
        <f t="shared" ca="1" si="4"/>
        <v>Шапка HERMAN арт. ICE 8523 (черный) {black}</v>
      </c>
      <c r="X36" s="18" t="str">
        <f t="shared" ca="1" si="5"/>
        <v>черный</v>
      </c>
      <c r="Y36" s="18" t="str">
        <f t="shared" ca="1" si="6"/>
        <v>черный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81-084-09-00</v>
      </c>
      <c r="AB36" s="75" t="str">
        <f ca="1">VLOOKUP(C36,Группа!A:B,2,FALSE)</f>
        <v>Шапка</v>
      </c>
      <c r="AC36" s="97" t="str">
        <f ca="1">IFERROR(VLOOKUP(S36,Размеры!A:C,3,FALSE),"")</f>
        <v>ONE</v>
      </c>
      <c r="AD36" s="97" t="str">
        <f ca="1">VLOOKUP(I36,ЦветПолный!A:B,2,FALSE)</f>
        <v>09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0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0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81-083-16</v>
      </c>
      <c r="B37" s="107" t="str">
        <f ca="1">_xlfn.LET(_xlpm.CAPS,0,_xlpm.Style,TRIM(_xlfn.XLOOKUP($A37,Строчный!$A:$A,Строчный!B:B,"ERR",0)),IF(_xlpm.CAPS=0,_xlpm.Style,UPPER(_xlpm.Style)))</f>
        <v>ICE 8520</v>
      </c>
      <c r="C37" s="81" t="str">
        <f ca="1">TRIM(PROPER(_xlfn.XLOOKUP($A37,Строчный!$A:$A,Строчный!C:C,"ERR",0)))</f>
        <v>Шапки</v>
      </c>
      <c r="D37" s="81" t="str">
        <f ca="1">_xlfn.LET(_xlpm.DATA,TRIM(_xlfn.XLOOKUP($A37,Строчный!$A:$A,Строчный!D:D,"ERR",0)),UPPER(MID(_xlpm.DATA,1,1))&amp;LOWER(MID(_xlpm.DATA,2,LEN(_xlpm.DATA)-1)))</f>
        <v>Шапка ушанка</v>
      </c>
      <c r="E37" s="81" t="str">
        <f ca="1">PROPER(TRIM(_xlfn.XLOOKUP($A37,Строчный!$A:$A,Строчный!E:E,"ERR",0)))</f>
        <v>Herman</v>
      </c>
      <c r="F37" s="81" t="str">
        <f ca="1">LOWER(TRIM(_xlfn.XLOOKUP($A37,Строчный!$A:$A,Строчный!F:F,"ERR",0)))</f>
        <v>зимний</v>
      </c>
      <c r="G37" s="81" t="str">
        <f ca="1">UPPER(TRIM(_xlfn.XLOOKUP($A37,Строчный!$A:$A,Строчный!G:G,"ERR",0)))</f>
        <v>HERMAN</v>
      </c>
      <c r="H37" s="81" t="str">
        <f ca="1">LOWER(TRIM(_xlfn.XLOOKUP($A37,Строчный!$A:$A,Строчный!H:H,"ERR",0)))</f>
        <v>navy</v>
      </c>
      <c r="I37" s="81" t="str">
        <f ca="1">LOWER(TRIM(_xlfn.XLOOKUP($A37,Строчный!$A:$A,Строчный!I:I,"ERR",0)))</f>
        <v>темно-синий</v>
      </c>
      <c r="J37" s="81" t="str">
        <f ca="1">SUBSTITUTE(LOWER(TRIM(_xlfn.XLOOKUP($A37,Строчный!$A:$A,Строчный!J:J,"ERR",0))),"подклад","Подклад")</f>
        <v>100% акрилл</v>
      </c>
      <c r="K37" s="81" t="str">
        <f ca="1">LOWER(TRIM(_xlfn.XLOOKUP($A37,Строчный!$A:$A,Строчный!K:K,"ERR",0)))</f>
        <v/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90</v>
      </c>
      <c r="R37" s="89" t="str">
        <f ca="1">_xlfn.XLOOKUP($G37,Фабрика!A:A,Фабрика!B:B,"ERR",0)</f>
        <v>Chapellerie Herman S.A.; Rue Jean Meunier, 6, 6922 Wellin, Belgium</v>
      </c>
      <c r="S37" s="80" t="str">
        <f ca="1">_xlfn.XLOOKUP(RIGHT(AA37,2),Размеры!D:D,Размеры!A:A,"ERR",0)</f>
        <v>61</v>
      </c>
      <c r="T37" s="80">
        <f ca="1">VALUE(_xlfn.XLOOKUP($AA37,Строчный!$S:$S,Строчный!U:U,"ERR",0))</f>
        <v>8</v>
      </c>
      <c r="U37" s="14" t="s">
        <v>265</v>
      </c>
      <c r="V37" s="101" t="str">
        <f t="shared" ca="1" si="3"/>
        <v>Шапка HERMAN арт. ICE 8520 (темно-синий)</v>
      </c>
      <c r="W37" s="100" t="str">
        <f t="shared" ca="1" si="4"/>
        <v>Шапка HERMAN арт. ICE 8520 (темно-синий) {navy}</v>
      </c>
      <c r="X37" s="18" t="str">
        <f t="shared" ca="1" si="5"/>
        <v>синий</v>
      </c>
      <c r="Y37" s="18" t="str">
        <f t="shared" ca="1" si="6"/>
        <v>синий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синий</v>
      </c>
      <c r="AA37" s="73" t="str">
        <f ca="1"/>
        <v>81-083-16-61</v>
      </c>
      <c r="AB37" s="75" t="str">
        <f ca="1">VLOOKUP(C37,Группа!A:B,2,FALSE)</f>
        <v>Шапка</v>
      </c>
      <c r="AC37" s="97" t="str">
        <f ca="1">IFERROR(VLOOKUP(S37,Размеры!A:C,3,FALSE),"")</f>
        <v>61 XL</v>
      </c>
      <c r="AD37" s="97" t="str">
        <f ca="1">VLOOKUP(I37,ЦветПолный!A:B,2,FALSE)</f>
        <v>16</v>
      </c>
      <c r="AE37" s="97" t="str">
        <f ca="1">IFERROR(VLOOKUP(S37,Размеры!A:D,4,FALSE),"")</f>
        <v>61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0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0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81-083-16</v>
      </c>
      <c r="B38" s="107" t="str">
        <f ca="1">_xlfn.LET(_xlpm.CAPS,0,_xlpm.Style,TRIM(_xlfn.XLOOKUP($A38,Строчный!$A:$A,Строчный!B:B,"ERR",0)),IF(_xlpm.CAPS=0,_xlpm.Style,UPPER(_xlpm.Style)))</f>
        <v>ICE 8520</v>
      </c>
      <c r="C38" s="81" t="str">
        <f ca="1">TRIM(PROPER(_xlfn.XLOOKUP($A38,Строчный!$A:$A,Строчный!C:C,"ERR",0)))</f>
        <v>Шапки</v>
      </c>
      <c r="D38" s="81" t="str">
        <f ca="1">_xlfn.LET(_xlpm.DATA,TRIM(_xlfn.XLOOKUP($A38,Строчный!$A:$A,Строчный!D:D,"ERR",0)),UPPER(MID(_xlpm.DATA,1,1))&amp;LOWER(MID(_xlpm.DATA,2,LEN(_xlpm.DATA)-1)))</f>
        <v>Шапка ушанка</v>
      </c>
      <c r="E38" s="81" t="str">
        <f ca="1">PROPER(TRIM(_xlfn.XLOOKUP($A38,Строчный!$A:$A,Строчный!E:E,"ERR",0)))</f>
        <v>Herman</v>
      </c>
      <c r="F38" s="81" t="str">
        <f ca="1">LOWER(TRIM(_xlfn.XLOOKUP($A38,Строчный!$A:$A,Строчный!F:F,"ERR",0)))</f>
        <v>зимний</v>
      </c>
      <c r="G38" s="81" t="str">
        <f ca="1">UPPER(TRIM(_xlfn.XLOOKUP($A38,Строчный!$A:$A,Строчный!G:G,"ERR",0)))</f>
        <v>HERMAN</v>
      </c>
      <c r="H38" s="81" t="str">
        <f ca="1">LOWER(TRIM(_xlfn.XLOOKUP($A38,Строчный!$A:$A,Строчный!H:H,"ERR",0)))</f>
        <v>navy</v>
      </c>
      <c r="I38" s="81" t="str">
        <f ca="1">LOWER(TRIM(_xlfn.XLOOKUP($A38,Строчный!$A:$A,Строчный!I:I,"ERR",0)))</f>
        <v>темно-синий</v>
      </c>
      <c r="J38" s="81" t="str">
        <f ca="1">SUBSTITUTE(LOWER(TRIM(_xlfn.XLOOKUP($A38,Строчный!$A:$A,Строчный!J:J,"ERR",0))),"подклад","Подклад")</f>
        <v>100% акрилл</v>
      </c>
      <c r="K38" s="81" t="str">
        <f ca="1">LOWER(TRIM(_xlfn.XLOOKUP($A38,Строчный!$A:$A,Строчный!K:K,"ERR",0)))</f>
        <v/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90</v>
      </c>
      <c r="R38" s="89" t="str">
        <f ca="1">_xlfn.XLOOKUP($G38,Фабрика!A:A,Фабрика!B:B,"ERR",0)</f>
        <v>Chapellerie Herman S.A.; Rue Jean Meunier, 6, 6922 Wellin, Belgium</v>
      </c>
      <c r="S38" s="80" t="str">
        <f ca="1">_xlfn.XLOOKUP(RIGHT(AA38,2),Размеры!D:D,Размеры!A:A,"ERR",0)</f>
        <v>59</v>
      </c>
      <c r="T38" s="80">
        <f ca="1">VALUE(_xlfn.XLOOKUP($AA38,Строчный!$S:$S,Строчный!U:U,"ERR",0))</f>
        <v>21</v>
      </c>
      <c r="U38" s="14" t="s">
        <v>265</v>
      </c>
      <c r="V38" s="101" t="str">
        <f t="shared" ca="1" si="3"/>
        <v>Шапка HERMAN арт. ICE 8520 (темно-синий)</v>
      </c>
      <c r="W38" s="100" t="str">
        <f t="shared" ca="1" si="4"/>
        <v>Шапка HERMAN арт. ICE 8520 (темно-синий) {navy}</v>
      </c>
      <c r="X38" s="18" t="str">
        <f t="shared" ca="1" si="5"/>
        <v>синий</v>
      </c>
      <c r="Y38" s="18" t="str">
        <f t="shared" ca="1" si="6"/>
        <v>синий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синий</v>
      </c>
      <c r="AA38" s="73" t="str">
        <f ca="1"/>
        <v>81-083-16-59</v>
      </c>
      <c r="AB38" s="75" t="str">
        <f ca="1">VLOOKUP(C38,Группа!A:B,2,FALSE)</f>
        <v>Шапка</v>
      </c>
      <c r="AC38" s="97" t="str">
        <f ca="1">IFERROR(VLOOKUP(S38,Размеры!A:C,3,FALSE),"")</f>
        <v>59 L</v>
      </c>
      <c r="AD38" s="97" t="str">
        <f ca="1">VLOOKUP(I38,ЦветПолный!A:B,2,FALSE)</f>
        <v>16</v>
      </c>
      <c r="AE38" s="97" t="str">
        <f ca="1">IFERROR(VLOOKUP(S38,Размеры!A:D,4,FALSE),"")</f>
        <v>59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0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0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81-083-16</v>
      </c>
      <c r="B39" s="107" t="str">
        <f ca="1">_xlfn.LET(_xlpm.CAPS,0,_xlpm.Style,TRIM(_xlfn.XLOOKUP($A39,Строчный!$A:$A,Строчный!B:B,"ERR",0)),IF(_xlpm.CAPS=0,_xlpm.Style,UPPER(_xlpm.Style)))</f>
        <v>ICE 8520</v>
      </c>
      <c r="C39" s="81" t="str">
        <f ca="1">TRIM(PROPER(_xlfn.XLOOKUP($A39,Строчный!$A:$A,Строчный!C:C,"ERR",0)))</f>
        <v>Шапки</v>
      </c>
      <c r="D39" s="81" t="str">
        <f ca="1">_xlfn.LET(_xlpm.DATA,TRIM(_xlfn.XLOOKUP($A39,Строчный!$A:$A,Строчный!D:D,"ERR",0)),UPPER(MID(_xlpm.DATA,1,1))&amp;LOWER(MID(_xlpm.DATA,2,LEN(_xlpm.DATA)-1)))</f>
        <v>Шапка ушанка</v>
      </c>
      <c r="E39" s="81" t="str">
        <f ca="1">PROPER(TRIM(_xlfn.XLOOKUP($A39,Строчный!$A:$A,Строчный!E:E,"ERR",0)))</f>
        <v>Herman</v>
      </c>
      <c r="F39" s="81" t="str">
        <f ca="1">LOWER(TRIM(_xlfn.XLOOKUP($A39,Строчный!$A:$A,Строчный!F:F,"ERR",0)))</f>
        <v>зимний</v>
      </c>
      <c r="G39" s="81" t="str">
        <f ca="1">UPPER(TRIM(_xlfn.XLOOKUP($A39,Строчный!$A:$A,Строчный!G:G,"ERR",0)))</f>
        <v>HERMAN</v>
      </c>
      <c r="H39" s="81" t="str">
        <f ca="1">LOWER(TRIM(_xlfn.XLOOKUP($A39,Строчный!$A:$A,Строчный!H:H,"ERR",0)))</f>
        <v>navy</v>
      </c>
      <c r="I39" s="81" t="str">
        <f ca="1">LOWER(TRIM(_xlfn.XLOOKUP($A39,Строчный!$A:$A,Строчный!I:I,"ERR",0)))</f>
        <v>темно-синий</v>
      </c>
      <c r="J39" s="81" t="str">
        <f ca="1">SUBSTITUTE(LOWER(TRIM(_xlfn.XLOOKUP($A39,Строчный!$A:$A,Строчный!J:J,"ERR",0))),"подклад","Подклад")</f>
        <v>100% акрилл</v>
      </c>
      <c r="K39" s="81" t="str">
        <f ca="1">LOWER(TRIM(_xlfn.XLOOKUP($A39,Строчный!$A:$A,Строчный!K:K,"ERR",0)))</f>
        <v/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90</v>
      </c>
      <c r="R39" s="89" t="str">
        <f ca="1">_xlfn.XLOOKUP($G39,Фабрика!A:A,Фабрика!B:B,"ERR",0)</f>
        <v>Chapellerie Herman S.A.; Rue Jean Meunier, 6, 6922 Wellin, Belgium</v>
      </c>
      <c r="S39" s="80" t="str">
        <f ca="1">_xlfn.XLOOKUP(RIGHT(AA39,2),Размеры!D:D,Размеры!A:A,"ERR",0)</f>
        <v>57</v>
      </c>
      <c r="T39" s="80">
        <f ca="1">VALUE(_xlfn.XLOOKUP($AA39,Строчный!$S:$S,Строчный!U:U,"ERR",0))</f>
        <v>17</v>
      </c>
      <c r="U39" s="14" t="s">
        <v>265</v>
      </c>
      <c r="V39" s="101" t="str">
        <f t="shared" ca="1" si="3"/>
        <v>Шапка HERMAN арт. ICE 8520 (темно-синий)</v>
      </c>
      <c r="W39" s="100" t="str">
        <f t="shared" ca="1" si="4"/>
        <v>Шапка HERMAN арт. ICE 8520 (темно-синий) {navy}</v>
      </c>
      <c r="X39" s="18" t="str">
        <f t="shared" ca="1" si="5"/>
        <v>синий</v>
      </c>
      <c r="Y39" s="18" t="str">
        <f t="shared" ca="1" si="6"/>
        <v>синий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синий</v>
      </c>
      <c r="AA39" s="73" t="str">
        <f ca="1"/>
        <v>81-083-16-57</v>
      </c>
      <c r="AB39" s="75" t="str">
        <f ca="1">VLOOKUP(C39,Группа!A:B,2,FALSE)</f>
        <v>Шапка</v>
      </c>
      <c r="AC39" s="97" t="str">
        <f ca="1">IFERROR(VLOOKUP(S39,Размеры!A:C,3,FALSE),"")</f>
        <v>57 M</v>
      </c>
      <c r="AD39" s="97" t="str">
        <f ca="1">VLOOKUP(I39,ЦветПолный!A:B,2,FALSE)</f>
        <v>16</v>
      </c>
      <c r="AE39" s="97" t="str">
        <f ca="1">IFERROR(VLOOKUP(S39,Размеры!A:D,4,FALSE),"")</f>
        <v>57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0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0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81-083-16</v>
      </c>
      <c r="B40" s="107" t="str">
        <f ca="1">_xlfn.LET(_xlpm.CAPS,0,_xlpm.Style,TRIM(_xlfn.XLOOKUP($A40,Строчный!$A:$A,Строчный!B:B,"ERR",0)),IF(_xlpm.CAPS=0,_xlpm.Style,UPPER(_xlpm.Style)))</f>
        <v>ICE 8520</v>
      </c>
      <c r="C40" s="81" t="str">
        <f ca="1">TRIM(PROPER(_xlfn.XLOOKUP($A40,Строчный!$A:$A,Строчный!C:C,"ERR",0)))</f>
        <v>Шапки</v>
      </c>
      <c r="D40" s="81" t="str">
        <f ca="1">_xlfn.LET(_xlpm.DATA,TRIM(_xlfn.XLOOKUP($A40,Строчный!$A:$A,Строчный!D:D,"ERR",0)),UPPER(MID(_xlpm.DATA,1,1))&amp;LOWER(MID(_xlpm.DATA,2,LEN(_xlpm.DATA)-1)))</f>
        <v>Шапка ушанка</v>
      </c>
      <c r="E40" s="81" t="str">
        <f ca="1">PROPER(TRIM(_xlfn.XLOOKUP($A40,Строчный!$A:$A,Строчный!E:E,"ERR",0)))</f>
        <v>Herman</v>
      </c>
      <c r="F40" s="81" t="str">
        <f ca="1">LOWER(TRIM(_xlfn.XLOOKUP($A40,Строчный!$A:$A,Строчный!F:F,"ERR",0)))</f>
        <v>зимний</v>
      </c>
      <c r="G40" s="81" t="str">
        <f ca="1">UPPER(TRIM(_xlfn.XLOOKUP($A40,Строчный!$A:$A,Строчный!G:G,"ERR",0)))</f>
        <v>HERMAN</v>
      </c>
      <c r="H40" s="81" t="str">
        <f ca="1">LOWER(TRIM(_xlfn.XLOOKUP($A40,Строчный!$A:$A,Строчный!H:H,"ERR",0)))</f>
        <v>navy</v>
      </c>
      <c r="I40" s="81" t="str">
        <f ca="1">LOWER(TRIM(_xlfn.XLOOKUP($A40,Строчный!$A:$A,Строчный!I:I,"ERR",0)))</f>
        <v>темно-синий</v>
      </c>
      <c r="J40" s="81" t="str">
        <f ca="1">SUBSTITUTE(LOWER(TRIM(_xlfn.XLOOKUP($A40,Строчный!$A:$A,Строчный!J:J,"ERR",0))),"подклад","Подклад")</f>
        <v>100% акрилл</v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90</v>
      </c>
      <c r="R40" s="89" t="str">
        <f ca="1">_xlfn.XLOOKUP($G40,Фабрика!A:A,Фабрика!B:B,"ERR",0)</f>
        <v>Chapellerie Herman S.A.; Rue Jean Meunier, 6, 6922 Wellin, Belgium</v>
      </c>
      <c r="S40" s="80" t="str">
        <f ca="1">_xlfn.XLOOKUP(RIGHT(AA40,2),Размеры!D:D,Размеры!A:A,"ERR",0)</f>
        <v>55</v>
      </c>
      <c r="T40" s="80">
        <f ca="1">VALUE(_xlfn.XLOOKUP($AA40,Строчный!$S:$S,Строчный!U:U,"ERR",0))</f>
        <v>4</v>
      </c>
      <c r="U40" s="14" t="s">
        <v>265</v>
      </c>
      <c r="V40" s="101" t="str">
        <f t="shared" ca="1" si="3"/>
        <v>Шапка HERMAN арт. ICE 8520 (темно-синий)</v>
      </c>
      <c r="W40" s="100" t="str">
        <f t="shared" ca="1" si="4"/>
        <v>Шапка HERMAN арт. ICE 8520 (темно-синий) {navy}</v>
      </c>
      <c r="X40" s="18" t="str">
        <f t="shared" ca="1" si="5"/>
        <v>синий</v>
      </c>
      <c r="Y40" s="18" t="str">
        <f t="shared" ca="1" si="6"/>
        <v>синий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синий</v>
      </c>
      <c r="AA40" s="73" t="str">
        <f ca="1"/>
        <v>81-083-16-55</v>
      </c>
      <c r="AB40" s="75" t="str">
        <f ca="1">VLOOKUP(C40,Группа!A:B,2,FALSE)</f>
        <v>Шапка</v>
      </c>
      <c r="AC40" s="97" t="str">
        <f ca="1">IFERROR(VLOOKUP(S40,Размеры!A:C,3,FALSE),"")</f>
        <v>55 S</v>
      </c>
      <c r="AD40" s="97" t="str">
        <f ca="1">VLOOKUP(I40,ЦветПолный!A:B,2,FALSE)</f>
        <v>16</v>
      </c>
      <c r="AE40" s="97" t="str">
        <f ca="1">IFERROR(VLOOKUP(S40,Размеры!A:D,4,FALSE),"")</f>
        <v>55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0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81-083-09</v>
      </c>
      <c r="B41" s="107" t="str">
        <f ca="1">_xlfn.LET(_xlpm.CAPS,0,_xlpm.Style,TRIM(_xlfn.XLOOKUP($A41,Строчный!$A:$A,Строчный!B:B,"ERR",0)),IF(_xlpm.CAPS=0,_xlpm.Style,UPPER(_xlpm.Style)))</f>
        <v>ICE 8520</v>
      </c>
      <c r="C41" s="81" t="str">
        <f ca="1">TRIM(PROPER(_xlfn.XLOOKUP($A41,Строчный!$A:$A,Строчный!C:C,"ERR",0)))</f>
        <v>Шапки</v>
      </c>
      <c r="D41" s="81" t="str">
        <f ca="1">_xlfn.LET(_xlpm.DATA,TRIM(_xlfn.XLOOKUP($A41,Строчный!$A:$A,Строчный!D:D,"ERR",0)),UPPER(MID(_xlpm.DATA,1,1))&amp;LOWER(MID(_xlpm.DATA,2,LEN(_xlpm.DATA)-1)))</f>
        <v>Шапка ушанка</v>
      </c>
      <c r="E41" s="81" t="str">
        <f ca="1">PROPER(TRIM(_xlfn.XLOOKUP($A41,Строчный!$A:$A,Строчный!E:E,"ERR",0)))</f>
        <v>Herman</v>
      </c>
      <c r="F41" s="81" t="str">
        <f ca="1">LOWER(TRIM(_xlfn.XLOOKUP($A41,Строчный!$A:$A,Строчный!F:F,"ERR",0)))</f>
        <v>зимний</v>
      </c>
      <c r="G41" s="81" t="str">
        <f ca="1">UPPER(TRIM(_xlfn.XLOOKUP($A41,Строчный!$A:$A,Строчный!G:G,"ERR",0)))</f>
        <v>HERMAN</v>
      </c>
      <c r="H41" s="81" t="str">
        <f ca="1">LOWER(TRIM(_xlfn.XLOOKUP($A41,Строчный!$A:$A,Строчный!H:H,"ERR",0)))</f>
        <v>black</v>
      </c>
      <c r="I41" s="81" t="str">
        <f ca="1">LOWER(TRIM(_xlfn.XLOOKUP($A41,Строчный!$A:$A,Строчный!I:I,"ERR",0)))</f>
        <v>черный</v>
      </c>
      <c r="J41" s="81" t="str">
        <f ca="1">SUBSTITUTE(LOWER(TRIM(_xlfn.XLOOKUP($A41,Строчный!$A:$A,Строчный!J:J,"ERR",0))),"подклад","Подклад")</f>
        <v>100% акрилл</v>
      </c>
      <c r="K41" s="81" t="str">
        <f ca="1">LOWER(TRIM(_xlfn.XLOOKUP($A41,Строчный!$A:$A,Строчный!K:K,"ERR",0)))</f>
        <v/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90</v>
      </c>
      <c r="R41" s="89" t="str">
        <f ca="1">_xlfn.XLOOKUP($G41,Фабрика!A:A,Фабрика!B:B,"ERR",0)</f>
        <v>Chapellerie Herman S.A.; Rue Jean Meunier, 6, 6922 Wellin, Belgium</v>
      </c>
      <c r="S41" s="80" t="str">
        <f ca="1">_xlfn.XLOOKUP(RIGHT(AA41,2),Размеры!D:D,Размеры!A:A,"ERR",0)</f>
        <v>61</v>
      </c>
      <c r="T41" s="80">
        <f ca="1">VALUE(_xlfn.XLOOKUP($AA41,Строчный!$S:$S,Строчный!U:U,"ERR",0))</f>
        <v>5</v>
      </c>
      <c r="U41" s="14" t="s">
        <v>265</v>
      </c>
      <c r="V41" s="101" t="str">
        <f t="shared" ca="1" si="3"/>
        <v>Шапка HERMAN арт. ICE 8520 (черный)</v>
      </c>
      <c r="W41" s="100" t="str">
        <f t="shared" ca="1" si="4"/>
        <v>Шапка HERMAN арт. ICE 8520 (черный) {black}</v>
      </c>
      <c r="X41" s="18" t="str">
        <f t="shared" ca="1" si="5"/>
        <v>черный</v>
      </c>
      <c r="Y41" s="18" t="str">
        <f t="shared" ca="1" si="6"/>
        <v>черный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3" t="str">
        <f ca="1"/>
        <v>81-083-09-61</v>
      </c>
      <c r="AB41" s="75" t="str">
        <f ca="1">VLOOKUP(C41,Группа!A:B,2,FALSE)</f>
        <v>Шапка</v>
      </c>
      <c r="AC41" s="97" t="str">
        <f ca="1">IFERROR(VLOOKUP(S41,Размеры!A:C,3,FALSE),"")</f>
        <v>61 XL</v>
      </c>
      <c r="AD41" s="97" t="str">
        <f ca="1">VLOOKUP(I41,ЦветПолный!A:B,2,FALSE)</f>
        <v>09</v>
      </c>
      <c r="AE41" s="97" t="str">
        <f ca="1">IFERROR(VLOOKUP(S41,Размеры!A:D,4,FALSE),"")</f>
        <v>61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0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0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81-083-09</v>
      </c>
      <c r="B42" s="107" t="str">
        <f ca="1">_xlfn.LET(_xlpm.CAPS,0,_xlpm.Style,TRIM(_xlfn.XLOOKUP($A42,Строчный!$A:$A,Строчный!B:B,"ERR",0)),IF(_xlpm.CAPS=0,_xlpm.Style,UPPER(_xlpm.Style)))</f>
        <v>ICE 8520</v>
      </c>
      <c r="C42" s="81" t="str">
        <f ca="1">TRIM(PROPER(_xlfn.XLOOKUP($A42,Строчный!$A:$A,Строчный!C:C,"ERR",0)))</f>
        <v>Шапки</v>
      </c>
      <c r="D42" s="81" t="str">
        <f ca="1">_xlfn.LET(_xlpm.DATA,TRIM(_xlfn.XLOOKUP($A42,Строчный!$A:$A,Строчный!D:D,"ERR",0)),UPPER(MID(_xlpm.DATA,1,1))&amp;LOWER(MID(_xlpm.DATA,2,LEN(_xlpm.DATA)-1)))</f>
        <v>Шапка ушанка</v>
      </c>
      <c r="E42" s="81" t="str">
        <f ca="1">PROPER(TRIM(_xlfn.XLOOKUP($A42,Строчный!$A:$A,Строчный!E:E,"ERR",0)))</f>
        <v>Herman</v>
      </c>
      <c r="F42" s="81" t="str">
        <f ca="1">LOWER(TRIM(_xlfn.XLOOKUP($A42,Строчный!$A:$A,Строчный!F:F,"ERR",0)))</f>
        <v>зимний</v>
      </c>
      <c r="G42" s="81" t="str">
        <f ca="1">UPPER(TRIM(_xlfn.XLOOKUP($A42,Строчный!$A:$A,Строчный!G:G,"ERR",0)))</f>
        <v>HERMAN</v>
      </c>
      <c r="H42" s="81" t="str">
        <f ca="1">LOWER(TRIM(_xlfn.XLOOKUP($A42,Строчный!$A:$A,Строчный!H:H,"ERR",0)))</f>
        <v>black</v>
      </c>
      <c r="I42" s="81" t="str">
        <f ca="1">LOWER(TRIM(_xlfn.XLOOKUP($A42,Строчный!$A:$A,Строчный!I:I,"ERR",0)))</f>
        <v>черный</v>
      </c>
      <c r="J42" s="81" t="str">
        <f ca="1">SUBSTITUTE(LOWER(TRIM(_xlfn.XLOOKUP($A42,Строчный!$A:$A,Строчный!J:J,"ERR",0))),"подклад","Подклад")</f>
        <v>100% акрилл</v>
      </c>
      <c r="K42" s="81" t="str">
        <f ca="1">LOWER(TRIM(_xlfn.XLOOKUP($A42,Строчный!$A:$A,Строчный!K:K,"ERR",0)))</f>
        <v/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90</v>
      </c>
      <c r="R42" s="89" t="str">
        <f ca="1">_xlfn.XLOOKUP($G42,Фабрика!A:A,Фабрика!B:B,"ERR",0)</f>
        <v>Chapellerie Herman S.A.; Rue Jean Meunier, 6, 6922 Wellin, Belgium</v>
      </c>
      <c r="S42" s="80" t="str">
        <f ca="1">_xlfn.XLOOKUP(RIGHT(AA42,2),Размеры!D:D,Размеры!A:A,"ERR",0)</f>
        <v>59</v>
      </c>
      <c r="T42" s="80">
        <f ca="1">VALUE(_xlfn.XLOOKUP($AA42,Строчный!$S:$S,Строчный!U:U,"ERR",0))</f>
        <v>8</v>
      </c>
      <c r="U42" s="14" t="s">
        <v>265</v>
      </c>
      <c r="V42" s="101" t="str">
        <f t="shared" ca="1" si="3"/>
        <v>Шапка HERMAN арт. ICE 8520 (черный)</v>
      </c>
      <c r="W42" s="100" t="str">
        <f t="shared" ca="1" si="4"/>
        <v>Шапка HERMAN арт. ICE 8520 (черный) {black}</v>
      </c>
      <c r="X42" s="18" t="str">
        <f t="shared" ca="1" si="5"/>
        <v>черный</v>
      </c>
      <c r="Y42" s="18" t="str">
        <f t="shared" ca="1" si="6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3" t="str">
        <f ca="1"/>
        <v>81-083-09-59</v>
      </c>
      <c r="AB42" s="75" t="str">
        <f ca="1">VLOOKUP(C42,Группа!A:B,2,FALSE)</f>
        <v>Шапка</v>
      </c>
      <c r="AC42" s="97" t="str">
        <f ca="1">IFERROR(VLOOKUP(S42,Размеры!A:C,3,FALSE),"")</f>
        <v>59 L</v>
      </c>
      <c r="AD42" s="97" t="str">
        <f ca="1">VLOOKUP(I42,ЦветПолный!A:B,2,FALSE)</f>
        <v>09</v>
      </c>
      <c r="AE42" s="97" t="str">
        <f ca="1">IFERROR(VLOOKUP(S42,Размеры!A:D,4,FALSE),"")</f>
        <v>59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0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0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81-083-09</v>
      </c>
      <c r="B43" s="107" t="str">
        <f ca="1">_xlfn.LET(_xlpm.CAPS,0,_xlpm.Style,TRIM(_xlfn.XLOOKUP($A43,Строчный!$A:$A,Строчный!B:B,"ERR",0)),IF(_xlpm.CAPS=0,_xlpm.Style,UPPER(_xlpm.Style)))</f>
        <v>ICE 8520</v>
      </c>
      <c r="C43" s="81" t="str">
        <f ca="1">TRIM(PROPER(_xlfn.XLOOKUP($A43,Строчный!$A:$A,Строчный!C:C,"ERR",0)))</f>
        <v>Шапки</v>
      </c>
      <c r="D43" s="81" t="str">
        <f ca="1">_xlfn.LET(_xlpm.DATA,TRIM(_xlfn.XLOOKUP($A43,Строчный!$A:$A,Строчный!D:D,"ERR",0)),UPPER(MID(_xlpm.DATA,1,1))&amp;LOWER(MID(_xlpm.DATA,2,LEN(_xlpm.DATA)-1)))</f>
        <v>Шапка ушанка</v>
      </c>
      <c r="E43" s="81" t="str">
        <f ca="1">PROPER(TRIM(_xlfn.XLOOKUP($A43,Строчный!$A:$A,Строчный!E:E,"ERR",0)))</f>
        <v>Herman</v>
      </c>
      <c r="F43" s="81" t="str">
        <f ca="1">LOWER(TRIM(_xlfn.XLOOKUP($A43,Строчный!$A:$A,Строчный!F:F,"ERR",0)))</f>
        <v>зимний</v>
      </c>
      <c r="G43" s="81" t="str">
        <f ca="1">UPPER(TRIM(_xlfn.XLOOKUP($A43,Строчный!$A:$A,Строчный!G:G,"ERR",0)))</f>
        <v>HERMAN</v>
      </c>
      <c r="H43" s="81" t="str">
        <f ca="1">LOWER(TRIM(_xlfn.XLOOKUP($A43,Строчный!$A:$A,Строчный!H:H,"ERR",0)))</f>
        <v>black</v>
      </c>
      <c r="I43" s="81" t="str">
        <f ca="1">LOWER(TRIM(_xlfn.XLOOKUP($A43,Строчный!$A:$A,Строчный!I:I,"ERR",0)))</f>
        <v>черный</v>
      </c>
      <c r="J43" s="81" t="str">
        <f ca="1">SUBSTITUTE(LOWER(TRIM(_xlfn.XLOOKUP($A43,Строчный!$A:$A,Строчный!J:J,"ERR",0))),"подклад","Подклад")</f>
        <v>100% акрилл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90</v>
      </c>
      <c r="R43" s="89" t="str">
        <f ca="1">_xlfn.XLOOKUP($G43,Фабрика!A:A,Фабрика!B:B,"ERR",0)</f>
        <v>Chapellerie Herman S.A.; Rue Jean Meunier, 6, 6922 Wellin, Belgium</v>
      </c>
      <c r="S43" s="80" t="str">
        <f ca="1">_xlfn.XLOOKUP(RIGHT(AA43,2),Размеры!D:D,Размеры!A:A,"ERR",0)</f>
        <v>57</v>
      </c>
      <c r="T43" s="80">
        <f ca="1">VALUE(_xlfn.XLOOKUP($AA43,Строчный!$S:$S,Строчный!U:U,"ERR",0))</f>
        <v>9</v>
      </c>
      <c r="U43" s="14" t="s">
        <v>265</v>
      </c>
      <c r="V43" s="101" t="str">
        <f t="shared" ca="1" si="3"/>
        <v>Шапка HERMAN арт. ICE 8520 (черный)</v>
      </c>
      <c r="W43" s="100" t="str">
        <f t="shared" ca="1" si="4"/>
        <v>Шапка HERMAN арт. ICE 8520 (черный) {black}</v>
      </c>
      <c r="X43" s="18" t="str">
        <f t="shared" ca="1" si="5"/>
        <v>черный</v>
      </c>
      <c r="Y43" s="18" t="str">
        <f t="shared" ca="1" si="6"/>
        <v>черный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черный</v>
      </c>
      <c r="AA43" s="73" t="str">
        <f ca="1"/>
        <v>81-083-09-57</v>
      </c>
      <c r="AB43" s="75" t="str">
        <f ca="1">VLOOKUP(C43,Группа!A:B,2,FALSE)</f>
        <v>Шапка</v>
      </c>
      <c r="AC43" s="97" t="str">
        <f ca="1">IFERROR(VLOOKUP(S43,Размеры!A:C,3,FALSE),"")</f>
        <v>57 M</v>
      </c>
      <c r="AD43" s="97" t="str">
        <f ca="1">VLOOKUP(I43,ЦветПолный!A:B,2,FALSE)</f>
        <v>09</v>
      </c>
      <c r="AE43" s="97" t="str">
        <f ca="1">IFERROR(VLOOKUP(S43,Размеры!A:D,4,FALSE),"")</f>
        <v>57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81-083-09</v>
      </c>
      <c r="B44" s="107" t="str">
        <f ca="1">_xlfn.LET(_xlpm.CAPS,0,_xlpm.Style,TRIM(_xlfn.XLOOKUP($A44,Строчный!$A:$A,Строчный!B:B,"ERR",0)),IF(_xlpm.CAPS=0,_xlpm.Style,UPPER(_xlpm.Style)))</f>
        <v>ICE 8520</v>
      </c>
      <c r="C44" s="81" t="str">
        <f ca="1">TRIM(PROPER(_xlfn.XLOOKUP($A44,Строчный!$A:$A,Строчный!C:C,"ERR",0)))</f>
        <v>Шапки</v>
      </c>
      <c r="D44" s="81" t="str">
        <f ca="1">_xlfn.LET(_xlpm.DATA,TRIM(_xlfn.XLOOKUP($A44,Строчный!$A:$A,Строчный!D:D,"ERR",0)),UPPER(MID(_xlpm.DATA,1,1))&amp;LOWER(MID(_xlpm.DATA,2,LEN(_xlpm.DATA)-1)))</f>
        <v>Шапка ушанка</v>
      </c>
      <c r="E44" s="81" t="str">
        <f ca="1">PROPER(TRIM(_xlfn.XLOOKUP($A44,Строчный!$A:$A,Строчный!E:E,"ERR",0)))</f>
        <v>Herman</v>
      </c>
      <c r="F44" s="81" t="str">
        <f ca="1">LOWER(TRIM(_xlfn.XLOOKUP($A44,Строчный!$A:$A,Строчный!F:F,"ERR",0)))</f>
        <v>зимний</v>
      </c>
      <c r="G44" s="81" t="str">
        <f ca="1">UPPER(TRIM(_xlfn.XLOOKUP($A44,Строчный!$A:$A,Строчный!G:G,"ERR",0)))</f>
        <v>HERMAN</v>
      </c>
      <c r="H44" s="81" t="str">
        <f ca="1">LOWER(TRIM(_xlfn.XLOOKUP($A44,Строчный!$A:$A,Строчный!H:H,"ERR",0)))</f>
        <v>black</v>
      </c>
      <c r="I44" s="81" t="str">
        <f ca="1">LOWER(TRIM(_xlfn.XLOOKUP($A44,Строчный!$A:$A,Строчный!I:I,"ERR",0)))</f>
        <v>черный</v>
      </c>
      <c r="J44" s="81" t="str">
        <f ca="1">SUBSTITUTE(LOWER(TRIM(_xlfn.XLOOKUP($A44,Строчный!$A:$A,Строчный!J:J,"ERR",0))),"подклад","Подклад")</f>
        <v>100% акрилл</v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90</v>
      </c>
      <c r="R44" s="89" t="str">
        <f ca="1">_xlfn.XLOOKUP($G44,Фабрика!A:A,Фабрика!B:B,"ERR",0)</f>
        <v>Chapellerie Herman S.A.; Rue Jean Meunier, 6, 6922 Wellin, Belgium</v>
      </c>
      <c r="S44" s="80" t="str">
        <f ca="1">_xlfn.XLOOKUP(RIGHT(AA44,2),Размеры!D:D,Размеры!A:A,"ERR",0)</f>
        <v>55</v>
      </c>
      <c r="T44" s="80">
        <f ca="1">VALUE(_xlfn.XLOOKUP($AA44,Строчный!$S:$S,Строчный!U:U,"ERR",0))</f>
        <v>4</v>
      </c>
      <c r="U44" s="14" t="s">
        <v>265</v>
      </c>
      <c r="V44" s="101" t="str">
        <f t="shared" ca="1" si="3"/>
        <v>Шапка HERMAN арт. ICE 8520 (черный)</v>
      </c>
      <c r="W44" s="100" t="str">
        <f t="shared" ca="1" si="4"/>
        <v>Шапка HERMAN арт. ICE 8520 (черный) {black}</v>
      </c>
      <c r="X44" s="18" t="str">
        <f t="shared" ca="1" si="5"/>
        <v>черный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81-083-09-55</v>
      </c>
      <c r="AB44" s="75" t="str">
        <f ca="1">VLOOKUP(C44,Группа!A:B,2,FALSE)</f>
        <v>Шапка</v>
      </c>
      <c r="AC44" s="97" t="str">
        <f ca="1">IFERROR(VLOOKUP(S44,Размеры!A:C,3,FALSE),"")</f>
        <v>55 S</v>
      </c>
      <c r="AD44" s="97" t="str">
        <f ca="1">VLOOKUP(I44,ЦветПолный!A:B,2,FALSE)</f>
        <v>09</v>
      </c>
      <c r="AE44" s="97" t="str">
        <f ca="1">IFERROR(VLOOKUP(S44,Размеры!A:D,4,FALSE),"")</f>
        <v>55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0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81-082-09</v>
      </c>
      <c r="B45" s="107" t="str">
        <f ca="1">_xlfn.LET(_xlpm.CAPS,0,_xlpm.Style,TRIM(_xlfn.XLOOKUP($A45,Строчный!$A:$A,Строчный!B:B,"ERR",0)),IF(_xlpm.CAPS=0,_xlpm.Style,UPPER(_xlpm.Style)))</f>
        <v>EDMOND 020</v>
      </c>
      <c r="C45" s="81" t="str">
        <f ca="1">TRIM(PROPER(_xlfn.XLOOKUP($A45,Строчный!$A:$A,Строчный!C:C,"ERR",0)))</f>
        <v>Шапки</v>
      </c>
      <c r="D45" s="81" t="str">
        <f ca="1">_xlfn.LET(_xlpm.DATA,TRIM(_xlfn.XLOOKUP($A45,Строчный!$A:$A,Строчный!D:D,"ERR",0)),UPPER(MID(_xlpm.DATA,1,1))&amp;LOWER(MID(_xlpm.DATA,2,LEN(_xlpm.DATA)-1)))</f>
        <v>Шапка вязаная</v>
      </c>
      <c r="E45" s="81" t="str">
        <f ca="1">PROPER(TRIM(_xlfn.XLOOKUP($A45,Строчный!$A:$A,Строчный!E:E,"ERR",0)))</f>
        <v>Herman</v>
      </c>
      <c r="F45" s="81" t="str">
        <f ca="1">LOWER(TRIM(_xlfn.XLOOKUP($A45,Строчный!$A:$A,Строчный!F:F,"ERR",0)))</f>
        <v>зимний</v>
      </c>
      <c r="G45" s="81" t="str">
        <f ca="1">UPPER(TRIM(_xlfn.XLOOKUP($A45,Строчный!$A:$A,Строчный!G:G,"ERR",0)))</f>
        <v>HERMAN</v>
      </c>
      <c r="H45" s="81" t="str">
        <f ca="1">LOWER(TRIM(_xlfn.XLOOKUP($A45,Строчный!$A:$A,Строчный!H:H,"ERR",0)))</f>
        <v>black</v>
      </c>
      <c r="I45" s="81" t="str">
        <f ca="1">LOWER(TRIM(_xlfn.XLOOKUP($A45,Строчный!$A:$A,Строчный!I:I,"ERR",0)))</f>
        <v>черный</v>
      </c>
      <c r="J45" s="81" t="str">
        <f ca="1">SUBSTITUTE(LOWER(TRIM(_xlfn.XLOOKUP($A45,Строчный!$A:$A,Строчный!J:J,"ERR",0))),"подклад","Подклад")</f>
        <v>70% акрилл - 30% шерсть</v>
      </c>
      <c r="K45" s="81" t="str">
        <f ca="1">LOWER(TRIM(_xlfn.XLOOKUP($A45,Строчный!$A:$A,Строчный!K:K,"ERR",0)))</f>
        <v/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135</v>
      </c>
      <c r="R45" s="89" t="str">
        <f ca="1">_xlfn.XLOOKUP($G45,Фабрика!A:A,Фабрика!B:B,"ERR",0)</f>
        <v>Chapellerie Herman S.A.; Rue Jean Meunier, 6, 6922 Wellin, Belgium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14</v>
      </c>
      <c r="U45" s="14" t="s">
        <v>265</v>
      </c>
      <c r="V45" s="101" t="str">
        <f t="shared" ca="1" si="3"/>
        <v>Шапка HERMAN арт. EDMOND 020 (черный)</v>
      </c>
      <c r="W45" s="100" t="str">
        <f t="shared" ca="1" si="4"/>
        <v>Шапка HERMAN арт. EDMOND 020 (черный) {black}</v>
      </c>
      <c r="X45" s="18" t="str">
        <f t="shared" ca="1" si="5"/>
        <v>черный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81-082-09-00</v>
      </c>
      <c r="AB45" s="75" t="str">
        <f ca="1">VLOOKUP(C45,Группа!A:B,2,FALSE)</f>
        <v>Шапка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0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0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81-081-09</v>
      </c>
      <c r="B46" s="107" t="str">
        <f ca="1">_xlfn.LET(_xlpm.CAPS,0,_xlpm.Style,TRIM(_xlfn.XLOOKUP($A46,Строчный!$A:$A,Строчный!B:B,"ERR",0)),IF(_xlpm.CAPS=0,_xlpm.Style,UPPER(_xlpm.Style)))</f>
        <v>B-4503</v>
      </c>
      <c r="C46" s="81" t="str">
        <f ca="1">TRIM(PROPER(_xlfn.XLOOKUP($A46,Строчный!$A:$A,Строчный!C:C,"ERR",0)))</f>
        <v>Кепки</v>
      </c>
      <c r="D46" s="81" t="str">
        <f ca="1">_xlfn.LET(_xlpm.DATA,TRIM(_xlfn.XLOOKUP($A46,Строчный!$A:$A,Строчный!D:D,"ERR",0)),UPPER(MID(_xlpm.DATA,1,1))&amp;LOWER(MID(_xlpm.DATA,2,LEN(_xlpm.DATA)-1)))</f>
        <v>Кепка плоская</v>
      </c>
      <c r="E46" s="81" t="str">
        <f ca="1">PROPER(TRIM(_xlfn.XLOOKUP($A46,Строчный!$A:$A,Строчный!E:E,"ERR",0)))</f>
        <v>Herman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HERMAN</v>
      </c>
      <c r="H46" s="81" t="str">
        <f ca="1">LOWER(TRIM(_xlfn.XLOOKUP($A46,Строчный!$A:$A,Строчный!H:H,"ERR",0)))</f>
        <v>black</v>
      </c>
      <c r="I46" s="81" t="str">
        <f ca="1">LOWER(TRIM(_xlfn.XLOOKUP($A46,Строчный!$A:$A,Строчный!I:I,"ERR",0)))</f>
        <v>черный</v>
      </c>
      <c r="J46" s="81" t="str">
        <f ca="1">SUBSTITUTE(LOWER(TRIM(_xlfn.XLOOKUP($A46,Строчный!$A:$A,Строчный!J:J,"ERR",0))),"подклад","Подклад")</f>
        <v>100% шерсть</v>
      </c>
      <c r="K46" s="81" t="str">
        <f ca="1">LOWER(TRIM(_xlfn.XLOOKUP($A46,Строчный!$A:$A,Строчный!K:K,"ERR",0)))</f>
        <v>шерстяные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180</v>
      </c>
      <c r="R46" s="89" t="str">
        <f ca="1">_xlfn.XLOOKUP($G46,Фабрика!A:A,Фабрика!B:B,"ERR",0)</f>
        <v>Chapellerie Herman S.A.; Rue Jean Meunier, 6, 6922 Wellin, Belgium</v>
      </c>
      <c r="S46" s="80" t="str">
        <f ca="1">_xlfn.XLOOKUP(RIGHT(AA46,2),Размеры!D:D,Размеры!A:A,"ERR",0)</f>
        <v>61</v>
      </c>
      <c r="T46" s="80">
        <f ca="1">VALUE(_xlfn.XLOOKUP($AA46,Строчный!$S:$S,Строчный!U:U,"ERR",0))</f>
        <v>20</v>
      </c>
      <c r="U46" s="14" t="s">
        <v>265</v>
      </c>
      <c r="V46" s="101" t="str">
        <f t="shared" ca="1" si="3"/>
        <v>Кепка HERMAN арт. B-4503 (черный)</v>
      </c>
      <c r="W46" s="100" t="str">
        <f t="shared" ca="1" si="4"/>
        <v>Кепка HERMAN арт. B-4503 (черный) {black}</v>
      </c>
      <c r="X46" s="18" t="str">
        <f t="shared" ca="1" si="5"/>
        <v>черный</v>
      </c>
      <c r="Y46" s="18" t="str">
        <f t="shared" ca="1" si="6"/>
        <v>черный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черный</v>
      </c>
      <c r="AA46" s="73" t="str">
        <f ca="1"/>
        <v>81-081-09-61</v>
      </c>
      <c r="AB46" s="75" t="str">
        <f ca="1">VLOOKUP(C46,Группа!A:B,2,FALSE)</f>
        <v>Кепка</v>
      </c>
      <c r="AC46" s="97" t="str">
        <f ca="1">IFERROR(VLOOKUP(S46,Размеры!A:C,3,FALSE),"")</f>
        <v>61 XL</v>
      </c>
      <c r="AD46" s="97" t="str">
        <f ca="1">VLOOKUP(I46,ЦветПолный!A:B,2,FALSE)</f>
        <v>09</v>
      </c>
      <c r="AE46" s="97" t="str">
        <f ca="1">IFERROR(VLOOKUP(S46,Размеры!A:D,4,FALSE),"")</f>
        <v>61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81-081-09</v>
      </c>
      <c r="B47" s="107" t="str">
        <f ca="1">_xlfn.LET(_xlpm.CAPS,0,_xlpm.Style,TRIM(_xlfn.XLOOKUP($A47,Строчный!$A:$A,Строчный!B:B,"ERR",0)),IF(_xlpm.CAPS=0,_xlpm.Style,UPPER(_xlpm.Style)))</f>
        <v>B-4503</v>
      </c>
      <c r="C47" s="81" t="str">
        <f ca="1">TRIM(PROPER(_xlfn.XLOOKUP($A47,Строчный!$A:$A,Строчный!C:C,"ERR",0)))</f>
        <v>Кепки</v>
      </c>
      <c r="D47" s="81" t="str">
        <f ca="1">_xlfn.LET(_xlpm.DATA,TRIM(_xlfn.XLOOKUP($A47,Строчный!$A:$A,Строчный!D:D,"ERR",0)),UPPER(MID(_xlpm.DATA,1,1))&amp;LOWER(MID(_xlpm.DATA,2,LEN(_xlpm.DATA)-1)))</f>
        <v>Кепка плоская</v>
      </c>
      <c r="E47" s="81" t="str">
        <f ca="1">PROPER(TRIM(_xlfn.XLOOKUP($A47,Строчный!$A:$A,Строчный!E:E,"ERR",0)))</f>
        <v>Herman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HERMAN</v>
      </c>
      <c r="H47" s="81" t="str">
        <f ca="1">LOWER(TRIM(_xlfn.XLOOKUP($A47,Строчный!$A:$A,Строчный!H:H,"ERR",0)))</f>
        <v>black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100% шерсть</v>
      </c>
      <c r="K47" s="81" t="str">
        <f ca="1">LOWER(TRIM(_xlfn.XLOOKUP($A47,Строчный!$A:$A,Строчный!K:K,"ERR",0)))</f>
        <v>шерстяные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180</v>
      </c>
      <c r="R47" s="89" t="str">
        <f ca="1">_xlfn.XLOOKUP($G47,Фабрика!A:A,Фабрика!B:B,"ERR",0)</f>
        <v>Chapellerie Herman S.A.; Rue Jean Meunier, 6, 6922 Wellin, Belgium</v>
      </c>
      <c r="S47" s="80" t="str">
        <f ca="1">_xlfn.XLOOKUP(RIGHT(AA47,2),Размеры!D:D,Размеры!A:A,"ERR",0)</f>
        <v>59</v>
      </c>
      <c r="T47" s="80">
        <f ca="1">VALUE(_xlfn.XLOOKUP($AA47,Строчный!$S:$S,Строчный!U:U,"ERR",0))</f>
        <v>40</v>
      </c>
      <c r="U47" s="14" t="s">
        <v>265</v>
      </c>
      <c r="V47" s="101" t="str">
        <f t="shared" ca="1" si="3"/>
        <v>Кепка HERMAN арт. B-4503 (черный)</v>
      </c>
      <c r="W47" s="100" t="str">
        <f t="shared" ca="1" si="4"/>
        <v>Кепка HERMAN арт. B-4503 (черный) {black}</v>
      </c>
      <c r="X47" s="18" t="str">
        <f t="shared" ca="1" si="5"/>
        <v>черный</v>
      </c>
      <c r="Y47" s="18" t="str">
        <f t="shared" ca="1" si="6"/>
        <v>черный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AA47" s="73" t="str">
        <f ca="1"/>
        <v>81-081-09-59</v>
      </c>
      <c r="AB47" s="75" t="str">
        <f ca="1">VLOOKUP(C47,Группа!A:B,2,FALSE)</f>
        <v>Кепка</v>
      </c>
      <c r="AC47" s="97" t="str">
        <f ca="1">IFERROR(VLOOKUP(S47,Размеры!A:C,3,FALSE),"")</f>
        <v>59 L</v>
      </c>
      <c r="AD47" s="97" t="str">
        <f ca="1">VLOOKUP(I47,ЦветПолный!A:B,2,FALSE)</f>
        <v>09</v>
      </c>
      <c r="AE47" s="97" t="str">
        <f ca="1">IFERROR(VLOOKUP(S47,Размеры!A:D,4,FALSE),"")</f>
        <v>59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1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81-080-09</v>
      </c>
      <c r="B48" s="107" t="str">
        <f ca="1">_xlfn.LET(_xlpm.CAPS,0,_xlpm.Style,TRIM(_xlfn.XLOOKUP($A48,Строчный!$A:$A,Строчный!B:B,"ERR",0)),IF(_xlpm.CAPS=0,_xlpm.Style,UPPER(_xlpm.Style)))</f>
        <v>B-4003</v>
      </c>
      <c r="C48" s="81" t="str">
        <f ca="1">TRIM(PROPER(_xlfn.XLOOKUP($A48,Строчный!$A:$A,Строчный!C:C,"ERR",0)))</f>
        <v>Кепки</v>
      </c>
      <c r="D48" s="81" t="str">
        <f ca="1">_xlfn.LET(_xlpm.DATA,TRIM(_xlfn.XLOOKUP($A48,Строчный!$A:$A,Строчный!D:D,"ERR",0)),UPPER(MID(_xlpm.DATA,1,1))&amp;LOWER(MID(_xlpm.DATA,2,LEN(_xlpm.DATA)-1)))</f>
        <v>Кепка уточка</v>
      </c>
      <c r="E48" s="81" t="str">
        <f ca="1">PROPER(TRIM(_xlfn.XLOOKUP($A48,Строчный!$A:$A,Строчный!E:E,"ERR",0)))</f>
        <v>Herman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HERMAN</v>
      </c>
      <c r="H48" s="81" t="str">
        <f ca="1">LOWER(TRIM(_xlfn.XLOOKUP($A48,Строчный!$A:$A,Строчный!H:H,"ERR",0)))</f>
        <v>black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100% кожа</v>
      </c>
      <c r="K48" s="81" t="str">
        <f ca="1">LOWER(TRIM(_xlfn.XLOOKUP($A48,Строчный!$A:$A,Строчный!K:K,"ERR",0)))</f>
        <v>кожаные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180</v>
      </c>
      <c r="R48" s="89" t="str">
        <f ca="1">_xlfn.XLOOKUP($G48,Фабрика!A:A,Фабрика!B:B,"ERR",0)</f>
        <v>Chapellerie Herman S.A.; Rue Jean Meunier, 6, 6922 Wellin, Belgium</v>
      </c>
      <c r="S48" s="80" t="str">
        <f ca="1">_xlfn.XLOOKUP(RIGHT(AA48,2),Размеры!D:D,Размеры!A:A,"ERR",0)</f>
        <v>61</v>
      </c>
      <c r="T48" s="80">
        <f ca="1">VALUE(_xlfn.XLOOKUP($AA48,Строчный!$S:$S,Строчный!U:U,"ERR",0))</f>
        <v>13</v>
      </c>
      <c r="U48" s="14" t="s">
        <v>265</v>
      </c>
      <c r="V48" s="101" t="str">
        <f t="shared" ca="1" si="3"/>
        <v>Кепка HERMAN арт. B-4003 (черный)</v>
      </c>
      <c r="W48" s="100" t="str">
        <f t="shared" ca="1" si="4"/>
        <v>Кепка HERMAN арт. B-4003 (черный) {black}</v>
      </c>
      <c r="X48" s="18" t="str">
        <f t="shared" ca="1" si="5"/>
        <v>черный</v>
      </c>
      <c r="Y48" s="18" t="str">
        <f t="shared" ca="1" si="6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81-080-09-61</v>
      </c>
      <c r="AB48" s="75" t="str">
        <f ca="1">VLOOKUP(C48,Группа!A:B,2,FALSE)</f>
        <v>Кепка</v>
      </c>
      <c r="AC48" s="97" t="str">
        <f ca="1">IFERROR(VLOOKUP(S48,Размеры!A:C,3,FALSE),"")</f>
        <v>61 XL</v>
      </c>
      <c r="AD48" s="97" t="str">
        <f ca="1">VLOOKUP(I48,ЦветПолный!A:B,2,FALSE)</f>
        <v>09</v>
      </c>
      <c r="AE48" s="97" t="str">
        <f ca="1">IFERROR(VLOOKUP(S48,Размеры!A:D,4,FALSE),"")</f>
        <v>61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81-080-09</v>
      </c>
      <c r="B49" s="107" t="str">
        <f ca="1">_xlfn.LET(_xlpm.CAPS,0,_xlpm.Style,TRIM(_xlfn.XLOOKUP($A49,Строчный!$A:$A,Строчный!B:B,"ERR",0)),IF(_xlpm.CAPS=0,_xlpm.Style,UPPER(_xlpm.Style)))</f>
        <v>B-4003</v>
      </c>
      <c r="C49" s="81" t="str">
        <f ca="1">TRIM(PROPER(_xlfn.XLOOKUP($A49,Строчный!$A:$A,Строчный!C:C,"ERR",0)))</f>
        <v>Кепки</v>
      </c>
      <c r="D49" s="81" t="str">
        <f ca="1">_xlfn.LET(_xlpm.DATA,TRIM(_xlfn.XLOOKUP($A49,Строчный!$A:$A,Строчный!D:D,"ERR",0)),UPPER(MID(_xlpm.DATA,1,1))&amp;LOWER(MID(_xlpm.DATA,2,LEN(_xlpm.DATA)-1)))</f>
        <v>Кепка уточка</v>
      </c>
      <c r="E49" s="81" t="str">
        <f ca="1">PROPER(TRIM(_xlfn.XLOOKUP($A49,Строчный!$A:$A,Строчный!E:E,"ERR",0)))</f>
        <v>Herman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HERMAN</v>
      </c>
      <c r="H49" s="81" t="str">
        <f ca="1">LOWER(TRIM(_xlfn.XLOOKUP($A49,Строчный!$A:$A,Строчный!H:H,"ERR",0)))</f>
        <v>black</v>
      </c>
      <c r="I49" s="81" t="str">
        <f ca="1">LOWER(TRIM(_xlfn.XLOOKUP($A49,Строчный!$A:$A,Строчный!I:I,"ERR",0)))</f>
        <v>черный</v>
      </c>
      <c r="J49" s="81" t="str">
        <f ca="1">SUBSTITUTE(LOWER(TRIM(_xlfn.XLOOKUP($A49,Строчный!$A:$A,Строчный!J:J,"ERR",0))),"подклад","Подклад")</f>
        <v>100% кожа</v>
      </c>
      <c r="K49" s="81" t="str">
        <f ca="1">LOWER(TRIM(_xlfn.XLOOKUP($A49,Строчный!$A:$A,Строчный!K:K,"ERR",0)))</f>
        <v>кожаные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180</v>
      </c>
      <c r="R49" s="89" t="str">
        <f ca="1">_xlfn.XLOOKUP($G49,Фабрика!A:A,Фабрика!B:B,"ERR",0)</f>
        <v>Chapellerie Herman S.A.; Rue Jean Meunier, 6, 6922 Wellin, Belgium</v>
      </c>
      <c r="S49" s="80" t="str">
        <f ca="1">_xlfn.XLOOKUP(RIGHT(AA49,2),Размеры!D:D,Размеры!A:A,"ERR",0)</f>
        <v>59</v>
      </c>
      <c r="T49" s="80">
        <f ca="1">VALUE(_xlfn.XLOOKUP($AA49,Строчный!$S:$S,Строчный!U:U,"ERR",0))</f>
        <v>15</v>
      </c>
      <c r="U49" s="14" t="s">
        <v>265</v>
      </c>
      <c r="V49" s="101" t="str">
        <f t="shared" ca="1" si="3"/>
        <v>Кепка HERMAN арт. B-4003 (черный)</v>
      </c>
      <c r="W49" s="100" t="str">
        <f t="shared" ca="1" si="4"/>
        <v>Кепка HERMAN арт. B-4003 (черный) {black}</v>
      </c>
      <c r="X49" s="18" t="str">
        <f t="shared" ca="1" si="5"/>
        <v>черный</v>
      </c>
      <c r="Y49" s="18" t="str">
        <f t="shared" ca="1" si="6"/>
        <v>черный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73" t="str">
        <f ca="1"/>
        <v>81-080-09-59</v>
      </c>
      <c r="AB49" s="75" t="str">
        <f ca="1">VLOOKUP(C49,Группа!A:B,2,FALSE)</f>
        <v>Кепка</v>
      </c>
      <c r="AC49" s="97" t="str">
        <f ca="1">IFERROR(VLOOKUP(S49,Размеры!A:C,3,FALSE),"")</f>
        <v>59 L</v>
      </c>
      <c r="AD49" s="97" t="str">
        <f ca="1">VLOOKUP(I49,ЦветПолный!A:B,2,FALSE)</f>
        <v>09</v>
      </c>
      <c r="AE49" s="97" t="str">
        <f ca="1">IFERROR(VLOOKUP(S49,Размеры!A:D,4,FALSE),"")</f>
        <v>59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81-080-09</v>
      </c>
      <c r="B50" s="107" t="str">
        <f ca="1">_xlfn.LET(_xlpm.CAPS,0,_xlpm.Style,TRIM(_xlfn.XLOOKUP($A50,Строчный!$A:$A,Строчный!B:B,"ERR",0)),IF(_xlpm.CAPS=0,_xlpm.Style,UPPER(_xlpm.Style)))</f>
        <v>B-4003</v>
      </c>
      <c r="C50" s="81" t="str">
        <f ca="1">TRIM(PROPER(_xlfn.XLOOKUP($A50,Строчный!$A:$A,Строчный!C:C,"ERR",0)))</f>
        <v>Кепки</v>
      </c>
      <c r="D50" s="81" t="str">
        <f ca="1">_xlfn.LET(_xlpm.DATA,TRIM(_xlfn.XLOOKUP($A50,Строчный!$A:$A,Строчный!D:D,"ERR",0)),UPPER(MID(_xlpm.DATA,1,1))&amp;LOWER(MID(_xlpm.DATA,2,LEN(_xlpm.DATA)-1)))</f>
        <v>Кепка уточка</v>
      </c>
      <c r="E50" s="81" t="str">
        <f ca="1">PROPER(TRIM(_xlfn.XLOOKUP($A50,Строчный!$A:$A,Строчный!E:E,"ERR",0)))</f>
        <v>Herman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HERMAN</v>
      </c>
      <c r="H50" s="81" t="str">
        <f ca="1">LOWER(TRIM(_xlfn.XLOOKUP($A50,Строчный!$A:$A,Строчный!H:H,"ERR",0)))</f>
        <v>black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100% кожа</v>
      </c>
      <c r="K50" s="81" t="str">
        <f ca="1">LOWER(TRIM(_xlfn.XLOOKUP($A50,Строчный!$A:$A,Строчный!K:K,"ERR",0)))</f>
        <v>кожаные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180</v>
      </c>
      <c r="R50" s="89" t="str">
        <f ca="1">_xlfn.XLOOKUP($G50,Фабрика!A:A,Фабрика!B:B,"ERR",0)</f>
        <v>Chapellerie Herman S.A.; Rue Jean Meunier, 6, 6922 Wellin, Belgium</v>
      </c>
      <c r="S50" s="80" t="str">
        <f ca="1">_xlfn.XLOOKUP(RIGHT(AA50,2),Размеры!D:D,Размеры!A:A,"ERR",0)</f>
        <v>57</v>
      </c>
      <c r="T50" s="80">
        <f ca="1">VALUE(_xlfn.XLOOKUP($AA50,Строчный!$S:$S,Строчный!U:U,"ERR",0))</f>
        <v>11</v>
      </c>
      <c r="U50" s="14" t="s">
        <v>265</v>
      </c>
      <c r="V50" s="101" t="str">
        <f t="shared" ca="1" si="3"/>
        <v>Кепка HERMAN арт. B-4003 (черный)</v>
      </c>
      <c r="W50" s="100" t="str">
        <f t="shared" ca="1" si="4"/>
        <v>Кепка HERMAN арт. B-4003 (черный) {black}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81-080-09-57</v>
      </c>
      <c r="AB50" s="75" t="str">
        <f ca="1">VLOOKUP(C50,Группа!A:B,2,FALSE)</f>
        <v>Кепка</v>
      </c>
      <c r="AC50" s="97" t="str">
        <f ca="1">IFERROR(VLOOKUP(S50,Размеры!A:C,3,FALSE),"")</f>
        <v>57 M</v>
      </c>
      <c r="AD50" s="97" t="str">
        <f ca="1">VLOOKUP(I50,ЦветПолный!A:B,2,FALSE)</f>
        <v>09</v>
      </c>
      <c r="AE50" s="97" t="str">
        <f ca="1">IFERROR(VLOOKUP(S50,Размеры!A:D,4,FALSE),"")</f>
        <v>57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81-080-09</v>
      </c>
      <c r="B51" s="107" t="str">
        <f ca="1">_xlfn.LET(_xlpm.CAPS,0,_xlpm.Style,TRIM(_xlfn.XLOOKUP($A51,Строчный!$A:$A,Строчный!B:B,"ERR",0)),IF(_xlpm.CAPS=0,_xlpm.Style,UPPER(_xlpm.Style)))</f>
        <v>B-4003</v>
      </c>
      <c r="C51" s="81" t="str">
        <f ca="1">TRIM(PROPER(_xlfn.XLOOKUP($A51,Строчный!$A:$A,Строчный!C:C,"ERR",0)))</f>
        <v>Кепки</v>
      </c>
      <c r="D51" s="81" t="str">
        <f ca="1">_xlfn.LET(_xlpm.DATA,TRIM(_xlfn.XLOOKUP($A51,Строчный!$A:$A,Строчный!D:D,"ERR",0)),UPPER(MID(_xlpm.DATA,1,1))&amp;LOWER(MID(_xlpm.DATA,2,LEN(_xlpm.DATA)-1)))</f>
        <v>Кепка уточка</v>
      </c>
      <c r="E51" s="81" t="str">
        <f ca="1">PROPER(TRIM(_xlfn.XLOOKUP($A51,Строчный!$A:$A,Строчный!E:E,"ERR",0)))</f>
        <v>Herman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HERMAN</v>
      </c>
      <c r="H51" s="81" t="str">
        <f ca="1">LOWER(TRIM(_xlfn.XLOOKUP($A51,Строчный!$A:$A,Строчный!H:H,"ERR",0)))</f>
        <v>black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100% кожа</v>
      </c>
      <c r="K51" s="81" t="str">
        <f ca="1">LOWER(TRIM(_xlfn.XLOOKUP($A51,Строчный!$A:$A,Строчный!K:K,"ERR",0)))</f>
        <v>кожаные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180</v>
      </c>
      <c r="R51" s="89" t="str">
        <f ca="1">_xlfn.XLOOKUP($G51,Фабрика!A:A,Фабрика!B:B,"ERR",0)</f>
        <v>Chapellerie Herman S.A.; Rue Jean Meunier, 6, 6922 Wellin, Belgium</v>
      </c>
      <c r="S51" s="80" t="str">
        <f ca="1">_xlfn.XLOOKUP(RIGHT(AA51,2),Размеры!D:D,Размеры!A:A,"ERR",0)</f>
        <v>55</v>
      </c>
      <c r="T51" s="80">
        <f ca="1">VALUE(_xlfn.XLOOKUP($AA51,Строчный!$S:$S,Строчный!U:U,"ERR",0))</f>
        <v>10</v>
      </c>
      <c r="U51" s="14" t="s">
        <v>265</v>
      </c>
      <c r="V51" s="101" t="str">
        <f t="shared" ca="1" si="3"/>
        <v>Кепка HERMAN арт. B-4003 (черный)</v>
      </c>
      <c r="W51" s="100" t="str">
        <f t="shared" ca="1" si="4"/>
        <v>Кепка HERMAN арт. B-4003 (черный) {black}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81-080-09-55</v>
      </c>
      <c r="AB51" s="75" t="str">
        <f ca="1">VLOOKUP(C51,Группа!A:B,2,FALSE)</f>
        <v>Кепка</v>
      </c>
      <c r="AC51" s="97" t="str">
        <f ca="1">IFERROR(VLOOKUP(S51,Размеры!A:C,3,FALSE),"")</f>
        <v>55 S</v>
      </c>
      <c r="AD51" s="97" t="str">
        <f ca="1">VLOOKUP(I51,ЦветПолный!A:B,2,FALSE)</f>
        <v>09</v>
      </c>
      <c r="AE51" s="97" t="str">
        <f ca="1">IFERROR(VLOOKUP(S51,Размеры!A:D,4,FALSE),"")</f>
        <v>55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81-079-34</v>
      </c>
      <c r="B52" s="107" t="str">
        <f ca="1">_xlfn.LET(_xlpm.CAPS,0,_xlpm.Style,TRIM(_xlfn.XLOOKUP($A52,Строчный!$A:$A,Строчный!B:B,"ERR",0)),IF(_xlpm.CAPS=0,_xlpm.Style,UPPER(_xlpm.Style)))</f>
        <v>FLORIDA</v>
      </c>
      <c r="C52" s="81" t="str">
        <f ca="1">TRIM(PROPER(_xlfn.XLOOKUP($A52,Строчный!$A:$A,Строчный!C:C,"ERR",0)))</f>
        <v>Панамы</v>
      </c>
      <c r="D52" s="81" t="str">
        <f ca="1">_xlfn.LET(_xlpm.DATA,TRIM(_xlfn.XLOOKUP($A52,Строчный!$A:$A,Строчный!D:D,"ERR",0)),UPPER(MID(_xlpm.DATA,1,1))&amp;LOWER(MID(_xlpm.DATA,2,LEN(_xlpm.DATA)-1)))</f>
        <v>Панама</v>
      </c>
      <c r="E52" s="81" t="str">
        <f ca="1">PROPER(TRIM(_xlfn.XLOOKUP($A52,Строчный!$A:$A,Строчный!E:E,"ERR",0)))</f>
        <v>Herman</v>
      </c>
      <c r="F52" s="81" t="str">
        <f ca="1">LOWER(TRIM(_xlfn.XLOOKUP($A52,Строчный!$A:$A,Строчный!F:F,"ERR",0)))</f>
        <v>летний</v>
      </c>
      <c r="G52" s="81" t="str">
        <f ca="1">UPPER(TRIM(_xlfn.XLOOKUP($A52,Строчный!$A:$A,Строчный!G:G,"ERR",0)))</f>
        <v>HERMAN</v>
      </c>
      <c r="H52" s="81" t="str">
        <f ca="1">LOWER(TRIM(_xlfn.XLOOKUP($A52,Строчный!$A:$A,Строчный!H:H,"ERR",0)))</f>
        <v>pink</v>
      </c>
      <c r="I52" s="81" t="str">
        <f ca="1">LOWER(TRIM(_xlfn.XLOOKUP($A52,Строчный!$A:$A,Строчный!I:I,"ERR",0)))</f>
        <v>розовый</v>
      </c>
      <c r="J52" s="81" t="str">
        <f ca="1">SUBSTITUTE(LOWER(TRIM(_xlfn.XLOOKUP($A52,Строчный!$A:$A,Строчный!J:J,"ERR",0))),"подклад","Подклад")</f>
        <v>100%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Женский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812.69999999999993</v>
      </c>
      <c r="R52" s="89" t="str">
        <f ca="1">_xlfn.XLOOKUP($G52,Фабрика!A:A,Фабрика!B:B,"ERR",0)</f>
        <v>Chapellerie Herman S.A.; Rue Jean Meunier, 6, 6922 Wellin, Belgium</v>
      </c>
      <c r="S52" s="80" t="str">
        <f ca="1">_xlfn.XLOOKUP(RIGHT(AA52,2),Размеры!D:D,Размеры!A:A,"ERR",0)</f>
        <v>61</v>
      </c>
      <c r="T52" s="80">
        <f ca="1">VALUE(_xlfn.XLOOKUP($AA52,Строчный!$S:$S,Строчный!U:U,"ERR",0))</f>
        <v>9</v>
      </c>
      <c r="U52" s="14" t="s">
        <v>265</v>
      </c>
      <c r="V52" s="101" t="str">
        <f t="shared" ca="1" si="3"/>
        <v>Панама HERMAN арт. FLORIDA (розовый)</v>
      </c>
      <c r="W52" s="100" t="str">
        <f t="shared" ca="1" si="4"/>
        <v>Панама HERMAN арт. FLORIDA (розовый) {pink}</v>
      </c>
      <c r="X52" s="18" t="str">
        <f t="shared" ca="1" si="5"/>
        <v>розовый</v>
      </c>
      <c r="Y52" s="18" t="str">
        <f t="shared" ca="1" si="6"/>
        <v>розовый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розовый</v>
      </c>
      <c r="AA52" s="73" t="str">
        <f ca="1"/>
        <v>81-079-34-61</v>
      </c>
      <c r="AB52" s="75" t="str">
        <f ca="1">VLOOKUP(C52,Группа!A:B,2,FALSE)</f>
        <v>Панама</v>
      </c>
      <c r="AC52" s="97" t="str">
        <f ca="1">IFERROR(VLOOKUP(S52,Размеры!A:C,3,FALSE),"")</f>
        <v>61 XL</v>
      </c>
      <c r="AD52" s="97" t="str">
        <f ca="1">VLOOKUP(I52,ЦветПолный!A:B,2,FALSE)</f>
        <v>34</v>
      </c>
      <c r="AE52" s="97" t="str">
        <f ca="1">IFERROR(VLOOKUP(S52,Размеры!A:D,4,FALSE),"")</f>
        <v>61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81-079-34</v>
      </c>
      <c r="B53" s="107" t="str">
        <f ca="1">_xlfn.LET(_xlpm.CAPS,0,_xlpm.Style,TRIM(_xlfn.XLOOKUP($A53,Строчный!$A:$A,Строчный!B:B,"ERR",0)),IF(_xlpm.CAPS=0,_xlpm.Style,UPPER(_xlpm.Style)))</f>
        <v>FLORIDA</v>
      </c>
      <c r="C53" s="81" t="str">
        <f ca="1">TRIM(PROPER(_xlfn.XLOOKUP($A53,Строчный!$A:$A,Строчный!C:C,"ERR",0)))</f>
        <v>Панамы</v>
      </c>
      <c r="D53" s="81" t="str">
        <f ca="1">_xlfn.LET(_xlpm.DATA,TRIM(_xlfn.XLOOKUP($A53,Строчный!$A:$A,Строчный!D:D,"ERR",0)),UPPER(MID(_xlpm.DATA,1,1))&amp;LOWER(MID(_xlpm.DATA,2,LEN(_xlpm.DATA)-1)))</f>
        <v>Панама</v>
      </c>
      <c r="E53" s="81" t="str">
        <f ca="1">PROPER(TRIM(_xlfn.XLOOKUP($A53,Строчный!$A:$A,Строчный!E:E,"ERR",0)))</f>
        <v>Herman</v>
      </c>
      <c r="F53" s="81" t="str">
        <f ca="1">LOWER(TRIM(_xlfn.XLOOKUP($A53,Строчный!$A:$A,Строчный!F:F,"ERR",0)))</f>
        <v>летний</v>
      </c>
      <c r="G53" s="81" t="str">
        <f ca="1">UPPER(TRIM(_xlfn.XLOOKUP($A53,Строчный!$A:$A,Строчный!G:G,"ERR",0)))</f>
        <v>HERMAN</v>
      </c>
      <c r="H53" s="81" t="str">
        <f ca="1">LOWER(TRIM(_xlfn.XLOOKUP($A53,Строчный!$A:$A,Строчный!H:H,"ERR",0)))</f>
        <v>pink</v>
      </c>
      <c r="I53" s="81" t="str">
        <f ca="1">LOWER(TRIM(_xlfn.XLOOKUP($A53,Строчный!$A:$A,Строчный!I:I,"ERR",0)))</f>
        <v>розовый</v>
      </c>
      <c r="J53" s="81" t="str">
        <f ca="1">SUBSTITUTE(LOWER(TRIM(_xlfn.XLOOKUP($A53,Строчный!$A:$A,Строчный!J:J,"ERR",0))),"подклад","Подклад")</f>
        <v>100%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Женский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812.69999999999993</v>
      </c>
      <c r="R53" s="89" t="str">
        <f ca="1">_xlfn.XLOOKUP($G53,Фабрика!A:A,Фабрика!B:B,"ERR",0)</f>
        <v>Chapellerie Herman S.A.; Rue Jean Meunier, 6, 6922 Wellin, Belgium</v>
      </c>
      <c r="S53" s="80" t="str">
        <f ca="1">_xlfn.XLOOKUP(RIGHT(AA53,2),Размеры!D:D,Размеры!A:A,"ERR",0)</f>
        <v>59</v>
      </c>
      <c r="T53" s="80">
        <f ca="1">VALUE(_xlfn.XLOOKUP($AA53,Строчный!$S:$S,Строчный!U:U,"ERR",0))</f>
        <v>18</v>
      </c>
      <c r="U53" s="14" t="s">
        <v>265</v>
      </c>
      <c r="V53" s="101" t="str">
        <f t="shared" ca="1" si="3"/>
        <v>Панама HERMAN арт. FLORIDA (розовый)</v>
      </c>
      <c r="W53" s="100" t="str">
        <f t="shared" ca="1" si="4"/>
        <v>Панама HERMAN арт. FLORIDA (розовый) {pink}</v>
      </c>
      <c r="X53" s="18" t="str">
        <f t="shared" ca="1" si="5"/>
        <v>розовый</v>
      </c>
      <c r="Y53" s="18" t="str">
        <f t="shared" ca="1" si="6"/>
        <v>розовый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розовый</v>
      </c>
      <c r="AA53" s="73" t="str">
        <f ca="1"/>
        <v>81-079-34-59</v>
      </c>
      <c r="AB53" s="75" t="str">
        <f ca="1">VLOOKUP(C53,Группа!A:B,2,FALSE)</f>
        <v>Панама</v>
      </c>
      <c r="AC53" s="97" t="str">
        <f ca="1">IFERROR(VLOOKUP(S53,Размеры!A:C,3,FALSE),"")</f>
        <v>59 L</v>
      </c>
      <c r="AD53" s="97" t="str">
        <f ca="1">VLOOKUP(I53,ЦветПолный!A:B,2,FALSE)</f>
        <v>34</v>
      </c>
      <c r="AE53" s="97" t="str">
        <f ca="1">IFERROR(VLOOKUP(S53,Размеры!A:D,4,FALSE),"")</f>
        <v>59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81-079-34</v>
      </c>
      <c r="B54" s="107" t="str">
        <f ca="1">_xlfn.LET(_xlpm.CAPS,0,_xlpm.Style,TRIM(_xlfn.XLOOKUP($A54,Строчный!$A:$A,Строчный!B:B,"ERR",0)),IF(_xlpm.CAPS=0,_xlpm.Style,UPPER(_xlpm.Style)))</f>
        <v>FLORIDA</v>
      </c>
      <c r="C54" s="81" t="str">
        <f ca="1">TRIM(PROPER(_xlfn.XLOOKUP($A54,Строчный!$A:$A,Строчный!C:C,"ERR",0)))</f>
        <v>Панамы</v>
      </c>
      <c r="D54" s="81" t="str">
        <f ca="1">_xlfn.LET(_xlpm.DATA,TRIM(_xlfn.XLOOKUP($A54,Строчный!$A:$A,Строчный!D:D,"ERR",0)),UPPER(MID(_xlpm.DATA,1,1))&amp;LOWER(MID(_xlpm.DATA,2,LEN(_xlpm.DATA)-1)))</f>
        <v>Панама</v>
      </c>
      <c r="E54" s="81" t="str">
        <f ca="1">PROPER(TRIM(_xlfn.XLOOKUP($A54,Строчный!$A:$A,Строчный!E:E,"ERR",0)))</f>
        <v>Herman</v>
      </c>
      <c r="F54" s="81" t="str">
        <f ca="1">LOWER(TRIM(_xlfn.XLOOKUP($A54,Строчный!$A:$A,Строчный!F:F,"ERR",0)))</f>
        <v>летний</v>
      </c>
      <c r="G54" s="81" t="str">
        <f ca="1">UPPER(TRIM(_xlfn.XLOOKUP($A54,Строчный!$A:$A,Строчный!G:G,"ERR",0)))</f>
        <v>HERMAN</v>
      </c>
      <c r="H54" s="81" t="str">
        <f ca="1">LOWER(TRIM(_xlfn.XLOOKUP($A54,Строчный!$A:$A,Строчный!H:H,"ERR",0)))</f>
        <v>pink</v>
      </c>
      <c r="I54" s="81" t="str">
        <f ca="1">LOWER(TRIM(_xlfn.XLOOKUP($A54,Строчный!$A:$A,Строчный!I:I,"ERR",0)))</f>
        <v>розовый</v>
      </c>
      <c r="J54" s="81" t="str">
        <f ca="1">SUBSTITUTE(LOWER(TRIM(_xlfn.XLOOKUP($A54,Строчный!$A:$A,Строчный!J:J,"ERR",0))),"подклад","Подклад")</f>
        <v>100%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Женский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812.69999999999993</v>
      </c>
      <c r="R54" s="89" t="str">
        <f ca="1">_xlfn.XLOOKUP($G54,Фабрика!A:A,Фабрика!B:B,"ERR",0)</f>
        <v>Chapellerie Herman S.A.; Rue Jean Meunier, 6, 6922 Wellin, Belgium</v>
      </c>
      <c r="S54" s="80" t="str">
        <f ca="1">_xlfn.XLOOKUP(RIGHT(AA54,2),Размеры!D:D,Размеры!A:A,"ERR",0)</f>
        <v>57</v>
      </c>
      <c r="T54" s="80">
        <f ca="1">VALUE(_xlfn.XLOOKUP($AA54,Строчный!$S:$S,Строчный!U:U,"ERR",0))</f>
        <v>18</v>
      </c>
      <c r="U54" s="14" t="s">
        <v>265</v>
      </c>
      <c r="V54" s="101" t="str">
        <f t="shared" ca="1" si="3"/>
        <v>Панама HERMAN арт. FLORIDA (розовый)</v>
      </c>
      <c r="W54" s="100" t="str">
        <f t="shared" ca="1" si="4"/>
        <v>Панама HERMAN арт. FLORIDA (розовый) {pink}</v>
      </c>
      <c r="X54" s="18" t="str">
        <f t="shared" ca="1" si="5"/>
        <v>розовый</v>
      </c>
      <c r="Y54" s="18" t="str">
        <f t="shared" ca="1" si="6"/>
        <v>розовый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розовый</v>
      </c>
      <c r="AA54" s="73" t="str">
        <f ca="1"/>
        <v>81-079-34-57</v>
      </c>
      <c r="AB54" s="75" t="str">
        <f ca="1">VLOOKUP(C54,Группа!A:B,2,FALSE)</f>
        <v>Панама</v>
      </c>
      <c r="AC54" s="97" t="str">
        <f ca="1">IFERROR(VLOOKUP(S54,Размеры!A:C,3,FALSE),"")</f>
        <v>57 M</v>
      </c>
      <c r="AD54" s="97" t="str">
        <f ca="1">VLOOKUP(I54,ЦветПолный!A:B,2,FALSE)</f>
        <v>34</v>
      </c>
      <c r="AE54" s="97" t="str">
        <f ca="1">IFERROR(VLOOKUP(S54,Размеры!A:D,4,FALSE),"")</f>
        <v>57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81-079-34</v>
      </c>
      <c r="B55" s="107" t="str">
        <f ca="1">_xlfn.LET(_xlpm.CAPS,0,_xlpm.Style,TRIM(_xlfn.XLOOKUP($A55,Строчный!$A:$A,Строчный!B:B,"ERR",0)),IF(_xlpm.CAPS=0,_xlpm.Style,UPPER(_xlpm.Style)))</f>
        <v>FLORIDA</v>
      </c>
      <c r="C55" s="81" t="str">
        <f ca="1">TRIM(PROPER(_xlfn.XLOOKUP($A55,Строчный!$A:$A,Строчный!C:C,"ERR",0)))</f>
        <v>Панамы</v>
      </c>
      <c r="D55" s="81" t="str">
        <f ca="1">_xlfn.LET(_xlpm.DATA,TRIM(_xlfn.XLOOKUP($A55,Строчный!$A:$A,Строчный!D:D,"ERR",0)),UPPER(MID(_xlpm.DATA,1,1))&amp;LOWER(MID(_xlpm.DATA,2,LEN(_xlpm.DATA)-1)))</f>
        <v>Панама</v>
      </c>
      <c r="E55" s="81" t="str">
        <f ca="1">PROPER(TRIM(_xlfn.XLOOKUP($A55,Строчный!$A:$A,Строчный!E:E,"ERR",0)))</f>
        <v>Herman</v>
      </c>
      <c r="F55" s="81" t="str">
        <f ca="1">LOWER(TRIM(_xlfn.XLOOKUP($A55,Строчный!$A:$A,Строчный!F:F,"ERR",0)))</f>
        <v>летний</v>
      </c>
      <c r="G55" s="81" t="str">
        <f ca="1">UPPER(TRIM(_xlfn.XLOOKUP($A55,Строчный!$A:$A,Строчный!G:G,"ERR",0)))</f>
        <v>HERMAN</v>
      </c>
      <c r="H55" s="81" t="str">
        <f ca="1">LOWER(TRIM(_xlfn.XLOOKUP($A55,Строчный!$A:$A,Строчный!H:H,"ERR",0)))</f>
        <v>pink</v>
      </c>
      <c r="I55" s="81" t="str">
        <f ca="1">LOWER(TRIM(_xlfn.XLOOKUP($A55,Строчный!$A:$A,Строчный!I:I,"ERR",0)))</f>
        <v>розовый</v>
      </c>
      <c r="J55" s="81" t="str">
        <f ca="1">SUBSTITUTE(LOWER(TRIM(_xlfn.XLOOKUP($A55,Строчный!$A:$A,Строчный!J:J,"ERR",0))),"подклад","Подклад")</f>
        <v>100%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Женский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812.69999999999993</v>
      </c>
      <c r="R55" s="89" t="str">
        <f ca="1">_xlfn.XLOOKUP($G55,Фабрика!A:A,Фабрика!B:B,"ERR",0)</f>
        <v>Chapellerie Herman S.A.; Rue Jean Meunier, 6, 6922 Wellin, Belgium</v>
      </c>
      <c r="S55" s="80" t="str">
        <f ca="1">_xlfn.XLOOKUP(RIGHT(AA55,2),Размеры!D:D,Размеры!A:A,"ERR",0)</f>
        <v>55</v>
      </c>
      <c r="T55" s="80">
        <f ca="1">VALUE(_xlfn.XLOOKUP($AA55,Строчный!$S:$S,Строчный!U:U,"ERR",0))</f>
        <v>9</v>
      </c>
      <c r="U55" s="14" t="s">
        <v>265</v>
      </c>
      <c r="V55" s="101" t="str">
        <f t="shared" ca="1" si="3"/>
        <v>Панама HERMAN арт. FLORIDA (розовый)</v>
      </c>
      <c r="W55" s="100" t="str">
        <f t="shared" ca="1" si="4"/>
        <v>Панама HERMAN арт. FLORIDA (розовый) {pink}</v>
      </c>
      <c r="X55" s="18" t="str">
        <f t="shared" ca="1" si="5"/>
        <v>розовый</v>
      </c>
      <c r="Y55" s="18" t="str">
        <f t="shared" ca="1" si="6"/>
        <v>розовый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розовый</v>
      </c>
      <c r="AA55" s="73" t="str">
        <f ca="1"/>
        <v>81-079-34-55</v>
      </c>
      <c r="AB55" s="75" t="str">
        <f ca="1">VLOOKUP(C55,Группа!A:B,2,FALSE)</f>
        <v>Панама</v>
      </c>
      <c r="AC55" s="97" t="str">
        <f ca="1">IFERROR(VLOOKUP(S55,Размеры!A:C,3,FALSE),"")</f>
        <v>55 S</v>
      </c>
      <c r="AD55" s="97" t="str">
        <f ca="1">VLOOKUP(I55,ЦветПолный!A:B,2,FALSE)</f>
        <v>34</v>
      </c>
      <c r="AE55" s="97" t="str">
        <f ca="1">IFERROR(VLOOKUP(S55,Размеры!A:D,4,FALSE),"")</f>
        <v>55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81-079-20</v>
      </c>
      <c r="B56" s="107" t="str">
        <f ca="1">_xlfn.LET(_xlpm.CAPS,0,_xlpm.Style,TRIM(_xlfn.XLOOKUP($A56,Строчный!$A:$A,Строчный!B:B,"ERR",0)),IF(_xlpm.CAPS=0,_xlpm.Style,UPPER(_xlpm.Style)))</f>
        <v>FLORIDA</v>
      </c>
      <c r="C56" s="81" t="str">
        <f ca="1">TRIM(PROPER(_xlfn.XLOOKUP($A56,Строчный!$A:$A,Строчный!C:C,"ERR",0)))</f>
        <v>Панамы</v>
      </c>
      <c r="D56" s="81" t="str">
        <f ca="1">_xlfn.LET(_xlpm.DATA,TRIM(_xlfn.XLOOKUP($A56,Строчный!$A:$A,Строчный!D:D,"ERR",0)),UPPER(MID(_xlpm.DATA,1,1))&amp;LOWER(MID(_xlpm.DATA,2,LEN(_xlpm.DATA)-1)))</f>
        <v>Панама</v>
      </c>
      <c r="E56" s="81" t="str">
        <f ca="1">PROPER(TRIM(_xlfn.XLOOKUP($A56,Строчный!$A:$A,Строчный!E:E,"ERR",0)))</f>
        <v>Herman</v>
      </c>
      <c r="F56" s="81" t="str">
        <f ca="1">LOWER(TRIM(_xlfn.XLOOKUP($A56,Строчный!$A:$A,Строчный!F:F,"ERR",0)))</f>
        <v>летний</v>
      </c>
      <c r="G56" s="81" t="str">
        <f ca="1">UPPER(TRIM(_xlfn.XLOOKUP($A56,Строчный!$A:$A,Строчный!G:G,"ERR",0)))</f>
        <v>HERMAN</v>
      </c>
      <c r="H56" s="81" t="str">
        <f ca="1">LOWER(TRIM(_xlfn.XLOOKUP($A56,Строчный!$A:$A,Строчный!H:H,"ERR",0)))</f>
        <v>yellow</v>
      </c>
      <c r="I56" s="81" t="str">
        <f ca="1">LOWER(TRIM(_xlfn.XLOOKUP($A56,Строчный!$A:$A,Строчный!I:I,"ERR",0)))</f>
        <v>желтый</v>
      </c>
      <c r="J56" s="81" t="str">
        <f ca="1">SUBSTITUTE(LOWER(TRIM(_xlfn.XLOOKUP($A56,Строчный!$A:$A,Строчный!J:J,"ERR",0))),"подклад","Подклад")</f>
        <v>100%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812.69999999999993</v>
      </c>
      <c r="R56" s="89" t="str">
        <f ca="1">_xlfn.XLOOKUP($G56,Фабрика!A:A,Фабрика!B:B,"ERR",0)</f>
        <v>Chapellerie Herman S.A.; Rue Jean Meunier, 6, 6922 Wellin, Belgium</v>
      </c>
      <c r="S56" s="80" t="str">
        <f ca="1">_xlfn.XLOOKUP(RIGHT(AA56,2),Размеры!D:D,Размеры!A:A,"ERR",0)</f>
        <v>61</v>
      </c>
      <c r="T56" s="80">
        <f ca="1">VALUE(_xlfn.XLOOKUP($AA56,Строчный!$S:$S,Строчный!U:U,"ERR",0))</f>
        <v>9</v>
      </c>
      <c r="U56" s="14" t="s">
        <v>265</v>
      </c>
      <c r="V56" s="101" t="str">
        <f t="shared" ca="1" si="3"/>
        <v>Панама HERMAN арт. FLORIDA (желтый)</v>
      </c>
      <c r="W56" s="100" t="str">
        <f t="shared" ca="1" si="4"/>
        <v>Панама HERMAN арт. FLORIDA (желтый) {yellow}</v>
      </c>
      <c r="X56" s="18" t="str">
        <f t="shared" ca="1" si="5"/>
        <v>желтый</v>
      </c>
      <c r="Y56" s="18" t="str">
        <f t="shared" ca="1" si="6"/>
        <v>желтый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желтый</v>
      </c>
      <c r="AA56" s="73" t="str">
        <f ca="1"/>
        <v>81-079-20-61</v>
      </c>
      <c r="AB56" s="75" t="str">
        <f ca="1">VLOOKUP(C56,Группа!A:B,2,FALSE)</f>
        <v>Панама</v>
      </c>
      <c r="AC56" s="97" t="str">
        <f ca="1">IFERROR(VLOOKUP(S56,Размеры!A:C,3,FALSE),"")</f>
        <v>61 XL</v>
      </c>
      <c r="AD56" s="97" t="str">
        <f ca="1">VLOOKUP(I56,ЦветПолный!A:B,2,FALSE)</f>
        <v>20</v>
      </c>
      <c r="AE56" s="97" t="str">
        <f ca="1">IFERROR(VLOOKUP(S56,Размеры!A:D,4,FALSE),"")</f>
        <v>61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81-079-20</v>
      </c>
      <c r="B57" s="107" t="str">
        <f ca="1">_xlfn.LET(_xlpm.CAPS,0,_xlpm.Style,TRIM(_xlfn.XLOOKUP($A57,Строчный!$A:$A,Строчный!B:B,"ERR",0)),IF(_xlpm.CAPS=0,_xlpm.Style,UPPER(_xlpm.Style)))</f>
        <v>FLORIDA</v>
      </c>
      <c r="C57" s="81" t="str">
        <f ca="1">TRIM(PROPER(_xlfn.XLOOKUP($A57,Строчный!$A:$A,Строчный!C:C,"ERR",0)))</f>
        <v>Панамы</v>
      </c>
      <c r="D57" s="81" t="str">
        <f ca="1">_xlfn.LET(_xlpm.DATA,TRIM(_xlfn.XLOOKUP($A57,Строчный!$A:$A,Строчный!D:D,"ERR",0)),UPPER(MID(_xlpm.DATA,1,1))&amp;LOWER(MID(_xlpm.DATA,2,LEN(_xlpm.DATA)-1)))</f>
        <v>Панама</v>
      </c>
      <c r="E57" s="81" t="str">
        <f ca="1">PROPER(TRIM(_xlfn.XLOOKUP($A57,Строчный!$A:$A,Строчный!E:E,"ERR",0)))</f>
        <v>Herman</v>
      </c>
      <c r="F57" s="81" t="str">
        <f ca="1">LOWER(TRIM(_xlfn.XLOOKUP($A57,Строчный!$A:$A,Строчный!F:F,"ERR",0)))</f>
        <v>летний</v>
      </c>
      <c r="G57" s="81" t="str">
        <f ca="1">UPPER(TRIM(_xlfn.XLOOKUP($A57,Строчный!$A:$A,Строчный!G:G,"ERR",0)))</f>
        <v>HERMAN</v>
      </c>
      <c r="H57" s="81" t="str">
        <f ca="1">LOWER(TRIM(_xlfn.XLOOKUP($A57,Строчный!$A:$A,Строчный!H:H,"ERR",0)))</f>
        <v>yellow</v>
      </c>
      <c r="I57" s="81" t="str">
        <f ca="1">LOWER(TRIM(_xlfn.XLOOKUP($A57,Строчный!$A:$A,Строчный!I:I,"ERR",0)))</f>
        <v>желтый</v>
      </c>
      <c r="J57" s="81" t="str">
        <f ca="1">SUBSTITUTE(LOWER(TRIM(_xlfn.XLOOKUP($A57,Строчный!$A:$A,Строчный!J:J,"ERR",0))),"подклад","Подклад")</f>
        <v>100%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812.69999999999993</v>
      </c>
      <c r="R57" s="89" t="str">
        <f ca="1">_xlfn.XLOOKUP($G57,Фабрика!A:A,Фабрика!B:B,"ERR",0)</f>
        <v>Chapellerie Herman S.A.; Rue Jean Meunier, 6, 6922 Wellin, Belgium</v>
      </c>
      <c r="S57" s="80" t="str">
        <f ca="1">_xlfn.XLOOKUP(RIGHT(AA57,2),Размеры!D:D,Размеры!A:A,"ERR",0)</f>
        <v>59</v>
      </c>
      <c r="T57" s="80">
        <f ca="1">VALUE(_xlfn.XLOOKUP($AA57,Строчный!$S:$S,Строчный!U:U,"ERR",0))</f>
        <v>18</v>
      </c>
      <c r="U57" s="14" t="s">
        <v>265</v>
      </c>
      <c r="V57" s="101" t="str">
        <f t="shared" ca="1" si="3"/>
        <v>Панама HERMAN арт. FLORIDA (желтый)</v>
      </c>
      <c r="W57" s="100" t="str">
        <f t="shared" ca="1" si="4"/>
        <v>Панама HERMAN арт. FLORIDA (желтый) {yellow}</v>
      </c>
      <c r="X57" s="18" t="str">
        <f t="shared" ca="1" si="5"/>
        <v>желтый</v>
      </c>
      <c r="Y57" s="18" t="str">
        <f t="shared" ca="1" si="6"/>
        <v>желтый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желтый</v>
      </c>
      <c r="AA57" s="73" t="str">
        <f ca="1"/>
        <v>81-079-20-59</v>
      </c>
      <c r="AB57" s="75" t="str">
        <f ca="1">VLOOKUP(C57,Группа!A:B,2,FALSE)</f>
        <v>Панама</v>
      </c>
      <c r="AC57" s="97" t="str">
        <f ca="1">IFERROR(VLOOKUP(S57,Размеры!A:C,3,FALSE),"")</f>
        <v>59 L</v>
      </c>
      <c r="AD57" s="97" t="str">
        <f ca="1">VLOOKUP(I57,ЦветПолный!A:B,2,FALSE)</f>
        <v>20</v>
      </c>
      <c r="AE57" s="97" t="str">
        <f ca="1">IFERROR(VLOOKUP(S57,Размеры!A:D,4,FALSE),"")</f>
        <v>59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81-079-20</v>
      </c>
      <c r="B58" s="107" t="str">
        <f ca="1">_xlfn.LET(_xlpm.CAPS,0,_xlpm.Style,TRIM(_xlfn.XLOOKUP($A58,Строчный!$A:$A,Строчный!B:B,"ERR",0)),IF(_xlpm.CAPS=0,_xlpm.Style,UPPER(_xlpm.Style)))</f>
        <v>FLORIDA</v>
      </c>
      <c r="C58" s="81" t="str">
        <f ca="1">TRIM(PROPER(_xlfn.XLOOKUP($A58,Строчный!$A:$A,Строчный!C:C,"ERR",0)))</f>
        <v>Панамы</v>
      </c>
      <c r="D58" s="81" t="str">
        <f ca="1">_xlfn.LET(_xlpm.DATA,TRIM(_xlfn.XLOOKUP($A58,Строчный!$A:$A,Строчный!D:D,"ERR",0)),UPPER(MID(_xlpm.DATA,1,1))&amp;LOWER(MID(_xlpm.DATA,2,LEN(_xlpm.DATA)-1)))</f>
        <v>Панама</v>
      </c>
      <c r="E58" s="81" t="str">
        <f ca="1">PROPER(TRIM(_xlfn.XLOOKUP($A58,Строчный!$A:$A,Строчный!E:E,"ERR",0)))</f>
        <v>Herman</v>
      </c>
      <c r="F58" s="81" t="str">
        <f ca="1">LOWER(TRIM(_xlfn.XLOOKUP($A58,Строчный!$A:$A,Строчный!F:F,"ERR",0)))</f>
        <v>летний</v>
      </c>
      <c r="G58" s="81" t="str">
        <f ca="1">UPPER(TRIM(_xlfn.XLOOKUP($A58,Строчный!$A:$A,Строчный!G:G,"ERR",0)))</f>
        <v>HERMAN</v>
      </c>
      <c r="H58" s="81" t="str">
        <f ca="1">LOWER(TRIM(_xlfn.XLOOKUP($A58,Строчный!$A:$A,Строчный!H:H,"ERR",0)))</f>
        <v>yellow</v>
      </c>
      <c r="I58" s="81" t="str">
        <f ca="1">LOWER(TRIM(_xlfn.XLOOKUP($A58,Строчный!$A:$A,Строчный!I:I,"ERR",0)))</f>
        <v>желтый</v>
      </c>
      <c r="J58" s="81" t="str">
        <f ca="1">SUBSTITUTE(LOWER(TRIM(_xlfn.XLOOKUP($A58,Строчный!$A:$A,Строчный!J:J,"ERR",0))),"подклад","Подклад")</f>
        <v>100%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812.69999999999993</v>
      </c>
      <c r="R58" s="89" t="str">
        <f ca="1">_xlfn.XLOOKUP($G58,Фабрика!A:A,Фабрика!B:B,"ERR",0)</f>
        <v>Chapellerie Herman S.A.; Rue Jean Meunier, 6, 6922 Wellin, Belgium</v>
      </c>
      <c r="S58" s="80" t="str">
        <f ca="1">_xlfn.XLOOKUP(RIGHT(AA58,2),Размеры!D:D,Размеры!A:A,"ERR",0)</f>
        <v>57</v>
      </c>
      <c r="T58" s="80">
        <f ca="1">VALUE(_xlfn.XLOOKUP($AA58,Строчный!$S:$S,Строчный!U:U,"ERR",0))</f>
        <v>18</v>
      </c>
      <c r="U58" s="14" t="s">
        <v>265</v>
      </c>
      <c r="V58" s="101" t="str">
        <f t="shared" ca="1" si="3"/>
        <v>Панама HERMAN арт. FLORIDA (желтый)</v>
      </c>
      <c r="W58" s="100" t="str">
        <f t="shared" ca="1" si="4"/>
        <v>Панама HERMAN арт. FLORIDA (желтый) {yellow}</v>
      </c>
      <c r="X58" s="18" t="str">
        <f t="shared" ca="1" si="5"/>
        <v>желтый</v>
      </c>
      <c r="Y58" s="18" t="str">
        <f t="shared" ca="1" si="6"/>
        <v>желтый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желтый</v>
      </c>
      <c r="AA58" s="73" t="str">
        <f ca="1"/>
        <v>81-079-20-57</v>
      </c>
      <c r="AB58" s="75" t="str">
        <f ca="1">VLOOKUP(C58,Группа!A:B,2,FALSE)</f>
        <v>Панама</v>
      </c>
      <c r="AC58" s="97" t="str">
        <f ca="1">IFERROR(VLOOKUP(S58,Размеры!A:C,3,FALSE),"")</f>
        <v>57 M</v>
      </c>
      <c r="AD58" s="97" t="str">
        <f ca="1">VLOOKUP(I58,ЦветПолный!A:B,2,FALSE)</f>
        <v>20</v>
      </c>
      <c r="AE58" s="97" t="str">
        <f ca="1">IFERROR(VLOOKUP(S58,Размеры!A:D,4,FALSE),"")</f>
        <v>57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81-079-20</v>
      </c>
      <c r="B59" s="107" t="str">
        <f ca="1">_xlfn.LET(_xlpm.CAPS,0,_xlpm.Style,TRIM(_xlfn.XLOOKUP($A59,Строчный!$A:$A,Строчный!B:B,"ERR",0)),IF(_xlpm.CAPS=0,_xlpm.Style,UPPER(_xlpm.Style)))</f>
        <v>FLORIDA</v>
      </c>
      <c r="C59" s="81" t="str">
        <f ca="1">TRIM(PROPER(_xlfn.XLOOKUP($A59,Строчный!$A:$A,Строчный!C:C,"ERR",0)))</f>
        <v>Панамы</v>
      </c>
      <c r="D59" s="81" t="str">
        <f ca="1">_xlfn.LET(_xlpm.DATA,TRIM(_xlfn.XLOOKUP($A59,Строчный!$A:$A,Строчный!D:D,"ERR",0)),UPPER(MID(_xlpm.DATA,1,1))&amp;LOWER(MID(_xlpm.DATA,2,LEN(_xlpm.DATA)-1)))</f>
        <v>Панама</v>
      </c>
      <c r="E59" s="81" t="str">
        <f ca="1">PROPER(TRIM(_xlfn.XLOOKUP($A59,Строчный!$A:$A,Строчный!E:E,"ERR",0)))</f>
        <v>Herman</v>
      </c>
      <c r="F59" s="81" t="str">
        <f ca="1">LOWER(TRIM(_xlfn.XLOOKUP($A59,Строчный!$A:$A,Строчный!F:F,"ERR",0)))</f>
        <v>летний</v>
      </c>
      <c r="G59" s="81" t="str">
        <f ca="1">UPPER(TRIM(_xlfn.XLOOKUP($A59,Строчный!$A:$A,Строчный!G:G,"ERR",0)))</f>
        <v>HERMAN</v>
      </c>
      <c r="H59" s="81" t="str">
        <f ca="1">LOWER(TRIM(_xlfn.XLOOKUP($A59,Строчный!$A:$A,Строчный!H:H,"ERR",0)))</f>
        <v>yellow</v>
      </c>
      <c r="I59" s="81" t="str">
        <f ca="1">LOWER(TRIM(_xlfn.XLOOKUP($A59,Строчный!$A:$A,Строчный!I:I,"ERR",0)))</f>
        <v>желтый</v>
      </c>
      <c r="J59" s="81" t="str">
        <f ca="1">SUBSTITUTE(LOWER(TRIM(_xlfn.XLOOKUP($A59,Строчный!$A:$A,Строчный!J:J,"ERR",0))),"подклад","Подклад")</f>
        <v>100%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812.69999999999993</v>
      </c>
      <c r="R59" s="89" t="str">
        <f ca="1">_xlfn.XLOOKUP($G59,Фабрика!A:A,Фабрика!B:B,"ERR",0)</f>
        <v>Chapellerie Herman S.A.; Rue Jean Meunier, 6, 6922 Wellin, Belgium</v>
      </c>
      <c r="S59" s="80" t="str">
        <f ca="1">_xlfn.XLOOKUP(RIGHT(AA59,2),Размеры!D:D,Размеры!A:A,"ERR",0)</f>
        <v>55</v>
      </c>
      <c r="T59" s="80">
        <f ca="1">VALUE(_xlfn.XLOOKUP($AA59,Строчный!$S:$S,Строчный!U:U,"ERR",0))</f>
        <v>9</v>
      </c>
      <c r="U59" s="14" t="s">
        <v>265</v>
      </c>
      <c r="V59" s="101" t="str">
        <f t="shared" ca="1" si="3"/>
        <v>Панама HERMAN арт. FLORIDA (желтый)</v>
      </c>
      <c r="W59" s="100" t="str">
        <f t="shared" ca="1" si="4"/>
        <v>Панама HERMAN арт. FLORIDA (желтый) {yellow}</v>
      </c>
      <c r="X59" s="18" t="str">
        <f t="shared" ca="1" si="5"/>
        <v>желтый</v>
      </c>
      <c r="Y59" s="18" t="str">
        <f t="shared" ca="1" si="6"/>
        <v>желтый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желтый</v>
      </c>
      <c r="AA59" s="73" t="str">
        <f ca="1"/>
        <v>81-079-20-55</v>
      </c>
      <c r="AB59" s="75" t="str">
        <f ca="1">VLOOKUP(C59,Группа!A:B,2,FALSE)</f>
        <v>Панама</v>
      </c>
      <c r="AC59" s="97" t="str">
        <f ca="1">IFERROR(VLOOKUP(S59,Размеры!A:C,3,FALSE),"")</f>
        <v>55 S</v>
      </c>
      <c r="AD59" s="97" t="str">
        <f ca="1">VLOOKUP(I59,ЦветПолный!A:B,2,FALSE)</f>
        <v>20</v>
      </c>
      <c r="AE59" s="97" t="str">
        <f ca="1">IFERROR(VLOOKUP(S59,Размеры!A:D,4,FALSE),"")</f>
        <v>55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81-079-06</v>
      </c>
      <c r="B60" s="107" t="str">
        <f ca="1">_xlfn.LET(_xlpm.CAPS,0,_xlpm.Style,TRIM(_xlfn.XLOOKUP($A60,Строчный!$A:$A,Строчный!B:B,"ERR",0)),IF(_xlpm.CAPS=0,_xlpm.Style,UPPER(_xlpm.Style)))</f>
        <v>FLORIDA</v>
      </c>
      <c r="C60" s="81" t="str">
        <f ca="1">TRIM(PROPER(_xlfn.XLOOKUP($A60,Строчный!$A:$A,Строчный!C:C,"ERR",0)))</f>
        <v>Панамы</v>
      </c>
      <c r="D60" s="81" t="str">
        <f ca="1">_xlfn.LET(_xlpm.DATA,TRIM(_xlfn.XLOOKUP($A60,Строчный!$A:$A,Строчный!D:D,"ERR",0)),UPPER(MID(_xlpm.DATA,1,1))&amp;LOWER(MID(_xlpm.DATA,2,LEN(_xlpm.DATA)-1)))</f>
        <v>Панама</v>
      </c>
      <c r="E60" s="81" t="str">
        <f ca="1">PROPER(TRIM(_xlfn.XLOOKUP($A60,Строчный!$A:$A,Строчный!E:E,"ERR",0)))</f>
        <v>Herman</v>
      </c>
      <c r="F60" s="81" t="str">
        <f ca="1">LOWER(TRIM(_xlfn.XLOOKUP($A60,Строчный!$A:$A,Строчный!F:F,"ERR",0)))</f>
        <v>летний</v>
      </c>
      <c r="G60" s="81" t="str">
        <f ca="1">UPPER(TRIM(_xlfn.XLOOKUP($A60,Строчный!$A:$A,Строчный!G:G,"ERR",0)))</f>
        <v>HERMAN</v>
      </c>
      <c r="H60" s="81" t="str">
        <f ca="1">LOWER(TRIM(_xlfn.XLOOKUP($A60,Строчный!$A:$A,Строчный!H:H,"ERR",0)))</f>
        <v>blue</v>
      </c>
      <c r="I60" s="81" t="str">
        <f ca="1">LOWER(TRIM(_xlfn.XLOOKUP($A60,Строчный!$A:$A,Строчный!I:I,"ERR",0)))</f>
        <v>синий</v>
      </c>
      <c r="J60" s="81" t="str">
        <f ca="1">SUBSTITUTE(LOWER(TRIM(_xlfn.XLOOKUP($A60,Строчный!$A:$A,Строчный!J:J,"ERR",0))),"подклад","Подклад")</f>
        <v>100%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812.69999999999993</v>
      </c>
      <c r="R60" s="89" t="str">
        <f ca="1">_xlfn.XLOOKUP($G60,Фабрика!A:A,Фабрика!B:B,"ERR",0)</f>
        <v>Chapellerie Herman S.A.; Rue Jean Meunier, 6, 6922 Wellin, Belgium</v>
      </c>
      <c r="S60" s="80" t="str">
        <f ca="1">_xlfn.XLOOKUP(RIGHT(AA60,2),Размеры!D:D,Размеры!A:A,"ERR",0)</f>
        <v>61</v>
      </c>
      <c r="T60" s="80">
        <f ca="1">VALUE(_xlfn.XLOOKUP($AA60,Строчный!$S:$S,Строчный!U:U,"ERR",0))</f>
        <v>9</v>
      </c>
      <c r="U60" s="14" t="s">
        <v>265</v>
      </c>
      <c r="V60" s="101" t="str">
        <f t="shared" ca="1" si="3"/>
        <v>Панама HERMAN арт. FLORIDA (синий)</v>
      </c>
      <c r="W60" s="100" t="str">
        <f t="shared" ca="1" si="4"/>
        <v>Панама HERMAN арт. FLORIDA (синий) {blue}</v>
      </c>
      <c r="X60" s="18" t="str">
        <f t="shared" ca="1" si="5"/>
        <v>синий</v>
      </c>
      <c r="Y60" s="18" t="str">
        <f t="shared" ca="1" si="6"/>
        <v>синий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73" t="str">
        <f ca="1"/>
        <v>81-079-06-61</v>
      </c>
      <c r="AB60" s="75" t="str">
        <f ca="1">VLOOKUP(C60,Группа!A:B,2,FALSE)</f>
        <v>Панама</v>
      </c>
      <c r="AC60" s="97" t="str">
        <f ca="1">IFERROR(VLOOKUP(S60,Размеры!A:C,3,FALSE),"")</f>
        <v>61 XL</v>
      </c>
      <c r="AD60" s="97" t="str">
        <f ca="1">VLOOKUP(I60,ЦветПолный!A:B,2,FALSE)</f>
        <v>06</v>
      </c>
      <c r="AE60" s="97" t="str">
        <f ca="1">IFERROR(VLOOKUP(S60,Размеры!A:D,4,FALSE),"")</f>
        <v>61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81-079-06</v>
      </c>
      <c r="B61" s="107" t="str">
        <f ca="1">_xlfn.LET(_xlpm.CAPS,0,_xlpm.Style,TRIM(_xlfn.XLOOKUP($A61,Строчный!$A:$A,Строчный!B:B,"ERR",0)),IF(_xlpm.CAPS=0,_xlpm.Style,UPPER(_xlpm.Style)))</f>
        <v>FLORIDA</v>
      </c>
      <c r="C61" s="81" t="str">
        <f ca="1">TRIM(PROPER(_xlfn.XLOOKUP($A61,Строчный!$A:$A,Строчный!C:C,"ERR",0)))</f>
        <v>Панамы</v>
      </c>
      <c r="D61" s="81" t="str">
        <f ca="1">_xlfn.LET(_xlpm.DATA,TRIM(_xlfn.XLOOKUP($A61,Строчный!$A:$A,Строчный!D:D,"ERR",0)),UPPER(MID(_xlpm.DATA,1,1))&amp;LOWER(MID(_xlpm.DATA,2,LEN(_xlpm.DATA)-1)))</f>
        <v>Панама</v>
      </c>
      <c r="E61" s="81" t="str">
        <f ca="1">PROPER(TRIM(_xlfn.XLOOKUP($A61,Строчный!$A:$A,Строчный!E:E,"ERR",0)))</f>
        <v>Herman</v>
      </c>
      <c r="F61" s="81" t="str">
        <f ca="1">LOWER(TRIM(_xlfn.XLOOKUP($A61,Строчный!$A:$A,Строчный!F:F,"ERR",0)))</f>
        <v>летний</v>
      </c>
      <c r="G61" s="81" t="str">
        <f ca="1">UPPER(TRIM(_xlfn.XLOOKUP($A61,Строчный!$A:$A,Строчный!G:G,"ERR",0)))</f>
        <v>HERMAN</v>
      </c>
      <c r="H61" s="81" t="str">
        <f ca="1">LOWER(TRIM(_xlfn.XLOOKUP($A61,Строчный!$A:$A,Строчный!H:H,"ERR",0)))</f>
        <v>blue</v>
      </c>
      <c r="I61" s="81" t="str">
        <f ca="1">LOWER(TRIM(_xlfn.XLOOKUP($A61,Строчный!$A:$A,Строчный!I:I,"ERR",0)))</f>
        <v>синий</v>
      </c>
      <c r="J61" s="81" t="str">
        <f ca="1">SUBSTITUTE(LOWER(TRIM(_xlfn.XLOOKUP($A61,Строчный!$A:$A,Строчный!J:J,"ERR",0))),"подклад","Подклад")</f>
        <v>100%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812.69999999999993</v>
      </c>
      <c r="R61" s="89" t="str">
        <f ca="1">_xlfn.XLOOKUP($G61,Фабрика!A:A,Фабрика!B:B,"ERR",0)</f>
        <v>Chapellerie Herman S.A.; Rue Jean Meunier, 6, 6922 Wellin, Belgium</v>
      </c>
      <c r="S61" s="80" t="str">
        <f ca="1">_xlfn.XLOOKUP(RIGHT(AA61,2),Размеры!D:D,Размеры!A:A,"ERR",0)</f>
        <v>59</v>
      </c>
      <c r="T61" s="80">
        <f ca="1">VALUE(_xlfn.XLOOKUP($AA61,Строчный!$S:$S,Строчный!U:U,"ERR",0))</f>
        <v>18</v>
      </c>
      <c r="U61" s="14" t="s">
        <v>265</v>
      </c>
      <c r="V61" s="101" t="str">
        <f t="shared" ca="1" si="3"/>
        <v>Панама HERMAN арт. FLORIDA (синий)</v>
      </c>
      <c r="W61" s="100" t="str">
        <f t="shared" ca="1" si="4"/>
        <v>Панама HERMAN арт. FLORIDA (синий) {blue}</v>
      </c>
      <c r="X61" s="18" t="str">
        <f t="shared" ca="1" si="5"/>
        <v>синий</v>
      </c>
      <c r="Y61" s="18" t="str">
        <f t="shared" ca="1" si="6"/>
        <v>синий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синий</v>
      </c>
      <c r="AA61" s="73" t="str">
        <f ca="1"/>
        <v>81-079-06-59</v>
      </c>
      <c r="AB61" s="75" t="str">
        <f ca="1">VLOOKUP(C61,Группа!A:B,2,FALSE)</f>
        <v>Панама</v>
      </c>
      <c r="AC61" s="97" t="str">
        <f ca="1">IFERROR(VLOOKUP(S61,Размеры!A:C,3,FALSE),"")</f>
        <v>59 L</v>
      </c>
      <c r="AD61" s="97" t="str">
        <f ca="1">VLOOKUP(I61,ЦветПолный!A:B,2,FALSE)</f>
        <v>06</v>
      </c>
      <c r="AE61" s="97" t="str">
        <f ca="1">IFERROR(VLOOKUP(S61,Размеры!A:D,4,FALSE),"")</f>
        <v>59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81-079-06</v>
      </c>
      <c r="B62" s="107" t="str">
        <f ca="1">_xlfn.LET(_xlpm.CAPS,0,_xlpm.Style,TRIM(_xlfn.XLOOKUP($A62,Строчный!$A:$A,Строчный!B:B,"ERR",0)),IF(_xlpm.CAPS=0,_xlpm.Style,UPPER(_xlpm.Style)))</f>
        <v>FLORIDA</v>
      </c>
      <c r="C62" s="81" t="str">
        <f ca="1">TRIM(PROPER(_xlfn.XLOOKUP($A62,Строчный!$A:$A,Строчный!C:C,"ERR",0)))</f>
        <v>Панамы</v>
      </c>
      <c r="D62" s="81" t="str">
        <f ca="1">_xlfn.LET(_xlpm.DATA,TRIM(_xlfn.XLOOKUP($A62,Строчный!$A:$A,Строчный!D:D,"ERR",0)),UPPER(MID(_xlpm.DATA,1,1))&amp;LOWER(MID(_xlpm.DATA,2,LEN(_xlpm.DATA)-1)))</f>
        <v>Панама</v>
      </c>
      <c r="E62" s="81" t="str">
        <f ca="1">PROPER(TRIM(_xlfn.XLOOKUP($A62,Строчный!$A:$A,Строчный!E:E,"ERR",0)))</f>
        <v>Herman</v>
      </c>
      <c r="F62" s="81" t="str">
        <f ca="1">LOWER(TRIM(_xlfn.XLOOKUP($A62,Строчный!$A:$A,Строчный!F:F,"ERR",0)))</f>
        <v>летний</v>
      </c>
      <c r="G62" s="81" t="str">
        <f ca="1">UPPER(TRIM(_xlfn.XLOOKUP($A62,Строчный!$A:$A,Строчный!G:G,"ERR",0)))</f>
        <v>HERMAN</v>
      </c>
      <c r="H62" s="81" t="str">
        <f ca="1">LOWER(TRIM(_xlfn.XLOOKUP($A62,Строчный!$A:$A,Строчный!H:H,"ERR",0)))</f>
        <v>blue</v>
      </c>
      <c r="I62" s="81" t="str">
        <f ca="1">LOWER(TRIM(_xlfn.XLOOKUP($A62,Строчный!$A:$A,Строчный!I:I,"ERR",0)))</f>
        <v>синий</v>
      </c>
      <c r="J62" s="81" t="str">
        <f ca="1">SUBSTITUTE(LOWER(TRIM(_xlfn.XLOOKUP($A62,Строчный!$A:$A,Строчный!J:J,"ERR",0))),"подклад","Подклад")</f>
        <v>100%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812.69999999999993</v>
      </c>
      <c r="R62" s="89" t="str">
        <f ca="1">_xlfn.XLOOKUP($G62,Фабрика!A:A,Фабрика!B:B,"ERR",0)</f>
        <v>Chapellerie Herman S.A.; Rue Jean Meunier, 6, 6922 Wellin, Belgium</v>
      </c>
      <c r="S62" s="80" t="str">
        <f ca="1">_xlfn.XLOOKUP(RIGHT(AA62,2),Размеры!D:D,Размеры!A:A,"ERR",0)</f>
        <v>57</v>
      </c>
      <c r="T62" s="80">
        <f ca="1">VALUE(_xlfn.XLOOKUP($AA62,Строчный!$S:$S,Строчный!U:U,"ERR",0))</f>
        <v>18</v>
      </c>
      <c r="U62" s="14" t="s">
        <v>265</v>
      </c>
      <c r="V62" s="101" t="str">
        <f t="shared" ca="1" si="3"/>
        <v>Панама HERMAN арт. FLORIDA (синий)</v>
      </c>
      <c r="W62" s="100" t="str">
        <f t="shared" ca="1" si="4"/>
        <v>Панама HERMAN арт. FLORIDA (синий) {blue}</v>
      </c>
      <c r="X62" s="18" t="str">
        <f t="shared" ca="1" si="5"/>
        <v>синий</v>
      </c>
      <c r="Y62" s="18" t="str">
        <f t="shared" ca="1" si="6"/>
        <v>синий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синий</v>
      </c>
      <c r="AA62" s="73" t="str">
        <f ca="1"/>
        <v>81-079-06-57</v>
      </c>
      <c r="AB62" s="75" t="str">
        <f ca="1">VLOOKUP(C62,Группа!A:B,2,FALSE)</f>
        <v>Панама</v>
      </c>
      <c r="AC62" s="97" t="str">
        <f ca="1">IFERROR(VLOOKUP(S62,Размеры!A:C,3,FALSE),"")</f>
        <v>57 M</v>
      </c>
      <c r="AD62" s="97" t="str">
        <f ca="1">VLOOKUP(I62,ЦветПолный!A:B,2,FALSE)</f>
        <v>06</v>
      </c>
      <c r="AE62" s="97" t="str">
        <f ca="1">IFERROR(VLOOKUP(S62,Размеры!A:D,4,FALSE),"")</f>
        <v>57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81-078-34</v>
      </c>
      <c r="B63" s="107" t="str">
        <f ca="1">_xlfn.LET(_xlpm.CAPS,0,_xlpm.Style,TRIM(_xlfn.XLOOKUP($A63,Строчный!$A:$A,Строчный!B:B,"ERR",0)),IF(_xlpm.CAPS=0,_xlpm.Style,UPPER(_xlpm.Style)))</f>
        <v>TEMPA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Herman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HERMAN</v>
      </c>
      <c r="H63" s="81" t="str">
        <f ca="1">LOWER(TRIM(_xlfn.XLOOKUP($A63,Строчный!$A:$A,Строчный!H:H,"ERR",0)))</f>
        <v>pink</v>
      </c>
      <c r="I63" s="81" t="str">
        <f ca="1">LOWER(TRIM(_xlfn.XLOOKUP($A63,Строчный!$A:$A,Строчный!I:I,"ERR",0)))</f>
        <v>розовый</v>
      </c>
      <c r="J63" s="81" t="str">
        <f ca="1">SUBSTITUTE(LOWER(TRIM(_xlfn.XLOOKUP($A63,Строчный!$A:$A,Строчный!J:J,"ERR",0))),"подклад","Подклад")</f>
        <v>100%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Женский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686.7</v>
      </c>
      <c r="R63" s="89" t="str">
        <f ca="1">_xlfn.XLOOKUP($G63,Фабрика!A:A,Фабрика!B:B,"ERR",0)</f>
        <v>Chapellerie Herman S.A.; Rue Jean Meunier, 6, 6922 Wellin, Belgium</v>
      </c>
      <c r="S63" s="80" t="str">
        <f ca="1">_xlfn.XLOOKUP(RIGHT(AA63,2),Размеры!D:D,Размеры!A:A,"ERR",0)</f>
        <v>59</v>
      </c>
      <c r="T63" s="80">
        <f ca="1">VALUE(_xlfn.XLOOKUP($AA63,Строчный!$S:$S,Строчный!U:U,"ERR",0))</f>
        <v>18</v>
      </c>
      <c r="U63" s="14" t="s">
        <v>265</v>
      </c>
      <c r="V63" s="101" t="str">
        <f t="shared" ca="1" si="3"/>
        <v>Бейсболка HERMAN арт. TEMPA (розовый)</v>
      </c>
      <c r="W63" s="100" t="str">
        <f t="shared" ca="1" si="4"/>
        <v>Бейсболка HERMAN арт. TEMPA (розовый) {pink}</v>
      </c>
      <c r="X63" s="18" t="str">
        <f t="shared" ca="1" si="5"/>
        <v>розовый</v>
      </c>
      <c r="Y63" s="18" t="str">
        <f t="shared" ca="1" si="6"/>
        <v>розовый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розовый</v>
      </c>
      <c r="AA63" s="73" t="str">
        <f ca="1"/>
        <v>81-078-34-59</v>
      </c>
      <c r="AB63" s="75" t="str">
        <f ca="1">VLOOKUP(C63,Группа!A:B,2,FALSE)</f>
        <v>Бейсболка</v>
      </c>
      <c r="AC63" s="97" t="str">
        <f ca="1">IFERROR(VLOOKUP(S63,Размеры!A:C,3,FALSE),"")</f>
        <v>59 L</v>
      </c>
      <c r="AD63" s="97" t="str">
        <f ca="1">VLOOKUP(I63,ЦветПолный!A:B,2,FALSE)</f>
        <v>34</v>
      </c>
      <c r="AE63" s="97" t="str">
        <f ca="1">IFERROR(VLOOKUP(S63,Размеры!A:D,4,FALSE),"")</f>
        <v>59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81-078-20</v>
      </c>
      <c r="B64" s="107" t="str">
        <f ca="1">_xlfn.LET(_xlpm.CAPS,0,_xlpm.Style,TRIM(_xlfn.XLOOKUP($A64,Строчный!$A:$A,Строчный!B:B,"ERR",0)),IF(_xlpm.CAPS=0,_xlpm.Style,UPPER(_xlpm.Style)))</f>
        <v>TEMPA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</v>
      </c>
      <c r="E64" s="81" t="str">
        <f ca="1">PROPER(TRIM(_xlfn.XLOOKUP($A64,Строчный!$A:$A,Строчный!E:E,"ERR",0)))</f>
        <v>Herman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HERMAN</v>
      </c>
      <c r="H64" s="81" t="str">
        <f ca="1">LOWER(TRIM(_xlfn.XLOOKUP($A64,Строчный!$A:$A,Строчный!H:H,"ERR",0)))</f>
        <v>yellow</v>
      </c>
      <c r="I64" s="81" t="str">
        <f ca="1">LOWER(TRIM(_xlfn.XLOOKUP($A64,Строчный!$A:$A,Строчный!I:I,"ERR",0)))</f>
        <v>желтый</v>
      </c>
      <c r="J64" s="81" t="str">
        <f ca="1">SUBSTITUTE(LOWER(TRIM(_xlfn.XLOOKUP($A64,Строчный!$A:$A,Строчный!J:J,"ERR",0))),"подклад","Подклад")</f>
        <v>100%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686.7</v>
      </c>
      <c r="R64" s="89" t="str">
        <f ca="1">_xlfn.XLOOKUP($G64,Фабрика!A:A,Фабрика!B:B,"ERR",0)</f>
        <v>Chapellerie Herman S.A.; Rue Jean Meunier, 6, 6922 Wellin, Belgium</v>
      </c>
      <c r="S64" s="80" t="str">
        <f ca="1">_xlfn.XLOOKUP(RIGHT(AA64,2),Размеры!D:D,Размеры!A:A,"ERR",0)</f>
        <v>59</v>
      </c>
      <c r="T64" s="80">
        <f ca="1">VALUE(_xlfn.XLOOKUP($AA64,Строчный!$S:$S,Строчный!U:U,"ERR",0))</f>
        <v>18</v>
      </c>
      <c r="U64" s="14" t="s">
        <v>265</v>
      </c>
      <c r="V64" s="101" t="str">
        <f t="shared" ca="1" si="3"/>
        <v>Бейсболка HERMAN арт. TEMPA (желтый)</v>
      </c>
      <c r="W64" s="100" t="str">
        <f t="shared" ca="1" si="4"/>
        <v>Бейсболка HERMAN арт. TEMPA (желтый) {yellow}</v>
      </c>
      <c r="X64" s="18" t="str">
        <f t="shared" ca="1" si="5"/>
        <v>желтый</v>
      </c>
      <c r="Y64" s="18" t="str">
        <f t="shared" ca="1" si="6"/>
        <v>желтый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желтый</v>
      </c>
      <c r="AA64" s="73" t="str">
        <f ca="1"/>
        <v>81-078-20-59</v>
      </c>
      <c r="AB64" s="75" t="str">
        <f ca="1">VLOOKUP(C64,Группа!A:B,2,FALSE)</f>
        <v>Бейсболка</v>
      </c>
      <c r="AC64" s="97" t="str">
        <f ca="1">IFERROR(VLOOKUP(S64,Размеры!A:C,3,FALSE),"")</f>
        <v>59 L</v>
      </c>
      <c r="AD64" s="97" t="str">
        <f ca="1">VLOOKUP(I64,ЦветПолный!A:B,2,FALSE)</f>
        <v>20</v>
      </c>
      <c r="AE64" s="97" t="str">
        <f ca="1">IFERROR(VLOOKUP(S64,Размеры!A:D,4,FALSE),"")</f>
        <v>59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81-077-16</v>
      </c>
      <c r="B65" s="107" t="str">
        <f ca="1">_xlfn.LET(_xlpm.CAPS,0,_xlpm.Style,TRIM(_xlfn.XLOOKUP($A65,Строчный!$A:$A,Строчный!B:B,"ERR",0)),IF(_xlpm.CAPS=0,_xlpm.Style,UPPER(_xlpm.Style)))</f>
        <v>TRIPOLI</v>
      </c>
      <c r="C65" s="81" t="str">
        <f ca="1">TRIM(PROPER(_xlfn.XLOOKUP($A65,Строчный!$A:$A,Строчный!C:C,"ERR",0)))</f>
        <v>Козыреки</v>
      </c>
      <c r="D65" s="81" t="str">
        <f ca="1">_xlfn.LET(_xlpm.DATA,TRIM(_xlfn.XLOOKUP($A65,Строчный!$A:$A,Строчный!D:D,"ERR",0)),UPPER(MID(_xlpm.DATA,1,1))&amp;LOWER(MID(_xlpm.DATA,2,LEN(_xlpm.DATA)-1)))</f>
        <v>Козырек</v>
      </c>
      <c r="E65" s="81" t="str">
        <f ca="1">PROPER(TRIM(_xlfn.XLOOKUP($A65,Строчный!$A:$A,Строчный!E:E,"ERR",0)))</f>
        <v>Herman</v>
      </c>
      <c r="F65" s="81" t="str">
        <f ca="1">LOWER(TRIM(_xlfn.XLOOKUP($A65,Строчный!$A:$A,Строчный!F:F,"ERR",0)))</f>
        <v>летний</v>
      </c>
      <c r="G65" s="81" t="str">
        <f ca="1">UPPER(TRIM(_xlfn.XLOOKUP($A65,Строчный!$A:$A,Строчный!G:G,"ERR",0)))</f>
        <v>HERMAN</v>
      </c>
      <c r="H65" s="81" t="str">
        <f ca="1">LOWER(TRIM(_xlfn.XLOOKUP($A65,Строчный!$A:$A,Строчный!H:H,"ERR",0)))</f>
        <v>navy</v>
      </c>
      <c r="I65" s="81" t="str">
        <f ca="1">LOWER(TRIM(_xlfn.XLOOKUP($A65,Строчный!$A:$A,Строчный!I:I,"ERR",0)))</f>
        <v>темно-синий</v>
      </c>
      <c r="J65" s="81" t="str">
        <f ca="1">SUBSTITUTE(LOWER(TRIM(_xlfn.XLOOKUP($A65,Строчный!$A:$A,Строчный!J:J,"ERR",0))),"подклад","Подклад")</f>
        <v>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812.69999999999993</v>
      </c>
      <c r="R65" s="89" t="str">
        <f ca="1">_xlfn.XLOOKUP($G65,Фабрика!A:A,Фабрика!B:B,"ERR",0)</f>
        <v>Chapellerie Herman S.A.; Rue Jean Meunier, 6, 6922 Wellin, Belgium</v>
      </c>
      <c r="S65" s="80" t="str">
        <f ca="1">_xlfn.XLOOKUP(RIGHT(AA65,2),Размеры!D:D,Размеры!A:A,"ERR",0)</f>
        <v>57</v>
      </c>
      <c r="T65" s="80">
        <f ca="1">VALUE(_xlfn.XLOOKUP($AA65,Строчный!$S:$S,Строчный!U:U,"ERR",0))</f>
        <v>25</v>
      </c>
      <c r="U65" s="14" t="s">
        <v>265</v>
      </c>
      <c r="V65" s="101" t="str">
        <f t="shared" ca="1" si="3"/>
        <v>Козырек HERMAN арт. TRIPOLI (темно-синий)</v>
      </c>
      <c r="W65" s="100" t="str">
        <f t="shared" ca="1" si="4"/>
        <v>Козырек HERMAN арт. TRIPOLI (темно-синий) {navy}</v>
      </c>
      <c r="X65" s="18" t="str">
        <f t="shared" ca="1" si="5"/>
        <v>синий</v>
      </c>
      <c r="Y65" s="18" t="str">
        <f t="shared" ca="1" si="6"/>
        <v>синий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синий</v>
      </c>
      <c r="AA65" s="73" t="str">
        <f ca="1"/>
        <v>81-077-16-57</v>
      </c>
      <c r="AB65" s="75" t="str">
        <f ca="1">VLOOKUP(C65,Группа!A:B,2,FALSE)</f>
        <v>Козырек</v>
      </c>
      <c r="AC65" s="97" t="str">
        <f ca="1">IFERROR(VLOOKUP(S65,Размеры!A:C,3,FALSE),"")</f>
        <v>57 M</v>
      </c>
      <c r="AD65" s="97" t="str">
        <f ca="1">VLOOKUP(I65,ЦветПолный!A:B,2,FALSE)</f>
        <v>16</v>
      </c>
      <c r="AE65" s="97" t="str">
        <f ca="1">IFERROR(VLOOKUP(S65,Размеры!A:D,4,FALSE),"")</f>
        <v>57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81-077-02</v>
      </c>
      <c r="B66" s="107" t="str">
        <f ca="1">_xlfn.LET(_xlpm.CAPS,0,_xlpm.Style,TRIM(_xlfn.XLOOKUP($A66,Строчный!$A:$A,Строчный!B:B,"ERR",0)),IF(_xlpm.CAPS=0,_xlpm.Style,UPPER(_xlpm.Style)))</f>
        <v>TRIPOLI</v>
      </c>
      <c r="C66" s="81" t="str">
        <f ca="1">TRIM(PROPER(_xlfn.XLOOKUP($A66,Строчный!$A:$A,Строчный!C:C,"ERR",0)))</f>
        <v>Козыреки</v>
      </c>
      <c r="D66" s="81" t="str">
        <f ca="1">_xlfn.LET(_xlpm.DATA,TRIM(_xlfn.XLOOKUP($A66,Строчный!$A:$A,Строчный!D:D,"ERR",0)),UPPER(MID(_xlpm.DATA,1,1))&amp;LOWER(MID(_xlpm.DATA,2,LEN(_xlpm.DATA)-1)))</f>
        <v>Козырек</v>
      </c>
      <c r="E66" s="81" t="str">
        <f ca="1">PROPER(TRIM(_xlfn.XLOOKUP($A66,Строчный!$A:$A,Строчный!E:E,"ERR",0)))</f>
        <v>Herman</v>
      </c>
      <c r="F66" s="81" t="str">
        <f ca="1">LOWER(TRIM(_xlfn.XLOOKUP($A66,Строчный!$A:$A,Строчный!F:F,"ERR",0)))</f>
        <v>летний</v>
      </c>
      <c r="G66" s="81" t="str">
        <f ca="1">UPPER(TRIM(_xlfn.XLOOKUP($A66,Строчный!$A:$A,Строчный!G:G,"ERR",0)))</f>
        <v>HERMAN</v>
      </c>
      <c r="H66" s="81" t="str">
        <f ca="1">LOWER(TRIM(_xlfn.XLOOKUP($A66,Строчный!$A:$A,Строчный!H:H,"ERR",0)))</f>
        <v>beige</v>
      </c>
      <c r="I66" s="81" t="str">
        <f ca="1">LOWER(TRIM(_xlfn.XLOOKUP($A66,Строчный!$A:$A,Строчный!I:I,"ERR",0)))</f>
        <v>бежевый</v>
      </c>
      <c r="J66" s="81" t="str">
        <f ca="1">SUBSTITUTE(LOWER(TRIM(_xlfn.XLOOKUP($A66,Строчный!$A:$A,Строчный!J:J,"ERR",0))),"подклад","Подклад")</f>
        <v>100%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812.69999999999993</v>
      </c>
      <c r="R66" s="89" t="str">
        <f ca="1">_xlfn.XLOOKUP($G66,Фабрика!A:A,Фабрика!B:B,"ERR",0)</f>
        <v>Chapellerie Herman S.A.; Rue Jean Meunier, 6, 6922 Wellin, Belgium</v>
      </c>
      <c r="S66" s="80" t="str">
        <f ca="1">_xlfn.XLOOKUP(RIGHT(AA66,2),Размеры!D:D,Размеры!A:A,"ERR",0)</f>
        <v>57</v>
      </c>
      <c r="T66" s="80">
        <f ca="1">VALUE(_xlfn.XLOOKUP($AA66,Строчный!$S:$S,Строчный!U:U,"ERR",0))</f>
        <v>25</v>
      </c>
      <c r="U66" s="14" t="s">
        <v>265</v>
      </c>
      <c r="V66" s="101" t="str">
        <f t="shared" ca="1" si="3"/>
        <v>Козырек HERMAN арт. TRIPOLI (бежевый)</v>
      </c>
      <c r="W66" s="100" t="str">
        <f t="shared" ca="1" si="4"/>
        <v>Козырек HERMAN арт. TRIPOLI (бежевый) {beige}</v>
      </c>
      <c r="X66" s="18" t="str">
        <f t="shared" ca="1" si="5"/>
        <v>бежевый</v>
      </c>
      <c r="Y66" s="18" t="str">
        <f t="shared" ca="1" si="6"/>
        <v>бежевый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бежевый</v>
      </c>
      <c r="AA66" s="73" t="str">
        <f ca="1"/>
        <v>81-077-02-57</v>
      </c>
      <c r="AB66" s="75" t="str">
        <f ca="1">VLOOKUP(C66,Группа!A:B,2,FALSE)</f>
        <v>Козырек</v>
      </c>
      <c r="AC66" s="97" t="str">
        <f ca="1">IFERROR(VLOOKUP(S66,Размеры!A:C,3,FALSE),"")</f>
        <v>57 M</v>
      </c>
      <c r="AD66" s="97" t="str">
        <f ca="1">VLOOKUP(I66,ЦветПолный!A:B,2,FALSE)</f>
        <v>02</v>
      </c>
      <c r="AE66" s="97" t="str">
        <f ca="1">IFERROR(VLOOKUP(S66,Размеры!A:D,4,FALSE),"")</f>
        <v>57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30" ca="1" si="7">LEFT(AA67,9)</f>
        <v>81-076-45</v>
      </c>
      <c r="B67" s="107" t="str">
        <f ca="1">_xlfn.LET(_xlpm.CAPS,0,_xlpm.Style,TRIM(_xlfn.XLOOKUP($A67,Строчный!$A:$A,Строчный!B:B,"ERR",0)),IF(_xlpm.CAPS=0,_xlpm.Style,UPPER(_xlpm.Style)))</f>
        <v>BAMAKO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</v>
      </c>
      <c r="E67" s="81" t="str">
        <f ca="1">PROPER(TRIM(_xlfn.XLOOKUP($A67,Строчный!$A:$A,Строчный!E:E,"ERR",0)))</f>
        <v>Herman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HERMAN</v>
      </c>
      <c r="H67" s="81" t="str">
        <f ca="1">LOWER(TRIM(_xlfn.XLOOKUP($A67,Строчный!$A:$A,Строчный!H:H,"ERR",0)))</f>
        <v>beige</v>
      </c>
      <c r="I67" s="81" t="str">
        <f ca="1">LOWER(TRIM(_xlfn.XLOOKUP($A67,Строчный!$A:$A,Строчный!I:I,"ERR",0)))</f>
        <v>белый / красный</v>
      </c>
      <c r="J67" s="81" t="str">
        <f ca="1">SUBSTITUTE(LOWER(TRIM(_xlfn.XLOOKUP($A67,Строчный!$A:$A,Строчный!J:J,"ERR",0))),"подклад","Подклад")</f>
        <v>100%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812.69999999999993</v>
      </c>
      <c r="R67" s="89" t="str">
        <f ca="1">_xlfn.XLOOKUP($G67,Фабрика!A:A,Фабрика!B:B,"ERR",0)</f>
        <v>Chapellerie Herman S.A.; Rue Jean Meunier, 6, 6922 Wellin, Belgium</v>
      </c>
      <c r="S67" s="80" t="str">
        <f ca="1">_xlfn.XLOOKUP(RIGHT(AA67,2),Размеры!D:D,Размеры!A:A,"ERR",0)</f>
        <v>59</v>
      </c>
      <c r="T67" s="80">
        <f ca="1">VALUE(_xlfn.XLOOKUP($AA67,Строчный!$S:$S,Строчный!U:U,"ERR",0))</f>
        <v>10</v>
      </c>
      <c r="U67" s="14" t="s">
        <v>265</v>
      </c>
      <c r="V67" s="101" t="str">
        <f t="shared" ref="V67:V130" ca="1" si="8">TRIM(CONCATENATE(AB67," ",G67," арт. ",B67," (",I67,")"))</f>
        <v>Бейсболка HERMAN арт. BAMAKO (белый / красный)</v>
      </c>
      <c r="W67" s="100" t="str">
        <f t="shared" ref="W67:W130" ca="1" si="9">TRIM(CONCATENATE(AB67," ",G67," арт. ",B67," (",I67,") {",H67,"}"))</f>
        <v>Бейсболка HERMAN арт. BAMAKO (белый / красный) {beige}</v>
      </c>
      <c r="X67" s="18" t="str">
        <f t="shared" ref="X67:X130" ca="1" si="10">IFERROR(MID(I67,FIND("-",I67)+1,LEN(I67)),IFERROR(MID(I67,1,FIND("/",I67)-2),I67))</f>
        <v>белый</v>
      </c>
      <c r="Y67" s="18" t="str">
        <f t="shared" ref="Y67:Y130" ca="1" si="11">IFERROR(MID(I67,FIND("-",I67)+1,LEN(I67)),IFERROR(MID(I67,FIND("/",I67)+2,LEN(I67)),I67))</f>
        <v>красный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белый</v>
      </c>
      <c r="AA67" s="73" t="str">
        <f ca="1"/>
        <v>81-076-45-59</v>
      </c>
      <c r="AB67" s="75" t="str">
        <f ca="1">VLOOKUP(C67,Группа!A:B,2,FALSE)</f>
        <v>Бейсболка</v>
      </c>
      <c r="AC67" s="97" t="str">
        <f ca="1">IFERROR(VLOOKUP(S67,Размеры!A:C,3,FALSE),"")</f>
        <v>59 L</v>
      </c>
      <c r="AD67" s="97" t="str">
        <f ca="1">VLOOKUP(I67,ЦветПолный!A:B,2,FALSE)</f>
        <v>45</v>
      </c>
      <c r="AE67" s="97" t="str">
        <f ca="1">IFERROR(VLOOKUP(S67,Размеры!A:D,4,FALSE),"")</f>
        <v>59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81-076-45</v>
      </c>
      <c r="B68" s="107" t="str">
        <f ca="1">_xlfn.LET(_xlpm.CAPS,0,_xlpm.Style,TRIM(_xlfn.XLOOKUP($A68,Строчный!$A:$A,Строчный!B:B,"ERR",0)),IF(_xlpm.CAPS=0,_xlpm.Style,UPPER(_xlpm.Style)))</f>
        <v>BAMAKO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</v>
      </c>
      <c r="E68" s="81" t="str">
        <f ca="1">PROPER(TRIM(_xlfn.XLOOKUP($A68,Строчный!$A:$A,Строчный!E:E,"ERR",0)))</f>
        <v>Herman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HERMAN</v>
      </c>
      <c r="H68" s="81" t="str">
        <f ca="1">LOWER(TRIM(_xlfn.XLOOKUP($A68,Строчный!$A:$A,Строчный!H:H,"ERR",0)))</f>
        <v>beige</v>
      </c>
      <c r="I68" s="81" t="str">
        <f ca="1">LOWER(TRIM(_xlfn.XLOOKUP($A68,Строчный!$A:$A,Строчный!I:I,"ERR",0)))</f>
        <v>белый / красный</v>
      </c>
      <c r="J68" s="81" t="str">
        <f ca="1">SUBSTITUTE(LOWER(TRIM(_xlfn.XLOOKUP($A68,Строчный!$A:$A,Строчный!J:J,"ERR",0))),"подклад","Подклад")</f>
        <v>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812.69999999999993</v>
      </c>
      <c r="R68" s="89" t="str">
        <f ca="1">_xlfn.XLOOKUP($G68,Фабрика!A:A,Фабрика!B:B,"ERR",0)</f>
        <v>Chapellerie Herman S.A.; Rue Jean Meunier, 6, 6922 Wellin, Belgium</v>
      </c>
      <c r="S68" s="80" t="str">
        <f ca="1">_xlfn.XLOOKUP(RIGHT(AA68,2),Размеры!D:D,Размеры!A:A,"ERR",0)</f>
        <v>57</v>
      </c>
      <c r="T68" s="80">
        <f ca="1">VALUE(_xlfn.XLOOKUP($AA68,Строчный!$S:$S,Строчный!U:U,"ERR",0))</f>
        <v>10</v>
      </c>
      <c r="U68" s="14" t="s">
        <v>265</v>
      </c>
      <c r="V68" s="101" t="str">
        <f t="shared" ca="1" si="8"/>
        <v>Бейсболка HERMAN арт. BAMAKO (белый / красный)</v>
      </c>
      <c r="W68" s="100" t="str">
        <f t="shared" ca="1" si="9"/>
        <v>Бейсболка HERMAN арт. BAMAKO (белый / красный) {beige}</v>
      </c>
      <c r="X68" s="18" t="str">
        <f t="shared" ca="1" si="10"/>
        <v>белый</v>
      </c>
      <c r="Y68" s="18" t="str">
        <f t="shared" ca="1" si="11"/>
        <v>красный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белый</v>
      </c>
      <c r="AA68" s="73" t="str">
        <f ca="1"/>
        <v>81-076-45-57</v>
      </c>
      <c r="AB68" s="75" t="str">
        <f ca="1">VLOOKUP(C68,Группа!A:B,2,FALSE)</f>
        <v>Бейсболка</v>
      </c>
      <c r="AC68" s="97" t="str">
        <f ca="1">IFERROR(VLOOKUP(S68,Размеры!A:C,3,FALSE),"")</f>
        <v>57 M</v>
      </c>
      <c r="AD68" s="97" t="str">
        <f ca="1">VLOOKUP(I68,ЦветПолный!A:B,2,FALSE)</f>
        <v>45</v>
      </c>
      <c r="AE68" s="97" t="str">
        <f ca="1">IFERROR(VLOOKUP(S68,Размеры!A:D,4,FALSE),"")</f>
        <v>57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81-076-16</v>
      </c>
      <c r="B69" s="107" t="str">
        <f ca="1">_xlfn.LET(_xlpm.CAPS,0,_xlpm.Style,TRIM(_xlfn.XLOOKUP($A69,Строчный!$A:$A,Строчный!B:B,"ERR",0)),IF(_xlpm.CAPS=0,_xlpm.Style,UPPER(_xlpm.Style)))</f>
        <v>BAMAKO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</v>
      </c>
      <c r="E69" s="81" t="str">
        <f ca="1">PROPER(TRIM(_xlfn.XLOOKUP($A69,Строчный!$A:$A,Строчный!E:E,"ERR",0)))</f>
        <v>Herman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HERMAN</v>
      </c>
      <c r="H69" s="81" t="str">
        <f ca="1">LOWER(TRIM(_xlfn.XLOOKUP($A69,Строчный!$A:$A,Строчный!H:H,"ERR",0)))</f>
        <v>navy</v>
      </c>
      <c r="I69" s="81" t="str">
        <f ca="1">LOWER(TRIM(_xlfn.XLOOKUP($A69,Строчный!$A:$A,Строчный!I:I,"ERR",0)))</f>
        <v>темно-синий</v>
      </c>
      <c r="J69" s="81" t="str">
        <f ca="1">SUBSTITUTE(LOWER(TRIM(_xlfn.XLOOKUP($A69,Строчный!$A:$A,Строчный!J:J,"ERR",0))),"подклад","Подклад")</f>
        <v>100%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812.69999999999993</v>
      </c>
      <c r="R69" s="89" t="str">
        <f ca="1">_xlfn.XLOOKUP($G69,Фабрика!A:A,Фабрика!B:B,"ERR",0)</f>
        <v>Chapellerie Herman S.A.; Rue Jean Meunier, 6, 6922 Wellin, Belgium</v>
      </c>
      <c r="S69" s="80" t="str">
        <f ca="1">_xlfn.XLOOKUP(RIGHT(AA69,2),Размеры!D:D,Размеры!A:A,"ERR",0)</f>
        <v>59</v>
      </c>
      <c r="T69" s="80">
        <f ca="1">VALUE(_xlfn.XLOOKUP($AA69,Строчный!$S:$S,Строчный!U:U,"ERR",0))</f>
        <v>14</v>
      </c>
      <c r="U69" s="14" t="s">
        <v>265</v>
      </c>
      <c r="V69" s="101" t="str">
        <f t="shared" ca="1" si="8"/>
        <v>Бейсболка HERMAN арт. BAMAKO (темно-синий)</v>
      </c>
      <c r="W69" s="100" t="str">
        <f t="shared" ca="1" si="9"/>
        <v>Бейсболка HERMAN арт. BAMAKO (темно-синий) {navy}</v>
      </c>
      <c r="X69" s="18" t="str">
        <f t="shared" ca="1" si="10"/>
        <v>синий</v>
      </c>
      <c r="Y69" s="18" t="str">
        <f t="shared" ca="1" si="11"/>
        <v>синий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синий</v>
      </c>
      <c r="AA69" s="73" t="str">
        <f ca="1"/>
        <v>81-076-16-59</v>
      </c>
      <c r="AB69" s="75" t="str">
        <f ca="1">VLOOKUP(C69,Группа!A:B,2,FALSE)</f>
        <v>Бейсболка</v>
      </c>
      <c r="AC69" s="97" t="str">
        <f ca="1">IFERROR(VLOOKUP(S69,Размеры!A:C,3,FALSE),"")</f>
        <v>59 L</v>
      </c>
      <c r="AD69" s="97" t="str">
        <f ca="1">VLOOKUP(I69,ЦветПолный!A:B,2,FALSE)</f>
        <v>16</v>
      </c>
      <c r="AE69" s="97" t="str">
        <f ca="1">IFERROR(VLOOKUP(S69,Размеры!A:D,4,FALSE),"")</f>
        <v>59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81-076-16</v>
      </c>
      <c r="B70" s="107" t="str">
        <f ca="1">_xlfn.LET(_xlpm.CAPS,0,_xlpm.Style,TRIM(_xlfn.XLOOKUP($A70,Строчный!$A:$A,Строчный!B:B,"ERR",0)),IF(_xlpm.CAPS=0,_xlpm.Style,UPPER(_xlpm.Style)))</f>
        <v>BAMAKO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</v>
      </c>
      <c r="E70" s="81" t="str">
        <f ca="1">PROPER(TRIM(_xlfn.XLOOKUP($A70,Строчный!$A:$A,Строчный!E:E,"ERR",0)))</f>
        <v>Herman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HERMAN</v>
      </c>
      <c r="H70" s="81" t="str">
        <f ca="1">LOWER(TRIM(_xlfn.XLOOKUP($A70,Строчный!$A:$A,Строчный!H:H,"ERR",0)))</f>
        <v>navy</v>
      </c>
      <c r="I70" s="81" t="str">
        <f ca="1">LOWER(TRIM(_xlfn.XLOOKUP($A70,Строчный!$A:$A,Строчный!I:I,"ERR",0)))</f>
        <v>темно-синий</v>
      </c>
      <c r="J70" s="81" t="str">
        <f ca="1">SUBSTITUTE(LOWER(TRIM(_xlfn.XLOOKUP($A70,Строчный!$A:$A,Строчный!J:J,"ERR",0))),"подклад","Подклад")</f>
        <v>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812.69999999999993</v>
      </c>
      <c r="R70" s="89" t="str">
        <f ca="1">_xlfn.XLOOKUP($G70,Фабрика!A:A,Фабрика!B:B,"ERR",0)</f>
        <v>Chapellerie Herman S.A.; Rue Jean Meunier, 6, 6922 Wellin, Belgium</v>
      </c>
      <c r="S70" s="80" t="str">
        <f ca="1">_xlfn.XLOOKUP(RIGHT(AA70,2),Размеры!D:D,Размеры!A:A,"ERR",0)</f>
        <v>57</v>
      </c>
      <c r="T70" s="80">
        <f ca="1">VALUE(_xlfn.XLOOKUP($AA70,Строчный!$S:$S,Строчный!U:U,"ERR",0))</f>
        <v>14</v>
      </c>
      <c r="U70" s="14" t="s">
        <v>265</v>
      </c>
      <c r="V70" s="101" t="str">
        <f t="shared" ca="1" si="8"/>
        <v>Бейсболка HERMAN арт. BAMAKO (темно-синий)</v>
      </c>
      <c r="W70" s="100" t="str">
        <f t="shared" ca="1" si="9"/>
        <v>Бейсболка HERMAN арт. BAMAKO (темно-синий) {navy}</v>
      </c>
      <c r="X70" s="18" t="str">
        <f t="shared" ca="1" si="10"/>
        <v>синий</v>
      </c>
      <c r="Y70" s="18" t="str">
        <f t="shared" ca="1" si="11"/>
        <v>синий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синий</v>
      </c>
      <c r="AA70" s="73" t="str">
        <f ca="1"/>
        <v>81-076-16-57</v>
      </c>
      <c r="AB70" s="75" t="str">
        <f ca="1">VLOOKUP(C70,Группа!A:B,2,FALSE)</f>
        <v>Бейсболка</v>
      </c>
      <c r="AC70" s="97" t="str">
        <f ca="1">IFERROR(VLOOKUP(S70,Размеры!A:C,3,FALSE),"")</f>
        <v>57 M</v>
      </c>
      <c r="AD70" s="97" t="str">
        <f ca="1">VLOOKUP(I70,ЦветПолный!A:B,2,FALSE)</f>
        <v>16</v>
      </c>
      <c r="AE70" s="97" t="str">
        <f ca="1">IFERROR(VLOOKUP(S70,Размеры!A:D,4,FALSE),"")</f>
        <v>57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81-075-17</v>
      </c>
      <c r="B71" s="107" t="str">
        <f ca="1">_xlfn.LET(_xlpm.CAPS,0,_xlpm.Style,TRIM(_xlfn.XLOOKUP($A71,Строчный!$A:$A,Строчный!B:B,"ERR",0)),IF(_xlpm.CAPS=0,_xlpm.Style,UPPER(_xlpm.Style)))</f>
        <v>DJERBA</v>
      </c>
      <c r="C71" s="81" t="str">
        <f ca="1">TRIM(PROPER(_xlfn.XLOOKUP($A71,Строчный!$A:$A,Строчный!C:C,"ERR",0)))</f>
        <v>Козыреки</v>
      </c>
      <c r="D71" s="81" t="str">
        <f ca="1">_xlfn.LET(_xlpm.DATA,TRIM(_xlfn.XLOOKUP($A71,Строчный!$A:$A,Строчный!D:D,"ERR",0)),UPPER(MID(_xlpm.DATA,1,1))&amp;LOWER(MID(_xlpm.DATA,2,LEN(_xlpm.DATA)-1)))</f>
        <v>Козырек</v>
      </c>
      <c r="E71" s="81" t="str">
        <f ca="1">PROPER(TRIM(_xlfn.XLOOKUP($A71,Строчный!$A:$A,Строчный!E:E,"ERR",0)))</f>
        <v>Herman</v>
      </c>
      <c r="F71" s="81" t="str">
        <f ca="1">LOWER(TRIM(_xlfn.XLOOKUP($A71,Строчный!$A:$A,Строчный!F:F,"ERR",0)))</f>
        <v>летний</v>
      </c>
      <c r="G71" s="81" t="str">
        <f ca="1">UPPER(TRIM(_xlfn.XLOOKUP($A71,Строчный!$A:$A,Строчный!G:G,"ERR",0)))</f>
        <v>HERMAN</v>
      </c>
      <c r="H71" s="81" t="str">
        <f ca="1">LOWER(TRIM(_xlfn.XLOOKUP($A71,Строчный!$A:$A,Строчный!H:H,"ERR",0)))</f>
        <v>white</v>
      </c>
      <c r="I71" s="81" t="str">
        <f ca="1">LOWER(TRIM(_xlfn.XLOOKUP($A71,Строчный!$A:$A,Строчный!I:I,"ERR",0)))</f>
        <v>белый</v>
      </c>
      <c r="J71" s="81" t="str">
        <f ca="1">SUBSTITUTE(LOWER(TRIM(_xlfn.XLOOKUP($A71,Строчный!$A:$A,Строчный!J:J,"ERR",0))),"подклад","Подклад")</f>
        <v>100%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812.69999999999993</v>
      </c>
      <c r="R71" s="89" t="str">
        <f ca="1">_xlfn.XLOOKUP($G71,Фабрика!A:A,Фабрика!B:B,"ERR",0)</f>
        <v>Chapellerie Herman S.A.; Rue Jean Meunier, 6, 6922 Wellin, Belgium</v>
      </c>
      <c r="S71" s="80" t="str">
        <f ca="1">_xlfn.XLOOKUP(RIGHT(AA71,2),Размеры!D:D,Размеры!A:A,"ERR",0)</f>
        <v>57</v>
      </c>
      <c r="T71" s="80">
        <f ca="1">VALUE(_xlfn.XLOOKUP($AA71,Строчный!$S:$S,Строчный!U:U,"ERR",0))</f>
        <v>25</v>
      </c>
      <c r="U71" s="14" t="s">
        <v>265</v>
      </c>
      <c r="V71" s="101" t="str">
        <f t="shared" ca="1" si="8"/>
        <v>Козырек HERMAN арт. DJERBA (белый)</v>
      </c>
      <c r="W71" s="100" t="str">
        <f t="shared" ca="1" si="9"/>
        <v>Козырек HERMAN арт. DJERBA (белый) {white}</v>
      </c>
      <c r="X71" s="18" t="str">
        <f t="shared" ca="1" si="10"/>
        <v>белый</v>
      </c>
      <c r="Y71" s="18" t="str">
        <f t="shared" ca="1" si="11"/>
        <v>белый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белый</v>
      </c>
      <c r="AA71" s="73" t="str">
        <f ca="1"/>
        <v>81-075-17-57</v>
      </c>
      <c r="AB71" s="75" t="str">
        <f ca="1">VLOOKUP(C71,Группа!A:B,2,FALSE)</f>
        <v>Козырек</v>
      </c>
      <c r="AC71" s="97" t="str">
        <f ca="1">IFERROR(VLOOKUP(S71,Размеры!A:C,3,FALSE),"")</f>
        <v>57 M</v>
      </c>
      <c r="AD71" s="97" t="str">
        <f ca="1">VLOOKUP(I71,ЦветПолный!A:B,2,FALSE)</f>
        <v>17</v>
      </c>
      <c r="AE71" s="97" t="str">
        <f ca="1">IFERROR(VLOOKUP(S71,Размеры!A:D,4,FALSE),"")</f>
        <v>57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81-075-16</v>
      </c>
      <c r="B72" s="107" t="str">
        <f ca="1">_xlfn.LET(_xlpm.CAPS,0,_xlpm.Style,TRIM(_xlfn.XLOOKUP($A72,Строчный!$A:$A,Строчный!B:B,"ERR",0)),IF(_xlpm.CAPS=0,_xlpm.Style,UPPER(_xlpm.Style)))</f>
        <v>DJERBA</v>
      </c>
      <c r="C72" s="81" t="str">
        <f ca="1">TRIM(PROPER(_xlfn.XLOOKUP($A72,Строчный!$A:$A,Строчный!C:C,"ERR",0)))</f>
        <v>Козыреки</v>
      </c>
      <c r="D72" s="81" t="str">
        <f ca="1">_xlfn.LET(_xlpm.DATA,TRIM(_xlfn.XLOOKUP($A72,Строчный!$A:$A,Строчный!D:D,"ERR",0)),UPPER(MID(_xlpm.DATA,1,1))&amp;LOWER(MID(_xlpm.DATA,2,LEN(_xlpm.DATA)-1)))</f>
        <v>Козырек</v>
      </c>
      <c r="E72" s="81" t="str">
        <f ca="1">PROPER(TRIM(_xlfn.XLOOKUP($A72,Строчный!$A:$A,Строчный!E:E,"ERR",0)))</f>
        <v>Herman</v>
      </c>
      <c r="F72" s="81" t="str">
        <f ca="1">LOWER(TRIM(_xlfn.XLOOKUP($A72,Строчный!$A:$A,Строчный!F:F,"ERR",0)))</f>
        <v>летний</v>
      </c>
      <c r="G72" s="81" t="str">
        <f ca="1">UPPER(TRIM(_xlfn.XLOOKUP($A72,Строчный!$A:$A,Строчный!G:G,"ERR",0)))</f>
        <v>HERMAN</v>
      </c>
      <c r="H72" s="81" t="str">
        <f ca="1">LOWER(TRIM(_xlfn.XLOOKUP($A72,Строчный!$A:$A,Строчный!H:H,"ERR",0)))</f>
        <v>navy</v>
      </c>
      <c r="I72" s="81" t="str">
        <f ca="1">LOWER(TRIM(_xlfn.XLOOKUP($A72,Строчный!$A:$A,Строчный!I:I,"ERR",0)))</f>
        <v>темно-синий</v>
      </c>
      <c r="J72" s="81" t="str">
        <f ca="1">SUBSTITUTE(LOWER(TRIM(_xlfn.XLOOKUP($A72,Строчный!$A:$A,Строчный!J:J,"ERR",0))),"подклад","Подклад")</f>
        <v>100%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812.69999999999993</v>
      </c>
      <c r="R72" s="89" t="str">
        <f ca="1">_xlfn.XLOOKUP($G72,Фабрика!A:A,Фабрика!B:B,"ERR",0)</f>
        <v>Chapellerie Herman S.A.; Rue Jean Meunier, 6, 6922 Wellin, Belgium</v>
      </c>
      <c r="S72" s="80" t="str">
        <f ca="1">_xlfn.XLOOKUP(RIGHT(AA72,2),Размеры!D:D,Размеры!A:A,"ERR",0)</f>
        <v>57</v>
      </c>
      <c r="T72" s="80">
        <f ca="1">VALUE(_xlfn.XLOOKUP($AA72,Строчный!$S:$S,Строчный!U:U,"ERR",0))</f>
        <v>25</v>
      </c>
      <c r="U72" s="14" t="s">
        <v>265</v>
      </c>
      <c r="V72" s="101" t="str">
        <f t="shared" ca="1" si="8"/>
        <v>Козырек HERMAN арт. DJERBA (темно-синий)</v>
      </c>
      <c r="W72" s="100" t="str">
        <f t="shared" ca="1" si="9"/>
        <v>Козырек HERMAN арт. DJERBA (темно-синий) {navy}</v>
      </c>
      <c r="X72" s="18" t="str">
        <f t="shared" ca="1" si="10"/>
        <v>синий</v>
      </c>
      <c r="Y72" s="18" t="str">
        <f t="shared" ca="1" si="11"/>
        <v>синий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синий</v>
      </c>
      <c r="AA72" s="73" t="str">
        <f ca="1"/>
        <v>81-075-16-57</v>
      </c>
      <c r="AB72" s="75" t="str">
        <f ca="1">VLOOKUP(C72,Группа!A:B,2,FALSE)</f>
        <v>Козырек</v>
      </c>
      <c r="AC72" s="97" t="str">
        <f ca="1">IFERROR(VLOOKUP(S72,Размеры!A:C,3,FALSE),"")</f>
        <v>57 M</v>
      </c>
      <c r="AD72" s="97" t="str">
        <f ca="1">VLOOKUP(I72,ЦветПолный!A:B,2,FALSE)</f>
        <v>16</v>
      </c>
      <c r="AE72" s="97" t="str">
        <f ca="1">IFERROR(VLOOKUP(S72,Размеры!A:D,4,FALSE),"")</f>
        <v>57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81-074-09</v>
      </c>
      <c r="B73" s="107" t="str">
        <f ca="1">_xlfn.LET(_xlpm.CAPS,0,_xlpm.Style,TRIM(_xlfn.XLOOKUP($A73,Строчный!$A:$A,Строчный!B:B,"ERR",0)),IF(_xlpm.CAPS=0,_xlpm.Style,UPPER(_xlpm.Style)))</f>
        <v>DJIBOUTI</v>
      </c>
      <c r="C73" s="81" t="str">
        <f ca="1">TRIM(PROPER(_xlfn.XLOOKUP($A73,Строчный!$A:$A,Строчный!C:C,"ERR",0)))</f>
        <v>Панамы</v>
      </c>
      <c r="D73" s="81" t="str">
        <f ca="1">_xlfn.LET(_xlpm.DATA,TRIM(_xlfn.XLOOKUP($A73,Строчный!$A:$A,Строчный!D:D,"ERR",0)),UPPER(MID(_xlpm.DATA,1,1))&amp;LOWER(MID(_xlpm.DATA,2,LEN(_xlpm.DATA)-1)))</f>
        <v>Панама</v>
      </c>
      <c r="E73" s="81" t="str">
        <f ca="1">PROPER(TRIM(_xlfn.XLOOKUP($A73,Строчный!$A:$A,Строчный!E:E,"ERR",0)))</f>
        <v>Herman</v>
      </c>
      <c r="F73" s="81" t="str">
        <f ca="1">LOWER(TRIM(_xlfn.XLOOKUP($A73,Строчный!$A:$A,Строчный!F:F,"ERR",0)))</f>
        <v>летний</v>
      </c>
      <c r="G73" s="81" t="str">
        <f ca="1">UPPER(TRIM(_xlfn.XLOOKUP($A73,Строчный!$A:$A,Строчный!G:G,"ERR",0)))</f>
        <v>HERMAN</v>
      </c>
      <c r="H73" s="81" t="str">
        <f ca="1">LOWER(TRIM(_xlfn.XLOOKUP($A73,Строчный!$A:$A,Строчный!H:H,"ERR",0)))</f>
        <v>black</v>
      </c>
      <c r="I73" s="81" t="str">
        <f ca="1">LOWER(TRIM(_xlfn.XLOOKUP($A73,Строчный!$A:$A,Строчный!I:I,"ERR",0)))</f>
        <v>черный</v>
      </c>
      <c r="J73" s="81" t="str">
        <f ca="1">SUBSTITUTE(LOWER(TRIM(_xlfn.XLOOKUP($A73,Строчный!$A:$A,Строчный!J:J,"ERR",0))),"подклад","Подклад")</f>
        <v>100%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812.69999999999993</v>
      </c>
      <c r="R73" s="89" t="str">
        <f ca="1">_xlfn.XLOOKUP($G73,Фабрика!A:A,Фабрика!B:B,"ERR",0)</f>
        <v>Chapellerie Herman S.A.; Rue Jean Meunier, 6, 6922 Wellin, Belgium</v>
      </c>
      <c r="S73" s="80" t="str">
        <f ca="1">_xlfn.XLOOKUP(RIGHT(AA73,2),Размеры!D:D,Размеры!A:A,"ERR",0)</f>
        <v>61</v>
      </c>
      <c r="T73" s="80">
        <f ca="1">VALUE(_xlfn.XLOOKUP($AA73,Строчный!$S:$S,Строчный!U:U,"ERR",0))</f>
        <v>7</v>
      </c>
      <c r="U73" s="14" t="s">
        <v>265</v>
      </c>
      <c r="V73" s="101" t="str">
        <f t="shared" ca="1" si="8"/>
        <v>Панама HERMAN арт. DJIBOUTI (черный)</v>
      </c>
      <c r="W73" s="100" t="str">
        <f t="shared" ca="1" si="9"/>
        <v>Панама HERMAN арт. DJIBOUTI (черный) {black}</v>
      </c>
      <c r="X73" s="18" t="str">
        <f t="shared" ca="1" si="10"/>
        <v>черный</v>
      </c>
      <c r="Y73" s="18" t="str">
        <f t="shared" ca="1" si="11"/>
        <v>черный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черный</v>
      </c>
      <c r="AA73" s="73" t="str">
        <f ca="1"/>
        <v>81-074-09-61</v>
      </c>
      <c r="AB73" s="75" t="str">
        <f ca="1">VLOOKUP(C73,Группа!A:B,2,FALSE)</f>
        <v>Панама</v>
      </c>
      <c r="AC73" s="97" t="str">
        <f ca="1">IFERROR(VLOOKUP(S73,Размеры!A:C,3,FALSE),"")</f>
        <v>61 XL</v>
      </c>
      <c r="AD73" s="97" t="str">
        <f ca="1">VLOOKUP(I73,ЦветПолный!A:B,2,FALSE)</f>
        <v>09</v>
      </c>
      <c r="AE73" s="97" t="str">
        <f ca="1">IFERROR(VLOOKUP(S73,Размеры!A:D,4,FALSE),"")</f>
        <v>61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81-074-09</v>
      </c>
      <c r="B74" s="107" t="str">
        <f ca="1">_xlfn.LET(_xlpm.CAPS,0,_xlpm.Style,TRIM(_xlfn.XLOOKUP($A74,Строчный!$A:$A,Строчный!B:B,"ERR",0)),IF(_xlpm.CAPS=0,_xlpm.Style,UPPER(_xlpm.Style)))</f>
        <v>DJIBOUTI</v>
      </c>
      <c r="C74" s="81" t="str">
        <f ca="1">TRIM(PROPER(_xlfn.XLOOKUP($A74,Строчный!$A:$A,Строчный!C:C,"ERR",0)))</f>
        <v>Панамы</v>
      </c>
      <c r="D74" s="81" t="str">
        <f ca="1">_xlfn.LET(_xlpm.DATA,TRIM(_xlfn.XLOOKUP($A74,Строчный!$A:$A,Строчный!D:D,"ERR",0)),UPPER(MID(_xlpm.DATA,1,1))&amp;LOWER(MID(_xlpm.DATA,2,LEN(_xlpm.DATA)-1)))</f>
        <v>Панама</v>
      </c>
      <c r="E74" s="81" t="str">
        <f ca="1">PROPER(TRIM(_xlfn.XLOOKUP($A74,Строчный!$A:$A,Строчный!E:E,"ERR",0)))</f>
        <v>Herman</v>
      </c>
      <c r="F74" s="81" t="str">
        <f ca="1">LOWER(TRIM(_xlfn.XLOOKUP($A74,Строчный!$A:$A,Строчный!F:F,"ERR",0)))</f>
        <v>летний</v>
      </c>
      <c r="G74" s="81" t="str">
        <f ca="1">UPPER(TRIM(_xlfn.XLOOKUP($A74,Строчный!$A:$A,Строчный!G:G,"ERR",0)))</f>
        <v>HERMAN</v>
      </c>
      <c r="H74" s="81" t="str">
        <f ca="1">LOWER(TRIM(_xlfn.XLOOKUP($A74,Строчный!$A:$A,Строчный!H:H,"ERR",0)))</f>
        <v>black</v>
      </c>
      <c r="I74" s="81" t="str">
        <f ca="1">LOWER(TRIM(_xlfn.XLOOKUP($A74,Строчный!$A:$A,Строчный!I:I,"ERR",0)))</f>
        <v>черный</v>
      </c>
      <c r="J74" s="81" t="str">
        <f ca="1">SUBSTITUTE(LOWER(TRIM(_xlfn.XLOOKUP($A74,Строчный!$A:$A,Строчный!J:J,"ERR",0))),"подклад","Подклад")</f>
        <v>100%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812.69999999999993</v>
      </c>
      <c r="R74" s="89" t="str">
        <f ca="1">_xlfn.XLOOKUP($G74,Фабрика!A:A,Фабрика!B:B,"ERR",0)</f>
        <v>Chapellerie Herman S.A.; Rue Jean Meunier, 6, 6922 Wellin, Belgium</v>
      </c>
      <c r="S74" s="80" t="str">
        <f ca="1">_xlfn.XLOOKUP(RIGHT(AA74,2),Размеры!D:D,Размеры!A:A,"ERR",0)</f>
        <v>59</v>
      </c>
      <c r="T74" s="80">
        <f ca="1">VALUE(_xlfn.XLOOKUP($AA74,Строчный!$S:$S,Строчный!U:U,"ERR",0))</f>
        <v>19</v>
      </c>
      <c r="U74" s="14" t="s">
        <v>265</v>
      </c>
      <c r="V74" s="101" t="str">
        <f t="shared" ca="1" si="8"/>
        <v>Панама HERMAN арт. DJIBOUTI (черный)</v>
      </c>
      <c r="W74" s="100" t="str">
        <f t="shared" ca="1" si="9"/>
        <v>Панама HERMAN арт. DJIBOUTI (черный) {black}</v>
      </c>
      <c r="X74" s="18" t="str">
        <f t="shared" ca="1" si="10"/>
        <v>черный</v>
      </c>
      <c r="Y74" s="18" t="str">
        <f t="shared" ca="1" si="11"/>
        <v>черный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81-074-09-59</v>
      </c>
      <c r="AB74" s="75" t="str">
        <f ca="1">VLOOKUP(C74,Группа!A:B,2,FALSE)</f>
        <v>Панама</v>
      </c>
      <c r="AC74" s="97" t="str">
        <f ca="1">IFERROR(VLOOKUP(S74,Размеры!A:C,3,FALSE),"")</f>
        <v>59 L</v>
      </c>
      <c r="AD74" s="97" t="str">
        <f ca="1">VLOOKUP(I74,ЦветПолный!A:B,2,FALSE)</f>
        <v>09</v>
      </c>
      <c r="AE74" s="97" t="str">
        <f ca="1">IFERROR(VLOOKUP(S74,Размеры!A:D,4,FALSE),"")</f>
        <v>59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81-074-09</v>
      </c>
      <c r="B75" s="107" t="str">
        <f ca="1">_xlfn.LET(_xlpm.CAPS,0,_xlpm.Style,TRIM(_xlfn.XLOOKUP($A75,Строчный!$A:$A,Строчный!B:B,"ERR",0)),IF(_xlpm.CAPS=0,_xlpm.Style,UPPER(_xlpm.Style)))</f>
        <v>DJIBOUTI</v>
      </c>
      <c r="C75" s="81" t="str">
        <f ca="1">TRIM(PROPER(_xlfn.XLOOKUP($A75,Строчный!$A:$A,Строчный!C:C,"ERR",0)))</f>
        <v>Панамы</v>
      </c>
      <c r="D75" s="81" t="str">
        <f ca="1">_xlfn.LET(_xlpm.DATA,TRIM(_xlfn.XLOOKUP($A75,Строчный!$A:$A,Строчный!D:D,"ERR",0)),UPPER(MID(_xlpm.DATA,1,1))&amp;LOWER(MID(_xlpm.DATA,2,LEN(_xlpm.DATA)-1)))</f>
        <v>Панама</v>
      </c>
      <c r="E75" s="81" t="str">
        <f ca="1">PROPER(TRIM(_xlfn.XLOOKUP($A75,Строчный!$A:$A,Строчный!E:E,"ERR",0)))</f>
        <v>Herman</v>
      </c>
      <c r="F75" s="81" t="str">
        <f ca="1">LOWER(TRIM(_xlfn.XLOOKUP($A75,Строчный!$A:$A,Строчный!F:F,"ERR",0)))</f>
        <v>летний</v>
      </c>
      <c r="G75" s="81" t="str">
        <f ca="1">UPPER(TRIM(_xlfn.XLOOKUP($A75,Строчный!$A:$A,Строчный!G:G,"ERR",0)))</f>
        <v>HERMAN</v>
      </c>
      <c r="H75" s="81" t="str">
        <f ca="1">LOWER(TRIM(_xlfn.XLOOKUP($A75,Строчный!$A:$A,Строчный!H:H,"ERR",0)))</f>
        <v>black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100% хлопок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812.69999999999993</v>
      </c>
      <c r="R75" s="89" t="str">
        <f ca="1">_xlfn.XLOOKUP($G75,Фабрика!A:A,Фабрика!B:B,"ERR",0)</f>
        <v>Chapellerie Herman S.A.; Rue Jean Meunier, 6, 6922 Wellin, Belgium</v>
      </c>
      <c r="S75" s="80" t="str">
        <f ca="1">_xlfn.XLOOKUP(RIGHT(AA75,2),Размеры!D:D,Размеры!A:A,"ERR",0)</f>
        <v>57</v>
      </c>
      <c r="T75" s="80">
        <f ca="1">VALUE(_xlfn.XLOOKUP($AA75,Строчный!$S:$S,Строчный!U:U,"ERR",0))</f>
        <v>19</v>
      </c>
      <c r="U75" s="14" t="s">
        <v>265</v>
      </c>
      <c r="V75" s="101" t="str">
        <f t="shared" ca="1" si="8"/>
        <v>Панама HERMAN арт. DJIBOUTI (черный)</v>
      </c>
      <c r="W75" s="100" t="str">
        <f t="shared" ca="1" si="9"/>
        <v>Панама HERMAN арт. DJIBOUTI (черный) {black}</v>
      </c>
      <c r="X75" s="18" t="str">
        <f t="shared" ca="1" si="10"/>
        <v>черный</v>
      </c>
      <c r="Y75" s="18" t="str">
        <f t="shared" ca="1" si="11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81-074-09-57</v>
      </c>
      <c r="AB75" s="75" t="str">
        <f ca="1">VLOOKUP(C75,Группа!A:B,2,FALSE)</f>
        <v>Панама</v>
      </c>
      <c r="AC75" s="97" t="str">
        <f ca="1">IFERROR(VLOOKUP(S75,Размеры!A:C,3,FALSE),"")</f>
        <v>57 M</v>
      </c>
      <c r="AD75" s="97" t="str">
        <f ca="1">VLOOKUP(I75,ЦветПолный!A:B,2,FALSE)</f>
        <v>09</v>
      </c>
      <c r="AE75" s="97" t="str">
        <f ca="1">IFERROR(VLOOKUP(S75,Размеры!A:D,4,FALSE),"")</f>
        <v>57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81-074-09</v>
      </c>
      <c r="B76" s="107" t="str">
        <f ca="1">_xlfn.LET(_xlpm.CAPS,0,_xlpm.Style,TRIM(_xlfn.XLOOKUP($A76,Строчный!$A:$A,Строчный!B:B,"ERR",0)),IF(_xlpm.CAPS=0,_xlpm.Style,UPPER(_xlpm.Style)))</f>
        <v>DJIBOUTI</v>
      </c>
      <c r="C76" s="81" t="str">
        <f ca="1">TRIM(PROPER(_xlfn.XLOOKUP($A76,Строчный!$A:$A,Строчный!C:C,"ERR",0)))</f>
        <v>Панамы</v>
      </c>
      <c r="D76" s="81" t="str">
        <f ca="1">_xlfn.LET(_xlpm.DATA,TRIM(_xlfn.XLOOKUP($A76,Строчный!$A:$A,Строчный!D:D,"ERR",0)),UPPER(MID(_xlpm.DATA,1,1))&amp;LOWER(MID(_xlpm.DATA,2,LEN(_xlpm.DATA)-1)))</f>
        <v>Панама</v>
      </c>
      <c r="E76" s="81" t="str">
        <f ca="1">PROPER(TRIM(_xlfn.XLOOKUP($A76,Строчный!$A:$A,Строчный!E:E,"ERR",0)))</f>
        <v>Herman</v>
      </c>
      <c r="F76" s="81" t="str">
        <f ca="1">LOWER(TRIM(_xlfn.XLOOKUP($A76,Строчный!$A:$A,Строчный!F:F,"ERR",0)))</f>
        <v>летний</v>
      </c>
      <c r="G76" s="81" t="str">
        <f ca="1">UPPER(TRIM(_xlfn.XLOOKUP($A76,Строчный!$A:$A,Строчный!G:G,"ERR",0)))</f>
        <v>HERMAN</v>
      </c>
      <c r="H76" s="81" t="str">
        <f ca="1">LOWER(TRIM(_xlfn.XLOOKUP($A76,Строчный!$A:$A,Строчный!H:H,"ERR",0)))</f>
        <v>black</v>
      </c>
      <c r="I76" s="81" t="str">
        <f ca="1">LOWER(TRIM(_xlfn.XLOOKUP($A76,Строчный!$A:$A,Строчный!I:I,"ERR",0)))</f>
        <v>черный</v>
      </c>
      <c r="J76" s="81" t="str">
        <f ca="1">SUBSTITUTE(LOWER(TRIM(_xlfn.XLOOKUP($A76,Строчный!$A:$A,Строчный!J:J,"ERR",0))),"подклад","Подклад")</f>
        <v>100% хлопок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812.69999999999993</v>
      </c>
      <c r="R76" s="89" t="str">
        <f ca="1">_xlfn.XLOOKUP($G76,Фабрика!A:A,Фабрика!B:B,"ERR",0)</f>
        <v>Chapellerie Herman S.A.; Rue Jean Meunier, 6, 6922 Wellin, Belgium</v>
      </c>
      <c r="S76" s="80" t="str">
        <f ca="1">_xlfn.XLOOKUP(RIGHT(AA76,2),Размеры!D:D,Размеры!A:A,"ERR",0)</f>
        <v>55</v>
      </c>
      <c r="T76" s="80">
        <f ca="1">VALUE(_xlfn.XLOOKUP($AA76,Строчный!$S:$S,Строчный!U:U,"ERR",0))</f>
        <v>7</v>
      </c>
      <c r="U76" s="14" t="s">
        <v>265</v>
      </c>
      <c r="V76" s="101" t="str">
        <f t="shared" ca="1" si="8"/>
        <v>Панама HERMAN арт. DJIBOUTI (черный)</v>
      </c>
      <c r="W76" s="100" t="str">
        <f t="shared" ca="1" si="9"/>
        <v>Панама HERMAN арт. DJIBOUTI (черный) {black}</v>
      </c>
      <c r="X76" s="18" t="str">
        <f t="shared" ca="1" si="10"/>
        <v>черный</v>
      </c>
      <c r="Y76" s="18" t="str">
        <f t="shared" ca="1" si="11"/>
        <v>черный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3" t="str">
        <f ca="1"/>
        <v>81-074-09-55</v>
      </c>
      <c r="AB76" s="75" t="str">
        <f ca="1">VLOOKUP(C76,Группа!A:B,2,FALSE)</f>
        <v>Панама</v>
      </c>
      <c r="AC76" s="97" t="str">
        <f ca="1">IFERROR(VLOOKUP(S76,Размеры!A:C,3,FALSE),"")</f>
        <v>55 S</v>
      </c>
      <c r="AD76" s="97" t="str">
        <f ca="1">VLOOKUP(I76,ЦветПолный!A:B,2,FALSE)</f>
        <v>09</v>
      </c>
      <c r="AE76" s="97" t="str">
        <f ca="1">IFERROR(VLOOKUP(S76,Размеры!A:D,4,FALSE),"")</f>
        <v>55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81-070-09</v>
      </c>
      <c r="B77" s="107" t="str">
        <f ca="1">_xlfn.LET(_xlpm.CAPS,0,_xlpm.Style,TRIM(_xlfn.XLOOKUP($A77,Строчный!$A:$A,Строчный!B:B,"ERR",0)),IF(_xlpm.CAPS=0,_xlpm.Style,UPPER(_xlpm.Style)))</f>
        <v>DON CHURCH</v>
      </c>
      <c r="C77" s="81" t="str">
        <f ca="1">TRIM(PROPER(_xlfn.XLOOKUP($A77,Строчный!$A:$A,Строчный!C:C,"ERR",0)))</f>
        <v>Шляпы</v>
      </c>
      <c r="D77" s="81" t="str">
        <f ca="1">_xlfn.LET(_xlpm.DATA,TRIM(_xlfn.XLOOKUP($A77,Строчный!$A:$A,Строчный!D:D,"ERR",0)),UPPER(MID(_xlpm.DATA,1,1))&amp;LOWER(MID(_xlpm.DATA,2,LEN(_xlpm.DATA)-1)))</f>
        <v>Шляпа котелок</v>
      </c>
      <c r="E77" s="81" t="str">
        <f ca="1">PROPER(TRIM(_xlfn.XLOOKUP($A77,Строчный!$A:$A,Строчный!E:E,"ERR",0)))</f>
        <v>Herman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HERMAN</v>
      </c>
      <c r="H77" s="81" t="str">
        <f ca="1">LOWER(TRIM(_xlfn.XLOOKUP($A77,Строчный!$A:$A,Строчный!H:H,"ERR",0)))</f>
        <v>black</v>
      </c>
      <c r="I77" s="81" t="str">
        <f ca="1">LOWER(TRIM(_xlfn.XLOOKUP($A77,Строчный!$A:$A,Строчный!I:I,"ERR",0)))</f>
        <v>черный</v>
      </c>
      <c r="J77" s="81" t="str">
        <f ca="1">SUBSTITUTE(LOWER(TRIM(_xlfn.XLOOKUP($A77,Строчный!$A:$A,Строчный!J:J,"ERR",0))),"подклад","Подклад")</f>
        <v>100% шерсть</v>
      </c>
      <c r="K77" s="81" t="str">
        <f ca="1">LOWER(TRIM(_xlfn.XLOOKUP($A77,Строчный!$A:$A,Строчный!K:K,"ERR",0)))</f>
        <v>фетровые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1281.5999999999999</v>
      </c>
      <c r="R77" s="89" t="str">
        <f ca="1">_xlfn.XLOOKUP($G77,Фабрика!A:A,Фабрика!B:B,"ERR",0)</f>
        <v>Chapellerie Herman S.A.; Rue Jean Meunier, 6, 6922 Wellin, Belgium</v>
      </c>
      <c r="S77" s="80" t="str">
        <f ca="1">_xlfn.XLOOKUP(RIGHT(AA77,2),Размеры!D:D,Размеры!A:A,"ERR",0)</f>
        <v>61</v>
      </c>
      <c r="T77" s="80">
        <f ca="1">VALUE(_xlfn.XLOOKUP($AA77,Строчный!$S:$S,Строчный!U:U,"ERR",0))</f>
        <v>3</v>
      </c>
      <c r="U77" s="14" t="s">
        <v>265</v>
      </c>
      <c r="V77" s="101" t="str">
        <f t="shared" ca="1" si="8"/>
        <v>Шляпа HERMAN арт. DON CHURCH (черный)</v>
      </c>
      <c r="W77" s="100" t="str">
        <f t="shared" ca="1" si="9"/>
        <v>Шляпа HERMAN арт. DON CHURCH (черный) {black}</v>
      </c>
      <c r="X77" s="18" t="str">
        <f t="shared" ca="1" si="10"/>
        <v>черный</v>
      </c>
      <c r="Y77" s="18" t="str">
        <f t="shared" ca="1" si="11"/>
        <v>черный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81-070-09-61</v>
      </c>
      <c r="AB77" s="75" t="str">
        <f ca="1">VLOOKUP(C77,Группа!A:B,2,FALSE)</f>
        <v>Шляпа</v>
      </c>
      <c r="AC77" s="97" t="str">
        <f ca="1">IFERROR(VLOOKUP(S77,Размеры!A:C,3,FALSE),"")</f>
        <v>61 XL</v>
      </c>
      <c r="AD77" s="97" t="str">
        <f ca="1">VLOOKUP(I77,ЦветПолный!A:B,2,FALSE)</f>
        <v>09</v>
      </c>
      <c r="AE77" s="97" t="str">
        <f ca="1">IFERROR(VLOOKUP(S77,Размеры!A:D,4,FALSE),"")</f>
        <v>61</v>
      </c>
      <c r="AF77" s="97">
        <f ca="1">IF(LEFT(IFERROR(VLOOKUP(LOOKUP(2,1/SEARCH(B77,Товары!A:A),Товары!A:A),Товары!A:B,2,0),""),6)=MID(AA77,1,6),1,0)</f>
        <v>1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str">
        <f ca="1">IF(VLOOKUP(W77,Товары!A:B,2,FALSE)=A77,"Есть в 1С","ERR")</f>
        <v>Есть в 1С</v>
      </c>
      <c r="AU77" s="65" t="str">
        <f ca="1">IF(VLOOKUP(A77,Товары!B:B,1,FALSE)=A77,"Есть в 1С","ERR")</f>
        <v>Есть в 1С</v>
      </c>
      <c r="AV77" s="96" t="str">
        <f ca="1">VLOOKUP(W77,Товары!A:B,2,FALSE)</f>
        <v>81-070-09</v>
      </c>
      <c r="AW77" s="94" t="str">
        <f ca="1">VLOOKUP(W77,Товары!A:B,1,FALSE)</f>
        <v>Шляпа HERMAN арт. DON CHURCH (черный) {black}</v>
      </c>
    </row>
    <row r="78" spans="1:49" x14ac:dyDescent="0.25">
      <c r="A78" s="110" t="str">
        <f t="shared" ca="1" si="7"/>
        <v>81-070-09</v>
      </c>
      <c r="B78" s="107" t="str">
        <f ca="1">_xlfn.LET(_xlpm.CAPS,0,_xlpm.Style,TRIM(_xlfn.XLOOKUP($A78,Строчный!$A:$A,Строчный!B:B,"ERR",0)),IF(_xlpm.CAPS=0,_xlpm.Style,UPPER(_xlpm.Style)))</f>
        <v>DON CHURCH</v>
      </c>
      <c r="C78" s="81" t="str">
        <f ca="1">TRIM(PROPER(_xlfn.XLOOKUP($A78,Строчный!$A:$A,Строчный!C:C,"ERR",0)))</f>
        <v>Шляпы</v>
      </c>
      <c r="D78" s="81" t="str">
        <f ca="1">_xlfn.LET(_xlpm.DATA,TRIM(_xlfn.XLOOKUP($A78,Строчный!$A:$A,Строчный!D:D,"ERR",0)),UPPER(MID(_xlpm.DATA,1,1))&amp;LOWER(MID(_xlpm.DATA,2,LEN(_xlpm.DATA)-1)))</f>
        <v>Шляпа котелок</v>
      </c>
      <c r="E78" s="81" t="str">
        <f ca="1">PROPER(TRIM(_xlfn.XLOOKUP($A78,Строчный!$A:$A,Строчный!E:E,"ERR",0)))</f>
        <v>Herman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HERMAN</v>
      </c>
      <c r="H78" s="81" t="str">
        <f ca="1">LOWER(TRIM(_xlfn.XLOOKUP($A78,Строчный!$A:$A,Строчный!H:H,"ERR",0)))</f>
        <v>black</v>
      </c>
      <c r="I78" s="81" t="str">
        <f ca="1">LOWER(TRIM(_xlfn.XLOOKUP($A78,Строчный!$A:$A,Строчный!I:I,"ERR",0)))</f>
        <v>черный</v>
      </c>
      <c r="J78" s="81" t="str">
        <f ca="1">SUBSTITUTE(LOWER(TRIM(_xlfn.XLOOKUP($A78,Строчный!$A:$A,Строчный!J:J,"ERR",0))),"подклад","Подклад")</f>
        <v>100% шерсть</v>
      </c>
      <c r="K78" s="81" t="str">
        <f ca="1">LOWER(TRIM(_xlfn.XLOOKUP($A78,Строчный!$A:$A,Строчный!K:K,"ERR",0)))</f>
        <v>фетровые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1281.5999999999999</v>
      </c>
      <c r="R78" s="89" t="str">
        <f ca="1">_xlfn.XLOOKUP($G78,Фабрика!A:A,Фабрика!B:B,"ERR",0)</f>
        <v>Chapellerie Herman S.A.; Rue Jean Meunier, 6, 6922 Wellin, Belgium</v>
      </c>
      <c r="S78" s="80" t="str">
        <f ca="1">_xlfn.XLOOKUP(RIGHT(AA78,2),Размеры!D:D,Размеры!A:A,"ERR",0)</f>
        <v>59</v>
      </c>
      <c r="T78" s="80">
        <f ca="1">VALUE(_xlfn.XLOOKUP($AA78,Строчный!$S:$S,Строчный!U:U,"ERR",0))</f>
        <v>5</v>
      </c>
      <c r="U78" s="14" t="s">
        <v>265</v>
      </c>
      <c r="V78" s="101" t="str">
        <f t="shared" ca="1" si="8"/>
        <v>Шляпа HERMAN арт. DON CHURCH (черный)</v>
      </c>
      <c r="W78" s="100" t="str">
        <f t="shared" ca="1" si="9"/>
        <v>Шляпа HERMAN арт. DON CHURCH (черный) {black}</v>
      </c>
      <c r="X78" s="18" t="str">
        <f t="shared" ca="1" si="10"/>
        <v>черный</v>
      </c>
      <c r="Y78" s="18" t="str">
        <f t="shared" ca="1" si="11"/>
        <v>черный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черный</v>
      </c>
      <c r="AA78" s="73" t="str">
        <f ca="1"/>
        <v>81-070-09-59</v>
      </c>
      <c r="AB78" s="75" t="str">
        <f ca="1">VLOOKUP(C78,Группа!A:B,2,FALSE)</f>
        <v>Шляпа</v>
      </c>
      <c r="AC78" s="97" t="str">
        <f ca="1">IFERROR(VLOOKUP(S78,Размеры!A:C,3,FALSE),"")</f>
        <v>59 L</v>
      </c>
      <c r="AD78" s="97" t="str">
        <f ca="1">VLOOKUP(I78,ЦветПолный!A:B,2,FALSE)</f>
        <v>09</v>
      </c>
      <c r="AE78" s="97" t="str">
        <f ca="1">IFERROR(VLOOKUP(S78,Размеры!A:D,4,FALSE),"")</f>
        <v>59</v>
      </c>
      <c r="AF78" s="97">
        <f ca="1">IF(LEFT(IFERROR(VLOOKUP(LOOKUP(2,1/SEARCH(B78,Товары!A:A),Товары!A:A),Товары!A:B,2,0),""),6)=MID(AA78,1,6),1,0)</f>
        <v>1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str">
        <f ca="1">IF(VLOOKUP(W78,Товары!A:B,2,FALSE)=A78,"Есть в 1С","ERR")</f>
        <v>Есть в 1С</v>
      </c>
      <c r="AU78" s="65" t="str">
        <f ca="1">IF(VLOOKUP(A78,Товары!B:B,1,FALSE)=A78,"Есть в 1С","ERR")</f>
        <v>Есть в 1С</v>
      </c>
      <c r="AV78" s="96" t="str">
        <f ca="1">VLOOKUP(W78,Товары!A:B,2,FALSE)</f>
        <v>81-070-09</v>
      </c>
      <c r="AW78" s="94" t="str">
        <f ca="1">VLOOKUP(W78,Товары!A:B,1,FALSE)</f>
        <v>Шляпа HERMAN арт. DON CHURCH (черный) {black}</v>
      </c>
    </row>
    <row r="79" spans="1:49" x14ac:dyDescent="0.25">
      <c r="A79" s="110" t="str">
        <f t="shared" ca="1" si="7"/>
        <v>81-070-09</v>
      </c>
      <c r="B79" s="107" t="str">
        <f ca="1">_xlfn.LET(_xlpm.CAPS,0,_xlpm.Style,TRIM(_xlfn.XLOOKUP($A79,Строчный!$A:$A,Строчный!B:B,"ERR",0)),IF(_xlpm.CAPS=0,_xlpm.Style,UPPER(_xlpm.Style)))</f>
        <v>DON CHURCH</v>
      </c>
      <c r="C79" s="81" t="str">
        <f ca="1">TRIM(PROPER(_xlfn.XLOOKUP($A79,Строчный!$A:$A,Строчный!C:C,"ERR",0)))</f>
        <v>Шляпы</v>
      </c>
      <c r="D79" s="81" t="str">
        <f ca="1">_xlfn.LET(_xlpm.DATA,TRIM(_xlfn.XLOOKUP($A79,Строчный!$A:$A,Строчный!D:D,"ERR",0)),UPPER(MID(_xlpm.DATA,1,1))&amp;LOWER(MID(_xlpm.DATA,2,LEN(_xlpm.DATA)-1)))</f>
        <v>Шляпа котелок</v>
      </c>
      <c r="E79" s="81" t="str">
        <f ca="1">PROPER(TRIM(_xlfn.XLOOKUP($A79,Строчный!$A:$A,Строчный!E:E,"ERR",0)))</f>
        <v>Herman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HERMAN</v>
      </c>
      <c r="H79" s="81" t="str">
        <f ca="1">LOWER(TRIM(_xlfn.XLOOKUP($A79,Строчный!$A:$A,Строчный!H:H,"ERR",0)))</f>
        <v>black</v>
      </c>
      <c r="I79" s="81" t="str">
        <f ca="1">LOWER(TRIM(_xlfn.XLOOKUP($A79,Строчный!$A:$A,Строчный!I:I,"ERR",0)))</f>
        <v>черный</v>
      </c>
      <c r="J79" s="81" t="str">
        <f ca="1">SUBSTITUTE(LOWER(TRIM(_xlfn.XLOOKUP($A79,Строчный!$A:$A,Строчный!J:J,"ERR",0))),"подклад","Подклад")</f>
        <v>100% шерсть</v>
      </c>
      <c r="K79" s="81" t="str">
        <f ca="1">LOWER(TRIM(_xlfn.XLOOKUP($A79,Строчный!$A:$A,Строчный!K:K,"ERR",0)))</f>
        <v>фетровые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1281.5999999999999</v>
      </c>
      <c r="R79" s="89" t="str">
        <f ca="1">_xlfn.XLOOKUP($G79,Фабрика!A:A,Фабрика!B:B,"ERR",0)</f>
        <v>Chapellerie Herman S.A.; Rue Jean Meunier, 6, 6922 Wellin, Belgium</v>
      </c>
      <c r="S79" s="80" t="str">
        <f ca="1">_xlfn.XLOOKUP(RIGHT(AA79,2),Размеры!D:D,Размеры!A:A,"ERR",0)</f>
        <v>57</v>
      </c>
      <c r="T79" s="80">
        <f ca="1">VALUE(_xlfn.XLOOKUP($AA79,Строчный!$S:$S,Строчный!U:U,"ERR",0))</f>
        <v>4</v>
      </c>
      <c r="U79" s="14" t="s">
        <v>265</v>
      </c>
      <c r="V79" s="101" t="str">
        <f t="shared" ca="1" si="8"/>
        <v>Шляпа HERMAN арт. DON CHURCH (черный)</v>
      </c>
      <c r="W79" s="100" t="str">
        <f t="shared" ca="1" si="9"/>
        <v>Шляпа HERMAN арт. DON CHURCH (черный) {black}</v>
      </c>
      <c r="X79" s="18" t="str">
        <f t="shared" ca="1" si="10"/>
        <v>черный</v>
      </c>
      <c r="Y79" s="18" t="str">
        <f t="shared" ca="1" si="11"/>
        <v>черный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81-070-09-57</v>
      </c>
      <c r="AB79" s="75" t="str">
        <f ca="1">VLOOKUP(C79,Группа!A:B,2,FALSE)</f>
        <v>Шляпа</v>
      </c>
      <c r="AC79" s="97" t="str">
        <f ca="1">IFERROR(VLOOKUP(S79,Размеры!A:C,3,FALSE),"")</f>
        <v>57 M</v>
      </c>
      <c r="AD79" s="97" t="str">
        <f ca="1">VLOOKUP(I79,ЦветПолный!A:B,2,FALSE)</f>
        <v>09</v>
      </c>
      <c r="AE79" s="97" t="str">
        <f ca="1">IFERROR(VLOOKUP(S79,Размеры!A:D,4,FALSE),"")</f>
        <v>57</v>
      </c>
      <c r="AF79" s="97">
        <f ca="1">IF(LEFT(IFERROR(VLOOKUP(LOOKUP(2,1/SEARCH(B79,Товары!A:A),Товары!A:A),Товары!A:B,2,0),""),6)=MID(AA79,1,6),1,0)</f>
        <v>1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str">
        <f ca="1">IF(VLOOKUP(W79,Товары!A:B,2,FALSE)=A79,"Есть в 1С","ERR")</f>
        <v>Есть в 1С</v>
      </c>
      <c r="AU79" s="65" t="str">
        <f ca="1">IF(VLOOKUP(A79,Товары!B:B,1,FALSE)=A79,"Есть в 1С","ERR")</f>
        <v>Есть в 1С</v>
      </c>
      <c r="AV79" s="96" t="str">
        <f ca="1">VLOOKUP(W79,Товары!A:B,2,FALSE)</f>
        <v>81-070-09</v>
      </c>
      <c r="AW79" s="94" t="str">
        <f ca="1">VLOOKUP(W79,Товары!A:B,1,FALSE)</f>
        <v>Шляпа HERMAN арт. DON CHURCH (черный) {black}</v>
      </c>
    </row>
    <row r="80" spans="1:49" x14ac:dyDescent="0.25">
      <c r="A80" s="110" t="str">
        <f t="shared" ca="1" si="7"/>
        <v>81-070-09</v>
      </c>
      <c r="B80" s="107" t="str">
        <f ca="1">_xlfn.LET(_xlpm.CAPS,0,_xlpm.Style,TRIM(_xlfn.XLOOKUP($A80,Строчный!$A:$A,Строчный!B:B,"ERR",0)),IF(_xlpm.CAPS=0,_xlpm.Style,UPPER(_xlpm.Style)))</f>
        <v>DON CHURCH</v>
      </c>
      <c r="C80" s="81" t="str">
        <f ca="1">TRIM(PROPER(_xlfn.XLOOKUP($A80,Строчный!$A:$A,Строчный!C:C,"ERR",0)))</f>
        <v>Шляпы</v>
      </c>
      <c r="D80" s="81" t="str">
        <f ca="1">_xlfn.LET(_xlpm.DATA,TRIM(_xlfn.XLOOKUP($A80,Строчный!$A:$A,Строчный!D:D,"ERR",0)),UPPER(MID(_xlpm.DATA,1,1))&amp;LOWER(MID(_xlpm.DATA,2,LEN(_xlpm.DATA)-1)))</f>
        <v>Шляпа котелок</v>
      </c>
      <c r="E80" s="81" t="str">
        <f ca="1">PROPER(TRIM(_xlfn.XLOOKUP($A80,Строчный!$A:$A,Строчный!E:E,"ERR",0)))</f>
        <v>Herman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HERMAN</v>
      </c>
      <c r="H80" s="81" t="str">
        <f ca="1">LOWER(TRIM(_xlfn.XLOOKUP($A80,Строчный!$A:$A,Строчный!H:H,"ERR",0)))</f>
        <v>black</v>
      </c>
      <c r="I80" s="81" t="str">
        <f ca="1">LOWER(TRIM(_xlfn.XLOOKUP($A80,Строчный!$A:$A,Строчный!I:I,"ERR",0)))</f>
        <v>черный</v>
      </c>
      <c r="J80" s="81" t="str">
        <f ca="1">SUBSTITUTE(LOWER(TRIM(_xlfn.XLOOKUP($A80,Строчный!$A:$A,Строчный!J:J,"ERR",0))),"подклад","Подклад")</f>
        <v>100% шерсть</v>
      </c>
      <c r="K80" s="81" t="str">
        <f ca="1">LOWER(TRIM(_xlfn.XLOOKUP($A80,Строчный!$A:$A,Строчный!K:K,"ERR",0)))</f>
        <v>фетровые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1281.5999999999999</v>
      </c>
      <c r="R80" s="89" t="str">
        <f ca="1">_xlfn.XLOOKUP($G80,Фабрика!A:A,Фабрика!B:B,"ERR",0)</f>
        <v>Chapellerie Herman S.A.; Rue Jean Meunier, 6, 6922 Wellin, Belgium</v>
      </c>
      <c r="S80" s="80" t="str">
        <f ca="1">_xlfn.XLOOKUP(RIGHT(AA80,2),Размеры!D:D,Размеры!A:A,"ERR",0)</f>
        <v>55</v>
      </c>
      <c r="T80" s="80">
        <f ca="1">VALUE(_xlfn.XLOOKUP($AA80,Строчный!$S:$S,Строчный!U:U,"ERR",0))</f>
        <v>3</v>
      </c>
      <c r="U80" s="14" t="s">
        <v>265</v>
      </c>
      <c r="V80" s="101" t="str">
        <f t="shared" ca="1" si="8"/>
        <v>Шляпа HERMAN арт. DON CHURCH (черный)</v>
      </c>
      <c r="W80" s="100" t="str">
        <f t="shared" ca="1" si="9"/>
        <v>Шляпа HERMAN арт. DON CHURCH (черный) {black}</v>
      </c>
      <c r="X80" s="18" t="str">
        <f t="shared" ca="1" si="10"/>
        <v>черный</v>
      </c>
      <c r="Y80" s="18" t="str">
        <f t="shared" ca="1" si="11"/>
        <v>черный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3" t="str">
        <f ca="1"/>
        <v>81-070-09-55</v>
      </c>
      <c r="AB80" s="75" t="str">
        <f ca="1">VLOOKUP(C80,Группа!A:B,2,FALSE)</f>
        <v>Шляпа</v>
      </c>
      <c r="AC80" s="97" t="str">
        <f ca="1">IFERROR(VLOOKUP(S80,Размеры!A:C,3,FALSE),"")</f>
        <v>55 S</v>
      </c>
      <c r="AD80" s="97" t="str">
        <f ca="1">VLOOKUP(I80,ЦветПолный!A:B,2,FALSE)</f>
        <v>09</v>
      </c>
      <c r="AE80" s="97" t="str">
        <f ca="1">IFERROR(VLOOKUP(S80,Размеры!A:D,4,FALSE),"")</f>
        <v>55</v>
      </c>
      <c r="AF80" s="97">
        <f ca="1">IF(LEFT(IFERROR(VLOOKUP(LOOKUP(2,1/SEARCH(B80,Товары!A:A),Товары!A:A),Товары!A:B,2,0),""),6)=MID(AA80,1,6),1,0)</f>
        <v>1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str">
        <f ca="1">IF(VLOOKUP(W80,Товары!A:B,2,FALSE)=A80,"Есть в 1С","ERR")</f>
        <v>Есть в 1С</v>
      </c>
      <c r="AU80" s="65" t="str">
        <f ca="1">IF(VLOOKUP(A80,Товары!B:B,1,FALSE)=A80,"Есть в 1С","ERR")</f>
        <v>Есть в 1С</v>
      </c>
      <c r="AV80" s="96" t="str">
        <f ca="1">VLOOKUP(W80,Товары!A:B,2,FALSE)</f>
        <v>81-070-09</v>
      </c>
      <c r="AW80" s="94" t="str">
        <f ca="1">VLOOKUP(W80,Товары!A:B,1,FALSE)</f>
        <v>Шляпа HERMAN арт. DON CHURCH (черный) {black}</v>
      </c>
    </row>
    <row r="81" spans="1:49" x14ac:dyDescent="0.25">
      <c r="A81" s="110" t="str">
        <f t="shared" ca="1" si="7"/>
        <v>81-065-14</v>
      </c>
      <c r="B81" s="107" t="str">
        <f ca="1">_xlfn.LET(_xlpm.CAPS,0,_xlpm.Style,TRIM(_xlfn.XLOOKUP($A81,Строчный!$A:$A,Строчный!B:B,"ERR",0)),IF(_xlpm.CAPS=0,_xlpm.Style,UPPER(_xlpm.Style)))</f>
        <v>AUSTRALIAN</v>
      </c>
      <c r="C81" s="81" t="str">
        <f ca="1">TRIM(PROPER(_xlfn.XLOOKUP($A81,Строчный!$A:$A,Строчный!C:C,"ERR",0)))</f>
        <v>Шляпы</v>
      </c>
      <c r="D81" s="81" t="str">
        <f ca="1">_xlfn.LET(_xlpm.DATA,TRIM(_xlfn.XLOOKUP($A81,Строчный!$A:$A,Строчный!D:D,"ERR",0)),UPPER(MID(_xlpm.DATA,1,1))&amp;LOWER(MID(_xlpm.DATA,2,LEN(_xlpm.DATA)-1)))</f>
        <v>Шляпа ковбойская</v>
      </c>
      <c r="E81" s="81" t="str">
        <f ca="1">PROPER(TRIM(_xlfn.XLOOKUP($A81,Строчный!$A:$A,Строчный!E:E,"ERR",0)))</f>
        <v>Herman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HERMAN</v>
      </c>
      <c r="H81" s="81" t="str">
        <f ca="1">LOWER(TRIM(_xlfn.XLOOKUP($A81,Строчный!$A:$A,Строчный!H:H,"ERR",0)))</f>
        <v>brown</v>
      </c>
      <c r="I81" s="81" t="str">
        <f ca="1">LOWER(TRIM(_xlfn.XLOOKUP($A81,Строчный!$A:$A,Строчный!I:I,"ERR",0)))</f>
        <v>коричневый</v>
      </c>
      <c r="J81" s="81" t="str">
        <f ca="1">SUBSTITUTE(LOWER(TRIM(_xlfn.XLOOKUP($A81,Строчный!$A:$A,Строчный!J:J,"ERR",0))),"подклад","Подклад")</f>
        <v>100% кожа</v>
      </c>
      <c r="K81" s="81" t="str">
        <f ca="1">LOWER(TRIM(_xlfn.XLOOKUP($A81,Строчный!$A:$A,Строчный!K:K,"ERR",0)))</f>
        <v>кожаные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2100.6</v>
      </c>
      <c r="R81" s="89" t="str">
        <f ca="1">_xlfn.XLOOKUP($G81,Фабрика!A:A,Фабрика!B:B,"ERR",0)</f>
        <v>Chapellerie Herman S.A.; Rue Jean Meunier, 6, 6922 Wellin, Belgium</v>
      </c>
      <c r="S81" s="80" t="str">
        <f ca="1">_xlfn.XLOOKUP(RIGHT(AA81,2),Размеры!D:D,Размеры!A:A,"ERR",0)</f>
        <v>61</v>
      </c>
      <c r="T81" s="80">
        <f ca="1">VALUE(_xlfn.XLOOKUP($AA81,Строчный!$S:$S,Строчный!U:U,"ERR",0))</f>
        <v>4</v>
      </c>
      <c r="U81" s="14" t="s">
        <v>265</v>
      </c>
      <c r="V81" s="101" t="str">
        <f t="shared" ca="1" si="8"/>
        <v>Шляпа HERMAN арт. AUSTRALIAN (коричневый)</v>
      </c>
      <c r="W81" s="100" t="str">
        <f t="shared" ca="1" si="9"/>
        <v>Шляпа HERMAN арт. AUSTRALIAN (коричневый) {brown}</v>
      </c>
      <c r="X81" s="18" t="str">
        <f t="shared" ca="1" si="10"/>
        <v>коричневый</v>
      </c>
      <c r="Y81" s="18" t="str">
        <f t="shared" ca="1" si="11"/>
        <v>коричневый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коричневый</v>
      </c>
      <c r="AA81" s="73" t="str">
        <f ca="1"/>
        <v>81-065-14-61</v>
      </c>
      <c r="AB81" s="75" t="str">
        <f ca="1">VLOOKUP(C81,Группа!A:B,2,FALSE)</f>
        <v>Шляпа</v>
      </c>
      <c r="AC81" s="97" t="str">
        <f ca="1">IFERROR(VLOOKUP(S81,Размеры!A:C,3,FALSE),"")</f>
        <v>61 XL</v>
      </c>
      <c r="AD81" s="97" t="str">
        <f ca="1">VLOOKUP(I81,ЦветПолный!A:B,2,FALSE)</f>
        <v>14</v>
      </c>
      <c r="AE81" s="97" t="str">
        <f ca="1">IFERROR(VLOOKUP(S81,Размеры!A:D,4,FALSE),"")</f>
        <v>61</v>
      </c>
      <c r="AF81" s="97">
        <f ca="1">IF(LEFT(IFERROR(VLOOKUP(LOOKUP(2,1/SEARCH(B81,Товары!A:A),Товары!A:A),Товары!A:B,2,0),""),6)=MID(AA81,1,6),1,0)</f>
        <v>1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str">
        <f ca="1">IF(VLOOKUP(W81,Товары!A:B,2,FALSE)=A81,"Есть в 1С","ERR")</f>
        <v>Есть в 1С</v>
      </c>
      <c r="AU81" s="65" t="str">
        <f ca="1">IF(VLOOKUP(A81,Товары!B:B,1,FALSE)=A81,"Есть в 1С","ERR")</f>
        <v>Есть в 1С</v>
      </c>
      <c r="AV81" s="96" t="str">
        <f ca="1">VLOOKUP(W81,Товары!A:B,2,FALSE)</f>
        <v>81-065-14</v>
      </c>
      <c r="AW81" s="94" t="str">
        <f ca="1">VLOOKUP(W81,Товары!A:B,1,FALSE)</f>
        <v>Шляпа HERMAN арт. AUSTRALIAN (коричневый) {brown}</v>
      </c>
    </row>
    <row r="82" spans="1:49" x14ac:dyDescent="0.25">
      <c r="A82" s="110" t="str">
        <f t="shared" ca="1" si="7"/>
        <v>81-065-14</v>
      </c>
      <c r="B82" s="107" t="str">
        <f ca="1">_xlfn.LET(_xlpm.CAPS,0,_xlpm.Style,TRIM(_xlfn.XLOOKUP($A82,Строчный!$A:$A,Строчный!B:B,"ERR",0)),IF(_xlpm.CAPS=0,_xlpm.Style,UPPER(_xlpm.Style)))</f>
        <v>AUSTRALIAN</v>
      </c>
      <c r="C82" s="81" t="str">
        <f ca="1">TRIM(PROPER(_xlfn.XLOOKUP($A82,Строчный!$A:$A,Строчный!C:C,"ERR",0)))</f>
        <v>Шляпы</v>
      </c>
      <c r="D82" s="81" t="str">
        <f ca="1">_xlfn.LET(_xlpm.DATA,TRIM(_xlfn.XLOOKUP($A82,Строчный!$A:$A,Строчный!D:D,"ERR",0)),UPPER(MID(_xlpm.DATA,1,1))&amp;LOWER(MID(_xlpm.DATA,2,LEN(_xlpm.DATA)-1)))</f>
        <v>Шляпа ковбойская</v>
      </c>
      <c r="E82" s="81" t="str">
        <f ca="1">PROPER(TRIM(_xlfn.XLOOKUP($A82,Строчный!$A:$A,Строчный!E:E,"ERR",0)))</f>
        <v>Herman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HERMAN</v>
      </c>
      <c r="H82" s="81" t="str">
        <f ca="1">LOWER(TRIM(_xlfn.XLOOKUP($A82,Строчный!$A:$A,Строчный!H:H,"ERR",0)))</f>
        <v>brown</v>
      </c>
      <c r="I82" s="81" t="str">
        <f ca="1">LOWER(TRIM(_xlfn.XLOOKUP($A82,Строчный!$A:$A,Строчный!I:I,"ERR",0)))</f>
        <v>коричневый</v>
      </c>
      <c r="J82" s="81" t="str">
        <f ca="1">SUBSTITUTE(LOWER(TRIM(_xlfn.XLOOKUP($A82,Строчный!$A:$A,Строчный!J:J,"ERR",0))),"подклад","Подклад")</f>
        <v>100% кожа</v>
      </c>
      <c r="K82" s="81" t="str">
        <f ca="1">LOWER(TRIM(_xlfn.XLOOKUP($A82,Строчный!$A:$A,Строчный!K:K,"ERR",0)))</f>
        <v>кожаные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PROPER(TRIM(_xlfn.XLOOKUP($A82,Строчный!$A:$A,Строчный!R:R,"ERR",0)))</f>
        <v/>
      </c>
      <c r="Q82" s="90">
        <f ca="1">VALUE(_xlfn.XLOOKUP($A82,Строчный!$A:$A,Строчный!N:N,"ERR",0))</f>
        <v>2100.6</v>
      </c>
      <c r="R82" s="89" t="str">
        <f ca="1">_xlfn.XLOOKUP($G82,Фабрика!A:A,Фабрика!B:B,"ERR",0)</f>
        <v>Chapellerie Herman S.A.; Rue Jean Meunier, 6, 6922 Wellin, Belgium</v>
      </c>
      <c r="S82" s="80" t="str">
        <f ca="1">_xlfn.XLOOKUP(RIGHT(AA82,2),Размеры!D:D,Размеры!A:A,"ERR",0)</f>
        <v>59</v>
      </c>
      <c r="T82" s="80">
        <f ca="1">VALUE(_xlfn.XLOOKUP($AA82,Строчный!$S:$S,Строчный!U:U,"ERR",0))</f>
        <v>3</v>
      </c>
      <c r="U82" s="14" t="s">
        <v>265</v>
      </c>
      <c r="V82" s="101" t="str">
        <f t="shared" ca="1" si="8"/>
        <v>Шляпа HERMAN арт. AUSTRALIAN (коричневый)</v>
      </c>
      <c r="W82" s="100" t="str">
        <f t="shared" ca="1" si="9"/>
        <v>Шляпа HERMAN арт. AUSTRALIAN (коричневый) {brown}</v>
      </c>
      <c r="X82" s="18" t="str">
        <f t="shared" ca="1" si="10"/>
        <v>коричневый</v>
      </c>
      <c r="Y82" s="18" t="str">
        <f t="shared" ca="1" si="11"/>
        <v>коричневый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коричневый</v>
      </c>
      <c r="AA82" s="73" t="str">
        <f ca="1"/>
        <v>81-065-14-59</v>
      </c>
      <c r="AB82" s="75" t="str">
        <f ca="1">VLOOKUP(C82,Группа!A:B,2,FALSE)</f>
        <v>Шляпа</v>
      </c>
      <c r="AC82" s="97" t="str">
        <f ca="1">IFERROR(VLOOKUP(S82,Размеры!A:C,3,FALSE),"")</f>
        <v>59 L</v>
      </c>
      <c r="AD82" s="97" t="str">
        <f ca="1">VLOOKUP(I82,ЦветПолный!A:B,2,FALSE)</f>
        <v>14</v>
      </c>
      <c r="AE82" s="97" t="str">
        <f ca="1">IFERROR(VLOOKUP(S82,Размеры!A:D,4,FALSE),"")</f>
        <v>59</v>
      </c>
      <c r="AF82" s="97">
        <f ca="1">IF(LEFT(IFERROR(VLOOKUP(LOOKUP(2,1/SEARCH(B82,Товары!A:A),Товары!A:A),Товары!A:B,2,0),""),6)=MID(AA82,1,6),1,0)</f>
        <v>1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str">
        <f ca="1">IF(VLOOKUP(W82,Товары!A:B,2,FALSE)=A82,"Есть в 1С","ERR")</f>
        <v>Есть в 1С</v>
      </c>
      <c r="AU82" s="65" t="str">
        <f ca="1">IF(VLOOKUP(A82,Товары!B:B,1,FALSE)=A82,"Есть в 1С","ERR")</f>
        <v>Есть в 1С</v>
      </c>
      <c r="AV82" s="96" t="str">
        <f ca="1">VLOOKUP(W82,Товары!A:B,2,FALSE)</f>
        <v>81-065-14</v>
      </c>
      <c r="AW82" s="94" t="str">
        <f ca="1">VLOOKUP(W82,Товары!A:B,1,FALSE)</f>
        <v>Шляпа HERMAN арт. AUSTRALIAN (коричневый) {brown}</v>
      </c>
    </row>
    <row r="83" spans="1:49" x14ac:dyDescent="0.25">
      <c r="A83" s="110" t="str">
        <f t="shared" ca="1" si="7"/>
        <v>81-054-32</v>
      </c>
      <c r="B83" s="107" t="str">
        <f ca="1">_xlfn.LET(_xlpm.CAPS,0,_xlpm.Style,TRIM(_xlfn.XLOOKUP($A83,Строчный!$A:$A,Строчный!B:B,"ERR",0)),IF(_xlpm.CAPS=0,_xlpm.Style,UPPER(_xlpm.Style)))</f>
        <v>TULUM</v>
      </c>
      <c r="C83" s="81" t="str">
        <f ca="1">TRIM(PROPER(_xlfn.XLOOKUP($A83,Строчный!$A:$A,Строчный!C:C,"ERR",0)))</f>
        <v>Шляпы</v>
      </c>
      <c r="D83" s="81" t="str">
        <f ca="1">_xlfn.LET(_xlpm.DATA,TRIM(_xlfn.XLOOKUP($A83,Строчный!$A:$A,Строчный!D:D,"ERR",0)),UPPER(MID(_xlpm.DATA,1,1))&amp;LOWER(MID(_xlpm.DATA,2,LEN(_xlpm.DATA)-1)))</f>
        <v>Шляпа федора</v>
      </c>
      <c r="E83" s="81" t="str">
        <f ca="1">PROPER(TRIM(_xlfn.XLOOKUP($A83,Строчный!$A:$A,Строчный!E:E,"ERR",0)))</f>
        <v>Herman</v>
      </c>
      <c r="F83" s="81" t="str">
        <f ca="1">LOWER(TRIM(_xlfn.XLOOKUP($A83,Строчный!$A:$A,Строчный!F:F,"ERR",0)))</f>
        <v>летний</v>
      </c>
      <c r="G83" s="81" t="str">
        <f ca="1">UPPER(TRIM(_xlfn.XLOOKUP($A83,Строчный!$A:$A,Строчный!G:G,"ERR",0)))</f>
        <v>HERMAN</v>
      </c>
      <c r="H83" s="81" t="str">
        <f ca="1">LOWER(TRIM(_xlfn.XLOOKUP($A83,Строчный!$A:$A,Строчный!H:H,"ERR",0)))</f>
        <v>denim</v>
      </c>
      <c r="I83" s="81" t="str">
        <f ca="1">LOWER(TRIM(_xlfn.XLOOKUP($A83,Строчный!$A:$A,Строчный!I:I,"ERR",0)))</f>
        <v>бежевый / синий</v>
      </c>
      <c r="J83" s="81" t="str">
        <f ca="1">SUBSTITUTE(LOWER(TRIM(_xlfn.XLOOKUP($A83,Строчный!$A:$A,Строчный!J:J,"ERR",0))),"подклад","Подклад")</f>
        <v>100% солома</v>
      </c>
      <c r="K83" s="81" t="str">
        <f ca="1">LOWER(TRIM(_xlfn.XLOOKUP($A83,Строчный!$A:$A,Строчный!K:K,"ERR",0)))</f>
        <v>соломенные</v>
      </c>
      <c r="L83" s="81" t="str">
        <f ca="1">PROPER(TRIM(_xlfn.XLOOKUP($A83,Строчный!$A:$A,Строчный!L:L,"ERR",0)))</f>
        <v>Мужской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PROPER(TRIM(_xlfn.XLOOKUP($A83,Строчный!$A:$A,Строчный!R:R,"ERR",0)))</f>
        <v/>
      </c>
      <c r="Q83" s="90">
        <f ca="1">VALUE(_xlfn.XLOOKUP($A83,Строчный!$A:$A,Строчный!N:N,"ERR",0))</f>
        <v>497.70000000000005</v>
      </c>
      <c r="R83" s="89" t="str">
        <f ca="1">_xlfn.XLOOKUP($G83,Фабрика!A:A,Фабрика!B:B,"ERR",0)</f>
        <v>Chapellerie Herman S.A.; Rue Jean Meunier, 6, 6922 Wellin, Belgium</v>
      </c>
      <c r="S83" s="80" t="str">
        <f ca="1">_xlfn.XLOOKUP(RIGHT(AA83,2),Размеры!D:D,Размеры!A:A,"ERR",0)</f>
        <v>61</v>
      </c>
      <c r="T83" s="80">
        <f ca="1">VALUE(_xlfn.XLOOKUP($AA83,Строчный!$S:$S,Строчный!U:U,"ERR",0))</f>
        <v>19</v>
      </c>
      <c r="U83" s="14" t="s">
        <v>265</v>
      </c>
      <c r="V83" s="101" t="str">
        <f t="shared" ca="1" si="8"/>
        <v>Шляпа HERMAN арт. TULUM (бежевый / синий)</v>
      </c>
      <c r="W83" s="100" t="str">
        <f t="shared" ca="1" si="9"/>
        <v>Шляпа HERMAN арт. TULUM (бежевый / синий) {denim}</v>
      </c>
      <c r="X83" s="18" t="str">
        <f t="shared" ca="1" si="10"/>
        <v>бежевый</v>
      </c>
      <c r="Y83" s="18" t="str">
        <f t="shared" ca="1" si="11"/>
        <v>синий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бежевый</v>
      </c>
      <c r="AA83" s="73" t="str">
        <f ca="1"/>
        <v>81-054-32-61</v>
      </c>
      <c r="AB83" s="75" t="str">
        <f ca="1">VLOOKUP(C83,Группа!A:B,2,FALSE)</f>
        <v>Шляпа</v>
      </c>
      <c r="AC83" s="97" t="str">
        <f ca="1">IFERROR(VLOOKUP(S83,Размеры!A:C,3,FALSE),"")</f>
        <v>61 XL</v>
      </c>
      <c r="AD83" s="97" t="str">
        <f ca="1">VLOOKUP(I83,ЦветПолный!A:B,2,FALSE)</f>
        <v>38</v>
      </c>
      <c r="AE83" s="97" t="str">
        <f ca="1">IFERROR(VLOOKUP(S83,Размеры!A:D,4,FALSE),"")</f>
        <v>61</v>
      </c>
      <c r="AF83" s="97">
        <f ca="1">IF(LEFT(IFERROR(VLOOKUP(LOOKUP(2,1/SEARCH(B83,Товары!A:A),Товары!A:A),Товары!A:B,2,0),""),6)=MID(AA83,1,6),1,0)</f>
        <v>1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str">
        <f ca="1">IF(VLOOKUP(W83,Товары!A:B,2,FALSE)=A83,"Есть в 1С","ERR")</f>
        <v>Есть в 1С</v>
      </c>
      <c r="AU83" s="65" t="str">
        <f ca="1">IF(VLOOKUP(A83,Товары!B:B,1,FALSE)=A83,"Есть в 1С","ERR")</f>
        <v>Есть в 1С</v>
      </c>
      <c r="AV83" s="96" t="str">
        <f ca="1">VLOOKUP(W83,Товары!A:B,2,FALSE)</f>
        <v>81-054-32</v>
      </c>
      <c r="AW83" s="94" t="str">
        <f ca="1">VLOOKUP(W83,Товары!A:B,1,FALSE)</f>
        <v>Шляпа HERMAN арт. TULUM (бежевый / синий) {denim}</v>
      </c>
    </row>
    <row r="84" spans="1:49" x14ac:dyDescent="0.25">
      <c r="A84" s="110" t="str">
        <f t="shared" ca="1" si="7"/>
        <v>81-054-32</v>
      </c>
      <c r="B84" s="107" t="str">
        <f ca="1">_xlfn.LET(_xlpm.CAPS,0,_xlpm.Style,TRIM(_xlfn.XLOOKUP($A84,Строчный!$A:$A,Строчный!B:B,"ERR",0)),IF(_xlpm.CAPS=0,_xlpm.Style,UPPER(_xlpm.Style)))</f>
        <v>TULUM</v>
      </c>
      <c r="C84" s="81" t="str">
        <f ca="1">TRIM(PROPER(_xlfn.XLOOKUP($A84,Строчный!$A:$A,Строчный!C:C,"ERR",0)))</f>
        <v>Шляпы</v>
      </c>
      <c r="D84" s="81" t="str">
        <f ca="1">_xlfn.LET(_xlpm.DATA,TRIM(_xlfn.XLOOKUP($A84,Строчный!$A:$A,Строчный!D:D,"ERR",0)),UPPER(MID(_xlpm.DATA,1,1))&amp;LOWER(MID(_xlpm.DATA,2,LEN(_xlpm.DATA)-1)))</f>
        <v>Шляпа федора</v>
      </c>
      <c r="E84" s="81" t="str">
        <f ca="1">PROPER(TRIM(_xlfn.XLOOKUP($A84,Строчный!$A:$A,Строчный!E:E,"ERR",0)))</f>
        <v>Herman</v>
      </c>
      <c r="F84" s="81" t="str">
        <f ca="1">LOWER(TRIM(_xlfn.XLOOKUP($A84,Строчный!$A:$A,Строчный!F:F,"ERR",0)))</f>
        <v>летний</v>
      </c>
      <c r="G84" s="81" t="str">
        <f ca="1">UPPER(TRIM(_xlfn.XLOOKUP($A84,Строчный!$A:$A,Строчный!G:G,"ERR",0)))</f>
        <v>HERMAN</v>
      </c>
      <c r="H84" s="81" t="str">
        <f ca="1">LOWER(TRIM(_xlfn.XLOOKUP($A84,Строчный!$A:$A,Строчный!H:H,"ERR",0)))</f>
        <v>denim</v>
      </c>
      <c r="I84" s="81" t="str">
        <f ca="1">LOWER(TRIM(_xlfn.XLOOKUP($A84,Строчный!$A:$A,Строчный!I:I,"ERR",0)))</f>
        <v>бежевый / синий</v>
      </c>
      <c r="J84" s="81" t="str">
        <f ca="1">SUBSTITUTE(LOWER(TRIM(_xlfn.XLOOKUP($A84,Строчный!$A:$A,Строчный!J:J,"ERR",0))),"подклад","Подклад")</f>
        <v>100% солома</v>
      </c>
      <c r="K84" s="81" t="str">
        <f ca="1">LOWER(TRIM(_xlfn.XLOOKUP($A84,Строчный!$A:$A,Строчный!K:K,"ERR",0)))</f>
        <v>соломенные</v>
      </c>
      <c r="L84" s="81" t="str">
        <f ca="1">PROPER(TRIM(_xlfn.XLOOKUP($A84,Строчный!$A:$A,Строчный!L:L,"ERR",0)))</f>
        <v>Мужской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497.70000000000005</v>
      </c>
      <c r="R84" s="89" t="str">
        <f ca="1">_xlfn.XLOOKUP($G84,Фабрика!A:A,Фабрика!B:B,"ERR",0)</f>
        <v>Chapellerie Herman S.A.; Rue Jean Meunier, 6, 6922 Wellin, Belgium</v>
      </c>
      <c r="S84" s="80" t="str">
        <f ca="1">_xlfn.XLOOKUP(RIGHT(AA84,2),Размеры!D:D,Размеры!A:A,"ERR",0)</f>
        <v>59</v>
      </c>
      <c r="T84" s="80">
        <f ca="1">VALUE(_xlfn.XLOOKUP($AA84,Строчный!$S:$S,Строчный!U:U,"ERR",0))</f>
        <v>25</v>
      </c>
      <c r="U84" s="14" t="s">
        <v>265</v>
      </c>
      <c r="V84" s="101" t="str">
        <f t="shared" ca="1" si="8"/>
        <v>Шляпа HERMAN арт. TULUM (бежевый / синий)</v>
      </c>
      <c r="W84" s="100" t="str">
        <f t="shared" ca="1" si="9"/>
        <v>Шляпа HERMAN арт. TULUM (бежевый / синий) {denim}</v>
      </c>
      <c r="X84" s="18" t="str">
        <f t="shared" ca="1" si="10"/>
        <v>бежевый</v>
      </c>
      <c r="Y84" s="18" t="str">
        <f t="shared" ca="1" si="11"/>
        <v>синий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бежевый</v>
      </c>
      <c r="AA84" s="73" t="str">
        <f ca="1"/>
        <v>81-054-32-59</v>
      </c>
      <c r="AB84" s="75" t="str">
        <f ca="1">VLOOKUP(C84,Группа!A:B,2,FALSE)</f>
        <v>Шляпа</v>
      </c>
      <c r="AC84" s="97" t="str">
        <f ca="1">IFERROR(VLOOKUP(S84,Размеры!A:C,3,FALSE),"")</f>
        <v>59 L</v>
      </c>
      <c r="AD84" s="97" t="str">
        <f ca="1">VLOOKUP(I84,ЦветПолный!A:B,2,FALSE)</f>
        <v>38</v>
      </c>
      <c r="AE84" s="97" t="str">
        <f ca="1">IFERROR(VLOOKUP(S84,Размеры!A:D,4,FALSE),"")</f>
        <v>59</v>
      </c>
      <c r="AF84" s="97">
        <f ca="1">IF(LEFT(IFERROR(VLOOKUP(LOOKUP(2,1/SEARCH(B84,Товары!A:A),Товары!A:A),Товары!A:B,2,0),""),6)=MID(AA84,1,6),1,0)</f>
        <v>1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str">
        <f ca="1">IF(VLOOKUP(W84,Товары!A:B,2,FALSE)=A84,"Есть в 1С","ERR")</f>
        <v>Есть в 1С</v>
      </c>
      <c r="AU84" s="65" t="str">
        <f ca="1">IF(VLOOKUP(A84,Товары!B:B,1,FALSE)=A84,"Есть в 1С","ERR")</f>
        <v>Есть в 1С</v>
      </c>
      <c r="AV84" s="96" t="str">
        <f ca="1">VLOOKUP(W84,Товары!A:B,2,FALSE)</f>
        <v>81-054-32</v>
      </c>
      <c r="AW84" s="94" t="str">
        <f ca="1">VLOOKUP(W84,Товары!A:B,1,FALSE)</f>
        <v>Шляпа HERMAN арт. TULUM (бежевый / синий) {denim}</v>
      </c>
    </row>
    <row r="85" spans="1:49" x14ac:dyDescent="0.25">
      <c r="A85" s="110" t="str">
        <f t="shared" ca="1" si="7"/>
        <v>81-054-32</v>
      </c>
      <c r="B85" s="107" t="str">
        <f ca="1">_xlfn.LET(_xlpm.CAPS,0,_xlpm.Style,TRIM(_xlfn.XLOOKUP($A85,Строчный!$A:$A,Строчный!B:B,"ERR",0)),IF(_xlpm.CAPS=0,_xlpm.Style,UPPER(_xlpm.Style)))</f>
        <v>TULUM</v>
      </c>
      <c r="C85" s="81" t="str">
        <f ca="1">TRIM(PROPER(_xlfn.XLOOKUP($A85,Строчный!$A:$A,Строчный!C:C,"ERR",0)))</f>
        <v>Шляпы</v>
      </c>
      <c r="D85" s="81" t="str">
        <f ca="1">_xlfn.LET(_xlpm.DATA,TRIM(_xlfn.XLOOKUP($A85,Строчный!$A:$A,Строчный!D:D,"ERR",0)),UPPER(MID(_xlpm.DATA,1,1))&amp;LOWER(MID(_xlpm.DATA,2,LEN(_xlpm.DATA)-1)))</f>
        <v>Шляпа федора</v>
      </c>
      <c r="E85" s="81" t="str">
        <f ca="1">PROPER(TRIM(_xlfn.XLOOKUP($A85,Строчный!$A:$A,Строчный!E:E,"ERR",0)))</f>
        <v>Herman</v>
      </c>
      <c r="F85" s="81" t="str">
        <f ca="1">LOWER(TRIM(_xlfn.XLOOKUP($A85,Строчный!$A:$A,Строчный!F:F,"ERR",0)))</f>
        <v>летний</v>
      </c>
      <c r="G85" s="81" t="str">
        <f ca="1">UPPER(TRIM(_xlfn.XLOOKUP($A85,Строчный!$A:$A,Строчный!G:G,"ERR",0)))</f>
        <v>HERMAN</v>
      </c>
      <c r="H85" s="81" t="str">
        <f ca="1">LOWER(TRIM(_xlfn.XLOOKUP($A85,Строчный!$A:$A,Строчный!H:H,"ERR",0)))</f>
        <v>denim</v>
      </c>
      <c r="I85" s="81" t="str">
        <f ca="1">LOWER(TRIM(_xlfn.XLOOKUP($A85,Строчный!$A:$A,Строчный!I:I,"ERR",0)))</f>
        <v>бежевый / синий</v>
      </c>
      <c r="J85" s="81" t="str">
        <f ca="1">SUBSTITUTE(LOWER(TRIM(_xlfn.XLOOKUP($A85,Строчный!$A:$A,Строчный!J:J,"ERR",0))),"подклад","Подклад")</f>
        <v>100% солома</v>
      </c>
      <c r="K85" s="81" t="str">
        <f ca="1">LOWER(TRIM(_xlfn.XLOOKUP($A85,Строчный!$A:$A,Строчный!K:K,"ERR",0)))</f>
        <v>соломенные</v>
      </c>
      <c r="L85" s="81" t="str">
        <f ca="1">PROPER(TRIM(_xlfn.XLOOKUP($A85,Строчный!$A:$A,Строчный!L:L,"ERR",0)))</f>
        <v>Мужской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497.70000000000005</v>
      </c>
      <c r="R85" s="89" t="str">
        <f ca="1">_xlfn.XLOOKUP($G85,Фабрика!A:A,Фабрика!B:B,"ERR",0)</f>
        <v>Chapellerie Herman S.A.; Rue Jean Meunier, 6, 6922 Wellin, Belgium</v>
      </c>
      <c r="S85" s="80" t="str">
        <f ca="1">_xlfn.XLOOKUP(RIGHT(AA85,2),Размеры!D:D,Размеры!A:A,"ERR",0)</f>
        <v>57</v>
      </c>
      <c r="T85" s="80">
        <f ca="1">VALUE(_xlfn.XLOOKUP($AA85,Строчный!$S:$S,Строчный!U:U,"ERR",0))</f>
        <v>10</v>
      </c>
      <c r="U85" s="14" t="s">
        <v>265</v>
      </c>
      <c r="V85" s="101" t="str">
        <f t="shared" ca="1" si="8"/>
        <v>Шляпа HERMAN арт. TULUM (бежевый / синий)</v>
      </c>
      <c r="W85" s="100" t="str">
        <f t="shared" ca="1" si="9"/>
        <v>Шляпа HERMAN арт. TULUM (бежевый / синий) {denim}</v>
      </c>
      <c r="X85" s="18" t="str">
        <f t="shared" ca="1" si="10"/>
        <v>бежевый</v>
      </c>
      <c r="Y85" s="18" t="str">
        <f t="shared" ca="1" si="11"/>
        <v>синий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бежевый</v>
      </c>
      <c r="AA85" s="73" t="str">
        <f ca="1"/>
        <v>81-054-32-57</v>
      </c>
      <c r="AB85" s="75" t="str">
        <f ca="1">VLOOKUP(C85,Группа!A:B,2,FALSE)</f>
        <v>Шляпа</v>
      </c>
      <c r="AC85" s="97" t="str">
        <f ca="1">IFERROR(VLOOKUP(S85,Размеры!A:C,3,FALSE),"")</f>
        <v>57 M</v>
      </c>
      <c r="AD85" s="97" t="str">
        <f ca="1">VLOOKUP(I85,ЦветПолный!A:B,2,FALSE)</f>
        <v>38</v>
      </c>
      <c r="AE85" s="97" t="str">
        <f ca="1">IFERROR(VLOOKUP(S85,Размеры!A:D,4,FALSE),"")</f>
        <v>57</v>
      </c>
      <c r="AF85" s="97">
        <f ca="1">IF(LEFT(IFERROR(VLOOKUP(LOOKUP(2,1/SEARCH(B85,Товары!A:A),Товары!A:A),Товары!A:B,2,0),""),6)=MID(AA85,1,6),1,0)</f>
        <v>1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str">
        <f ca="1">IF(VLOOKUP(W85,Товары!A:B,2,FALSE)=A85,"Есть в 1С","ERR")</f>
        <v>Есть в 1С</v>
      </c>
      <c r="AU85" s="65" t="str">
        <f ca="1">IF(VLOOKUP(A85,Товары!B:B,1,FALSE)=A85,"Есть в 1С","ERR")</f>
        <v>Есть в 1С</v>
      </c>
      <c r="AV85" s="96" t="str">
        <f ca="1">VLOOKUP(W85,Товары!A:B,2,FALSE)</f>
        <v>81-054-32</v>
      </c>
      <c r="AW85" s="94" t="str">
        <f ca="1">VLOOKUP(W85,Товары!A:B,1,FALSE)</f>
        <v>Шляпа HERMAN арт. TULUM (бежевый / синий) {denim}</v>
      </c>
    </row>
    <row r="86" spans="1:49" x14ac:dyDescent="0.25">
      <c r="A86" s="110" t="str">
        <f t="shared" ca="1" si="7"/>
        <v>81-054-32</v>
      </c>
      <c r="B86" s="107" t="str">
        <f ca="1">_xlfn.LET(_xlpm.CAPS,0,_xlpm.Style,TRIM(_xlfn.XLOOKUP($A86,Строчный!$A:$A,Строчный!B:B,"ERR",0)),IF(_xlpm.CAPS=0,_xlpm.Style,UPPER(_xlpm.Style)))</f>
        <v>TULUM</v>
      </c>
      <c r="C86" s="81" t="str">
        <f ca="1">TRIM(PROPER(_xlfn.XLOOKUP($A86,Строчный!$A:$A,Строчный!C:C,"ERR",0)))</f>
        <v>Шляпы</v>
      </c>
      <c r="D86" s="81" t="str">
        <f ca="1">_xlfn.LET(_xlpm.DATA,TRIM(_xlfn.XLOOKUP($A86,Строчный!$A:$A,Строчный!D:D,"ERR",0)),UPPER(MID(_xlpm.DATA,1,1))&amp;LOWER(MID(_xlpm.DATA,2,LEN(_xlpm.DATA)-1)))</f>
        <v>Шляпа федора</v>
      </c>
      <c r="E86" s="81" t="str">
        <f ca="1">PROPER(TRIM(_xlfn.XLOOKUP($A86,Строчный!$A:$A,Строчный!E:E,"ERR",0)))</f>
        <v>Herman</v>
      </c>
      <c r="F86" s="81" t="str">
        <f ca="1">LOWER(TRIM(_xlfn.XLOOKUP($A86,Строчный!$A:$A,Строчный!F:F,"ERR",0)))</f>
        <v>летний</v>
      </c>
      <c r="G86" s="81" t="str">
        <f ca="1">UPPER(TRIM(_xlfn.XLOOKUP($A86,Строчный!$A:$A,Строчный!G:G,"ERR",0)))</f>
        <v>HERMAN</v>
      </c>
      <c r="H86" s="81" t="str">
        <f ca="1">LOWER(TRIM(_xlfn.XLOOKUP($A86,Строчный!$A:$A,Строчный!H:H,"ERR",0)))</f>
        <v>denim</v>
      </c>
      <c r="I86" s="81" t="str">
        <f ca="1">LOWER(TRIM(_xlfn.XLOOKUP($A86,Строчный!$A:$A,Строчный!I:I,"ERR",0)))</f>
        <v>бежевый / синий</v>
      </c>
      <c r="J86" s="81" t="str">
        <f ca="1">SUBSTITUTE(LOWER(TRIM(_xlfn.XLOOKUP($A86,Строчный!$A:$A,Строчный!J:J,"ERR",0))),"подклад","Подклад")</f>
        <v>100% солома</v>
      </c>
      <c r="K86" s="81" t="str">
        <f ca="1">LOWER(TRIM(_xlfn.XLOOKUP($A86,Строчный!$A:$A,Строчный!K:K,"ERR",0)))</f>
        <v>соломенные</v>
      </c>
      <c r="L86" s="81" t="str">
        <f ca="1">PROPER(TRIM(_xlfn.XLOOKUP($A86,Строчный!$A:$A,Строчный!L:L,"ERR",0)))</f>
        <v>Мужской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PROPER(TRIM(_xlfn.XLOOKUP($A86,Строчный!$A:$A,Строчный!R:R,"ERR",0)))</f>
        <v/>
      </c>
      <c r="Q86" s="90">
        <f ca="1">VALUE(_xlfn.XLOOKUP($A86,Строчный!$A:$A,Строчный!N:N,"ERR",0))</f>
        <v>497.70000000000005</v>
      </c>
      <c r="R86" s="89" t="str">
        <f ca="1">_xlfn.XLOOKUP($G86,Фабрика!A:A,Фабрика!B:B,"ERR",0)</f>
        <v>Chapellerie Herman S.A.; Rue Jean Meunier, 6, 6922 Wellin, Belgium</v>
      </c>
      <c r="S86" s="80" t="str">
        <f ca="1">_xlfn.XLOOKUP(RIGHT(AA86,2),Размеры!D:D,Размеры!A:A,"ERR",0)</f>
        <v>55</v>
      </c>
      <c r="T86" s="80">
        <f ca="1">VALUE(_xlfn.XLOOKUP($AA86,Строчный!$S:$S,Строчный!U:U,"ERR",0))</f>
        <v>2</v>
      </c>
      <c r="U86" s="14" t="s">
        <v>265</v>
      </c>
      <c r="V86" s="101" t="str">
        <f t="shared" ca="1" si="8"/>
        <v>Шляпа HERMAN арт. TULUM (бежевый / синий)</v>
      </c>
      <c r="W86" s="100" t="str">
        <f t="shared" ca="1" si="9"/>
        <v>Шляпа HERMAN арт. TULUM (бежевый / синий) {denim}</v>
      </c>
      <c r="X86" s="18" t="str">
        <f t="shared" ca="1" si="10"/>
        <v>бежевый</v>
      </c>
      <c r="Y86" s="18" t="str">
        <f t="shared" ca="1" si="11"/>
        <v>синий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бежевый</v>
      </c>
      <c r="AA86" s="73" t="str">
        <f ca="1"/>
        <v>81-054-32-55</v>
      </c>
      <c r="AB86" s="75" t="str">
        <f ca="1">VLOOKUP(C86,Группа!A:B,2,FALSE)</f>
        <v>Шляпа</v>
      </c>
      <c r="AC86" s="97" t="str">
        <f ca="1">IFERROR(VLOOKUP(S86,Размеры!A:C,3,FALSE),"")</f>
        <v>55 S</v>
      </c>
      <c r="AD86" s="97" t="str">
        <f ca="1">VLOOKUP(I86,ЦветПолный!A:B,2,FALSE)</f>
        <v>38</v>
      </c>
      <c r="AE86" s="97" t="str">
        <f ca="1">IFERROR(VLOOKUP(S86,Размеры!A:D,4,FALSE),"")</f>
        <v>55</v>
      </c>
      <c r="AF86" s="97">
        <f ca="1">IF(LEFT(IFERROR(VLOOKUP(LOOKUP(2,1/SEARCH(B86,Товары!A:A),Товары!A:A),Товары!A:B,2,0),""),6)=MID(AA86,1,6),1,0)</f>
        <v>1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str">
        <f ca="1">IF(VLOOKUP(W86,Товары!A:B,2,FALSE)=A86,"Есть в 1С","ERR")</f>
        <v>Есть в 1С</v>
      </c>
      <c r="AU86" s="65" t="str">
        <f ca="1">IF(VLOOKUP(A86,Товары!B:B,1,FALSE)=A86,"Есть в 1С","ERR")</f>
        <v>Есть в 1С</v>
      </c>
      <c r="AV86" s="96" t="str">
        <f ca="1">VLOOKUP(W86,Товары!A:B,2,FALSE)</f>
        <v>81-054-32</v>
      </c>
      <c r="AW86" s="94" t="str">
        <f ca="1">VLOOKUP(W86,Товары!A:B,1,FALSE)</f>
        <v>Шляпа HERMAN арт. TULUM (бежевый / синий) {denim}</v>
      </c>
    </row>
    <row r="87" spans="1:49" x14ac:dyDescent="0.25">
      <c r="A87" s="110" t="str">
        <f t="shared" ca="1" si="7"/>
        <v>81-047-02</v>
      </c>
      <c r="B87" s="107" t="str">
        <f ca="1">_xlfn.LET(_xlpm.CAPS,0,_xlpm.Style,TRIM(_xlfn.XLOOKUP($A87,Строчный!$A:$A,Строчный!B:B,"ERR",0)),IF(_xlpm.CAPS=0,_xlpm.Style,UPPER(_xlpm.Style)))</f>
        <v>GRINGO</v>
      </c>
      <c r="C87" s="81" t="str">
        <f ca="1">TRIM(PROPER(_xlfn.XLOOKUP($A87,Строчный!$A:$A,Строчный!C:C,"ERR",0)))</f>
        <v>Шляпы</v>
      </c>
      <c r="D87" s="81" t="str">
        <f ca="1">_xlfn.LET(_xlpm.DATA,TRIM(_xlfn.XLOOKUP($A87,Строчный!$A:$A,Строчный!D:D,"ERR",0)),UPPER(MID(_xlpm.DATA,1,1))&amp;LOWER(MID(_xlpm.DATA,2,LEN(_xlpm.DATA)-1)))</f>
        <v>Шляпа федора</v>
      </c>
      <c r="E87" s="81" t="str">
        <f ca="1">PROPER(TRIM(_xlfn.XLOOKUP($A87,Строчный!$A:$A,Строчный!E:E,"ERR",0)))</f>
        <v>Herman</v>
      </c>
      <c r="F87" s="81" t="str">
        <f ca="1">LOWER(TRIM(_xlfn.XLOOKUP($A87,Строчный!$A:$A,Строчный!F:F,"ERR",0)))</f>
        <v>летний</v>
      </c>
      <c r="G87" s="81" t="str">
        <f ca="1">UPPER(TRIM(_xlfn.XLOOKUP($A87,Строчный!$A:$A,Строчный!G:G,"ERR",0)))</f>
        <v>HERMAN</v>
      </c>
      <c r="H87" s="81" t="str">
        <f ca="1">LOWER(TRIM(_xlfn.XLOOKUP($A87,Строчный!$A:$A,Строчный!H:H,"ERR",0)))</f>
        <v>natural</v>
      </c>
      <c r="I87" s="81" t="str">
        <f ca="1">LOWER(TRIM(_xlfn.XLOOKUP($A87,Строчный!$A:$A,Строчный!I:I,"ERR",0)))</f>
        <v>бежевый</v>
      </c>
      <c r="J87" s="81" t="str">
        <f ca="1">SUBSTITUTE(LOWER(TRIM(_xlfn.XLOOKUP($A87,Строчный!$A:$A,Строчный!J:J,"ERR",0))),"подклад","Подклад")</f>
        <v>100% солома</v>
      </c>
      <c r="K87" s="81" t="str">
        <f ca="1">LOWER(TRIM(_xlfn.XLOOKUP($A87,Строчный!$A:$A,Строчный!K:K,"ERR",0)))</f>
        <v>соломенные</v>
      </c>
      <c r="L87" s="81" t="str">
        <f ca="1">PROPER(TRIM(_xlfn.XLOOKUP($A87,Строчный!$A:$A,Строчный!L:L,"ERR",0)))</f>
        <v>Мужской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PROPER(TRIM(_xlfn.XLOOKUP($A87,Строчный!$A:$A,Строчный!R:R,"ERR",0)))</f>
        <v/>
      </c>
      <c r="Q87" s="90">
        <f ca="1">VALUE(_xlfn.XLOOKUP($A87,Строчный!$A:$A,Строчный!N:N,"ERR",0))</f>
        <v>1001.7</v>
      </c>
      <c r="R87" s="89" t="str">
        <f ca="1">_xlfn.XLOOKUP($G87,Фабрика!A:A,Фабрика!B:B,"ERR",0)</f>
        <v>Chapellerie Herman S.A.; Rue Jean Meunier, 6, 6922 Wellin, Belgium</v>
      </c>
      <c r="S87" s="80" t="str">
        <f ca="1">_xlfn.XLOOKUP(RIGHT(AA87,2),Размеры!D:D,Размеры!A:A,"ERR",0)</f>
        <v>61</v>
      </c>
      <c r="T87" s="80">
        <f ca="1">VALUE(_xlfn.XLOOKUP($AA87,Строчный!$S:$S,Строчный!U:U,"ERR",0))</f>
        <v>3</v>
      </c>
      <c r="U87" s="14" t="s">
        <v>265</v>
      </c>
      <c r="V87" s="101" t="str">
        <f t="shared" ca="1" si="8"/>
        <v>Шляпа HERMAN арт. GRINGO (бежевый)</v>
      </c>
      <c r="W87" s="100" t="str">
        <f t="shared" ca="1" si="9"/>
        <v>Шляпа HERMAN арт. GRINGO (бежевый) {natural}</v>
      </c>
      <c r="X87" s="18" t="str">
        <f t="shared" ca="1" si="10"/>
        <v>бежевый</v>
      </c>
      <c r="Y87" s="18" t="str">
        <f t="shared" ca="1" si="11"/>
        <v>бежевый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бежевый</v>
      </c>
      <c r="AA87" s="73" t="str">
        <f ca="1"/>
        <v>81-047-02-61</v>
      </c>
      <c r="AB87" s="75" t="str">
        <f ca="1">VLOOKUP(C87,Группа!A:B,2,FALSE)</f>
        <v>Шляпа</v>
      </c>
      <c r="AC87" s="97" t="str">
        <f ca="1">IFERROR(VLOOKUP(S87,Размеры!A:C,3,FALSE),"")</f>
        <v>61 XL</v>
      </c>
      <c r="AD87" s="97" t="str">
        <f ca="1">VLOOKUP(I87,ЦветПолный!A:B,2,FALSE)</f>
        <v>02</v>
      </c>
      <c r="AE87" s="97" t="str">
        <f ca="1">IFERROR(VLOOKUP(S87,Размеры!A:D,4,FALSE),"")</f>
        <v>61</v>
      </c>
      <c r="AF87" s="97">
        <f ca="1">IF(LEFT(IFERROR(VLOOKUP(LOOKUP(2,1/SEARCH(B87,Товары!A:A),Товары!A:A),Товары!A:B,2,0),""),6)=MID(AA87,1,6),1,0)</f>
        <v>1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str">
        <f ca="1">IF(VLOOKUP(W87,Товары!A:B,2,FALSE)=A87,"Есть в 1С","ERR")</f>
        <v>Есть в 1С</v>
      </c>
      <c r="AU87" s="65" t="str">
        <f ca="1">IF(VLOOKUP(A87,Товары!B:B,1,FALSE)=A87,"Есть в 1С","ERR")</f>
        <v>Есть в 1С</v>
      </c>
      <c r="AV87" s="96" t="str">
        <f ca="1">VLOOKUP(W87,Товары!A:B,2,FALSE)</f>
        <v>81-047-02</v>
      </c>
      <c r="AW87" s="94" t="str">
        <f ca="1">VLOOKUP(W87,Товары!A:B,1,FALSE)</f>
        <v>Шляпа HERMAN арт. GRINGO (бежевый) {natural}</v>
      </c>
    </row>
    <row r="88" spans="1:49" x14ac:dyDescent="0.25">
      <c r="A88" s="110" t="str">
        <f t="shared" ca="1" si="7"/>
        <v>81-047-02</v>
      </c>
      <c r="B88" s="107" t="str">
        <f ca="1">_xlfn.LET(_xlpm.CAPS,0,_xlpm.Style,TRIM(_xlfn.XLOOKUP($A88,Строчный!$A:$A,Строчный!B:B,"ERR",0)),IF(_xlpm.CAPS=0,_xlpm.Style,UPPER(_xlpm.Style)))</f>
        <v>GRINGO</v>
      </c>
      <c r="C88" s="81" t="str">
        <f ca="1">TRIM(PROPER(_xlfn.XLOOKUP($A88,Строчный!$A:$A,Строчный!C:C,"ERR",0)))</f>
        <v>Шляпы</v>
      </c>
      <c r="D88" s="81" t="str">
        <f ca="1">_xlfn.LET(_xlpm.DATA,TRIM(_xlfn.XLOOKUP($A88,Строчный!$A:$A,Строчный!D:D,"ERR",0)),UPPER(MID(_xlpm.DATA,1,1))&amp;LOWER(MID(_xlpm.DATA,2,LEN(_xlpm.DATA)-1)))</f>
        <v>Шляпа федора</v>
      </c>
      <c r="E88" s="81" t="str">
        <f ca="1">PROPER(TRIM(_xlfn.XLOOKUP($A88,Строчный!$A:$A,Строчный!E:E,"ERR",0)))</f>
        <v>Herman</v>
      </c>
      <c r="F88" s="81" t="str">
        <f ca="1">LOWER(TRIM(_xlfn.XLOOKUP($A88,Строчный!$A:$A,Строчный!F:F,"ERR",0)))</f>
        <v>летний</v>
      </c>
      <c r="G88" s="81" t="str">
        <f ca="1">UPPER(TRIM(_xlfn.XLOOKUP($A88,Строчный!$A:$A,Строчный!G:G,"ERR",0)))</f>
        <v>HERMAN</v>
      </c>
      <c r="H88" s="81" t="str">
        <f ca="1">LOWER(TRIM(_xlfn.XLOOKUP($A88,Строчный!$A:$A,Строчный!H:H,"ERR",0)))</f>
        <v>natural</v>
      </c>
      <c r="I88" s="81" t="str">
        <f ca="1">LOWER(TRIM(_xlfn.XLOOKUP($A88,Строчный!$A:$A,Строчный!I:I,"ERR",0)))</f>
        <v>бежевый</v>
      </c>
      <c r="J88" s="81" t="str">
        <f ca="1">SUBSTITUTE(LOWER(TRIM(_xlfn.XLOOKUP($A88,Строчный!$A:$A,Строчный!J:J,"ERR",0))),"подклад","Подклад")</f>
        <v>100% солома</v>
      </c>
      <c r="K88" s="81" t="str">
        <f ca="1">LOWER(TRIM(_xlfn.XLOOKUP($A88,Строчный!$A:$A,Строчный!K:K,"ERR",0)))</f>
        <v>соломенные</v>
      </c>
      <c r="L88" s="81" t="str">
        <f ca="1">PROPER(TRIM(_xlfn.XLOOKUP($A88,Строчный!$A:$A,Строчный!L:L,"ERR",0)))</f>
        <v>Мужской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PROPER(TRIM(_xlfn.XLOOKUP($A88,Строчный!$A:$A,Строчный!R:R,"ERR",0)))</f>
        <v/>
      </c>
      <c r="Q88" s="90">
        <f ca="1">VALUE(_xlfn.XLOOKUP($A88,Строчный!$A:$A,Строчный!N:N,"ERR",0))</f>
        <v>1001.7</v>
      </c>
      <c r="R88" s="89" t="str">
        <f ca="1">_xlfn.XLOOKUP($G88,Фабрика!A:A,Фабрика!B:B,"ERR",0)</f>
        <v>Chapellerie Herman S.A.; Rue Jean Meunier, 6, 6922 Wellin, Belgium</v>
      </c>
      <c r="S88" s="80" t="str">
        <f ca="1">_xlfn.XLOOKUP(RIGHT(AA88,2),Размеры!D:D,Размеры!A:A,"ERR",0)</f>
        <v>59</v>
      </c>
      <c r="T88" s="80">
        <f ca="1">VALUE(_xlfn.XLOOKUP($AA88,Строчный!$S:$S,Строчный!U:U,"ERR",0))</f>
        <v>3</v>
      </c>
      <c r="U88" s="14" t="s">
        <v>265</v>
      </c>
      <c r="V88" s="101" t="str">
        <f t="shared" ca="1" si="8"/>
        <v>Шляпа HERMAN арт. GRINGO (бежевый)</v>
      </c>
      <c r="W88" s="100" t="str">
        <f t="shared" ca="1" si="9"/>
        <v>Шляпа HERMAN арт. GRINGO (бежевый) {natural}</v>
      </c>
      <c r="X88" s="18" t="str">
        <f t="shared" ca="1" si="10"/>
        <v>бежевый</v>
      </c>
      <c r="Y88" s="18" t="str">
        <f t="shared" ca="1" si="11"/>
        <v>бежевый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бежевый</v>
      </c>
      <c r="AA88" s="73" t="str">
        <f ca="1"/>
        <v>81-047-02-59</v>
      </c>
      <c r="AB88" s="75" t="str">
        <f ca="1">VLOOKUP(C88,Группа!A:B,2,FALSE)</f>
        <v>Шляпа</v>
      </c>
      <c r="AC88" s="97" t="str">
        <f ca="1">IFERROR(VLOOKUP(S88,Размеры!A:C,3,FALSE),"")</f>
        <v>59 L</v>
      </c>
      <c r="AD88" s="97" t="str">
        <f ca="1">VLOOKUP(I88,ЦветПолный!A:B,2,FALSE)</f>
        <v>02</v>
      </c>
      <c r="AE88" s="97" t="str">
        <f ca="1">IFERROR(VLOOKUP(S88,Размеры!A:D,4,FALSE),"")</f>
        <v>59</v>
      </c>
      <c r="AF88" s="97">
        <f ca="1">IF(LEFT(IFERROR(VLOOKUP(LOOKUP(2,1/SEARCH(B88,Товары!A:A),Товары!A:A),Товары!A:B,2,0),""),6)=MID(AA88,1,6),1,0)</f>
        <v>1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str">
        <f ca="1">IF(VLOOKUP(W88,Товары!A:B,2,FALSE)=A88,"Есть в 1С","ERR")</f>
        <v>Есть в 1С</v>
      </c>
      <c r="AU88" s="65" t="str">
        <f ca="1">IF(VLOOKUP(A88,Товары!B:B,1,FALSE)=A88,"Есть в 1С","ERR")</f>
        <v>Есть в 1С</v>
      </c>
      <c r="AV88" s="96" t="str">
        <f ca="1">VLOOKUP(W88,Товары!A:B,2,FALSE)</f>
        <v>81-047-02</v>
      </c>
      <c r="AW88" s="94" t="str">
        <f ca="1">VLOOKUP(W88,Товары!A:B,1,FALSE)</f>
        <v>Шляпа HERMAN арт. GRINGO (бежевый) {natural}</v>
      </c>
    </row>
    <row r="89" spans="1:49" x14ac:dyDescent="0.25">
      <c r="A89" s="110" t="str">
        <f t="shared" ca="1" si="7"/>
        <v>81-045-32</v>
      </c>
      <c r="B89" s="107" t="str">
        <f ca="1">_xlfn.LET(_xlpm.CAPS,0,_xlpm.Style,TRIM(_xlfn.XLOOKUP($A89,Строчный!$A:$A,Строчный!B:B,"ERR",0)),IF(_xlpm.CAPS=0,_xlpm.Style,UPPER(_xlpm.Style)))</f>
        <v>COLMAN</v>
      </c>
      <c r="C89" s="81" t="str">
        <f ca="1">TRIM(PROPER(_xlfn.XLOOKUP($A89,Строчный!$A:$A,Строчный!C:C,"ERR",0)))</f>
        <v>Шляпы</v>
      </c>
      <c r="D89" s="81" t="str">
        <f ca="1">_xlfn.LET(_xlpm.DATA,TRIM(_xlfn.XLOOKUP($A89,Строчный!$A:$A,Строчный!D:D,"ERR",0)),UPPER(MID(_xlpm.DATA,1,1))&amp;LOWER(MID(_xlpm.DATA,2,LEN(_xlpm.DATA)-1)))</f>
        <v>Шляпа федора</v>
      </c>
      <c r="E89" s="81" t="str">
        <f ca="1">PROPER(TRIM(_xlfn.XLOOKUP($A89,Строчный!$A:$A,Строчный!E:E,"ERR",0)))</f>
        <v>Herman</v>
      </c>
      <c r="F89" s="81" t="str">
        <f ca="1">LOWER(TRIM(_xlfn.XLOOKUP($A89,Строчный!$A:$A,Строчный!F:F,"ERR",0)))</f>
        <v>летний</v>
      </c>
      <c r="G89" s="81" t="str">
        <f ca="1">UPPER(TRIM(_xlfn.XLOOKUP($A89,Строчный!$A:$A,Строчный!G:G,"ERR",0)))</f>
        <v>HERMAN</v>
      </c>
      <c r="H89" s="81" t="str">
        <f ca="1">LOWER(TRIM(_xlfn.XLOOKUP($A89,Строчный!$A:$A,Строчный!H:H,"ERR",0)))</f>
        <v>denim</v>
      </c>
      <c r="I89" s="81" t="str">
        <f ca="1">LOWER(TRIM(_xlfn.XLOOKUP($A89,Строчный!$A:$A,Строчный!I:I,"ERR",0)))</f>
        <v>бежевый / синий</v>
      </c>
      <c r="J89" s="81" t="str">
        <f ca="1">SUBSTITUTE(LOWER(TRIM(_xlfn.XLOOKUP($A89,Строчный!$A:$A,Строчный!J:J,"ERR",0))),"подклад","Подклад")</f>
        <v>100% солома</v>
      </c>
      <c r="K89" s="81" t="str">
        <f ca="1">LOWER(TRIM(_xlfn.XLOOKUP($A89,Строчный!$A:$A,Строчный!K:K,"ERR",0)))</f>
        <v>соломенные</v>
      </c>
      <c r="L89" s="81" t="str">
        <f ca="1">PROPER(TRIM(_xlfn.XLOOKUP($A89,Строчный!$A:$A,Строчный!L:L,"ERR",0)))</f>
        <v>Мужской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PROPER(TRIM(_xlfn.XLOOKUP($A89,Строчный!$A:$A,Строчный!R:R,"ERR",0)))</f>
        <v/>
      </c>
      <c r="Q89" s="90">
        <f ca="1">VALUE(_xlfn.XLOOKUP($A89,Строчный!$A:$A,Строчный!N:N,"ERR",0))</f>
        <v>497.70000000000005</v>
      </c>
      <c r="R89" s="89" t="str">
        <f ca="1">_xlfn.XLOOKUP($G89,Фабрика!A:A,Фабрика!B:B,"ERR",0)</f>
        <v>Chapellerie Herman S.A.; Rue Jean Meunier, 6, 6922 Wellin, Belgium</v>
      </c>
      <c r="S89" s="80" t="str">
        <f ca="1">_xlfn.XLOOKUP(RIGHT(AA89,2),Размеры!D:D,Размеры!A:A,"ERR",0)</f>
        <v>61</v>
      </c>
      <c r="T89" s="80">
        <f ca="1">VALUE(_xlfn.XLOOKUP($AA89,Строчный!$S:$S,Строчный!U:U,"ERR",0))</f>
        <v>6</v>
      </c>
      <c r="U89" s="14" t="s">
        <v>265</v>
      </c>
      <c r="V89" s="101" t="str">
        <f t="shared" ca="1" si="8"/>
        <v>Шляпа HERMAN арт. COLMAN (бежевый / синий)</v>
      </c>
      <c r="W89" s="100" t="str">
        <f t="shared" ca="1" si="9"/>
        <v>Шляпа HERMAN арт. COLMAN (бежевый / синий) {denim}</v>
      </c>
      <c r="X89" s="18" t="str">
        <f t="shared" ca="1" si="10"/>
        <v>бежевый</v>
      </c>
      <c r="Y89" s="18" t="str">
        <f t="shared" ca="1" si="11"/>
        <v>синий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бежевый</v>
      </c>
      <c r="AA89" s="73" t="str">
        <f ca="1"/>
        <v>81-045-32-61</v>
      </c>
      <c r="AB89" s="75" t="str">
        <f ca="1">VLOOKUP(C89,Группа!A:B,2,FALSE)</f>
        <v>Шляпа</v>
      </c>
      <c r="AC89" s="97" t="str">
        <f ca="1">IFERROR(VLOOKUP(S89,Размеры!A:C,3,FALSE),"")</f>
        <v>61 XL</v>
      </c>
      <c r="AD89" s="97" t="str">
        <f ca="1">VLOOKUP(I89,ЦветПолный!A:B,2,FALSE)</f>
        <v>38</v>
      </c>
      <c r="AE89" s="97" t="str">
        <f ca="1">IFERROR(VLOOKUP(S89,Размеры!A:D,4,FALSE),"")</f>
        <v>61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str">
        <f ca="1">IF(VLOOKUP(W89,Товары!A:B,2,FALSE)=A89,"Есть в 1С","ERR")</f>
        <v>Есть в 1С</v>
      </c>
      <c r="AU89" s="65" t="str">
        <f ca="1">IF(VLOOKUP(A89,Товары!B:B,1,FALSE)=A89,"Есть в 1С","ERR")</f>
        <v>Есть в 1С</v>
      </c>
      <c r="AV89" s="96" t="str">
        <f ca="1">VLOOKUP(W89,Товары!A:B,2,FALSE)</f>
        <v>81-045-32</v>
      </c>
      <c r="AW89" s="94" t="str">
        <f ca="1">VLOOKUP(W89,Товары!A:B,1,FALSE)</f>
        <v>Шляпа HERMAN арт. COLMAN (бежевый / синий) {denim}</v>
      </c>
    </row>
    <row r="90" spans="1:49" x14ac:dyDescent="0.25">
      <c r="A90" s="110" t="str">
        <f t="shared" ca="1" si="7"/>
        <v>81-045-32</v>
      </c>
      <c r="B90" s="107" t="str">
        <f ca="1">_xlfn.LET(_xlpm.CAPS,0,_xlpm.Style,TRIM(_xlfn.XLOOKUP($A90,Строчный!$A:$A,Строчный!B:B,"ERR",0)),IF(_xlpm.CAPS=0,_xlpm.Style,UPPER(_xlpm.Style)))</f>
        <v>COLMAN</v>
      </c>
      <c r="C90" s="81" t="str">
        <f ca="1">TRIM(PROPER(_xlfn.XLOOKUP($A90,Строчный!$A:$A,Строчный!C:C,"ERR",0)))</f>
        <v>Шляпы</v>
      </c>
      <c r="D90" s="81" t="str">
        <f ca="1">_xlfn.LET(_xlpm.DATA,TRIM(_xlfn.XLOOKUP($A90,Строчный!$A:$A,Строчный!D:D,"ERR",0)),UPPER(MID(_xlpm.DATA,1,1))&amp;LOWER(MID(_xlpm.DATA,2,LEN(_xlpm.DATA)-1)))</f>
        <v>Шляпа федора</v>
      </c>
      <c r="E90" s="81" t="str">
        <f ca="1">PROPER(TRIM(_xlfn.XLOOKUP($A90,Строчный!$A:$A,Строчный!E:E,"ERR",0)))</f>
        <v>Herman</v>
      </c>
      <c r="F90" s="81" t="str">
        <f ca="1">LOWER(TRIM(_xlfn.XLOOKUP($A90,Строчный!$A:$A,Строчный!F:F,"ERR",0)))</f>
        <v>летний</v>
      </c>
      <c r="G90" s="81" t="str">
        <f ca="1">UPPER(TRIM(_xlfn.XLOOKUP($A90,Строчный!$A:$A,Строчный!G:G,"ERR",0)))</f>
        <v>HERMAN</v>
      </c>
      <c r="H90" s="81" t="str">
        <f ca="1">LOWER(TRIM(_xlfn.XLOOKUP($A90,Строчный!$A:$A,Строчный!H:H,"ERR",0)))</f>
        <v>denim</v>
      </c>
      <c r="I90" s="81" t="str">
        <f ca="1">LOWER(TRIM(_xlfn.XLOOKUP($A90,Строчный!$A:$A,Строчный!I:I,"ERR",0)))</f>
        <v>бежевый / синий</v>
      </c>
      <c r="J90" s="81" t="str">
        <f ca="1">SUBSTITUTE(LOWER(TRIM(_xlfn.XLOOKUP($A90,Строчный!$A:$A,Строчный!J:J,"ERR",0))),"подклад","Подклад")</f>
        <v>100% солома</v>
      </c>
      <c r="K90" s="81" t="str">
        <f ca="1">LOWER(TRIM(_xlfn.XLOOKUP($A90,Строчный!$A:$A,Строчный!K:K,"ERR",0)))</f>
        <v>соломенные</v>
      </c>
      <c r="L90" s="81" t="str">
        <f ca="1">PROPER(TRIM(_xlfn.XLOOKUP($A90,Строчный!$A:$A,Строчный!L:L,"ERR",0)))</f>
        <v>Мужской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PROPER(TRIM(_xlfn.XLOOKUP($A90,Строчный!$A:$A,Строчный!R:R,"ERR",0)))</f>
        <v/>
      </c>
      <c r="Q90" s="90">
        <f ca="1">VALUE(_xlfn.XLOOKUP($A90,Строчный!$A:$A,Строчный!N:N,"ERR",0))</f>
        <v>497.70000000000005</v>
      </c>
      <c r="R90" s="89" t="str">
        <f ca="1">_xlfn.XLOOKUP($G90,Фабрика!A:A,Фабрика!B:B,"ERR",0)</f>
        <v>Chapellerie Herman S.A.; Rue Jean Meunier, 6, 6922 Wellin, Belgium</v>
      </c>
      <c r="S90" s="80" t="str">
        <f ca="1">_xlfn.XLOOKUP(RIGHT(AA90,2),Размеры!D:D,Размеры!A:A,"ERR",0)</f>
        <v>59</v>
      </c>
      <c r="T90" s="80">
        <f ca="1">VALUE(_xlfn.XLOOKUP($AA90,Строчный!$S:$S,Строчный!U:U,"ERR",0))</f>
        <v>14</v>
      </c>
      <c r="U90" s="14" t="s">
        <v>265</v>
      </c>
      <c r="V90" s="101" t="str">
        <f t="shared" ca="1" si="8"/>
        <v>Шляпа HERMAN арт. COLMAN (бежевый / синий)</v>
      </c>
      <c r="W90" s="100" t="str">
        <f t="shared" ca="1" si="9"/>
        <v>Шляпа HERMAN арт. COLMAN (бежевый / синий) {denim}</v>
      </c>
      <c r="X90" s="18" t="str">
        <f t="shared" ca="1" si="10"/>
        <v>бежевый</v>
      </c>
      <c r="Y90" s="18" t="str">
        <f t="shared" ca="1" si="11"/>
        <v>синий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бежевый</v>
      </c>
      <c r="AA90" s="73" t="str">
        <f ca="1"/>
        <v>81-045-32-59</v>
      </c>
      <c r="AB90" s="75" t="str">
        <f ca="1">VLOOKUP(C90,Группа!A:B,2,FALSE)</f>
        <v>Шляпа</v>
      </c>
      <c r="AC90" s="97" t="str">
        <f ca="1">IFERROR(VLOOKUP(S90,Размеры!A:C,3,FALSE),"")</f>
        <v>59 L</v>
      </c>
      <c r="AD90" s="97" t="str">
        <f ca="1">VLOOKUP(I90,ЦветПолный!A:B,2,FALSE)</f>
        <v>38</v>
      </c>
      <c r="AE90" s="97" t="str">
        <f ca="1">IFERROR(VLOOKUP(S90,Размеры!A:D,4,FALSE),"")</f>
        <v>59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str">
        <f ca="1">IF(VLOOKUP(W90,Товары!A:B,2,FALSE)=A90,"Есть в 1С","ERR")</f>
        <v>Есть в 1С</v>
      </c>
      <c r="AU90" s="65" t="str">
        <f ca="1">IF(VLOOKUP(A90,Товары!B:B,1,FALSE)=A90,"Есть в 1С","ERR")</f>
        <v>Есть в 1С</v>
      </c>
      <c r="AV90" s="96" t="str">
        <f ca="1">VLOOKUP(W90,Товары!A:B,2,FALSE)</f>
        <v>81-045-32</v>
      </c>
      <c r="AW90" s="94" t="str">
        <f ca="1">VLOOKUP(W90,Товары!A:B,1,FALSE)</f>
        <v>Шляпа HERMAN арт. COLMAN (бежевый / синий) {denim}</v>
      </c>
    </row>
    <row r="91" spans="1:49" x14ac:dyDescent="0.25">
      <c r="A91" s="110" t="str">
        <f t="shared" ca="1" si="7"/>
        <v>81-045-32</v>
      </c>
      <c r="B91" s="107" t="str">
        <f ca="1">_xlfn.LET(_xlpm.CAPS,0,_xlpm.Style,TRIM(_xlfn.XLOOKUP($A91,Строчный!$A:$A,Строчный!B:B,"ERR",0)),IF(_xlpm.CAPS=0,_xlpm.Style,UPPER(_xlpm.Style)))</f>
        <v>COLMAN</v>
      </c>
      <c r="C91" s="81" t="str">
        <f ca="1">TRIM(PROPER(_xlfn.XLOOKUP($A91,Строчный!$A:$A,Строчный!C:C,"ERR",0)))</f>
        <v>Шляпы</v>
      </c>
      <c r="D91" s="81" t="str">
        <f ca="1">_xlfn.LET(_xlpm.DATA,TRIM(_xlfn.XLOOKUP($A91,Строчный!$A:$A,Строчный!D:D,"ERR",0)),UPPER(MID(_xlpm.DATA,1,1))&amp;LOWER(MID(_xlpm.DATA,2,LEN(_xlpm.DATA)-1)))</f>
        <v>Шляпа федора</v>
      </c>
      <c r="E91" s="81" t="str">
        <f ca="1">PROPER(TRIM(_xlfn.XLOOKUP($A91,Строчный!$A:$A,Строчный!E:E,"ERR",0)))</f>
        <v>Herman</v>
      </c>
      <c r="F91" s="81" t="str">
        <f ca="1">LOWER(TRIM(_xlfn.XLOOKUP($A91,Строчный!$A:$A,Строчный!F:F,"ERR",0)))</f>
        <v>летний</v>
      </c>
      <c r="G91" s="81" t="str">
        <f ca="1">UPPER(TRIM(_xlfn.XLOOKUP($A91,Строчный!$A:$A,Строчный!G:G,"ERR",0)))</f>
        <v>HERMAN</v>
      </c>
      <c r="H91" s="81" t="str">
        <f ca="1">LOWER(TRIM(_xlfn.XLOOKUP($A91,Строчный!$A:$A,Строчный!H:H,"ERR",0)))</f>
        <v>denim</v>
      </c>
      <c r="I91" s="81" t="str">
        <f ca="1">LOWER(TRIM(_xlfn.XLOOKUP($A91,Строчный!$A:$A,Строчный!I:I,"ERR",0)))</f>
        <v>бежевый / синий</v>
      </c>
      <c r="J91" s="81" t="str">
        <f ca="1">SUBSTITUTE(LOWER(TRIM(_xlfn.XLOOKUP($A91,Строчный!$A:$A,Строчный!J:J,"ERR",0))),"подклад","Подклад")</f>
        <v>100% солома</v>
      </c>
      <c r="K91" s="81" t="str">
        <f ca="1">LOWER(TRIM(_xlfn.XLOOKUP($A91,Строчный!$A:$A,Строчный!K:K,"ERR",0)))</f>
        <v>соломенные</v>
      </c>
      <c r="L91" s="81" t="str">
        <f ca="1">PROPER(TRIM(_xlfn.XLOOKUP($A91,Строчный!$A:$A,Строчный!L:L,"ERR",0)))</f>
        <v>Мужской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PROPER(TRIM(_xlfn.XLOOKUP($A91,Строчный!$A:$A,Строчный!R:R,"ERR",0)))</f>
        <v/>
      </c>
      <c r="Q91" s="90">
        <f ca="1">VALUE(_xlfn.XLOOKUP($A91,Строчный!$A:$A,Строчный!N:N,"ERR",0))</f>
        <v>497.70000000000005</v>
      </c>
      <c r="R91" s="89" t="str">
        <f ca="1">_xlfn.XLOOKUP($G91,Фабрика!A:A,Фабрика!B:B,"ERR",0)</f>
        <v>Chapellerie Herman S.A.; Rue Jean Meunier, 6, 6922 Wellin, Belgium</v>
      </c>
      <c r="S91" s="80" t="str">
        <f ca="1">_xlfn.XLOOKUP(RIGHT(AA91,2),Размеры!D:D,Размеры!A:A,"ERR",0)</f>
        <v>57</v>
      </c>
      <c r="T91" s="80">
        <f ca="1">VALUE(_xlfn.XLOOKUP($AA91,Строчный!$S:$S,Строчный!U:U,"ERR",0))</f>
        <v>8</v>
      </c>
      <c r="U91" s="14" t="s">
        <v>265</v>
      </c>
      <c r="V91" s="101" t="str">
        <f t="shared" ca="1" si="8"/>
        <v>Шляпа HERMAN арт. COLMAN (бежевый / синий)</v>
      </c>
      <c r="W91" s="100" t="str">
        <f t="shared" ca="1" si="9"/>
        <v>Шляпа HERMAN арт. COLMAN (бежевый / синий) {denim}</v>
      </c>
      <c r="X91" s="18" t="str">
        <f t="shared" ca="1" si="10"/>
        <v>бежевый</v>
      </c>
      <c r="Y91" s="18" t="str">
        <f t="shared" ca="1" si="11"/>
        <v>синий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бежевый</v>
      </c>
      <c r="AA91" s="73" t="str">
        <f ca="1"/>
        <v>81-045-32-57</v>
      </c>
      <c r="AB91" s="75" t="str">
        <f ca="1">VLOOKUP(C91,Группа!A:B,2,FALSE)</f>
        <v>Шляпа</v>
      </c>
      <c r="AC91" s="97" t="str">
        <f ca="1">IFERROR(VLOOKUP(S91,Размеры!A:C,3,FALSE),"")</f>
        <v>57 M</v>
      </c>
      <c r="AD91" s="97" t="str">
        <f ca="1">VLOOKUP(I91,ЦветПолный!A:B,2,FALSE)</f>
        <v>38</v>
      </c>
      <c r="AE91" s="97" t="str">
        <f ca="1">IFERROR(VLOOKUP(S91,Размеры!A:D,4,FALSE),"")</f>
        <v>57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str">
        <f ca="1">IF(VLOOKUP(W91,Товары!A:B,2,FALSE)=A91,"Есть в 1С","ERR")</f>
        <v>Есть в 1С</v>
      </c>
      <c r="AU91" s="65" t="str">
        <f ca="1">IF(VLOOKUP(A91,Товары!B:B,1,FALSE)=A91,"Есть в 1С","ERR")</f>
        <v>Есть в 1С</v>
      </c>
      <c r="AV91" s="96" t="str">
        <f ca="1">VLOOKUP(W91,Товары!A:B,2,FALSE)</f>
        <v>81-045-32</v>
      </c>
      <c r="AW91" s="94" t="str">
        <f ca="1">VLOOKUP(W91,Товары!A:B,1,FALSE)</f>
        <v>Шляпа HERMAN арт. COLMAN (бежевый / синий) {denim}</v>
      </c>
    </row>
    <row r="92" spans="1:49" x14ac:dyDescent="0.25">
      <c r="A92" s="110" t="str">
        <f t="shared" ca="1" si="7"/>
        <v>81-045-32</v>
      </c>
      <c r="B92" s="107" t="str">
        <f ca="1">_xlfn.LET(_xlpm.CAPS,0,_xlpm.Style,TRIM(_xlfn.XLOOKUP($A92,Строчный!$A:$A,Строчный!B:B,"ERR",0)),IF(_xlpm.CAPS=0,_xlpm.Style,UPPER(_xlpm.Style)))</f>
        <v>COLMAN</v>
      </c>
      <c r="C92" s="81" t="str">
        <f ca="1">TRIM(PROPER(_xlfn.XLOOKUP($A92,Строчный!$A:$A,Строчный!C:C,"ERR",0)))</f>
        <v>Шляпы</v>
      </c>
      <c r="D92" s="81" t="str">
        <f ca="1">_xlfn.LET(_xlpm.DATA,TRIM(_xlfn.XLOOKUP($A92,Строчный!$A:$A,Строчный!D:D,"ERR",0)),UPPER(MID(_xlpm.DATA,1,1))&amp;LOWER(MID(_xlpm.DATA,2,LEN(_xlpm.DATA)-1)))</f>
        <v>Шляпа федора</v>
      </c>
      <c r="E92" s="81" t="str">
        <f ca="1">PROPER(TRIM(_xlfn.XLOOKUP($A92,Строчный!$A:$A,Строчный!E:E,"ERR",0)))</f>
        <v>Herman</v>
      </c>
      <c r="F92" s="81" t="str">
        <f ca="1">LOWER(TRIM(_xlfn.XLOOKUP($A92,Строчный!$A:$A,Строчный!F:F,"ERR",0)))</f>
        <v>летний</v>
      </c>
      <c r="G92" s="81" t="str">
        <f ca="1">UPPER(TRIM(_xlfn.XLOOKUP($A92,Строчный!$A:$A,Строчный!G:G,"ERR",0)))</f>
        <v>HERMAN</v>
      </c>
      <c r="H92" s="81" t="str">
        <f ca="1">LOWER(TRIM(_xlfn.XLOOKUP($A92,Строчный!$A:$A,Строчный!H:H,"ERR",0)))</f>
        <v>denim</v>
      </c>
      <c r="I92" s="81" t="str">
        <f ca="1">LOWER(TRIM(_xlfn.XLOOKUP($A92,Строчный!$A:$A,Строчный!I:I,"ERR",0)))</f>
        <v>бежевый / синий</v>
      </c>
      <c r="J92" s="81" t="str">
        <f ca="1">SUBSTITUTE(LOWER(TRIM(_xlfn.XLOOKUP($A92,Строчный!$A:$A,Строчный!J:J,"ERR",0))),"подклад","Подклад")</f>
        <v>100% солома</v>
      </c>
      <c r="K92" s="81" t="str">
        <f ca="1">LOWER(TRIM(_xlfn.XLOOKUP($A92,Строчный!$A:$A,Строчный!K:K,"ERR",0)))</f>
        <v>соломенные</v>
      </c>
      <c r="L92" s="81" t="str">
        <f ca="1">PROPER(TRIM(_xlfn.XLOOKUP($A92,Строчный!$A:$A,Строчный!L:L,"ERR",0)))</f>
        <v>Мужской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PROPER(TRIM(_xlfn.XLOOKUP($A92,Строчный!$A:$A,Строчный!R:R,"ERR",0)))</f>
        <v/>
      </c>
      <c r="Q92" s="90">
        <f ca="1">VALUE(_xlfn.XLOOKUP($A92,Строчный!$A:$A,Строчный!N:N,"ERR",0))</f>
        <v>497.70000000000005</v>
      </c>
      <c r="R92" s="89" t="str">
        <f ca="1">_xlfn.XLOOKUP($G92,Фабрика!A:A,Фабрика!B:B,"ERR",0)</f>
        <v>Chapellerie Herman S.A.; Rue Jean Meunier, 6, 6922 Wellin, Belgium</v>
      </c>
      <c r="S92" s="80" t="str">
        <f ca="1">_xlfn.XLOOKUP(RIGHT(AA92,2),Размеры!D:D,Размеры!A:A,"ERR",0)</f>
        <v>55</v>
      </c>
      <c r="T92" s="80">
        <f ca="1">VALUE(_xlfn.XLOOKUP($AA92,Строчный!$S:$S,Строчный!U:U,"ERR",0))</f>
        <v>3</v>
      </c>
      <c r="U92" s="14" t="s">
        <v>265</v>
      </c>
      <c r="V92" s="101" t="str">
        <f t="shared" ca="1" si="8"/>
        <v>Шляпа HERMAN арт. COLMAN (бежевый / синий)</v>
      </c>
      <c r="W92" s="100" t="str">
        <f t="shared" ca="1" si="9"/>
        <v>Шляпа HERMAN арт. COLMAN (бежевый / синий) {denim}</v>
      </c>
      <c r="X92" s="18" t="str">
        <f t="shared" ca="1" si="10"/>
        <v>бежевый</v>
      </c>
      <c r="Y92" s="18" t="str">
        <f t="shared" ca="1" si="11"/>
        <v>синий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бежевый</v>
      </c>
      <c r="AA92" s="73" t="str">
        <f ca="1"/>
        <v>81-045-32-55</v>
      </c>
      <c r="AB92" s="75" t="str">
        <f ca="1">VLOOKUP(C92,Группа!A:B,2,FALSE)</f>
        <v>Шляпа</v>
      </c>
      <c r="AC92" s="97" t="str">
        <f ca="1">IFERROR(VLOOKUP(S92,Размеры!A:C,3,FALSE),"")</f>
        <v>55 S</v>
      </c>
      <c r="AD92" s="97" t="str">
        <f ca="1">VLOOKUP(I92,ЦветПолный!A:B,2,FALSE)</f>
        <v>38</v>
      </c>
      <c r="AE92" s="97" t="str">
        <f ca="1">IFERROR(VLOOKUP(S92,Размеры!A:D,4,FALSE),"")</f>
        <v>55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str">
        <f ca="1">IF(VLOOKUP(W92,Товары!A:B,2,FALSE)=A92,"Есть в 1С","ERR")</f>
        <v>Есть в 1С</v>
      </c>
      <c r="AU92" s="65" t="str">
        <f ca="1">IF(VLOOKUP(A92,Товары!B:B,1,FALSE)=A92,"Есть в 1С","ERR")</f>
        <v>Есть в 1С</v>
      </c>
      <c r="AV92" s="96" t="str">
        <f ca="1">VLOOKUP(W92,Товары!A:B,2,FALSE)</f>
        <v>81-045-32</v>
      </c>
      <c r="AW92" s="94" t="str">
        <f ca="1">VLOOKUP(W92,Товары!A:B,1,FALSE)</f>
        <v>Шляпа HERMAN арт. COLMAN (бежевый / синий) {denim}</v>
      </c>
    </row>
    <row r="93" spans="1:49" x14ac:dyDescent="0.25">
      <c r="A93" s="110" t="str">
        <f t="shared" ca="1" si="7"/>
        <v>81-043-53</v>
      </c>
      <c r="B93" s="107" t="str">
        <f ca="1">_xlfn.LET(_xlpm.CAPS,0,_xlpm.Style,TRIM(_xlfn.XLOOKUP($A93,Строчный!$A:$A,Строчный!B:B,"ERR",0)),IF(_xlpm.CAPS=0,_xlpm.Style,UPPER(_xlpm.Style)))</f>
        <v>BOATER</v>
      </c>
      <c r="C93" s="81" t="str">
        <f ca="1">TRIM(PROPER(_xlfn.XLOOKUP($A93,Строчный!$A:$A,Строчный!C:C,"ERR",0)))</f>
        <v>Шляпы</v>
      </c>
      <c r="D93" s="81" t="str">
        <f ca="1">_xlfn.LET(_xlpm.DATA,TRIM(_xlfn.XLOOKUP($A93,Строчный!$A:$A,Строчный!D:D,"ERR",0)),UPPER(MID(_xlpm.DATA,1,1))&amp;LOWER(MID(_xlpm.DATA,2,LEN(_xlpm.DATA)-1)))</f>
        <v>Шляпа канотье</v>
      </c>
      <c r="E93" s="81" t="str">
        <f ca="1">PROPER(TRIM(_xlfn.XLOOKUP($A93,Строчный!$A:$A,Строчный!E:E,"ERR",0)))</f>
        <v>Herman</v>
      </c>
      <c r="F93" s="81" t="str">
        <f ca="1">LOWER(TRIM(_xlfn.XLOOKUP($A93,Строчный!$A:$A,Строчный!F:F,"ERR",0)))</f>
        <v>летний</v>
      </c>
      <c r="G93" s="81" t="str">
        <f ca="1">UPPER(TRIM(_xlfn.XLOOKUP($A93,Строчный!$A:$A,Строчный!G:G,"ERR",0)))</f>
        <v>HERMAN</v>
      </c>
      <c r="H93" s="81" t="str">
        <f ca="1">LOWER(TRIM(_xlfn.XLOOKUP($A93,Строчный!$A:$A,Строчный!H:H,"ERR",0)))</f>
        <v>black</v>
      </c>
      <c r="I93" s="81" t="str">
        <f ca="1">LOWER(TRIM(_xlfn.XLOOKUP($A93,Строчный!$A:$A,Строчный!I:I,"ERR",0)))</f>
        <v>бежевый / черный</v>
      </c>
      <c r="J93" s="81" t="str">
        <f ca="1">SUBSTITUTE(LOWER(TRIM(_xlfn.XLOOKUP($A93,Строчный!$A:$A,Строчный!J:J,"ERR",0))),"подклад","Подклад")</f>
        <v>100% солома</v>
      </c>
      <c r="K93" s="81" t="str">
        <f ca="1">LOWER(TRIM(_xlfn.XLOOKUP($A93,Строчный!$A:$A,Строчный!K:K,"ERR",0)))</f>
        <v>соломенные</v>
      </c>
      <c r="L93" s="81" t="str">
        <f ca="1">PROPER(TRIM(_xlfn.XLOOKUP($A93,Строчный!$A:$A,Строчный!L:L,"ERR",0)))</f>
        <v>Мужской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PROPER(TRIM(_xlfn.XLOOKUP($A93,Строчный!$A:$A,Строчный!R:R,"ERR",0)))</f>
        <v/>
      </c>
      <c r="Q93" s="90">
        <f ca="1">VALUE(_xlfn.XLOOKUP($A93,Строчный!$A:$A,Строчный!N:N,"ERR",0))</f>
        <v>560.70000000000005</v>
      </c>
      <c r="R93" s="89" t="str">
        <f ca="1">_xlfn.XLOOKUP($G93,Фабрика!A:A,Фабрика!B:B,"ERR",0)</f>
        <v>Chapellerie Herman S.A.; Rue Jean Meunier, 6, 6922 Wellin, Belgium</v>
      </c>
      <c r="S93" s="80" t="str">
        <f ca="1">_xlfn.XLOOKUP(RIGHT(AA93,2),Размеры!D:D,Размеры!A:A,"ERR",0)</f>
        <v>59</v>
      </c>
      <c r="T93" s="80">
        <f ca="1">VALUE(_xlfn.XLOOKUP($AA93,Строчный!$S:$S,Строчный!U:U,"ERR",0))</f>
        <v>12</v>
      </c>
      <c r="U93" s="14" t="s">
        <v>265</v>
      </c>
      <c r="V93" s="101" t="str">
        <f t="shared" ca="1" si="8"/>
        <v>Шляпа HERMAN арт. BOATER (бежевый / черный)</v>
      </c>
      <c r="W93" s="100" t="str">
        <f t="shared" ca="1" si="9"/>
        <v>Шляпа HERMAN арт. BOATER (бежевый / черный) {black}</v>
      </c>
      <c r="X93" s="18" t="str">
        <f t="shared" ca="1" si="10"/>
        <v>бежевый</v>
      </c>
      <c r="Y93" s="18" t="str">
        <f t="shared" ca="1" si="11"/>
        <v>черный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бежевый</v>
      </c>
      <c r="AA93" s="73" t="str">
        <f ca="1"/>
        <v>81-043-53-59</v>
      </c>
      <c r="AB93" s="75" t="str">
        <f ca="1">VLOOKUP(C93,Группа!A:B,2,FALSE)</f>
        <v>Шляпа</v>
      </c>
      <c r="AC93" s="97" t="str">
        <f ca="1">IFERROR(VLOOKUP(S93,Размеры!A:C,3,FALSE),"")</f>
        <v>59 L</v>
      </c>
      <c r="AD93" s="97" t="str">
        <f ca="1">VLOOKUP(I93,ЦветПолный!A:B,2,FALSE)</f>
        <v>53</v>
      </c>
      <c r="AE93" s="97" t="str">
        <f ca="1">IFERROR(VLOOKUP(S93,Размеры!A:D,4,FALSE),"")</f>
        <v>59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str">
        <f ca="1">IF(VLOOKUP(W93,Товары!A:B,2,FALSE)=A93,"Есть в 1С","ERR")</f>
        <v>Есть в 1С</v>
      </c>
      <c r="AU93" s="65" t="str">
        <f ca="1">IF(VLOOKUP(A93,Товары!B:B,1,FALSE)=A93,"Есть в 1С","ERR")</f>
        <v>Есть в 1С</v>
      </c>
      <c r="AV93" s="96" t="str">
        <f ca="1">VLOOKUP(W93,Товары!A:B,2,FALSE)</f>
        <v>81-043-53</v>
      </c>
      <c r="AW93" s="94" t="str">
        <f ca="1">VLOOKUP(W93,Товары!A:B,1,FALSE)</f>
        <v>Шляпа HERMAN арт. BOATER (бежевый / черный) {black}</v>
      </c>
    </row>
    <row r="94" spans="1:49" x14ac:dyDescent="0.25">
      <c r="A94" s="110" t="str">
        <f t="shared" ca="1" si="7"/>
        <v>81-043-53</v>
      </c>
      <c r="B94" s="107" t="str">
        <f ca="1">_xlfn.LET(_xlpm.CAPS,0,_xlpm.Style,TRIM(_xlfn.XLOOKUP($A94,Строчный!$A:$A,Строчный!B:B,"ERR",0)),IF(_xlpm.CAPS=0,_xlpm.Style,UPPER(_xlpm.Style)))</f>
        <v>BOATER</v>
      </c>
      <c r="C94" s="81" t="str">
        <f ca="1">TRIM(PROPER(_xlfn.XLOOKUP($A94,Строчный!$A:$A,Строчный!C:C,"ERR",0)))</f>
        <v>Шляпы</v>
      </c>
      <c r="D94" s="81" t="str">
        <f ca="1">_xlfn.LET(_xlpm.DATA,TRIM(_xlfn.XLOOKUP($A94,Строчный!$A:$A,Строчный!D:D,"ERR",0)),UPPER(MID(_xlpm.DATA,1,1))&amp;LOWER(MID(_xlpm.DATA,2,LEN(_xlpm.DATA)-1)))</f>
        <v>Шляпа канотье</v>
      </c>
      <c r="E94" s="81" t="str">
        <f ca="1">PROPER(TRIM(_xlfn.XLOOKUP($A94,Строчный!$A:$A,Строчный!E:E,"ERR",0)))</f>
        <v>Herman</v>
      </c>
      <c r="F94" s="81" t="str">
        <f ca="1">LOWER(TRIM(_xlfn.XLOOKUP($A94,Строчный!$A:$A,Строчный!F:F,"ERR",0)))</f>
        <v>летний</v>
      </c>
      <c r="G94" s="81" t="str">
        <f ca="1">UPPER(TRIM(_xlfn.XLOOKUP($A94,Строчный!$A:$A,Строчный!G:G,"ERR",0)))</f>
        <v>HERMAN</v>
      </c>
      <c r="H94" s="81" t="str">
        <f ca="1">LOWER(TRIM(_xlfn.XLOOKUP($A94,Строчный!$A:$A,Строчный!H:H,"ERR",0)))</f>
        <v>black</v>
      </c>
      <c r="I94" s="81" t="str">
        <f ca="1">LOWER(TRIM(_xlfn.XLOOKUP($A94,Строчный!$A:$A,Строчный!I:I,"ERR",0)))</f>
        <v>бежевый / черный</v>
      </c>
      <c r="J94" s="81" t="str">
        <f ca="1">SUBSTITUTE(LOWER(TRIM(_xlfn.XLOOKUP($A94,Строчный!$A:$A,Строчный!J:J,"ERR",0))),"подклад","Подклад")</f>
        <v>100% солома</v>
      </c>
      <c r="K94" s="81" t="str">
        <f ca="1">LOWER(TRIM(_xlfn.XLOOKUP($A94,Строчный!$A:$A,Строчный!K:K,"ERR",0)))</f>
        <v>соломенные</v>
      </c>
      <c r="L94" s="81" t="str">
        <f ca="1">PROPER(TRIM(_xlfn.XLOOKUP($A94,Строчный!$A:$A,Строчный!L:L,"ERR",0)))</f>
        <v>Мужской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560.70000000000005</v>
      </c>
      <c r="R94" s="89" t="str">
        <f ca="1">_xlfn.XLOOKUP($G94,Фабрика!A:A,Фабрика!B:B,"ERR",0)</f>
        <v>Chapellerie Herman S.A.; Rue Jean Meunier, 6, 6922 Wellin, Belgium</v>
      </c>
      <c r="S94" s="80" t="str">
        <f ca="1">_xlfn.XLOOKUP(RIGHT(AA94,2),Размеры!D:D,Размеры!A:A,"ERR",0)</f>
        <v>57</v>
      </c>
      <c r="T94" s="80">
        <f ca="1">VALUE(_xlfn.XLOOKUP($AA94,Строчный!$S:$S,Строчный!U:U,"ERR",0))</f>
        <v>10</v>
      </c>
      <c r="U94" s="14" t="s">
        <v>265</v>
      </c>
      <c r="V94" s="101" t="str">
        <f t="shared" ca="1" si="8"/>
        <v>Шляпа HERMAN арт. BOATER (бежевый / черный)</v>
      </c>
      <c r="W94" s="100" t="str">
        <f t="shared" ca="1" si="9"/>
        <v>Шляпа HERMAN арт. BOATER (бежевый / черный) {black}</v>
      </c>
      <c r="X94" s="18" t="str">
        <f t="shared" ca="1" si="10"/>
        <v>бежевый</v>
      </c>
      <c r="Y94" s="18" t="str">
        <f t="shared" ca="1" si="11"/>
        <v>черный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бежевый</v>
      </c>
      <c r="AA94" s="73" t="str">
        <f ca="1"/>
        <v>81-043-53-57</v>
      </c>
      <c r="AB94" s="75" t="str">
        <f ca="1">VLOOKUP(C94,Группа!A:B,2,FALSE)</f>
        <v>Шляпа</v>
      </c>
      <c r="AC94" s="97" t="str">
        <f ca="1">IFERROR(VLOOKUP(S94,Размеры!A:C,3,FALSE),"")</f>
        <v>57 M</v>
      </c>
      <c r="AD94" s="97" t="str">
        <f ca="1">VLOOKUP(I94,ЦветПолный!A:B,2,FALSE)</f>
        <v>53</v>
      </c>
      <c r="AE94" s="97" t="str">
        <f ca="1">IFERROR(VLOOKUP(S94,Размеры!A:D,4,FALSE),"")</f>
        <v>57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str">
        <f ca="1">IF(VLOOKUP(W94,Товары!A:B,2,FALSE)=A94,"Есть в 1С","ERR")</f>
        <v>Есть в 1С</v>
      </c>
      <c r="AU94" s="65" t="str">
        <f ca="1">IF(VLOOKUP(A94,Товары!B:B,1,FALSE)=A94,"Есть в 1С","ERR")</f>
        <v>Есть в 1С</v>
      </c>
      <c r="AV94" s="96" t="str">
        <f ca="1">VLOOKUP(W94,Товары!A:B,2,FALSE)</f>
        <v>81-043-53</v>
      </c>
      <c r="AW94" s="94" t="str">
        <f ca="1">VLOOKUP(W94,Товары!A:B,1,FALSE)</f>
        <v>Шляпа HERMAN арт. BOATER (бежевый / черный) {black}</v>
      </c>
    </row>
    <row r="95" spans="1:49" x14ac:dyDescent="0.25">
      <c r="A95" s="110" t="str">
        <f t="shared" ca="1" si="7"/>
        <v>81-039-16</v>
      </c>
      <c r="B95" s="107" t="str">
        <f ca="1">_xlfn.LET(_xlpm.CAPS,0,_xlpm.Style,TRIM(_xlfn.XLOOKUP($A95,Строчный!$A:$A,Строчный!B:B,"ERR",0)),IF(_xlpm.CAPS=0,_xlpm.Style,UPPER(_xlpm.Style)))</f>
        <v>WHALES</v>
      </c>
      <c r="C95" s="81" t="str">
        <f ca="1">TRIM(PROPER(_xlfn.XLOOKUP($A95,Строчный!$A:$A,Строчный!C:C,"ERR",0)))</f>
        <v>Шапки</v>
      </c>
      <c r="D95" s="81" t="str">
        <f ca="1">_xlfn.LET(_xlpm.DATA,TRIM(_xlfn.XLOOKUP($A95,Строчный!$A:$A,Строчный!D:D,"ERR",0)),UPPER(MID(_xlpm.DATA,1,1))&amp;LOWER(MID(_xlpm.DATA,2,LEN(_xlpm.DATA)-1)))</f>
        <v>Шапка докер</v>
      </c>
      <c r="E95" s="81" t="str">
        <f ca="1">PROPER(TRIM(_xlfn.XLOOKUP($A95,Строчный!$A:$A,Строчный!E:E,"ERR",0)))</f>
        <v>Herman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HERMAN</v>
      </c>
      <c r="H95" s="81" t="str">
        <f ca="1">LOWER(TRIM(_xlfn.XLOOKUP($A95,Строчный!$A:$A,Строчный!H:H,"ERR",0)))</f>
        <v>navy</v>
      </c>
      <c r="I95" s="81" t="str">
        <f ca="1">LOWER(TRIM(_xlfn.XLOOKUP($A95,Строчный!$A:$A,Строчный!I:I,"ERR",0)))</f>
        <v>темно-синий</v>
      </c>
      <c r="J95" s="81" t="str">
        <f ca="1">SUBSTITUTE(LOWER(TRIM(_xlfn.XLOOKUP($A95,Строчный!$A:$A,Строчный!J:J,"ERR",0))),"подклад","Подклад")</f>
        <v>100% хлопок</v>
      </c>
      <c r="K95" s="81" t="str">
        <f ca="1">LOWER(TRIM(_xlfn.XLOOKUP($A95,Строчный!$A:$A,Строчный!K:K,"ERR",0)))</f>
        <v>вельветовые</v>
      </c>
      <c r="L95" s="81" t="str">
        <f ca="1">PROPER(TRIM(_xlfn.XLOOKUP($A95,Строчный!$A:$A,Строчный!L:L,"ERR",0)))</f>
        <v>Мужской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PROPER(TRIM(_xlfn.XLOOKUP($A95,Строчный!$A:$A,Строчный!R:R,"ERR",0)))</f>
        <v/>
      </c>
      <c r="Q95" s="90">
        <f ca="1">VALUE(_xlfn.XLOOKUP($A95,Строчный!$A:$A,Строчный!N:N,"ERR",0))</f>
        <v>579.6</v>
      </c>
      <c r="R95" s="89" t="str">
        <f ca="1">_xlfn.XLOOKUP($G95,Фабрика!A:A,Фабрика!B:B,"ERR",0)</f>
        <v>Chapellerie Herman S.A.; Rue Jean Meunier, 6, 6922 Wellin, Belgium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3</v>
      </c>
      <c r="U95" s="14" t="s">
        <v>265</v>
      </c>
      <c r="V95" s="101" t="str">
        <f t="shared" ca="1" si="8"/>
        <v>Шапка HERMAN арт. WHALES (темно-синий)</v>
      </c>
      <c r="W95" s="100" t="str">
        <f t="shared" ca="1" si="9"/>
        <v>Шапка HERMAN арт. WHALES (темно-синий) {navy}</v>
      </c>
      <c r="X95" s="18" t="str">
        <f t="shared" ca="1" si="10"/>
        <v>синий</v>
      </c>
      <c r="Y95" s="18" t="str">
        <f t="shared" ca="1" si="11"/>
        <v>синий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синий</v>
      </c>
      <c r="AA95" s="73" t="str">
        <f ca="1"/>
        <v>81-039-16-00</v>
      </c>
      <c r="AB95" s="75" t="str">
        <f ca="1">VLOOKUP(C95,Группа!A:B,2,FALSE)</f>
        <v>Шапка</v>
      </c>
      <c r="AC95" s="97" t="str">
        <f ca="1">IFERROR(VLOOKUP(S95,Размеры!A:C,3,FALSE),"")</f>
        <v>ONE</v>
      </c>
      <c r="AD95" s="97" t="str">
        <f ca="1">VLOOKUP(I95,ЦветПолный!A:B,2,FALSE)</f>
        <v>16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1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0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str">
        <f ca="1">IF(VLOOKUP(W95,Товары!A:B,2,FALSE)=A95,"Есть в 1С","ERR")</f>
        <v>Есть в 1С</v>
      </c>
      <c r="AU95" s="65" t="str">
        <f ca="1">IF(VLOOKUP(A95,Товары!B:B,1,FALSE)=A95,"Есть в 1С","ERR")</f>
        <v>Есть в 1С</v>
      </c>
      <c r="AV95" s="96" t="str">
        <f ca="1">VLOOKUP(W95,Товары!A:B,2,FALSE)</f>
        <v>81-039-16</v>
      </c>
      <c r="AW95" s="94" t="str">
        <f ca="1">VLOOKUP(W95,Товары!A:B,1,FALSE)</f>
        <v>Шапка HERMAN арт. WHALES (темно-синий) {navy}</v>
      </c>
    </row>
    <row r="96" spans="1:49" x14ac:dyDescent="0.25">
      <c r="A96" s="110" t="str">
        <f t="shared" ca="1" si="7"/>
        <v>81-039-09</v>
      </c>
      <c r="B96" s="107" t="str">
        <f ca="1">_xlfn.LET(_xlpm.CAPS,0,_xlpm.Style,TRIM(_xlfn.XLOOKUP($A96,Строчный!$A:$A,Строчный!B:B,"ERR",0)),IF(_xlpm.CAPS=0,_xlpm.Style,UPPER(_xlpm.Style)))</f>
        <v>WHALES</v>
      </c>
      <c r="C96" s="81" t="str">
        <f ca="1">TRIM(PROPER(_xlfn.XLOOKUP($A96,Строчный!$A:$A,Строчный!C:C,"ERR",0)))</f>
        <v>Шапки</v>
      </c>
      <c r="D96" s="81" t="str">
        <f ca="1">_xlfn.LET(_xlpm.DATA,TRIM(_xlfn.XLOOKUP($A96,Строчный!$A:$A,Строчный!D:D,"ERR",0)),UPPER(MID(_xlpm.DATA,1,1))&amp;LOWER(MID(_xlpm.DATA,2,LEN(_xlpm.DATA)-1)))</f>
        <v>Шапка докер</v>
      </c>
      <c r="E96" s="81" t="str">
        <f ca="1">PROPER(TRIM(_xlfn.XLOOKUP($A96,Строчный!$A:$A,Строчный!E:E,"ERR",0)))</f>
        <v>Herman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HERMAN</v>
      </c>
      <c r="H96" s="81" t="str">
        <f ca="1">LOWER(TRIM(_xlfn.XLOOKUP($A96,Строчный!$A:$A,Строчный!H:H,"ERR",0)))</f>
        <v>black</v>
      </c>
      <c r="I96" s="81" t="str">
        <f ca="1">LOWER(TRIM(_xlfn.XLOOKUP($A96,Строчный!$A:$A,Строчный!I:I,"ERR",0)))</f>
        <v>черный</v>
      </c>
      <c r="J96" s="81" t="str">
        <f ca="1">SUBSTITUTE(LOWER(TRIM(_xlfn.XLOOKUP($A96,Строчный!$A:$A,Строчный!J:J,"ERR",0))),"подклад","Подклад")</f>
        <v>100% хлопок</v>
      </c>
      <c r="K96" s="81" t="str">
        <f ca="1">LOWER(TRIM(_xlfn.XLOOKUP($A96,Строчный!$A:$A,Строчный!K:K,"ERR",0)))</f>
        <v>вельветовые</v>
      </c>
      <c r="L96" s="81" t="str">
        <f ca="1">PROPER(TRIM(_xlfn.XLOOKUP($A96,Строчный!$A:$A,Строчный!L:L,"ERR",0)))</f>
        <v>Мужской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PROPER(TRIM(_xlfn.XLOOKUP($A96,Строчный!$A:$A,Строчный!R:R,"ERR",0)))</f>
        <v/>
      </c>
      <c r="Q96" s="90">
        <f ca="1">VALUE(_xlfn.XLOOKUP($A96,Строчный!$A:$A,Строчный!N:N,"ERR",0))</f>
        <v>579.6</v>
      </c>
      <c r="R96" s="89" t="str">
        <f ca="1">_xlfn.XLOOKUP($G96,Фабрика!A:A,Фабрика!B:B,"ERR",0)</f>
        <v>Chapellerie Herman S.A.; Rue Jean Meunier, 6, 6922 Wellin, Belgium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6</v>
      </c>
      <c r="U96" s="14" t="s">
        <v>265</v>
      </c>
      <c r="V96" s="101" t="str">
        <f t="shared" ca="1" si="8"/>
        <v>Шапка HERMAN арт. WHALES (черный)</v>
      </c>
      <c r="W96" s="100" t="str">
        <f t="shared" ca="1" si="9"/>
        <v>Шапка HERMAN арт. WHALES (черный) {black}</v>
      </c>
      <c r="X96" s="18" t="str">
        <f t="shared" ca="1" si="10"/>
        <v>черный</v>
      </c>
      <c r="Y96" s="18" t="str">
        <f t="shared" ca="1" si="11"/>
        <v>черный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81-039-09-00</v>
      </c>
      <c r="AB96" s="75" t="str">
        <f ca="1">VLOOKUP(C96,Группа!A:B,2,FALSE)</f>
        <v>Шапка</v>
      </c>
      <c r="AC96" s="97" t="str">
        <f ca="1">IFERROR(VLOOKUP(S96,Размеры!A:C,3,FALSE),"")</f>
        <v>ONE</v>
      </c>
      <c r="AD96" s="97" t="str">
        <f ca="1">VLOOKUP(I96,ЦветПолный!A:B,2,FALSE)</f>
        <v>09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1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0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str">
        <f ca="1">IF(VLOOKUP(W96,Товары!A:B,2,FALSE)=A96,"Есть в 1С","ERR")</f>
        <v>Есть в 1С</v>
      </c>
      <c r="AU96" s="65" t="str">
        <f ca="1">IF(VLOOKUP(A96,Товары!B:B,1,FALSE)=A96,"Есть в 1С","ERR")</f>
        <v>Есть в 1С</v>
      </c>
      <c r="AV96" s="96" t="str">
        <f ca="1">VLOOKUP(W96,Товары!A:B,2,FALSE)</f>
        <v>81-039-09</v>
      </c>
      <c r="AW96" s="94" t="str">
        <f ca="1">VLOOKUP(W96,Товары!A:B,1,FALSE)</f>
        <v>Шапка HERMAN арт. WHALES (черный) {black}</v>
      </c>
    </row>
    <row r="97" spans="1:49" x14ac:dyDescent="0.25">
      <c r="A97" s="110" t="str">
        <f t="shared" ca="1" si="7"/>
        <v>81-038-16</v>
      </c>
      <c r="B97" s="107" t="str">
        <f ca="1">_xlfn.LET(_xlpm.CAPS,0,_xlpm.Style,TRIM(_xlfn.XLOOKUP($A97,Строчный!$A:$A,Строчный!B:B,"ERR",0)),IF(_xlpm.CAPS=0,_xlpm.Style,UPPER(_xlpm.Style)))</f>
        <v>SEAL</v>
      </c>
      <c r="C97" s="81" t="str">
        <f ca="1">TRIM(PROPER(_xlfn.XLOOKUP($A97,Строчный!$A:$A,Строчный!C:C,"ERR",0)))</f>
        <v>Шапки</v>
      </c>
      <c r="D97" s="81" t="str">
        <f ca="1">_xlfn.LET(_xlpm.DATA,TRIM(_xlfn.XLOOKUP($A97,Строчный!$A:$A,Строчный!D:D,"ERR",0)),UPPER(MID(_xlpm.DATA,1,1))&amp;LOWER(MID(_xlpm.DATA,2,LEN(_xlpm.DATA)-1)))</f>
        <v>Шапка докер</v>
      </c>
      <c r="E97" s="81" t="str">
        <f ca="1">PROPER(TRIM(_xlfn.XLOOKUP($A97,Строчный!$A:$A,Строчный!E:E,"ERR",0)))</f>
        <v>Herman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HERMAN</v>
      </c>
      <c r="H97" s="81" t="str">
        <f ca="1">LOWER(TRIM(_xlfn.XLOOKUP($A97,Строчный!$A:$A,Строчный!H:H,"ERR",0)))</f>
        <v>navy</v>
      </c>
      <c r="I97" s="81" t="str">
        <f ca="1">LOWER(TRIM(_xlfn.XLOOKUP($A97,Строчный!$A:$A,Строчный!I:I,"ERR",0)))</f>
        <v>темно-синий</v>
      </c>
      <c r="J97" s="81" t="str">
        <f ca="1">SUBSTITUTE(LOWER(TRIM(_xlfn.XLOOKUP($A97,Строчный!$A:$A,Строчный!J:J,"ERR",0))),"подклад","Подклад")</f>
        <v>100% хлопок</v>
      </c>
      <c r="K97" s="81" t="str">
        <f ca="1">LOWER(TRIM(_xlfn.XLOOKUP($A97,Строчный!$A:$A,Строчный!K:K,"ERR",0)))</f>
        <v>хлопковые</v>
      </c>
      <c r="L97" s="81" t="str">
        <f ca="1">PROPER(TRIM(_xlfn.XLOOKUP($A97,Строчный!$A:$A,Строчный!L:L,"ERR",0)))</f>
        <v>Мужской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PROPER(TRIM(_xlfn.XLOOKUP($A97,Строчный!$A:$A,Строчный!R:R,"ERR",0)))</f>
        <v/>
      </c>
      <c r="Q97" s="90">
        <f ca="1">VALUE(_xlfn.XLOOKUP($A97,Строчный!$A:$A,Строчный!N:N,"ERR",0))</f>
        <v>579.6</v>
      </c>
      <c r="R97" s="89" t="str">
        <f ca="1">_xlfn.XLOOKUP($G97,Фабрика!A:A,Фабрика!B:B,"ERR",0)</f>
        <v>Chapellerie Herman S.A.; Rue Jean Meunier, 6, 6922 Wellin, Belgium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6</v>
      </c>
      <c r="U97" s="14" t="s">
        <v>265</v>
      </c>
      <c r="V97" s="101" t="str">
        <f t="shared" ca="1" si="8"/>
        <v>Шапка HERMAN арт. SEAL (темно-синий)</v>
      </c>
      <c r="W97" s="100" t="str">
        <f t="shared" ca="1" si="9"/>
        <v>Шапка HERMAN арт. SEAL (темно-синий) {navy}</v>
      </c>
      <c r="X97" s="18" t="str">
        <f t="shared" ca="1" si="10"/>
        <v>синий</v>
      </c>
      <c r="Y97" s="18" t="str">
        <f t="shared" ca="1" si="11"/>
        <v>синий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синий</v>
      </c>
      <c r="AA97" s="73" t="str">
        <f ca="1"/>
        <v>81-038-16-00</v>
      </c>
      <c r="AB97" s="75" t="str">
        <f ca="1">VLOOKUP(C97,Группа!A:B,2,FALSE)</f>
        <v>Шапка</v>
      </c>
      <c r="AC97" s="97" t="str">
        <f ca="1">IFERROR(VLOOKUP(S97,Размеры!A:C,3,FALSE),"")</f>
        <v>ONE</v>
      </c>
      <c r="AD97" s="97" t="str">
        <f ca="1">VLOOKUP(I97,ЦветПолный!A:B,2,FALSE)</f>
        <v>16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1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str">
        <f ca="1">IF(VLOOKUP(W97,Товары!A:B,2,FALSE)=A97,"Есть в 1С","ERR")</f>
        <v>Есть в 1С</v>
      </c>
      <c r="AU97" s="65" t="str">
        <f ca="1">IF(VLOOKUP(A97,Товары!B:B,1,FALSE)=A97,"Есть в 1С","ERR")</f>
        <v>Есть в 1С</v>
      </c>
      <c r="AV97" s="96" t="str">
        <f ca="1">VLOOKUP(W97,Товары!A:B,2,FALSE)</f>
        <v>81-038-16</v>
      </c>
      <c r="AW97" s="94" t="str">
        <f ca="1">VLOOKUP(W97,Товары!A:B,1,FALSE)</f>
        <v>Шапка HERMAN арт. SEAL (темно-синий) {navy}</v>
      </c>
    </row>
    <row r="98" spans="1:49" x14ac:dyDescent="0.25">
      <c r="A98" s="110" t="str">
        <f t="shared" ca="1" si="7"/>
        <v>81-038-09</v>
      </c>
      <c r="B98" s="107" t="str">
        <f ca="1">_xlfn.LET(_xlpm.CAPS,0,_xlpm.Style,TRIM(_xlfn.XLOOKUP($A98,Строчный!$A:$A,Строчный!B:B,"ERR",0)),IF(_xlpm.CAPS=0,_xlpm.Style,UPPER(_xlpm.Style)))</f>
        <v>SEAL</v>
      </c>
      <c r="C98" s="81" t="str">
        <f ca="1">TRIM(PROPER(_xlfn.XLOOKUP($A98,Строчный!$A:$A,Строчный!C:C,"ERR",0)))</f>
        <v>Шапки</v>
      </c>
      <c r="D98" s="81" t="str">
        <f ca="1">_xlfn.LET(_xlpm.DATA,TRIM(_xlfn.XLOOKUP($A98,Строчный!$A:$A,Строчный!D:D,"ERR",0)),UPPER(MID(_xlpm.DATA,1,1))&amp;LOWER(MID(_xlpm.DATA,2,LEN(_xlpm.DATA)-1)))</f>
        <v>Шапка докер</v>
      </c>
      <c r="E98" s="81" t="str">
        <f ca="1">PROPER(TRIM(_xlfn.XLOOKUP($A98,Строчный!$A:$A,Строчный!E:E,"ERR",0)))</f>
        <v>Herman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HERMAN</v>
      </c>
      <c r="H98" s="81" t="str">
        <f ca="1">LOWER(TRIM(_xlfn.XLOOKUP($A98,Строчный!$A:$A,Строчный!H:H,"ERR",0)))</f>
        <v>black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100% хлопок</v>
      </c>
      <c r="K98" s="81" t="str">
        <f ca="1">LOWER(TRIM(_xlfn.XLOOKUP($A98,Строчный!$A:$A,Строчный!K:K,"ERR",0)))</f>
        <v>хлопковые</v>
      </c>
      <c r="L98" s="81" t="str">
        <f ca="1">PROPER(TRIM(_xlfn.XLOOKUP($A98,Строчный!$A:$A,Строчный!L:L,"ERR",0)))</f>
        <v>Мужской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579.6</v>
      </c>
      <c r="R98" s="89" t="str">
        <f ca="1">_xlfn.XLOOKUP($G98,Фабрика!A:A,Фабрика!B:B,"ERR",0)</f>
        <v>Chapellerie Herman S.A.; Rue Jean Meunier, 6, 6922 Wellin, Belgium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12</v>
      </c>
      <c r="U98" s="14" t="s">
        <v>265</v>
      </c>
      <c r="V98" s="101" t="str">
        <f t="shared" ca="1" si="8"/>
        <v>Шапка HERMAN арт. SEAL (черный)</v>
      </c>
      <c r="W98" s="100" t="str">
        <f t="shared" ca="1" si="9"/>
        <v>Шапка HERMAN арт. SEAL (черный) {black}</v>
      </c>
      <c r="X98" s="18" t="str">
        <f t="shared" ca="1" si="10"/>
        <v>черный</v>
      </c>
      <c r="Y98" s="18" t="str">
        <f t="shared" ca="1" si="11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81-038-09-00</v>
      </c>
      <c r="AB98" s="75" t="str">
        <f ca="1">VLOOKUP(C98,Группа!A:B,2,FALSE)</f>
        <v>Шапка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1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str">
        <f ca="1">IF(VLOOKUP(W98,Товары!A:B,2,FALSE)=A98,"Есть в 1С","ERR")</f>
        <v>Есть в 1С</v>
      </c>
      <c r="AU98" s="65" t="str">
        <f ca="1">IF(VLOOKUP(A98,Товары!B:B,1,FALSE)=A98,"Есть в 1С","ERR")</f>
        <v>Есть в 1С</v>
      </c>
      <c r="AV98" s="96" t="str">
        <f ca="1">VLOOKUP(W98,Товары!A:B,2,FALSE)</f>
        <v>81-038-09</v>
      </c>
      <c r="AW98" s="94" t="str">
        <f ca="1">VLOOKUP(W98,Товары!A:B,1,FALSE)</f>
        <v>Шапка HERMAN арт. SEAL (черный) {black}</v>
      </c>
    </row>
    <row r="99" spans="1:49" x14ac:dyDescent="0.25">
      <c r="A99" s="110" t="str">
        <f t="shared" ca="1" si="7"/>
        <v>81-036-16</v>
      </c>
      <c r="B99" s="107" t="str">
        <f ca="1">_xlfn.LET(_xlpm.CAPS,0,_xlpm.Style,TRIM(_xlfn.XLOOKUP($A99,Строчный!$A:$A,Строчный!B:B,"ERR",0)),IF(_xlpm.CAPS=0,_xlpm.Style,UPPER(_xlpm.Style)))</f>
        <v>CREEK</v>
      </c>
      <c r="C99" s="81" t="str">
        <f ca="1">TRIM(PROPER(_xlfn.XLOOKUP($A99,Строчный!$A:$A,Строчный!C:C,"ERR",0)))</f>
        <v>Панамы</v>
      </c>
      <c r="D99" s="81" t="str">
        <f ca="1">_xlfn.LET(_xlpm.DATA,TRIM(_xlfn.XLOOKUP($A99,Строчный!$A:$A,Строчный!D:D,"ERR",0)),UPPER(MID(_xlpm.DATA,1,1))&amp;LOWER(MID(_xlpm.DATA,2,LEN(_xlpm.DATA)-1)))</f>
        <v>Панама</v>
      </c>
      <c r="E99" s="81" t="str">
        <f ca="1">PROPER(TRIM(_xlfn.XLOOKUP($A99,Строчный!$A:$A,Строчный!E:E,"ERR",0)))</f>
        <v>Herman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HERMAN</v>
      </c>
      <c r="H99" s="81" t="str">
        <f ca="1">LOWER(TRIM(_xlfn.XLOOKUP($A99,Строчный!$A:$A,Строчный!H:H,"ERR",0)))</f>
        <v>navy</v>
      </c>
      <c r="I99" s="81" t="str">
        <f ca="1">LOWER(TRIM(_xlfn.XLOOKUP($A99,Строчный!$A:$A,Строчный!I:I,"ERR",0)))</f>
        <v>темно-синий</v>
      </c>
      <c r="J99" s="81" t="str">
        <f ca="1">SUBSTITUTE(LOWER(TRIM(_xlfn.XLOOKUP($A99,Строчный!$A:$A,Строчный!J:J,"ERR",0))),"подклад","Подклад")</f>
        <v>100% хлопок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Мужской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812.69999999999993</v>
      </c>
      <c r="R99" s="89" t="str">
        <f ca="1">_xlfn.XLOOKUP($G99,Фабрика!A:A,Фабрика!B:B,"ERR",0)</f>
        <v>Chapellerie Herman S.A.; Rue Jean Meunier, 6, 6922 Wellin, Belgium</v>
      </c>
      <c r="S99" s="80" t="str">
        <f ca="1">_xlfn.XLOOKUP(RIGHT(AA99,2),Размеры!D:D,Размеры!A:A,"ERR",0)</f>
        <v>61</v>
      </c>
      <c r="T99" s="80">
        <f ca="1">VALUE(_xlfn.XLOOKUP($AA99,Строчный!$S:$S,Строчный!U:U,"ERR",0))</f>
        <v>6</v>
      </c>
      <c r="U99" s="14" t="s">
        <v>265</v>
      </c>
      <c r="V99" s="101" t="str">
        <f t="shared" ca="1" si="8"/>
        <v>Панама HERMAN арт. CREEK (темно-синий)</v>
      </c>
      <c r="W99" s="100" t="str">
        <f t="shared" ca="1" si="9"/>
        <v>Панама HERMAN арт. CREEK (темно-синий) {navy}</v>
      </c>
      <c r="X99" s="18" t="str">
        <f t="shared" ca="1" si="10"/>
        <v>синий</v>
      </c>
      <c r="Y99" s="18" t="str">
        <f t="shared" ca="1" si="11"/>
        <v>синий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синий</v>
      </c>
      <c r="AA99" s="73" t="str">
        <f ca="1"/>
        <v>81-036-16-61</v>
      </c>
      <c r="AB99" s="75" t="str">
        <f ca="1">VLOOKUP(C99,Группа!A:B,2,FALSE)</f>
        <v>Панама</v>
      </c>
      <c r="AC99" s="97" t="str">
        <f ca="1">IFERROR(VLOOKUP(S99,Размеры!A:C,3,FALSE),"")</f>
        <v>61 XL</v>
      </c>
      <c r="AD99" s="97" t="str">
        <f ca="1">VLOOKUP(I99,ЦветПолный!A:B,2,FALSE)</f>
        <v>16</v>
      </c>
      <c r="AE99" s="97" t="str">
        <f ca="1">IFERROR(VLOOKUP(S99,Размеры!A:D,4,FALSE),"")</f>
        <v>61</v>
      </c>
      <c r="AF99" s="97">
        <f ca="1">IF(LEFT(IFERROR(VLOOKUP(LOOKUP(2,1/SEARCH(B99,Товары!A:A),Товары!A:A),Товары!A:B,2,0),""),6)=MID(AA99,1,6),1,0)</f>
        <v>1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str">
        <f ca="1">IF(VLOOKUP(W99,Товары!A:B,2,FALSE)=A99,"Есть в 1С","ERR")</f>
        <v>Есть в 1С</v>
      </c>
      <c r="AU99" s="65" t="str">
        <f ca="1">IF(VLOOKUP(A99,Товары!B:B,1,FALSE)=A99,"Есть в 1С","ERR")</f>
        <v>Есть в 1С</v>
      </c>
      <c r="AV99" s="96" t="str">
        <f ca="1">VLOOKUP(W99,Товары!A:B,2,FALSE)</f>
        <v>81-036-16</v>
      </c>
      <c r="AW99" s="94" t="str">
        <f ca="1">VLOOKUP(W99,Товары!A:B,1,FALSE)</f>
        <v>Панама HERMAN арт. CREEK (темно-синий) {navy}</v>
      </c>
    </row>
    <row r="100" spans="1:49" x14ac:dyDescent="0.25">
      <c r="A100" s="110" t="str">
        <f t="shared" ca="1" si="7"/>
        <v>81-036-16</v>
      </c>
      <c r="B100" s="107" t="str">
        <f ca="1">_xlfn.LET(_xlpm.CAPS,0,_xlpm.Style,TRIM(_xlfn.XLOOKUP($A100,Строчный!$A:$A,Строчный!B:B,"ERR",0)),IF(_xlpm.CAPS=0,_xlpm.Style,UPPER(_xlpm.Style)))</f>
        <v>CREEK</v>
      </c>
      <c r="C100" s="81" t="str">
        <f ca="1">TRIM(PROPER(_xlfn.XLOOKUP($A100,Строчный!$A:$A,Строчный!C:C,"ERR",0)))</f>
        <v>Панамы</v>
      </c>
      <c r="D100" s="81" t="str">
        <f ca="1">_xlfn.LET(_xlpm.DATA,TRIM(_xlfn.XLOOKUP($A100,Строчный!$A:$A,Строчный!D:D,"ERR",0)),UPPER(MID(_xlpm.DATA,1,1))&amp;LOWER(MID(_xlpm.DATA,2,LEN(_xlpm.DATA)-1)))</f>
        <v>Панама</v>
      </c>
      <c r="E100" s="81" t="str">
        <f ca="1">PROPER(TRIM(_xlfn.XLOOKUP($A100,Строчный!$A:$A,Строчный!E:E,"ERR",0)))</f>
        <v>Herman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HERMAN</v>
      </c>
      <c r="H100" s="81" t="str">
        <f ca="1">LOWER(TRIM(_xlfn.XLOOKUP($A100,Строчный!$A:$A,Строчный!H:H,"ERR",0)))</f>
        <v>navy</v>
      </c>
      <c r="I100" s="81" t="str">
        <f ca="1">LOWER(TRIM(_xlfn.XLOOKUP($A100,Строчный!$A:$A,Строчный!I:I,"ERR",0)))</f>
        <v>темно-синий</v>
      </c>
      <c r="J100" s="81" t="str">
        <f ca="1">SUBSTITUTE(LOWER(TRIM(_xlfn.XLOOKUP($A100,Строчный!$A:$A,Строчный!J:J,"ERR",0))),"подклад","Подклад")</f>
        <v>100% хлопок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Мужской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812.69999999999993</v>
      </c>
      <c r="R100" s="89" t="str">
        <f ca="1">_xlfn.XLOOKUP($G100,Фабрика!A:A,Фабрика!B:B,"ERR",0)</f>
        <v>Chapellerie Herman S.A.; Rue Jean Meunier, 6, 6922 Wellin, Belgium</v>
      </c>
      <c r="S100" s="80" t="str">
        <f ca="1">_xlfn.XLOOKUP(RIGHT(AA100,2),Размеры!D:D,Размеры!A:A,"ERR",0)</f>
        <v>59</v>
      </c>
      <c r="T100" s="80">
        <f ca="1">VALUE(_xlfn.XLOOKUP($AA100,Строчный!$S:$S,Строчный!U:U,"ERR",0))</f>
        <v>33</v>
      </c>
      <c r="U100" s="14" t="s">
        <v>265</v>
      </c>
      <c r="V100" s="101" t="str">
        <f t="shared" ca="1" si="8"/>
        <v>Панама HERMAN арт. CREEK (темно-синий)</v>
      </c>
      <c r="W100" s="100" t="str">
        <f t="shared" ca="1" si="9"/>
        <v>Панама HERMAN арт. CREEK (темно-синий) {navy}</v>
      </c>
      <c r="X100" s="18" t="str">
        <f t="shared" ca="1" si="10"/>
        <v>синий</v>
      </c>
      <c r="Y100" s="18" t="str">
        <f t="shared" ca="1" si="11"/>
        <v>синий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3" t="str">
        <f ca="1"/>
        <v>81-036-16-59</v>
      </c>
      <c r="AB100" s="75" t="str">
        <f ca="1">VLOOKUP(C100,Группа!A:B,2,FALSE)</f>
        <v>Панама</v>
      </c>
      <c r="AC100" s="97" t="str">
        <f ca="1">IFERROR(VLOOKUP(S100,Размеры!A:C,3,FALSE),"")</f>
        <v>59 L</v>
      </c>
      <c r="AD100" s="97" t="str">
        <f ca="1">VLOOKUP(I100,ЦветПолный!A:B,2,FALSE)</f>
        <v>16</v>
      </c>
      <c r="AE100" s="97" t="str">
        <f ca="1">IFERROR(VLOOKUP(S100,Размеры!A:D,4,FALSE),"")</f>
        <v>59</v>
      </c>
      <c r="AF100" s="97">
        <f ca="1">IF(LEFT(IFERROR(VLOOKUP(LOOKUP(2,1/SEARCH(B100,Товары!A:A),Товары!A:A),Товары!A:B,2,0),""),6)=MID(AA100,1,6),1,0)</f>
        <v>1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str">
        <f ca="1">IF(VLOOKUP(W100,Товары!A:B,2,FALSE)=A100,"Есть в 1С","ERR")</f>
        <v>Есть в 1С</v>
      </c>
      <c r="AU100" s="65" t="str">
        <f ca="1">IF(VLOOKUP(A100,Товары!B:B,1,FALSE)=A100,"Есть в 1С","ERR")</f>
        <v>Есть в 1С</v>
      </c>
      <c r="AV100" s="96" t="str">
        <f ca="1">VLOOKUP(W100,Товары!A:B,2,FALSE)</f>
        <v>81-036-16</v>
      </c>
      <c r="AW100" s="94" t="str">
        <f ca="1">VLOOKUP(W100,Товары!A:B,1,FALSE)</f>
        <v>Панама HERMAN арт. CREEK (темно-синий) {navy}</v>
      </c>
    </row>
    <row r="101" spans="1:49" x14ac:dyDescent="0.25">
      <c r="A101" s="110" t="str">
        <f t="shared" ca="1" si="7"/>
        <v>81-036-16</v>
      </c>
      <c r="B101" s="107" t="str">
        <f ca="1">_xlfn.LET(_xlpm.CAPS,0,_xlpm.Style,TRIM(_xlfn.XLOOKUP($A101,Строчный!$A:$A,Строчный!B:B,"ERR",0)),IF(_xlpm.CAPS=0,_xlpm.Style,UPPER(_xlpm.Style)))</f>
        <v>CREEK</v>
      </c>
      <c r="C101" s="81" t="str">
        <f ca="1">TRIM(PROPER(_xlfn.XLOOKUP($A101,Строчный!$A:$A,Строчный!C:C,"ERR",0)))</f>
        <v>Панамы</v>
      </c>
      <c r="D101" s="81" t="str">
        <f ca="1">_xlfn.LET(_xlpm.DATA,TRIM(_xlfn.XLOOKUP($A101,Строчный!$A:$A,Строчный!D:D,"ERR",0)),UPPER(MID(_xlpm.DATA,1,1))&amp;LOWER(MID(_xlpm.DATA,2,LEN(_xlpm.DATA)-1)))</f>
        <v>Панама</v>
      </c>
      <c r="E101" s="81" t="str">
        <f ca="1">PROPER(TRIM(_xlfn.XLOOKUP($A101,Строчный!$A:$A,Строчный!E:E,"ERR",0)))</f>
        <v>Herman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HERMAN</v>
      </c>
      <c r="H101" s="81" t="str">
        <f ca="1">LOWER(TRIM(_xlfn.XLOOKUP($A101,Строчный!$A:$A,Строчный!H:H,"ERR",0)))</f>
        <v>navy</v>
      </c>
      <c r="I101" s="81" t="str">
        <f ca="1">LOWER(TRIM(_xlfn.XLOOKUP($A101,Строчный!$A:$A,Строчный!I:I,"ERR",0)))</f>
        <v>темно-синий</v>
      </c>
      <c r="J101" s="81" t="str">
        <f ca="1">SUBSTITUTE(LOWER(TRIM(_xlfn.XLOOKUP($A101,Строчный!$A:$A,Строчный!J:J,"ERR",0))),"подклад","Подклад")</f>
        <v>100%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Мужской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PROPER(TRIM(_xlfn.XLOOKUP($A101,Строчный!$A:$A,Строчный!R:R,"ERR",0)))</f>
        <v/>
      </c>
      <c r="Q101" s="90">
        <f ca="1">VALUE(_xlfn.XLOOKUP($A101,Строчный!$A:$A,Строчный!N:N,"ERR",0))</f>
        <v>812.69999999999993</v>
      </c>
      <c r="R101" s="89" t="str">
        <f ca="1">_xlfn.XLOOKUP($G101,Фабрика!A:A,Фабрика!B:B,"ERR",0)</f>
        <v>Chapellerie Herman S.A.; Rue Jean Meunier, 6, 6922 Wellin, Belgium</v>
      </c>
      <c r="S101" s="80" t="str">
        <f ca="1">_xlfn.XLOOKUP(RIGHT(AA101,2),Размеры!D:D,Размеры!A:A,"ERR",0)</f>
        <v>57</v>
      </c>
      <c r="T101" s="80">
        <f ca="1">VALUE(_xlfn.XLOOKUP($AA101,Строчный!$S:$S,Строчный!U:U,"ERR",0))</f>
        <v>30</v>
      </c>
      <c r="U101" s="14" t="s">
        <v>265</v>
      </c>
      <c r="V101" s="101" t="str">
        <f t="shared" ca="1" si="8"/>
        <v>Панама HERMAN арт. CREEK (темно-синий)</v>
      </c>
      <c r="W101" s="100" t="str">
        <f t="shared" ca="1" si="9"/>
        <v>Панама HERMAN арт. CREEK (темно-синий) {navy}</v>
      </c>
      <c r="X101" s="18" t="str">
        <f t="shared" ca="1" si="10"/>
        <v>синий</v>
      </c>
      <c r="Y101" s="18" t="str">
        <f t="shared" ca="1" si="11"/>
        <v>синий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синий</v>
      </c>
      <c r="AA101" s="73" t="str">
        <f ca="1"/>
        <v>81-036-16-57</v>
      </c>
      <c r="AB101" s="75" t="str">
        <f ca="1">VLOOKUP(C101,Группа!A:B,2,FALSE)</f>
        <v>Панама</v>
      </c>
      <c r="AC101" s="97" t="str">
        <f ca="1">IFERROR(VLOOKUP(S101,Размеры!A:C,3,FALSE),"")</f>
        <v>57 M</v>
      </c>
      <c r="AD101" s="97" t="str">
        <f ca="1">VLOOKUP(I101,ЦветПолный!A:B,2,FALSE)</f>
        <v>16</v>
      </c>
      <c r="AE101" s="97" t="str">
        <f ca="1">IFERROR(VLOOKUP(S101,Размеры!A:D,4,FALSE),"")</f>
        <v>57</v>
      </c>
      <c r="AF101" s="97">
        <f ca="1">IF(LEFT(IFERROR(VLOOKUP(LOOKUP(2,1/SEARCH(B101,Товары!A:A),Товары!A:A),Товары!A:B,2,0),""),6)=MID(AA101,1,6),1,0)</f>
        <v>1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str">
        <f ca="1">IF(VLOOKUP(W101,Товары!A:B,2,FALSE)=A101,"Есть в 1С","ERR")</f>
        <v>Есть в 1С</v>
      </c>
      <c r="AU101" s="65" t="str">
        <f ca="1">IF(VLOOKUP(A101,Товары!B:B,1,FALSE)=A101,"Есть в 1С","ERR")</f>
        <v>Есть в 1С</v>
      </c>
      <c r="AV101" s="96" t="str">
        <f ca="1">VLOOKUP(W101,Товары!A:B,2,FALSE)</f>
        <v>81-036-16</v>
      </c>
      <c r="AW101" s="94" t="str">
        <f ca="1">VLOOKUP(W101,Товары!A:B,1,FALSE)</f>
        <v>Панама HERMAN арт. CREEK (темно-синий) {navy}</v>
      </c>
    </row>
    <row r="102" spans="1:49" x14ac:dyDescent="0.25">
      <c r="A102" s="110" t="str">
        <f t="shared" ca="1" si="7"/>
        <v>81-036-16</v>
      </c>
      <c r="B102" s="107" t="str">
        <f ca="1">_xlfn.LET(_xlpm.CAPS,0,_xlpm.Style,TRIM(_xlfn.XLOOKUP($A102,Строчный!$A:$A,Строчный!B:B,"ERR",0)),IF(_xlpm.CAPS=0,_xlpm.Style,UPPER(_xlpm.Style)))</f>
        <v>CREEK</v>
      </c>
      <c r="C102" s="81" t="str">
        <f ca="1">TRIM(PROPER(_xlfn.XLOOKUP($A102,Строчный!$A:$A,Строчный!C:C,"ERR",0)))</f>
        <v>Панамы</v>
      </c>
      <c r="D102" s="81" t="str">
        <f ca="1">_xlfn.LET(_xlpm.DATA,TRIM(_xlfn.XLOOKUP($A102,Строчный!$A:$A,Строчный!D:D,"ERR",0)),UPPER(MID(_xlpm.DATA,1,1))&amp;LOWER(MID(_xlpm.DATA,2,LEN(_xlpm.DATA)-1)))</f>
        <v>Панама</v>
      </c>
      <c r="E102" s="81" t="str">
        <f ca="1">PROPER(TRIM(_xlfn.XLOOKUP($A102,Строчный!$A:$A,Строчный!E:E,"ERR",0)))</f>
        <v>Herman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HERMAN</v>
      </c>
      <c r="H102" s="81" t="str">
        <f ca="1">LOWER(TRIM(_xlfn.XLOOKUP($A102,Строчный!$A:$A,Строчный!H:H,"ERR",0)))</f>
        <v>navy</v>
      </c>
      <c r="I102" s="81" t="str">
        <f ca="1">LOWER(TRIM(_xlfn.XLOOKUP($A102,Строчный!$A:$A,Строчный!I:I,"ERR",0)))</f>
        <v>темно-синий</v>
      </c>
      <c r="J102" s="81" t="str">
        <f ca="1">SUBSTITUTE(LOWER(TRIM(_xlfn.XLOOKUP($A102,Строчный!$A:$A,Строчный!J:J,"ERR",0))),"подклад","Подклад")</f>
        <v>100% хлопок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Мужской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812.69999999999993</v>
      </c>
      <c r="R102" s="89" t="str">
        <f ca="1">_xlfn.XLOOKUP($G102,Фабрика!A:A,Фабрика!B:B,"ERR",0)</f>
        <v>Chapellerie Herman S.A.; Rue Jean Meunier, 6, 6922 Wellin, Belgium</v>
      </c>
      <c r="S102" s="80" t="str">
        <f ca="1">_xlfn.XLOOKUP(RIGHT(AA102,2),Размеры!D:D,Размеры!A:A,"ERR",0)</f>
        <v>55</v>
      </c>
      <c r="T102" s="80">
        <f ca="1">VALUE(_xlfn.XLOOKUP($AA102,Строчный!$S:$S,Строчный!U:U,"ERR",0))</f>
        <v>11</v>
      </c>
      <c r="U102" s="14" t="s">
        <v>265</v>
      </c>
      <c r="V102" s="101" t="str">
        <f t="shared" ca="1" si="8"/>
        <v>Панама HERMAN арт. CREEK (темно-синий)</v>
      </c>
      <c r="W102" s="100" t="str">
        <f t="shared" ca="1" si="9"/>
        <v>Панама HERMAN арт. CREEK (темно-синий) {navy}</v>
      </c>
      <c r="X102" s="18" t="str">
        <f t="shared" ca="1" si="10"/>
        <v>синий</v>
      </c>
      <c r="Y102" s="18" t="str">
        <f t="shared" ca="1" si="11"/>
        <v>синий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синий</v>
      </c>
      <c r="AA102" s="73" t="str">
        <f ca="1"/>
        <v>81-036-16-55</v>
      </c>
      <c r="AB102" s="75" t="str">
        <f ca="1">VLOOKUP(C102,Группа!A:B,2,FALSE)</f>
        <v>Панама</v>
      </c>
      <c r="AC102" s="97" t="str">
        <f ca="1">IFERROR(VLOOKUP(S102,Размеры!A:C,3,FALSE),"")</f>
        <v>55 S</v>
      </c>
      <c r="AD102" s="97" t="str">
        <f ca="1">VLOOKUP(I102,ЦветПолный!A:B,2,FALSE)</f>
        <v>16</v>
      </c>
      <c r="AE102" s="97" t="str">
        <f ca="1">IFERROR(VLOOKUP(S102,Размеры!A:D,4,FALSE),"")</f>
        <v>55</v>
      </c>
      <c r="AF102" s="97">
        <f ca="1">IF(LEFT(IFERROR(VLOOKUP(LOOKUP(2,1/SEARCH(B102,Товары!A:A),Товары!A:A),Товары!A:B,2,0),""),6)=MID(AA102,1,6),1,0)</f>
        <v>1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str">
        <f ca="1">IF(VLOOKUP(W102,Товары!A:B,2,FALSE)=A102,"Есть в 1С","ERR")</f>
        <v>Есть в 1С</v>
      </c>
      <c r="AU102" s="65" t="str">
        <f ca="1">IF(VLOOKUP(A102,Товары!B:B,1,FALSE)=A102,"Есть в 1С","ERR")</f>
        <v>Есть в 1С</v>
      </c>
      <c r="AV102" s="96" t="str">
        <f ca="1">VLOOKUP(W102,Товары!A:B,2,FALSE)</f>
        <v>81-036-16</v>
      </c>
      <c r="AW102" s="94" t="str">
        <f ca="1">VLOOKUP(W102,Товары!A:B,1,FALSE)</f>
        <v>Панама HERMAN арт. CREEK (темно-синий) {navy}</v>
      </c>
    </row>
    <row r="103" spans="1:49" x14ac:dyDescent="0.25">
      <c r="A103" s="110" t="str">
        <f t="shared" ca="1" si="7"/>
        <v>81-036-09</v>
      </c>
      <c r="B103" s="107" t="str">
        <f ca="1">_xlfn.LET(_xlpm.CAPS,0,_xlpm.Style,TRIM(_xlfn.XLOOKUP($A103,Строчный!$A:$A,Строчный!B:B,"ERR",0)),IF(_xlpm.CAPS=0,_xlpm.Style,UPPER(_xlpm.Style)))</f>
        <v>CREEK</v>
      </c>
      <c r="C103" s="81" t="str">
        <f ca="1">TRIM(PROPER(_xlfn.XLOOKUP($A103,Строчный!$A:$A,Строчный!C:C,"ERR",0)))</f>
        <v>Панамы</v>
      </c>
      <c r="D103" s="81" t="str">
        <f ca="1">_xlfn.LET(_xlpm.DATA,TRIM(_xlfn.XLOOKUP($A103,Строчный!$A:$A,Строчный!D:D,"ERR",0)),UPPER(MID(_xlpm.DATA,1,1))&amp;LOWER(MID(_xlpm.DATA,2,LEN(_xlpm.DATA)-1)))</f>
        <v>Панама</v>
      </c>
      <c r="E103" s="81" t="str">
        <f ca="1">PROPER(TRIM(_xlfn.XLOOKUP($A103,Строчный!$A:$A,Строчный!E:E,"ERR",0)))</f>
        <v>Herman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HERMAN</v>
      </c>
      <c r="H103" s="81" t="str">
        <f ca="1">LOWER(TRIM(_xlfn.XLOOKUP($A103,Строчный!$A:$A,Строчный!H:H,"ERR",0)))</f>
        <v>black</v>
      </c>
      <c r="I103" s="81" t="str">
        <f ca="1">LOWER(TRIM(_xlfn.XLOOKUP($A103,Строчный!$A:$A,Строчный!I:I,"ERR",0)))</f>
        <v>черный</v>
      </c>
      <c r="J103" s="81" t="str">
        <f ca="1">SUBSTITUTE(LOWER(TRIM(_xlfn.XLOOKUP($A103,Строчный!$A:$A,Строчный!J:J,"ERR",0))),"подклад","Подклад")</f>
        <v>100% хлопок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Мужской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PROPER(TRIM(_xlfn.XLOOKUP($A103,Строчный!$A:$A,Строчный!R:R,"ERR",0)))</f>
        <v/>
      </c>
      <c r="Q103" s="90">
        <f ca="1">VALUE(_xlfn.XLOOKUP($A103,Строчный!$A:$A,Строчный!N:N,"ERR",0))</f>
        <v>812.69999999999993</v>
      </c>
      <c r="R103" s="89" t="str">
        <f ca="1">_xlfn.XLOOKUP($G103,Фабрика!A:A,Фабрика!B:B,"ERR",0)</f>
        <v>Chapellerie Herman S.A.; Rue Jean Meunier, 6, 6922 Wellin, Belgium</v>
      </c>
      <c r="S103" s="80" t="str">
        <f ca="1">_xlfn.XLOOKUP(RIGHT(AA103,2),Размеры!D:D,Размеры!A:A,"ERR",0)</f>
        <v>61</v>
      </c>
      <c r="T103" s="80">
        <f ca="1">VALUE(_xlfn.XLOOKUP($AA103,Строчный!$S:$S,Строчный!U:U,"ERR",0))</f>
        <v>14</v>
      </c>
      <c r="U103" s="14" t="s">
        <v>265</v>
      </c>
      <c r="V103" s="101" t="str">
        <f t="shared" ca="1" si="8"/>
        <v>Панама HERMAN арт. CREEK (черный)</v>
      </c>
      <c r="W103" s="100" t="str">
        <f t="shared" ca="1" si="9"/>
        <v>Панама HERMAN арт. CREEK (черный) {black}</v>
      </c>
      <c r="X103" s="18" t="str">
        <f t="shared" ca="1" si="10"/>
        <v>черный</v>
      </c>
      <c r="Y103" s="18" t="str">
        <f t="shared" ca="1" si="11"/>
        <v>черный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73" t="str">
        <f ca="1"/>
        <v>81-036-09-61</v>
      </c>
      <c r="AB103" s="75" t="str">
        <f ca="1">VLOOKUP(C103,Группа!A:B,2,FALSE)</f>
        <v>Панама</v>
      </c>
      <c r="AC103" s="97" t="str">
        <f ca="1">IFERROR(VLOOKUP(S103,Размеры!A:C,3,FALSE),"")</f>
        <v>61 XL</v>
      </c>
      <c r="AD103" s="97" t="str">
        <f ca="1">VLOOKUP(I103,ЦветПолный!A:B,2,FALSE)</f>
        <v>09</v>
      </c>
      <c r="AE103" s="97" t="str">
        <f ca="1">IFERROR(VLOOKUP(S103,Размеры!A:D,4,FALSE),"")</f>
        <v>61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81-036-09</v>
      </c>
      <c r="AW103" s="94" t="str">
        <f ca="1">VLOOKUP(W103,Товары!A:B,1,FALSE)</f>
        <v>Панама HERMAN арт. CREEK (черный) {black}</v>
      </c>
    </row>
    <row r="104" spans="1:49" x14ac:dyDescent="0.25">
      <c r="A104" s="110" t="str">
        <f t="shared" ca="1" si="7"/>
        <v>81-036-09</v>
      </c>
      <c r="B104" s="107" t="str">
        <f ca="1">_xlfn.LET(_xlpm.CAPS,0,_xlpm.Style,TRIM(_xlfn.XLOOKUP($A104,Строчный!$A:$A,Строчный!B:B,"ERR",0)),IF(_xlpm.CAPS=0,_xlpm.Style,UPPER(_xlpm.Style)))</f>
        <v>CREEK</v>
      </c>
      <c r="C104" s="81" t="str">
        <f ca="1">TRIM(PROPER(_xlfn.XLOOKUP($A104,Строчный!$A:$A,Строчный!C:C,"ERR",0)))</f>
        <v>Панамы</v>
      </c>
      <c r="D104" s="81" t="str">
        <f ca="1">_xlfn.LET(_xlpm.DATA,TRIM(_xlfn.XLOOKUP($A104,Строчный!$A:$A,Строчный!D:D,"ERR",0)),UPPER(MID(_xlpm.DATA,1,1))&amp;LOWER(MID(_xlpm.DATA,2,LEN(_xlpm.DATA)-1)))</f>
        <v>Панама</v>
      </c>
      <c r="E104" s="81" t="str">
        <f ca="1">PROPER(TRIM(_xlfn.XLOOKUP($A104,Строчный!$A:$A,Строчный!E:E,"ERR",0)))</f>
        <v>Herman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HERMAN</v>
      </c>
      <c r="H104" s="81" t="str">
        <f ca="1">LOWER(TRIM(_xlfn.XLOOKUP($A104,Строчный!$A:$A,Строчный!H:H,"ERR",0)))</f>
        <v>black</v>
      </c>
      <c r="I104" s="81" t="str">
        <f ca="1">LOWER(TRIM(_xlfn.XLOOKUP($A104,Строчный!$A:$A,Строчный!I:I,"ERR",0)))</f>
        <v>черный</v>
      </c>
      <c r="J104" s="81" t="str">
        <f ca="1">SUBSTITUTE(LOWER(TRIM(_xlfn.XLOOKUP($A104,Строчный!$A:$A,Строчный!J:J,"ERR",0))),"подклад","Подклад")</f>
        <v>100%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Мужской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PROPER(TRIM(_xlfn.XLOOKUP($A104,Строчный!$A:$A,Строчный!R:R,"ERR",0)))</f>
        <v/>
      </c>
      <c r="Q104" s="90">
        <f ca="1">VALUE(_xlfn.XLOOKUP($A104,Строчный!$A:$A,Строчный!N:N,"ERR",0))</f>
        <v>812.69999999999993</v>
      </c>
      <c r="R104" s="89" t="str">
        <f ca="1">_xlfn.XLOOKUP($G104,Фабрика!A:A,Фабрика!B:B,"ERR",0)</f>
        <v>Chapellerie Herman S.A.; Rue Jean Meunier, 6, 6922 Wellin, Belgium</v>
      </c>
      <c r="S104" s="80" t="str">
        <f ca="1">_xlfn.XLOOKUP(RIGHT(AA104,2),Размеры!D:D,Размеры!A:A,"ERR",0)</f>
        <v>59</v>
      </c>
      <c r="T104" s="80">
        <f ca="1">VALUE(_xlfn.XLOOKUP($AA104,Строчный!$S:$S,Строчный!U:U,"ERR",0))</f>
        <v>31</v>
      </c>
      <c r="U104" s="14" t="s">
        <v>265</v>
      </c>
      <c r="V104" s="101" t="str">
        <f t="shared" ca="1" si="8"/>
        <v>Панама HERMAN арт. CREEK (черный)</v>
      </c>
      <c r="W104" s="100" t="str">
        <f t="shared" ca="1" si="9"/>
        <v>Панама HERMAN арт. CREEK (черный) {black}</v>
      </c>
      <c r="X104" s="18" t="str">
        <f t="shared" ca="1" si="10"/>
        <v>черный</v>
      </c>
      <c r="Y104" s="18" t="str">
        <f t="shared" ca="1" si="11"/>
        <v>черный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черный</v>
      </c>
      <c r="AA104" s="73" t="str">
        <f ca="1"/>
        <v>81-036-09-59</v>
      </c>
      <c r="AB104" s="75" t="str">
        <f ca="1">VLOOKUP(C104,Группа!A:B,2,FALSE)</f>
        <v>Панама</v>
      </c>
      <c r="AC104" s="97" t="str">
        <f ca="1">IFERROR(VLOOKUP(S104,Размеры!A:C,3,FALSE),"")</f>
        <v>59 L</v>
      </c>
      <c r="AD104" s="97" t="str">
        <f ca="1">VLOOKUP(I104,ЦветПолный!A:B,2,FALSE)</f>
        <v>09</v>
      </c>
      <c r="AE104" s="97" t="str">
        <f ca="1">IFERROR(VLOOKUP(S104,Размеры!A:D,4,FALSE),"")</f>
        <v>59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81-036-09</v>
      </c>
      <c r="AW104" s="94" t="str">
        <f ca="1">VLOOKUP(W104,Товары!A:B,1,FALSE)</f>
        <v>Панама HERMAN арт. CREEK (черный) {black}</v>
      </c>
    </row>
    <row r="105" spans="1:49" x14ac:dyDescent="0.25">
      <c r="A105" s="110" t="str">
        <f t="shared" ca="1" si="7"/>
        <v>81-036-09</v>
      </c>
      <c r="B105" s="107" t="str">
        <f ca="1">_xlfn.LET(_xlpm.CAPS,0,_xlpm.Style,TRIM(_xlfn.XLOOKUP($A105,Строчный!$A:$A,Строчный!B:B,"ERR",0)),IF(_xlpm.CAPS=0,_xlpm.Style,UPPER(_xlpm.Style)))</f>
        <v>CREEK</v>
      </c>
      <c r="C105" s="81" t="str">
        <f ca="1">TRIM(PROPER(_xlfn.XLOOKUP($A105,Строчный!$A:$A,Строчный!C:C,"ERR",0)))</f>
        <v>Панамы</v>
      </c>
      <c r="D105" s="81" t="str">
        <f ca="1">_xlfn.LET(_xlpm.DATA,TRIM(_xlfn.XLOOKUP($A105,Строчный!$A:$A,Строчный!D:D,"ERR",0)),UPPER(MID(_xlpm.DATA,1,1))&amp;LOWER(MID(_xlpm.DATA,2,LEN(_xlpm.DATA)-1)))</f>
        <v>Панама</v>
      </c>
      <c r="E105" s="81" t="str">
        <f ca="1">PROPER(TRIM(_xlfn.XLOOKUP($A105,Строчный!$A:$A,Строчный!E:E,"ERR",0)))</f>
        <v>Herman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HERMAN</v>
      </c>
      <c r="H105" s="81" t="str">
        <f ca="1">LOWER(TRIM(_xlfn.XLOOKUP($A105,Строчный!$A:$A,Строчный!H:H,"ERR",0)))</f>
        <v>black</v>
      </c>
      <c r="I105" s="81" t="str">
        <f ca="1">LOWER(TRIM(_xlfn.XLOOKUP($A105,Строчный!$A:$A,Строчный!I:I,"ERR",0)))</f>
        <v>черный</v>
      </c>
      <c r="J105" s="81" t="str">
        <f ca="1">SUBSTITUTE(LOWER(TRIM(_xlfn.XLOOKUP($A105,Строчный!$A:$A,Строчный!J:J,"ERR",0))),"подклад","Подклад")</f>
        <v>100%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Мужской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812.69999999999993</v>
      </c>
      <c r="R105" s="89" t="str">
        <f ca="1">_xlfn.XLOOKUP($G105,Фабрика!A:A,Фабрика!B:B,"ERR",0)</f>
        <v>Chapellerie Herman S.A.; Rue Jean Meunier, 6, 6922 Wellin, Belgium</v>
      </c>
      <c r="S105" s="80" t="str">
        <f ca="1">_xlfn.XLOOKUP(RIGHT(AA105,2),Размеры!D:D,Размеры!A:A,"ERR",0)</f>
        <v>57</v>
      </c>
      <c r="T105" s="80">
        <f ca="1">VALUE(_xlfn.XLOOKUP($AA105,Строчный!$S:$S,Строчный!U:U,"ERR",0))</f>
        <v>30</v>
      </c>
      <c r="U105" s="14" t="s">
        <v>265</v>
      </c>
      <c r="V105" s="101" t="str">
        <f t="shared" ca="1" si="8"/>
        <v>Панама HERMAN арт. CREEK (черный)</v>
      </c>
      <c r="W105" s="100" t="str">
        <f t="shared" ca="1" si="9"/>
        <v>Панама HERMAN арт. CREEK (черный) {black}</v>
      </c>
      <c r="X105" s="18" t="str">
        <f t="shared" ca="1" si="10"/>
        <v>черный</v>
      </c>
      <c r="Y105" s="18" t="str">
        <f t="shared" ca="1" si="11"/>
        <v>черный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черный</v>
      </c>
      <c r="AA105" s="73" t="str">
        <f ca="1"/>
        <v>81-036-09-57</v>
      </c>
      <c r="AB105" s="75" t="str">
        <f ca="1">VLOOKUP(C105,Группа!A:B,2,FALSE)</f>
        <v>Панама</v>
      </c>
      <c r="AC105" s="97" t="str">
        <f ca="1">IFERROR(VLOOKUP(S105,Размеры!A:C,3,FALSE),"")</f>
        <v>57 M</v>
      </c>
      <c r="AD105" s="97" t="str">
        <f ca="1">VLOOKUP(I105,ЦветПолный!A:B,2,FALSE)</f>
        <v>09</v>
      </c>
      <c r="AE105" s="97" t="str">
        <f ca="1">IFERROR(VLOOKUP(S105,Размеры!A:D,4,FALSE),"")</f>
        <v>57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str">
        <f ca="1">IF(VLOOKUP(W105,Товары!A:B,2,FALSE)=A105,"Есть в 1С","ERR")</f>
        <v>Есть в 1С</v>
      </c>
      <c r="AU105" s="65" t="str">
        <f ca="1">IF(VLOOKUP(A105,Товары!B:B,1,FALSE)=A105,"Есть в 1С","ERR")</f>
        <v>Есть в 1С</v>
      </c>
      <c r="AV105" s="96" t="str">
        <f ca="1">VLOOKUP(W105,Товары!A:B,2,FALSE)</f>
        <v>81-036-09</v>
      </c>
      <c r="AW105" s="94" t="str">
        <f ca="1">VLOOKUP(W105,Товары!A:B,1,FALSE)</f>
        <v>Панама HERMAN арт. CREEK (черный) {black}</v>
      </c>
    </row>
    <row r="106" spans="1:49" x14ac:dyDescent="0.25">
      <c r="A106" s="110" t="str">
        <f t="shared" ca="1" si="7"/>
        <v>81-036-09</v>
      </c>
      <c r="B106" s="107" t="str">
        <f ca="1">_xlfn.LET(_xlpm.CAPS,0,_xlpm.Style,TRIM(_xlfn.XLOOKUP($A106,Строчный!$A:$A,Строчный!B:B,"ERR",0)),IF(_xlpm.CAPS=0,_xlpm.Style,UPPER(_xlpm.Style)))</f>
        <v>CREEK</v>
      </c>
      <c r="C106" s="81" t="str">
        <f ca="1">TRIM(PROPER(_xlfn.XLOOKUP($A106,Строчный!$A:$A,Строчный!C:C,"ERR",0)))</f>
        <v>Панамы</v>
      </c>
      <c r="D106" s="81" t="str">
        <f ca="1">_xlfn.LET(_xlpm.DATA,TRIM(_xlfn.XLOOKUP($A106,Строчный!$A:$A,Строчный!D:D,"ERR",0)),UPPER(MID(_xlpm.DATA,1,1))&amp;LOWER(MID(_xlpm.DATA,2,LEN(_xlpm.DATA)-1)))</f>
        <v>Панама</v>
      </c>
      <c r="E106" s="81" t="str">
        <f ca="1">PROPER(TRIM(_xlfn.XLOOKUP($A106,Строчный!$A:$A,Строчный!E:E,"ERR",0)))</f>
        <v>Herman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HERMAN</v>
      </c>
      <c r="H106" s="81" t="str">
        <f ca="1">LOWER(TRIM(_xlfn.XLOOKUP($A106,Строчный!$A:$A,Строчный!H:H,"ERR",0)))</f>
        <v>black</v>
      </c>
      <c r="I106" s="81" t="str">
        <f ca="1">LOWER(TRIM(_xlfn.XLOOKUP($A106,Строчный!$A:$A,Строчный!I:I,"ERR",0)))</f>
        <v>черный</v>
      </c>
      <c r="J106" s="81" t="str">
        <f ca="1">SUBSTITUTE(LOWER(TRIM(_xlfn.XLOOKUP($A106,Строчный!$A:$A,Строчный!J:J,"ERR",0))),"подклад","Подклад")</f>
        <v>100% хлопок</v>
      </c>
      <c r="K106" s="81" t="str">
        <f ca="1">LOWER(TRIM(_xlfn.XLOOKUP($A106,Строчный!$A:$A,Строчный!K:K,"ERR",0)))</f>
        <v>хлопковые</v>
      </c>
      <c r="L106" s="81" t="str">
        <f ca="1">PROPER(TRIM(_xlfn.XLOOKUP($A106,Строчный!$A:$A,Строчный!L:L,"ERR",0)))</f>
        <v>Мужской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812.69999999999993</v>
      </c>
      <c r="R106" s="89" t="str">
        <f ca="1">_xlfn.XLOOKUP($G106,Фабрика!A:A,Фабрика!B:B,"ERR",0)</f>
        <v>Chapellerie Herman S.A.; Rue Jean Meunier, 6, 6922 Wellin, Belgium</v>
      </c>
      <c r="S106" s="80" t="str">
        <f ca="1">_xlfn.XLOOKUP(RIGHT(AA106,2),Размеры!D:D,Размеры!A:A,"ERR",0)</f>
        <v>55</v>
      </c>
      <c r="T106" s="80">
        <f ca="1">VALUE(_xlfn.XLOOKUP($AA106,Строчный!$S:$S,Строчный!U:U,"ERR",0))</f>
        <v>10</v>
      </c>
      <c r="U106" s="14" t="s">
        <v>265</v>
      </c>
      <c r="V106" s="101" t="str">
        <f t="shared" ca="1" si="8"/>
        <v>Панама HERMAN арт. CREEK (черный)</v>
      </c>
      <c r="W106" s="100" t="str">
        <f t="shared" ca="1" si="9"/>
        <v>Панама HERMAN арт. CREEK (черный) {black}</v>
      </c>
      <c r="X106" s="18" t="str">
        <f t="shared" ca="1" si="10"/>
        <v>черный</v>
      </c>
      <c r="Y106" s="18" t="str">
        <f t="shared" ca="1" si="11"/>
        <v>черный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3" t="str">
        <f ca="1"/>
        <v>81-036-09-55</v>
      </c>
      <c r="AB106" s="75" t="str">
        <f ca="1">VLOOKUP(C106,Группа!A:B,2,FALSE)</f>
        <v>Панама</v>
      </c>
      <c r="AC106" s="97" t="str">
        <f ca="1">IFERROR(VLOOKUP(S106,Размеры!A:C,3,FALSE),"")</f>
        <v>55 S</v>
      </c>
      <c r="AD106" s="97" t="str">
        <f ca="1">VLOOKUP(I106,ЦветПолный!A:B,2,FALSE)</f>
        <v>09</v>
      </c>
      <c r="AE106" s="97" t="str">
        <f ca="1">IFERROR(VLOOKUP(S106,Размеры!A:D,4,FALSE),"")</f>
        <v>55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81-036-09</v>
      </c>
      <c r="AW106" s="94" t="str">
        <f ca="1">VLOOKUP(W106,Товары!A:B,1,FALSE)</f>
        <v>Панама HERMAN арт. CREEK (черный) {black}</v>
      </c>
    </row>
    <row r="107" spans="1:49" x14ac:dyDescent="0.25">
      <c r="A107" s="110" t="str">
        <f t="shared" ca="1" si="7"/>
        <v>81-036-08</v>
      </c>
      <c r="B107" s="107" t="str">
        <f ca="1">_xlfn.LET(_xlpm.CAPS,0,_xlpm.Style,TRIM(_xlfn.XLOOKUP($A107,Строчный!$A:$A,Строчный!B:B,"ERR",0)),IF(_xlpm.CAPS=0,_xlpm.Style,UPPER(_xlpm.Style)))</f>
        <v>CREEK</v>
      </c>
      <c r="C107" s="81" t="str">
        <f ca="1">TRIM(PROPER(_xlfn.XLOOKUP($A107,Строчный!$A:$A,Строчный!C:C,"ERR",0)))</f>
        <v>Панамы</v>
      </c>
      <c r="D107" s="81" t="str">
        <f ca="1">_xlfn.LET(_xlpm.DATA,TRIM(_xlfn.XLOOKUP($A107,Строчный!$A:$A,Строчный!D:D,"ERR",0)),UPPER(MID(_xlpm.DATA,1,1))&amp;LOWER(MID(_xlpm.DATA,2,LEN(_xlpm.DATA)-1)))</f>
        <v>Панама</v>
      </c>
      <c r="E107" s="81" t="str">
        <f ca="1">PROPER(TRIM(_xlfn.XLOOKUP($A107,Строчный!$A:$A,Строчный!E:E,"ERR",0)))</f>
        <v>Herman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HERMAN</v>
      </c>
      <c r="H107" s="81" t="str">
        <f ca="1">LOWER(TRIM(_xlfn.XLOOKUP($A107,Строчный!$A:$A,Строчный!H:H,"ERR",0)))</f>
        <v>grey</v>
      </c>
      <c r="I107" s="81" t="str">
        <f ca="1">LOWER(TRIM(_xlfn.XLOOKUP($A107,Строчный!$A:$A,Строчный!I:I,"ERR",0)))</f>
        <v>серый</v>
      </c>
      <c r="J107" s="81" t="str">
        <f ca="1">SUBSTITUTE(LOWER(TRIM(_xlfn.XLOOKUP($A107,Строчный!$A:$A,Строчный!J:J,"ERR",0))),"подклад","Подклад")</f>
        <v>100% хлопок</v>
      </c>
      <c r="K107" s="81" t="str">
        <f ca="1">LOWER(TRIM(_xlfn.XLOOKUP($A107,Строчный!$A:$A,Строчный!K:K,"ERR",0)))</f>
        <v>хлопковые</v>
      </c>
      <c r="L107" s="81" t="str">
        <f ca="1">PROPER(TRIM(_xlfn.XLOOKUP($A107,Строчный!$A:$A,Строчный!L:L,"ERR",0)))</f>
        <v>Мужской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812.69999999999993</v>
      </c>
      <c r="R107" s="89" t="str">
        <f ca="1">_xlfn.XLOOKUP($G107,Фабрика!A:A,Фабрика!B:B,"ERR",0)</f>
        <v>Chapellerie Herman S.A.; Rue Jean Meunier, 6, 6922 Wellin, Belgium</v>
      </c>
      <c r="S107" s="80" t="str">
        <f ca="1">_xlfn.XLOOKUP(RIGHT(AA107,2),Размеры!D:D,Размеры!A:A,"ERR",0)</f>
        <v>61</v>
      </c>
      <c r="T107" s="80">
        <f ca="1">VALUE(_xlfn.XLOOKUP($AA107,Строчный!$S:$S,Строчный!U:U,"ERR",0))</f>
        <v>7</v>
      </c>
      <c r="U107" s="14" t="s">
        <v>265</v>
      </c>
      <c r="V107" s="101" t="str">
        <f t="shared" ca="1" si="8"/>
        <v>Панама HERMAN арт. CREEK (серый)</v>
      </c>
      <c r="W107" s="100" t="str">
        <f t="shared" ca="1" si="9"/>
        <v>Панама HERMAN арт. CREEK (серый) {grey}</v>
      </c>
      <c r="X107" s="18" t="str">
        <f t="shared" ca="1" si="10"/>
        <v>серый</v>
      </c>
      <c r="Y107" s="18" t="str">
        <f t="shared" ca="1" si="11"/>
        <v>серый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серый</v>
      </c>
      <c r="AA107" s="73" t="str">
        <f ca="1"/>
        <v>81-036-08-61</v>
      </c>
      <c r="AB107" s="75" t="str">
        <f ca="1">VLOOKUP(C107,Группа!A:B,2,FALSE)</f>
        <v>Панама</v>
      </c>
      <c r="AC107" s="97" t="str">
        <f ca="1">IFERROR(VLOOKUP(S107,Размеры!A:C,3,FALSE),"")</f>
        <v>61 XL</v>
      </c>
      <c r="AD107" s="97" t="str">
        <f ca="1">VLOOKUP(I107,ЦветПолный!A:B,2,FALSE)</f>
        <v>80</v>
      </c>
      <c r="AE107" s="97" t="str">
        <f ca="1">IFERROR(VLOOKUP(S107,Размеры!A:D,4,FALSE),"")</f>
        <v>61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81-036-08</v>
      </c>
      <c r="AW107" s="94" t="str">
        <f ca="1">VLOOKUP(W107,Товары!A:B,1,FALSE)</f>
        <v>Панама HERMAN арт. CREEK (серый) {grey}</v>
      </c>
    </row>
    <row r="108" spans="1:49" x14ac:dyDescent="0.25">
      <c r="A108" s="110" t="str">
        <f t="shared" ca="1" si="7"/>
        <v>81-036-08</v>
      </c>
      <c r="B108" s="107" t="str">
        <f ca="1">_xlfn.LET(_xlpm.CAPS,0,_xlpm.Style,TRIM(_xlfn.XLOOKUP($A108,Строчный!$A:$A,Строчный!B:B,"ERR",0)),IF(_xlpm.CAPS=0,_xlpm.Style,UPPER(_xlpm.Style)))</f>
        <v>CREEK</v>
      </c>
      <c r="C108" s="81" t="str">
        <f ca="1">TRIM(PROPER(_xlfn.XLOOKUP($A108,Строчный!$A:$A,Строчный!C:C,"ERR",0)))</f>
        <v>Панамы</v>
      </c>
      <c r="D108" s="81" t="str">
        <f ca="1">_xlfn.LET(_xlpm.DATA,TRIM(_xlfn.XLOOKUP($A108,Строчный!$A:$A,Строчный!D:D,"ERR",0)),UPPER(MID(_xlpm.DATA,1,1))&amp;LOWER(MID(_xlpm.DATA,2,LEN(_xlpm.DATA)-1)))</f>
        <v>Панама</v>
      </c>
      <c r="E108" s="81" t="str">
        <f ca="1">PROPER(TRIM(_xlfn.XLOOKUP($A108,Строчный!$A:$A,Строчный!E:E,"ERR",0)))</f>
        <v>Herman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HERMAN</v>
      </c>
      <c r="H108" s="81" t="str">
        <f ca="1">LOWER(TRIM(_xlfn.XLOOKUP($A108,Строчный!$A:$A,Строчный!H:H,"ERR",0)))</f>
        <v>grey</v>
      </c>
      <c r="I108" s="81" t="str">
        <f ca="1">LOWER(TRIM(_xlfn.XLOOKUP($A108,Строчный!$A:$A,Строчный!I:I,"ERR",0)))</f>
        <v>серый</v>
      </c>
      <c r="J108" s="81" t="str">
        <f ca="1">SUBSTITUTE(LOWER(TRIM(_xlfn.XLOOKUP($A108,Строчный!$A:$A,Строчный!J:J,"ERR",0))),"подклад","Подклад")</f>
        <v>100% хлопок</v>
      </c>
      <c r="K108" s="81" t="str">
        <f ca="1">LOWER(TRIM(_xlfn.XLOOKUP($A108,Строчный!$A:$A,Строчный!K:K,"ERR",0)))</f>
        <v>хлопковые</v>
      </c>
      <c r="L108" s="81" t="str">
        <f ca="1">PROPER(TRIM(_xlfn.XLOOKUP($A108,Строчный!$A:$A,Строчный!L:L,"ERR",0)))</f>
        <v>Мужской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812.69999999999993</v>
      </c>
      <c r="R108" s="89" t="str">
        <f ca="1">_xlfn.XLOOKUP($G108,Фабрика!A:A,Фабрика!B:B,"ERR",0)</f>
        <v>Chapellerie Herman S.A.; Rue Jean Meunier, 6, 6922 Wellin, Belgium</v>
      </c>
      <c r="S108" s="80" t="str">
        <f ca="1">_xlfn.XLOOKUP(RIGHT(AA108,2),Размеры!D:D,Размеры!A:A,"ERR",0)</f>
        <v>59</v>
      </c>
      <c r="T108" s="80">
        <f ca="1">VALUE(_xlfn.XLOOKUP($AA108,Строчный!$S:$S,Строчный!U:U,"ERR",0))</f>
        <v>32</v>
      </c>
      <c r="U108" s="14" t="s">
        <v>265</v>
      </c>
      <c r="V108" s="101" t="str">
        <f t="shared" ca="1" si="8"/>
        <v>Панама HERMAN арт. CREEK (серый)</v>
      </c>
      <c r="W108" s="100" t="str">
        <f t="shared" ca="1" si="9"/>
        <v>Панама HERMAN арт. CREEK (серый) {grey}</v>
      </c>
      <c r="X108" s="18" t="str">
        <f t="shared" ca="1" si="10"/>
        <v>серый</v>
      </c>
      <c r="Y108" s="18" t="str">
        <f t="shared" ca="1" si="11"/>
        <v>серый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серый</v>
      </c>
      <c r="AA108" s="73" t="str">
        <f ca="1"/>
        <v>81-036-08-59</v>
      </c>
      <c r="AB108" s="75" t="str">
        <f ca="1">VLOOKUP(C108,Группа!A:B,2,FALSE)</f>
        <v>Панама</v>
      </c>
      <c r="AC108" s="97" t="str">
        <f ca="1">IFERROR(VLOOKUP(S108,Размеры!A:C,3,FALSE),"")</f>
        <v>59 L</v>
      </c>
      <c r="AD108" s="97" t="str">
        <f ca="1">VLOOKUP(I108,ЦветПолный!A:B,2,FALSE)</f>
        <v>80</v>
      </c>
      <c r="AE108" s="97" t="str">
        <f ca="1">IFERROR(VLOOKUP(S108,Размеры!A:D,4,FALSE),"")</f>
        <v>59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81-036-08</v>
      </c>
      <c r="AW108" s="94" t="str">
        <f ca="1">VLOOKUP(W108,Товары!A:B,1,FALSE)</f>
        <v>Панама HERMAN арт. CREEK (серый) {grey}</v>
      </c>
    </row>
    <row r="109" spans="1:49" x14ac:dyDescent="0.25">
      <c r="A109" s="110" t="str">
        <f t="shared" ca="1" si="7"/>
        <v>81-036-08</v>
      </c>
      <c r="B109" s="107" t="str">
        <f ca="1">_xlfn.LET(_xlpm.CAPS,0,_xlpm.Style,TRIM(_xlfn.XLOOKUP($A109,Строчный!$A:$A,Строчный!B:B,"ERR",0)),IF(_xlpm.CAPS=0,_xlpm.Style,UPPER(_xlpm.Style)))</f>
        <v>CREEK</v>
      </c>
      <c r="C109" s="81" t="str">
        <f ca="1">TRIM(PROPER(_xlfn.XLOOKUP($A109,Строчный!$A:$A,Строчный!C:C,"ERR",0)))</f>
        <v>Панамы</v>
      </c>
      <c r="D109" s="81" t="str">
        <f ca="1">_xlfn.LET(_xlpm.DATA,TRIM(_xlfn.XLOOKUP($A109,Строчный!$A:$A,Строчный!D:D,"ERR",0)),UPPER(MID(_xlpm.DATA,1,1))&amp;LOWER(MID(_xlpm.DATA,2,LEN(_xlpm.DATA)-1)))</f>
        <v>Панама</v>
      </c>
      <c r="E109" s="81" t="str">
        <f ca="1">PROPER(TRIM(_xlfn.XLOOKUP($A109,Строчный!$A:$A,Строчный!E:E,"ERR",0)))</f>
        <v>Herman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HERMAN</v>
      </c>
      <c r="H109" s="81" t="str">
        <f ca="1">LOWER(TRIM(_xlfn.XLOOKUP($A109,Строчный!$A:$A,Строчный!H:H,"ERR",0)))</f>
        <v>grey</v>
      </c>
      <c r="I109" s="81" t="str">
        <f ca="1">LOWER(TRIM(_xlfn.XLOOKUP($A109,Строчный!$A:$A,Строчный!I:I,"ERR",0)))</f>
        <v>серый</v>
      </c>
      <c r="J109" s="81" t="str">
        <f ca="1">SUBSTITUTE(LOWER(TRIM(_xlfn.XLOOKUP($A109,Строчный!$A:$A,Строчный!J:J,"ERR",0))),"подклад","Подклад")</f>
        <v>100% хлопок</v>
      </c>
      <c r="K109" s="81" t="str">
        <f ca="1">LOWER(TRIM(_xlfn.XLOOKUP($A109,Строчный!$A:$A,Строчный!K:K,"ERR",0)))</f>
        <v>хлопковые</v>
      </c>
      <c r="L109" s="81" t="str">
        <f ca="1">PROPER(TRIM(_xlfn.XLOOKUP($A109,Строчный!$A:$A,Строчный!L:L,"ERR",0)))</f>
        <v>Мужской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PROPER(TRIM(_xlfn.XLOOKUP($A109,Строчный!$A:$A,Строчный!R:R,"ERR",0)))</f>
        <v/>
      </c>
      <c r="Q109" s="90">
        <f ca="1">VALUE(_xlfn.XLOOKUP($A109,Строчный!$A:$A,Строчный!N:N,"ERR",0))</f>
        <v>812.69999999999993</v>
      </c>
      <c r="R109" s="89" t="str">
        <f ca="1">_xlfn.XLOOKUP($G109,Фабрика!A:A,Фабрика!B:B,"ERR",0)</f>
        <v>Chapellerie Herman S.A.; Rue Jean Meunier, 6, 6922 Wellin, Belgium</v>
      </c>
      <c r="S109" s="80" t="str">
        <f ca="1">_xlfn.XLOOKUP(RIGHT(AA109,2),Размеры!D:D,Размеры!A:A,"ERR",0)</f>
        <v>57</v>
      </c>
      <c r="T109" s="80">
        <f ca="1">VALUE(_xlfn.XLOOKUP($AA109,Строчный!$S:$S,Строчный!U:U,"ERR",0))</f>
        <v>27</v>
      </c>
      <c r="U109" s="14" t="s">
        <v>265</v>
      </c>
      <c r="V109" s="101" t="str">
        <f t="shared" ca="1" si="8"/>
        <v>Панама HERMAN арт. CREEK (серый)</v>
      </c>
      <c r="W109" s="100" t="str">
        <f t="shared" ca="1" si="9"/>
        <v>Панама HERMAN арт. CREEK (серый) {grey}</v>
      </c>
      <c r="X109" s="18" t="str">
        <f t="shared" ca="1" si="10"/>
        <v>серый</v>
      </c>
      <c r="Y109" s="18" t="str">
        <f t="shared" ca="1" si="11"/>
        <v>серый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серый</v>
      </c>
      <c r="AA109" s="73" t="str">
        <f ca="1"/>
        <v>81-036-08-57</v>
      </c>
      <c r="AB109" s="75" t="str">
        <f ca="1">VLOOKUP(C109,Группа!A:B,2,FALSE)</f>
        <v>Панама</v>
      </c>
      <c r="AC109" s="97" t="str">
        <f ca="1">IFERROR(VLOOKUP(S109,Размеры!A:C,3,FALSE),"")</f>
        <v>57 M</v>
      </c>
      <c r="AD109" s="97" t="str">
        <f ca="1">VLOOKUP(I109,ЦветПолный!A:B,2,FALSE)</f>
        <v>80</v>
      </c>
      <c r="AE109" s="97" t="str">
        <f ca="1">IFERROR(VLOOKUP(S109,Размеры!A:D,4,FALSE),"")</f>
        <v>57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81-036-08</v>
      </c>
      <c r="AW109" s="94" t="str">
        <f ca="1">VLOOKUP(W109,Товары!A:B,1,FALSE)</f>
        <v>Панама HERMAN арт. CREEK (серый) {grey}</v>
      </c>
    </row>
    <row r="110" spans="1:49" x14ac:dyDescent="0.25">
      <c r="A110" s="110" t="str">
        <f t="shared" ca="1" si="7"/>
        <v>81-036-08</v>
      </c>
      <c r="B110" s="107" t="str">
        <f ca="1">_xlfn.LET(_xlpm.CAPS,0,_xlpm.Style,TRIM(_xlfn.XLOOKUP($A110,Строчный!$A:$A,Строчный!B:B,"ERR",0)),IF(_xlpm.CAPS=0,_xlpm.Style,UPPER(_xlpm.Style)))</f>
        <v>CREEK</v>
      </c>
      <c r="C110" s="81" t="str">
        <f ca="1">TRIM(PROPER(_xlfn.XLOOKUP($A110,Строчный!$A:$A,Строчный!C:C,"ERR",0)))</f>
        <v>Панамы</v>
      </c>
      <c r="D110" s="81" t="str">
        <f ca="1">_xlfn.LET(_xlpm.DATA,TRIM(_xlfn.XLOOKUP($A110,Строчный!$A:$A,Строчный!D:D,"ERR",0)),UPPER(MID(_xlpm.DATA,1,1))&amp;LOWER(MID(_xlpm.DATA,2,LEN(_xlpm.DATA)-1)))</f>
        <v>Панама</v>
      </c>
      <c r="E110" s="81" t="str">
        <f ca="1">PROPER(TRIM(_xlfn.XLOOKUP($A110,Строчный!$A:$A,Строчный!E:E,"ERR",0)))</f>
        <v>Herman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HERMAN</v>
      </c>
      <c r="H110" s="81" t="str">
        <f ca="1">LOWER(TRIM(_xlfn.XLOOKUP($A110,Строчный!$A:$A,Строчный!H:H,"ERR",0)))</f>
        <v>grey</v>
      </c>
      <c r="I110" s="81" t="str">
        <f ca="1">LOWER(TRIM(_xlfn.XLOOKUP($A110,Строчный!$A:$A,Строчный!I:I,"ERR",0)))</f>
        <v>серый</v>
      </c>
      <c r="J110" s="81" t="str">
        <f ca="1">SUBSTITUTE(LOWER(TRIM(_xlfn.XLOOKUP($A110,Строчный!$A:$A,Строчный!J:J,"ERR",0))),"подклад","Подклад")</f>
        <v>100% хлопок</v>
      </c>
      <c r="K110" s="81" t="str">
        <f ca="1">LOWER(TRIM(_xlfn.XLOOKUP($A110,Строчный!$A:$A,Строчный!K:K,"ERR",0)))</f>
        <v>хлопковые</v>
      </c>
      <c r="L110" s="81" t="str">
        <f ca="1">PROPER(TRIM(_xlfn.XLOOKUP($A110,Строчный!$A:$A,Строчный!L:L,"ERR",0)))</f>
        <v>Мужской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812.69999999999993</v>
      </c>
      <c r="R110" s="89" t="str">
        <f ca="1">_xlfn.XLOOKUP($G110,Фабрика!A:A,Фабрика!B:B,"ERR",0)</f>
        <v>Chapellerie Herman S.A.; Rue Jean Meunier, 6, 6922 Wellin, Belgium</v>
      </c>
      <c r="S110" s="80" t="str">
        <f ca="1">_xlfn.XLOOKUP(RIGHT(AA110,2),Размеры!D:D,Размеры!A:A,"ERR",0)</f>
        <v>55</v>
      </c>
      <c r="T110" s="80">
        <f ca="1">VALUE(_xlfn.XLOOKUP($AA110,Строчный!$S:$S,Строчный!U:U,"ERR",0))</f>
        <v>10</v>
      </c>
      <c r="U110" s="14" t="s">
        <v>265</v>
      </c>
      <c r="V110" s="101" t="str">
        <f t="shared" ca="1" si="8"/>
        <v>Панама HERMAN арт. CREEK (серый)</v>
      </c>
      <c r="W110" s="100" t="str">
        <f t="shared" ca="1" si="9"/>
        <v>Панама HERMAN арт. CREEK (серый) {grey}</v>
      </c>
      <c r="X110" s="18" t="str">
        <f t="shared" ca="1" si="10"/>
        <v>серый</v>
      </c>
      <c r="Y110" s="18" t="str">
        <f t="shared" ca="1" si="11"/>
        <v>серый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серый</v>
      </c>
      <c r="AA110" s="73" t="str">
        <f ca="1"/>
        <v>81-036-08-55</v>
      </c>
      <c r="AB110" s="75" t="str">
        <f ca="1">VLOOKUP(C110,Группа!A:B,2,FALSE)</f>
        <v>Панама</v>
      </c>
      <c r="AC110" s="97" t="str">
        <f ca="1">IFERROR(VLOOKUP(S110,Размеры!A:C,3,FALSE),"")</f>
        <v>55 S</v>
      </c>
      <c r="AD110" s="97" t="str">
        <f ca="1">VLOOKUP(I110,ЦветПолный!A:B,2,FALSE)</f>
        <v>80</v>
      </c>
      <c r="AE110" s="97" t="str">
        <f ca="1">IFERROR(VLOOKUP(S110,Размеры!A:D,4,FALSE),"")</f>
        <v>55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str">
        <f ca="1">IF(VLOOKUP(W110,Товары!A:B,2,FALSE)=A110,"Есть в 1С","ERR")</f>
        <v>Есть в 1С</v>
      </c>
      <c r="AU110" s="65" t="str">
        <f ca="1">IF(VLOOKUP(A110,Товары!B:B,1,FALSE)=A110,"Есть в 1С","ERR")</f>
        <v>Есть в 1С</v>
      </c>
      <c r="AV110" s="96" t="str">
        <f ca="1">VLOOKUP(W110,Товары!A:B,2,FALSE)</f>
        <v>81-036-08</v>
      </c>
      <c r="AW110" s="94" t="str">
        <f ca="1">VLOOKUP(W110,Товары!A:B,1,FALSE)</f>
        <v>Панама HERMAN арт. CREEK (серый) {grey}</v>
      </c>
    </row>
    <row r="111" spans="1:49" x14ac:dyDescent="0.25">
      <c r="A111" s="110" t="str">
        <f t="shared" ca="1" si="7"/>
        <v>81-023-14</v>
      </c>
      <c r="B111" s="107" t="str">
        <f ca="1">_xlfn.LET(_xlpm.CAPS,0,_xlpm.Style,TRIM(_xlfn.XLOOKUP($A111,Строчный!$A:$A,Строчный!B:B,"ERR",0)),IF(_xlpm.CAPS=0,_xlpm.Style,UPPER(_xlpm.Style)))</f>
        <v>MAC LORCA</v>
      </c>
      <c r="C111" s="81" t="str">
        <f ca="1">TRIM(PROPER(_xlfn.XLOOKUP($A111,Строчный!$A:$A,Строчный!C:C,"ERR",0)))</f>
        <v>Шляпы</v>
      </c>
      <c r="D111" s="81" t="str">
        <f ca="1">_xlfn.LET(_xlpm.DATA,TRIM(_xlfn.XLOOKUP($A111,Строчный!$A:$A,Строчный!D:D,"ERR",0)),UPPER(MID(_xlpm.DATA,1,1))&amp;LOWER(MID(_xlpm.DATA,2,LEN(_xlpm.DATA)-1)))</f>
        <v>Шляпа федора</v>
      </c>
      <c r="E111" s="81" t="str">
        <f ca="1">PROPER(TRIM(_xlfn.XLOOKUP($A111,Строчный!$A:$A,Строчный!E:E,"ERR",0)))</f>
        <v>Herman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HERMAN</v>
      </c>
      <c r="H111" s="81" t="str">
        <f ca="1">LOWER(TRIM(_xlfn.XLOOKUP($A111,Строчный!$A:$A,Строчный!H:H,"ERR",0)))</f>
        <v>brown</v>
      </c>
      <c r="I111" s="81" t="str">
        <f ca="1">LOWER(TRIM(_xlfn.XLOOKUP($A111,Строчный!$A:$A,Строчный!I:I,"ERR",0)))</f>
        <v>коричневый</v>
      </c>
      <c r="J111" s="81" t="str">
        <f ca="1">SUBSTITUTE(LOWER(TRIM(_xlfn.XLOOKUP($A111,Строчный!$A:$A,Строчный!J:J,"ERR",0))),"подклад","Подклад")</f>
        <v>100% шерсть</v>
      </c>
      <c r="K111" s="81" t="str">
        <f ca="1">LOWER(TRIM(_xlfn.XLOOKUP($A111,Строчный!$A:$A,Строчный!K:K,"ERR",0)))</f>
        <v>фетровые</v>
      </c>
      <c r="L111" s="81" t="str">
        <f ca="1">PROPER(TRIM(_xlfn.XLOOKUP($A111,Строчный!$A:$A,Строчный!L:L,"ERR",0)))</f>
        <v>Мужской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PROPER(TRIM(_xlfn.XLOOKUP($A111,Строчный!$A:$A,Строчный!R:R,"ERR",0)))</f>
        <v/>
      </c>
      <c r="Q111" s="90">
        <f ca="1">VALUE(_xlfn.XLOOKUP($A111,Строчный!$A:$A,Строчный!N:N,"ERR",0))</f>
        <v>1457.1000000000001</v>
      </c>
      <c r="R111" s="89" t="str">
        <f ca="1">_xlfn.XLOOKUP($G111,Фабрика!A:A,Фабрика!B:B,"ERR",0)</f>
        <v>Chapellerie Herman S.A.; Rue Jean Meunier, 6, 6922 Wellin, Belgium</v>
      </c>
      <c r="S111" s="80" t="str">
        <f ca="1">_xlfn.XLOOKUP(RIGHT(AA111,2),Размеры!D:D,Размеры!A:A,"ERR",0)</f>
        <v>61</v>
      </c>
      <c r="T111" s="80">
        <f ca="1">VALUE(_xlfn.XLOOKUP($AA111,Строчный!$S:$S,Строчный!U:U,"ERR",0))</f>
        <v>9</v>
      </c>
      <c r="U111" s="14" t="s">
        <v>265</v>
      </c>
      <c r="V111" s="101" t="str">
        <f t="shared" ca="1" si="8"/>
        <v>Шляпа HERMAN арт. MAC LORCA (коричневый)</v>
      </c>
      <c r="W111" s="100" t="str">
        <f t="shared" ca="1" si="9"/>
        <v>Шляпа HERMAN арт. MAC LORCA (коричневый) {brown}</v>
      </c>
      <c r="X111" s="18" t="str">
        <f t="shared" ca="1" si="10"/>
        <v>коричневый</v>
      </c>
      <c r="Y111" s="18" t="str">
        <f t="shared" ca="1" si="11"/>
        <v>коричневый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коричневый</v>
      </c>
      <c r="AA111" s="73" t="str">
        <f ca="1"/>
        <v>81-023-14-61</v>
      </c>
      <c r="AB111" s="75" t="str">
        <f ca="1">VLOOKUP(C111,Группа!A:B,2,FALSE)</f>
        <v>Шляпа</v>
      </c>
      <c r="AC111" s="97" t="str">
        <f ca="1">IFERROR(VLOOKUP(S111,Размеры!A:C,3,FALSE),"")</f>
        <v>61 XL</v>
      </c>
      <c r="AD111" s="97" t="str">
        <f ca="1">VLOOKUP(I111,ЦветПолный!A:B,2,FALSE)</f>
        <v>14</v>
      </c>
      <c r="AE111" s="97" t="str">
        <f ca="1">IFERROR(VLOOKUP(S111,Размеры!A:D,4,FALSE),"")</f>
        <v>61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81-023-14</v>
      </c>
      <c r="AW111" s="94" t="str">
        <f ca="1">VLOOKUP(W111,Товары!A:B,1,FALSE)</f>
        <v>Шляпа HERMAN арт. MAC LORCA (коричневый) {brown}</v>
      </c>
    </row>
    <row r="112" spans="1:49" x14ac:dyDescent="0.25">
      <c r="A112" s="110" t="str">
        <f t="shared" ca="1" si="7"/>
        <v>81-023-14</v>
      </c>
      <c r="B112" s="107" t="str">
        <f ca="1">_xlfn.LET(_xlpm.CAPS,0,_xlpm.Style,TRIM(_xlfn.XLOOKUP($A112,Строчный!$A:$A,Строчный!B:B,"ERR",0)),IF(_xlpm.CAPS=0,_xlpm.Style,UPPER(_xlpm.Style)))</f>
        <v>MAC LORCA</v>
      </c>
      <c r="C112" s="81" t="str">
        <f ca="1">TRIM(PROPER(_xlfn.XLOOKUP($A112,Строчный!$A:$A,Строчный!C:C,"ERR",0)))</f>
        <v>Шляпы</v>
      </c>
      <c r="D112" s="81" t="str">
        <f ca="1">_xlfn.LET(_xlpm.DATA,TRIM(_xlfn.XLOOKUP($A112,Строчный!$A:$A,Строчный!D:D,"ERR",0)),UPPER(MID(_xlpm.DATA,1,1))&amp;LOWER(MID(_xlpm.DATA,2,LEN(_xlpm.DATA)-1)))</f>
        <v>Шляпа федора</v>
      </c>
      <c r="E112" s="81" t="str">
        <f ca="1">PROPER(TRIM(_xlfn.XLOOKUP($A112,Строчный!$A:$A,Строчный!E:E,"ERR",0)))</f>
        <v>Herman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HERMAN</v>
      </c>
      <c r="H112" s="81" t="str">
        <f ca="1">LOWER(TRIM(_xlfn.XLOOKUP($A112,Строчный!$A:$A,Строчный!H:H,"ERR",0)))</f>
        <v>brown</v>
      </c>
      <c r="I112" s="81" t="str">
        <f ca="1">LOWER(TRIM(_xlfn.XLOOKUP($A112,Строчный!$A:$A,Строчный!I:I,"ERR",0)))</f>
        <v>коричневый</v>
      </c>
      <c r="J112" s="81" t="str">
        <f ca="1">SUBSTITUTE(LOWER(TRIM(_xlfn.XLOOKUP($A112,Строчный!$A:$A,Строчный!J:J,"ERR",0))),"подклад","Подклад")</f>
        <v>100% шерсть</v>
      </c>
      <c r="K112" s="81" t="str">
        <f ca="1">LOWER(TRIM(_xlfn.XLOOKUP($A112,Строчный!$A:$A,Строчный!K:K,"ERR",0)))</f>
        <v>фетровые</v>
      </c>
      <c r="L112" s="81" t="str">
        <f ca="1">PROPER(TRIM(_xlfn.XLOOKUP($A112,Строчный!$A:$A,Строчный!L:L,"ERR",0)))</f>
        <v>Мужской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1457.1000000000001</v>
      </c>
      <c r="R112" s="89" t="str">
        <f ca="1">_xlfn.XLOOKUP($G112,Фабрика!A:A,Фабрика!B:B,"ERR",0)</f>
        <v>Chapellerie Herman S.A.; Rue Jean Meunier, 6, 6922 Wellin, Belgium</v>
      </c>
      <c r="S112" s="80" t="str">
        <f ca="1">_xlfn.XLOOKUP(RIGHT(AA112,2),Размеры!D:D,Размеры!A:A,"ERR",0)</f>
        <v>59</v>
      </c>
      <c r="T112" s="80">
        <f ca="1">VALUE(_xlfn.XLOOKUP($AA112,Строчный!$S:$S,Строчный!U:U,"ERR",0))</f>
        <v>9</v>
      </c>
      <c r="U112" s="14" t="s">
        <v>265</v>
      </c>
      <c r="V112" s="101" t="str">
        <f t="shared" ca="1" si="8"/>
        <v>Шляпа HERMAN арт. MAC LORCA (коричневый)</v>
      </c>
      <c r="W112" s="100" t="str">
        <f t="shared" ca="1" si="9"/>
        <v>Шляпа HERMAN арт. MAC LORCA (коричневый) {brown}</v>
      </c>
      <c r="X112" s="18" t="str">
        <f t="shared" ca="1" si="10"/>
        <v>коричневый</v>
      </c>
      <c r="Y112" s="18" t="str">
        <f t="shared" ca="1" si="11"/>
        <v>коричневый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коричневый</v>
      </c>
      <c r="AA112" s="73" t="str">
        <f ca="1"/>
        <v>81-023-14-59</v>
      </c>
      <c r="AB112" s="75" t="str">
        <f ca="1">VLOOKUP(C112,Группа!A:B,2,FALSE)</f>
        <v>Шляпа</v>
      </c>
      <c r="AC112" s="97" t="str">
        <f ca="1">IFERROR(VLOOKUP(S112,Размеры!A:C,3,FALSE),"")</f>
        <v>59 L</v>
      </c>
      <c r="AD112" s="97" t="str">
        <f ca="1">VLOOKUP(I112,ЦветПолный!A:B,2,FALSE)</f>
        <v>14</v>
      </c>
      <c r="AE112" s="97" t="str">
        <f ca="1">IFERROR(VLOOKUP(S112,Размеры!A:D,4,FALSE),"")</f>
        <v>59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str">
        <f ca="1">IF(VLOOKUP(W112,Товары!A:B,2,FALSE)=A112,"Есть в 1С","ERR")</f>
        <v>Есть в 1С</v>
      </c>
      <c r="AU112" s="65" t="str">
        <f ca="1">IF(VLOOKUP(A112,Товары!B:B,1,FALSE)=A112,"Есть в 1С","ERR")</f>
        <v>Есть в 1С</v>
      </c>
      <c r="AV112" s="96" t="str">
        <f ca="1">VLOOKUP(W112,Товары!A:B,2,FALSE)</f>
        <v>81-023-14</v>
      </c>
      <c r="AW112" s="94" t="str">
        <f ca="1">VLOOKUP(W112,Товары!A:B,1,FALSE)</f>
        <v>Шляпа HERMAN арт. MAC LORCA (коричневый) {brown}</v>
      </c>
    </row>
    <row r="113" spans="1:49" x14ac:dyDescent="0.25">
      <c r="A113" s="110" t="str">
        <f t="shared" ca="1" si="7"/>
        <v>81-023-14</v>
      </c>
      <c r="B113" s="107" t="str">
        <f ca="1">_xlfn.LET(_xlpm.CAPS,0,_xlpm.Style,TRIM(_xlfn.XLOOKUP($A113,Строчный!$A:$A,Строчный!B:B,"ERR",0)),IF(_xlpm.CAPS=0,_xlpm.Style,UPPER(_xlpm.Style)))</f>
        <v>MAC LORCA</v>
      </c>
      <c r="C113" s="81" t="str">
        <f ca="1">TRIM(PROPER(_xlfn.XLOOKUP($A113,Строчный!$A:$A,Строчный!C:C,"ERR",0)))</f>
        <v>Шляпы</v>
      </c>
      <c r="D113" s="81" t="str">
        <f ca="1">_xlfn.LET(_xlpm.DATA,TRIM(_xlfn.XLOOKUP($A113,Строчный!$A:$A,Строчный!D:D,"ERR",0)),UPPER(MID(_xlpm.DATA,1,1))&amp;LOWER(MID(_xlpm.DATA,2,LEN(_xlpm.DATA)-1)))</f>
        <v>Шляпа федора</v>
      </c>
      <c r="E113" s="81" t="str">
        <f ca="1">PROPER(TRIM(_xlfn.XLOOKUP($A113,Строчный!$A:$A,Строчный!E:E,"ERR",0)))</f>
        <v>Herman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HERMAN</v>
      </c>
      <c r="H113" s="81" t="str">
        <f ca="1">LOWER(TRIM(_xlfn.XLOOKUP($A113,Строчный!$A:$A,Строчный!H:H,"ERR",0)))</f>
        <v>brown</v>
      </c>
      <c r="I113" s="81" t="str">
        <f ca="1">LOWER(TRIM(_xlfn.XLOOKUP($A113,Строчный!$A:$A,Строчный!I:I,"ERR",0)))</f>
        <v>коричневый</v>
      </c>
      <c r="J113" s="81" t="str">
        <f ca="1">SUBSTITUTE(LOWER(TRIM(_xlfn.XLOOKUP($A113,Строчный!$A:$A,Строчный!J:J,"ERR",0))),"подклад","Подклад")</f>
        <v>100% шерсть</v>
      </c>
      <c r="K113" s="81" t="str">
        <f ca="1">LOWER(TRIM(_xlfn.XLOOKUP($A113,Строчный!$A:$A,Строчный!K:K,"ERR",0)))</f>
        <v>фетровые</v>
      </c>
      <c r="L113" s="81" t="str">
        <f ca="1">PROPER(TRIM(_xlfn.XLOOKUP($A113,Строчный!$A:$A,Строчный!L:L,"ERR",0)))</f>
        <v>Мужской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PROPER(TRIM(_xlfn.XLOOKUP($A113,Строчный!$A:$A,Строчный!R:R,"ERR",0)))</f>
        <v/>
      </c>
      <c r="Q113" s="90">
        <f ca="1">VALUE(_xlfn.XLOOKUP($A113,Строчный!$A:$A,Строчный!N:N,"ERR",0))</f>
        <v>1457.1000000000001</v>
      </c>
      <c r="R113" s="89" t="str">
        <f ca="1">_xlfn.XLOOKUP($G113,Фабрика!A:A,Фабрика!B:B,"ERR",0)</f>
        <v>Chapellerie Herman S.A.; Rue Jean Meunier, 6, 6922 Wellin, Belgium</v>
      </c>
      <c r="S113" s="80" t="str">
        <f ca="1">_xlfn.XLOOKUP(RIGHT(AA113,2),Размеры!D:D,Размеры!A:A,"ERR",0)</f>
        <v>57</v>
      </c>
      <c r="T113" s="80">
        <f ca="1">VALUE(_xlfn.XLOOKUP($AA113,Строчный!$S:$S,Строчный!U:U,"ERR",0))</f>
        <v>6</v>
      </c>
      <c r="U113" s="14" t="s">
        <v>265</v>
      </c>
      <c r="V113" s="101" t="str">
        <f t="shared" ca="1" si="8"/>
        <v>Шляпа HERMAN арт. MAC LORCA (коричневый)</v>
      </c>
      <c r="W113" s="100" t="str">
        <f t="shared" ca="1" si="9"/>
        <v>Шляпа HERMAN арт. MAC LORCA (коричневый) {brown}</v>
      </c>
      <c r="X113" s="18" t="str">
        <f t="shared" ca="1" si="10"/>
        <v>коричневый</v>
      </c>
      <c r="Y113" s="18" t="str">
        <f t="shared" ca="1" si="11"/>
        <v>коричневый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коричневый</v>
      </c>
      <c r="AA113" s="73" t="str">
        <f ca="1"/>
        <v>81-023-14-57</v>
      </c>
      <c r="AB113" s="75" t="str">
        <f ca="1">VLOOKUP(C113,Группа!A:B,2,FALSE)</f>
        <v>Шляпа</v>
      </c>
      <c r="AC113" s="97" t="str">
        <f ca="1">IFERROR(VLOOKUP(S113,Размеры!A:C,3,FALSE),"")</f>
        <v>57 M</v>
      </c>
      <c r="AD113" s="97" t="str">
        <f ca="1">VLOOKUP(I113,ЦветПолный!A:B,2,FALSE)</f>
        <v>14</v>
      </c>
      <c r="AE113" s="97" t="str">
        <f ca="1">IFERROR(VLOOKUP(S113,Размеры!A:D,4,FALSE),"")</f>
        <v>57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str">
        <f ca="1">IF(VLOOKUP(W113,Товары!A:B,2,FALSE)=A113,"Есть в 1С","ERR")</f>
        <v>Есть в 1С</v>
      </c>
      <c r="AU113" s="65" t="str">
        <f ca="1">IF(VLOOKUP(A113,Товары!B:B,1,FALSE)=A113,"Есть в 1С","ERR")</f>
        <v>Есть в 1С</v>
      </c>
      <c r="AV113" s="96" t="str">
        <f ca="1">VLOOKUP(W113,Товары!A:B,2,FALSE)</f>
        <v>81-023-14</v>
      </c>
      <c r="AW113" s="94" t="str">
        <f ca="1">VLOOKUP(W113,Товары!A:B,1,FALSE)</f>
        <v>Шляпа HERMAN арт. MAC LORCA (коричневый) {brown}</v>
      </c>
    </row>
    <row r="114" spans="1:49" x14ac:dyDescent="0.25">
      <c r="A114" s="110" t="str">
        <f t="shared" ca="1" si="7"/>
        <v>81-023-14</v>
      </c>
      <c r="B114" s="107" t="str">
        <f ca="1">_xlfn.LET(_xlpm.CAPS,0,_xlpm.Style,TRIM(_xlfn.XLOOKUP($A114,Строчный!$A:$A,Строчный!B:B,"ERR",0)),IF(_xlpm.CAPS=0,_xlpm.Style,UPPER(_xlpm.Style)))</f>
        <v>MAC LORCA</v>
      </c>
      <c r="C114" s="81" t="str">
        <f ca="1">TRIM(PROPER(_xlfn.XLOOKUP($A114,Строчный!$A:$A,Строчный!C:C,"ERR",0)))</f>
        <v>Шляпы</v>
      </c>
      <c r="D114" s="81" t="str">
        <f ca="1">_xlfn.LET(_xlpm.DATA,TRIM(_xlfn.XLOOKUP($A114,Строчный!$A:$A,Строчный!D:D,"ERR",0)),UPPER(MID(_xlpm.DATA,1,1))&amp;LOWER(MID(_xlpm.DATA,2,LEN(_xlpm.DATA)-1)))</f>
        <v>Шляпа федора</v>
      </c>
      <c r="E114" s="81" t="str">
        <f ca="1">PROPER(TRIM(_xlfn.XLOOKUP($A114,Строчный!$A:$A,Строчный!E:E,"ERR",0)))</f>
        <v>Herman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HERMAN</v>
      </c>
      <c r="H114" s="81" t="str">
        <f ca="1">LOWER(TRIM(_xlfn.XLOOKUP($A114,Строчный!$A:$A,Строчный!H:H,"ERR",0)))</f>
        <v>brown</v>
      </c>
      <c r="I114" s="81" t="str">
        <f ca="1">LOWER(TRIM(_xlfn.XLOOKUP($A114,Строчный!$A:$A,Строчный!I:I,"ERR",0)))</f>
        <v>коричневый</v>
      </c>
      <c r="J114" s="81" t="str">
        <f ca="1">SUBSTITUTE(LOWER(TRIM(_xlfn.XLOOKUP($A114,Строчный!$A:$A,Строчный!J:J,"ERR",0))),"подклад","Подклад")</f>
        <v>100% шерсть</v>
      </c>
      <c r="K114" s="81" t="str">
        <f ca="1">LOWER(TRIM(_xlfn.XLOOKUP($A114,Строчный!$A:$A,Строчный!K:K,"ERR",0)))</f>
        <v>фетровые</v>
      </c>
      <c r="L114" s="81" t="str">
        <f ca="1">PROPER(TRIM(_xlfn.XLOOKUP($A114,Строчный!$A:$A,Строчный!L:L,"ERR",0)))</f>
        <v>Мужской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PROPER(TRIM(_xlfn.XLOOKUP($A114,Строчный!$A:$A,Строчный!R:R,"ERR",0)))</f>
        <v/>
      </c>
      <c r="Q114" s="90">
        <f ca="1">VALUE(_xlfn.XLOOKUP($A114,Строчный!$A:$A,Строчный!N:N,"ERR",0))</f>
        <v>1457.1000000000001</v>
      </c>
      <c r="R114" s="89" t="str">
        <f ca="1">_xlfn.XLOOKUP($G114,Фабрика!A:A,Фабрика!B:B,"ERR",0)</f>
        <v>Chapellerie Herman S.A.; Rue Jean Meunier, 6, 6922 Wellin, Belgium</v>
      </c>
      <c r="S114" s="80" t="str">
        <f ca="1">_xlfn.XLOOKUP(RIGHT(AA114,2),Размеры!D:D,Размеры!A:A,"ERR",0)</f>
        <v>55</v>
      </c>
      <c r="T114" s="80">
        <f ca="1">VALUE(_xlfn.XLOOKUP($AA114,Строчный!$S:$S,Строчный!U:U,"ERR",0))</f>
        <v>3</v>
      </c>
      <c r="U114" s="14" t="s">
        <v>265</v>
      </c>
      <c r="V114" s="101" t="str">
        <f t="shared" ca="1" si="8"/>
        <v>Шляпа HERMAN арт. MAC LORCA (коричневый)</v>
      </c>
      <c r="W114" s="100" t="str">
        <f t="shared" ca="1" si="9"/>
        <v>Шляпа HERMAN арт. MAC LORCA (коричневый) {brown}</v>
      </c>
      <c r="X114" s="18" t="str">
        <f t="shared" ca="1" si="10"/>
        <v>коричневый</v>
      </c>
      <c r="Y114" s="18" t="str">
        <f t="shared" ca="1" si="11"/>
        <v>коричневый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коричневый</v>
      </c>
      <c r="AA114" s="73" t="str">
        <f ca="1"/>
        <v>81-023-14-55</v>
      </c>
      <c r="AB114" s="75" t="str">
        <f ca="1">VLOOKUP(C114,Группа!A:B,2,FALSE)</f>
        <v>Шляпа</v>
      </c>
      <c r="AC114" s="97" t="str">
        <f ca="1">IFERROR(VLOOKUP(S114,Размеры!A:C,3,FALSE),"")</f>
        <v>55 S</v>
      </c>
      <c r="AD114" s="97" t="str">
        <f ca="1">VLOOKUP(I114,ЦветПолный!A:B,2,FALSE)</f>
        <v>14</v>
      </c>
      <c r="AE114" s="97" t="str">
        <f ca="1">IFERROR(VLOOKUP(S114,Размеры!A:D,4,FALSE),"")</f>
        <v>55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81-023-14</v>
      </c>
      <c r="AW114" s="94" t="str">
        <f ca="1">VLOOKUP(W114,Товары!A:B,1,FALSE)</f>
        <v>Шляпа HERMAN арт. MAC LORCA (коричневый) {brown}</v>
      </c>
    </row>
    <row r="115" spans="1:49" x14ac:dyDescent="0.25">
      <c r="A115" s="110" t="str">
        <f t="shared" ca="1" si="7"/>
        <v>81-023-08</v>
      </c>
      <c r="B115" s="107" t="str">
        <f ca="1">_xlfn.LET(_xlpm.CAPS,0,_xlpm.Style,TRIM(_xlfn.XLOOKUP($A115,Строчный!$A:$A,Строчный!B:B,"ERR",0)),IF(_xlpm.CAPS=0,_xlpm.Style,UPPER(_xlpm.Style)))</f>
        <v>MAC LORCA</v>
      </c>
      <c r="C115" s="81" t="str">
        <f ca="1">TRIM(PROPER(_xlfn.XLOOKUP($A115,Строчный!$A:$A,Строчный!C:C,"ERR",0)))</f>
        <v>Шляпы</v>
      </c>
      <c r="D115" s="81" t="str">
        <f ca="1">_xlfn.LET(_xlpm.DATA,TRIM(_xlfn.XLOOKUP($A115,Строчный!$A:$A,Строчный!D:D,"ERR",0)),UPPER(MID(_xlpm.DATA,1,1))&amp;LOWER(MID(_xlpm.DATA,2,LEN(_xlpm.DATA)-1)))</f>
        <v>Шляпа федора</v>
      </c>
      <c r="E115" s="81" t="str">
        <f ca="1">PROPER(TRIM(_xlfn.XLOOKUP($A115,Строчный!$A:$A,Строчный!E:E,"ERR",0)))</f>
        <v>Herman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HERMAN</v>
      </c>
      <c r="H115" s="81" t="str">
        <f ca="1">LOWER(TRIM(_xlfn.XLOOKUP($A115,Строчный!$A:$A,Строчный!H:H,"ERR",0)))</f>
        <v>grey</v>
      </c>
      <c r="I115" s="81" t="str">
        <f ca="1">LOWER(TRIM(_xlfn.XLOOKUP($A115,Строчный!$A:$A,Строчный!I:I,"ERR",0)))</f>
        <v>серый</v>
      </c>
      <c r="J115" s="81" t="str">
        <f ca="1">SUBSTITUTE(LOWER(TRIM(_xlfn.XLOOKUP($A115,Строчный!$A:$A,Строчный!J:J,"ERR",0))),"подклад","Подклад")</f>
        <v>100% шерсть</v>
      </c>
      <c r="K115" s="81" t="str">
        <f ca="1">LOWER(TRIM(_xlfn.XLOOKUP($A115,Строчный!$A:$A,Строчный!K:K,"ERR",0)))</f>
        <v>фетровые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PROPER(TRIM(_xlfn.XLOOKUP($A115,Строчный!$A:$A,Строчный!R:R,"ERR",0)))</f>
        <v/>
      </c>
      <c r="Q115" s="90">
        <f ca="1">VALUE(_xlfn.XLOOKUP($A115,Строчный!$A:$A,Строчный!N:N,"ERR",0))</f>
        <v>1457.1000000000001</v>
      </c>
      <c r="R115" s="89" t="str">
        <f ca="1">_xlfn.XLOOKUP($G115,Фабрика!A:A,Фабрика!B:B,"ERR",0)</f>
        <v>Chapellerie Herman S.A.; Rue Jean Meunier, 6, 6922 Wellin, Belgium</v>
      </c>
      <c r="S115" s="80" t="str">
        <f ca="1">_xlfn.XLOOKUP(RIGHT(AA115,2),Размеры!D:D,Размеры!A:A,"ERR",0)</f>
        <v>61</v>
      </c>
      <c r="T115" s="80">
        <f ca="1">VALUE(_xlfn.XLOOKUP($AA115,Строчный!$S:$S,Строчный!U:U,"ERR",0))</f>
        <v>8</v>
      </c>
      <c r="U115" s="14" t="s">
        <v>265</v>
      </c>
      <c r="V115" s="101" t="str">
        <f t="shared" ca="1" si="8"/>
        <v>Шляпа HERMAN арт. MAC LORCA (серый)</v>
      </c>
      <c r="W115" s="100" t="str">
        <f t="shared" ca="1" si="9"/>
        <v>Шляпа HERMAN арт. MAC LORCA (серый) {grey}</v>
      </c>
      <c r="X115" s="18" t="str">
        <f t="shared" ca="1" si="10"/>
        <v>серый</v>
      </c>
      <c r="Y115" s="18" t="str">
        <f t="shared" ca="1" si="11"/>
        <v>серый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3" t="str">
        <f ca="1"/>
        <v>81-023-08-61</v>
      </c>
      <c r="AB115" s="75" t="str">
        <f ca="1">VLOOKUP(C115,Группа!A:B,2,FALSE)</f>
        <v>Шляпа</v>
      </c>
      <c r="AC115" s="97" t="str">
        <f ca="1">IFERROR(VLOOKUP(S115,Размеры!A:C,3,FALSE),"")</f>
        <v>61 XL</v>
      </c>
      <c r="AD115" s="97" t="str">
        <f ca="1">VLOOKUP(I115,ЦветПолный!A:B,2,FALSE)</f>
        <v>80</v>
      </c>
      <c r="AE115" s="97" t="str">
        <f ca="1">IFERROR(VLOOKUP(S115,Размеры!A:D,4,FALSE),"")</f>
        <v>61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81-023-08</v>
      </c>
      <c r="AW115" s="94" t="str">
        <f ca="1">VLOOKUP(W115,Товары!A:B,1,FALSE)</f>
        <v>Шляпа HERMAN арт. MAC LORCA (серый) {grey}</v>
      </c>
    </row>
    <row r="116" spans="1:49" x14ac:dyDescent="0.25">
      <c r="A116" s="110" t="str">
        <f t="shared" ca="1" si="7"/>
        <v>81-023-08</v>
      </c>
      <c r="B116" s="107" t="str">
        <f ca="1">_xlfn.LET(_xlpm.CAPS,0,_xlpm.Style,TRIM(_xlfn.XLOOKUP($A116,Строчный!$A:$A,Строчный!B:B,"ERR",0)),IF(_xlpm.CAPS=0,_xlpm.Style,UPPER(_xlpm.Style)))</f>
        <v>MAC LORCA</v>
      </c>
      <c r="C116" s="81" t="str">
        <f ca="1">TRIM(PROPER(_xlfn.XLOOKUP($A116,Строчный!$A:$A,Строчный!C:C,"ERR",0)))</f>
        <v>Шляпы</v>
      </c>
      <c r="D116" s="81" t="str">
        <f ca="1">_xlfn.LET(_xlpm.DATA,TRIM(_xlfn.XLOOKUP($A116,Строчный!$A:$A,Строчный!D:D,"ERR",0)),UPPER(MID(_xlpm.DATA,1,1))&amp;LOWER(MID(_xlpm.DATA,2,LEN(_xlpm.DATA)-1)))</f>
        <v>Шляпа федора</v>
      </c>
      <c r="E116" s="81" t="str">
        <f ca="1">PROPER(TRIM(_xlfn.XLOOKUP($A116,Строчный!$A:$A,Строчный!E:E,"ERR",0)))</f>
        <v>Herman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HERMAN</v>
      </c>
      <c r="H116" s="81" t="str">
        <f ca="1">LOWER(TRIM(_xlfn.XLOOKUP($A116,Строчный!$A:$A,Строчный!H:H,"ERR",0)))</f>
        <v>grey</v>
      </c>
      <c r="I116" s="81" t="str">
        <f ca="1">LOWER(TRIM(_xlfn.XLOOKUP($A116,Строчный!$A:$A,Строчный!I:I,"ERR",0)))</f>
        <v>серый</v>
      </c>
      <c r="J116" s="81" t="str">
        <f ca="1">SUBSTITUTE(LOWER(TRIM(_xlfn.XLOOKUP($A116,Строчный!$A:$A,Строчный!J:J,"ERR",0))),"подклад","Подклад")</f>
        <v>100% шерсть</v>
      </c>
      <c r="K116" s="81" t="str">
        <f ca="1">LOWER(TRIM(_xlfn.XLOOKUP($A116,Строчный!$A:$A,Строчный!K:K,"ERR",0)))</f>
        <v>фетровые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1457.1000000000001</v>
      </c>
      <c r="R116" s="89" t="str">
        <f ca="1">_xlfn.XLOOKUP($G116,Фабрика!A:A,Фабрика!B:B,"ERR",0)</f>
        <v>Chapellerie Herman S.A.; Rue Jean Meunier, 6, 6922 Wellin, Belgium</v>
      </c>
      <c r="S116" s="80" t="str">
        <f ca="1">_xlfn.XLOOKUP(RIGHT(AA116,2),Размеры!D:D,Размеры!A:A,"ERR",0)</f>
        <v>59</v>
      </c>
      <c r="T116" s="80">
        <f ca="1">VALUE(_xlfn.XLOOKUP($AA116,Строчный!$S:$S,Строчный!U:U,"ERR",0))</f>
        <v>11</v>
      </c>
      <c r="U116" s="14" t="s">
        <v>265</v>
      </c>
      <c r="V116" s="101" t="str">
        <f t="shared" ca="1" si="8"/>
        <v>Шляпа HERMAN арт. MAC LORCA (серый)</v>
      </c>
      <c r="W116" s="100" t="str">
        <f t="shared" ca="1" si="9"/>
        <v>Шляпа HERMAN арт. MAC LORCA (серый) {grey}</v>
      </c>
      <c r="X116" s="18" t="str">
        <f t="shared" ca="1" si="10"/>
        <v>серый</v>
      </c>
      <c r="Y116" s="18" t="str">
        <f t="shared" ca="1" si="11"/>
        <v>серый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серый</v>
      </c>
      <c r="AA116" s="73" t="str">
        <f ca="1"/>
        <v>81-023-08-59</v>
      </c>
      <c r="AB116" s="75" t="str">
        <f ca="1">VLOOKUP(C116,Группа!A:B,2,FALSE)</f>
        <v>Шляпа</v>
      </c>
      <c r="AC116" s="97" t="str">
        <f ca="1">IFERROR(VLOOKUP(S116,Размеры!A:C,3,FALSE),"")</f>
        <v>59 L</v>
      </c>
      <c r="AD116" s="97" t="str">
        <f ca="1">VLOOKUP(I116,ЦветПолный!A:B,2,FALSE)</f>
        <v>80</v>
      </c>
      <c r="AE116" s="97" t="str">
        <f ca="1">IFERROR(VLOOKUP(S116,Размеры!A:D,4,FALSE),"")</f>
        <v>59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str">
        <f ca="1">IF(VLOOKUP(W116,Товары!A:B,2,FALSE)=A116,"Есть в 1С","ERR")</f>
        <v>Есть в 1С</v>
      </c>
      <c r="AU116" s="65" t="str">
        <f ca="1">IF(VLOOKUP(A116,Товары!B:B,1,FALSE)=A116,"Есть в 1С","ERR")</f>
        <v>Есть в 1С</v>
      </c>
      <c r="AV116" s="96" t="str">
        <f ca="1">VLOOKUP(W116,Товары!A:B,2,FALSE)</f>
        <v>81-023-08</v>
      </c>
      <c r="AW116" s="94" t="str">
        <f ca="1">VLOOKUP(W116,Товары!A:B,1,FALSE)</f>
        <v>Шляпа HERMAN арт. MAC LORCA (серый) {grey}</v>
      </c>
    </row>
    <row r="117" spans="1:49" x14ac:dyDescent="0.25">
      <c r="A117" s="110" t="str">
        <f t="shared" ca="1" si="7"/>
        <v>81-023-08</v>
      </c>
      <c r="B117" s="107" t="str">
        <f ca="1">_xlfn.LET(_xlpm.CAPS,0,_xlpm.Style,TRIM(_xlfn.XLOOKUP($A117,Строчный!$A:$A,Строчный!B:B,"ERR",0)),IF(_xlpm.CAPS=0,_xlpm.Style,UPPER(_xlpm.Style)))</f>
        <v>MAC LORCA</v>
      </c>
      <c r="C117" s="81" t="str">
        <f ca="1">TRIM(PROPER(_xlfn.XLOOKUP($A117,Строчный!$A:$A,Строчный!C:C,"ERR",0)))</f>
        <v>Шляпы</v>
      </c>
      <c r="D117" s="81" t="str">
        <f ca="1">_xlfn.LET(_xlpm.DATA,TRIM(_xlfn.XLOOKUP($A117,Строчный!$A:$A,Строчный!D:D,"ERR",0)),UPPER(MID(_xlpm.DATA,1,1))&amp;LOWER(MID(_xlpm.DATA,2,LEN(_xlpm.DATA)-1)))</f>
        <v>Шляпа федора</v>
      </c>
      <c r="E117" s="81" t="str">
        <f ca="1">PROPER(TRIM(_xlfn.XLOOKUP($A117,Строчный!$A:$A,Строчный!E:E,"ERR",0)))</f>
        <v>Herman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HERMAN</v>
      </c>
      <c r="H117" s="81" t="str">
        <f ca="1">LOWER(TRIM(_xlfn.XLOOKUP($A117,Строчный!$A:$A,Строчный!H:H,"ERR",0)))</f>
        <v>grey</v>
      </c>
      <c r="I117" s="81" t="str">
        <f ca="1">LOWER(TRIM(_xlfn.XLOOKUP($A117,Строчный!$A:$A,Строчный!I:I,"ERR",0)))</f>
        <v>серый</v>
      </c>
      <c r="J117" s="81" t="str">
        <f ca="1">SUBSTITUTE(LOWER(TRIM(_xlfn.XLOOKUP($A117,Строчный!$A:$A,Строчный!J:J,"ERR",0))),"подклад","Подклад")</f>
        <v>100% шерсть</v>
      </c>
      <c r="K117" s="81" t="str">
        <f ca="1">LOWER(TRIM(_xlfn.XLOOKUP($A117,Строчный!$A:$A,Строчный!K:K,"ERR",0)))</f>
        <v>фетровые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1457.1000000000001</v>
      </c>
      <c r="R117" s="89" t="str">
        <f ca="1">_xlfn.XLOOKUP($G117,Фабрика!A:A,Фабрика!B:B,"ERR",0)</f>
        <v>Chapellerie Herman S.A.; Rue Jean Meunier, 6, 6922 Wellin, Belgium</v>
      </c>
      <c r="S117" s="80" t="str">
        <f ca="1">_xlfn.XLOOKUP(RIGHT(AA117,2),Размеры!D:D,Размеры!A:A,"ERR",0)</f>
        <v>57</v>
      </c>
      <c r="T117" s="80">
        <f ca="1">VALUE(_xlfn.XLOOKUP($AA117,Строчный!$S:$S,Строчный!U:U,"ERR",0))</f>
        <v>8</v>
      </c>
      <c r="U117" s="14" t="s">
        <v>265</v>
      </c>
      <c r="V117" s="101" t="str">
        <f t="shared" ca="1" si="8"/>
        <v>Шляпа HERMAN арт. MAC LORCA (серый)</v>
      </c>
      <c r="W117" s="100" t="str">
        <f t="shared" ca="1" si="9"/>
        <v>Шляпа HERMAN арт. MAC LORCA (серый) {grey}</v>
      </c>
      <c r="X117" s="18" t="str">
        <f t="shared" ca="1" si="10"/>
        <v>серый</v>
      </c>
      <c r="Y117" s="18" t="str">
        <f t="shared" ca="1" si="11"/>
        <v>серый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серый</v>
      </c>
      <c r="AA117" s="73" t="str">
        <f ca="1"/>
        <v>81-023-08-57</v>
      </c>
      <c r="AB117" s="75" t="str">
        <f ca="1">VLOOKUP(C117,Группа!A:B,2,FALSE)</f>
        <v>Шляпа</v>
      </c>
      <c r="AC117" s="97" t="str">
        <f ca="1">IFERROR(VLOOKUP(S117,Размеры!A:C,3,FALSE),"")</f>
        <v>57 M</v>
      </c>
      <c r="AD117" s="97" t="str">
        <f ca="1">VLOOKUP(I117,ЦветПолный!A:B,2,FALSE)</f>
        <v>80</v>
      </c>
      <c r="AE117" s="97" t="str">
        <f ca="1">IFERROR(VLOOKUP(S117,Размеры!A:D,4,FALSE),"")</f>
        <v>57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str">
        <f ca="1">IF(VLOOKUP(W117,Товары!A:B,2,FALSE)=A117,"Есть в 1С","ERR")</f>
        <v>Есть в 1С</v>
      </c>
      <c r="AU117" s="65" t="str">
        <f ca="1">IF(VLOOKUP(A117,Товары!B:B,1,FALSE)=A117,"Есть в 1С","ERR")</f>
        <v>Есть в 1С</v>
      </c>
      <c r="AV117" s="96" t="str">
        <f ca="1">VLOOKUP(W117,Товары!A:B,2,FALSE)</f>
        <v>81-023-08</v>
      </c>
      <c r="AW117" s="94" t="str">
        <f ca="1">VLOOKUP(W117,Товары!A:B,1,FALSE)</f>
        <v>Шляпа HERMAN арт. MAC LORCA (серый) {grey}</v>
      </c>
    </row>
    <row r="118" spans="1:49" x14ac:dyDescent="0.25">
      <c r="A118" s="110" t="str">
        <f t="shared" ca="1" si="7"/>
        <v>81-023-08</v>
      </c>
      <c r="B118" s="107" t="str">
        <f ca="1">_xlfn.LET(_xlpm.CAPS,0,_xlpm.Style,TRIM(_xlfn.XLOOKUP($A118,Строчный!$A:$A,Строчный!B:B,"ERR",0)),IF(_xlpm.CAPS=0,_xlpm.Style,UPPER(_xlpm.Style)))</f>
        <v>MAC LORCA</v>
      </c>
      <c r="C118" s="81" t="str">
        <f ca="1">TRIM(PROPER(_xlfn.XLOOKUP($A118,Строчный!$A:$A,Строчный!C:C,"ERR",0)))</f>
        <v>Шляпы</v>
      </c>
      <c r="D118" s="81" t="str">
        <f ca="1">_xlfn.LET(_xlpm.DATA,TRIM(_xlfn.XLOOKUP($A118,Строчный!$A:$A,Строчный!D:D,"ERR",0)),UPPER(MID(_xlpm.DATA,1,1))&amp;LOWER(MID(_xlpm.DATA,2,LEN(_xlpm.DATA)-1)))</f>
        <v>Шляпа федора</v>
      </c>
      <c r="E118" s="81" t="str">
        <f ca="1">PROPER(TRIM(_xlfn.XLOOKUP($A118,Строчный!$A:$A,Строчный!E:E,"ERR",0)))</f>
        <v>Herman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HERMAN</v>
      </c>
      <c r="H118" s="81" t="str">
        <f ca="1">LOWER(TRIM(_xlfn.XLOOKUP($A118,Строчный!$A:$A,Строчный!H:H,"ERR",0)))</f>
        <v>grey</v>
      </c>
      <c r="I118" s="81" t="str">
        <f ca="1">LOWER(TRIM(_xlfn.XLOOKUP($A118,Строчный!$A:$A,Строчный!I:I,"ERR",0)))</f>
        <v>серый</v>
      </c>
      <c r="J118" s="81" t="str">
        <f ca="1">SUBSTITUTE(LOWER(TRIM(_xlfn.XLOOKUP($A118,Строчный!$A:$A,Строчный!J:J,"ERR",0))),"подклад","Подклад")</f>
        <v>100% шерсть</v>
      </c>
      <c r="K118" s="81" t="str">
        <f ca="1">LOWER(TRIM(_xlfn.XLOOKUP($A118,Строчный!$A:$A,Строчный!K:K,"ERR",0)))</f>
        <v>фетровые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/>
      </c>
      <c r="O118" s="102" t="str">
        <f ca="1">PROPER(TRIM(_xlfn.XLOOKUP($A118,Строчный!$A:$A,Строчный!P:P,"ERR",0)))</f>
        <v/>
      </c>
      <c r="P118" s="81" t="str">
        <f ca="1">PROPER(TRIM(_xlfn.XLOOKUP($A118,Строчный!$A:$A,Строчный!R:R,"ERR",0)))</f>
        <v/>
      </c>
      <c r="Q118" s="90">
        <f ca="1">VALUE(_xlfn.XLOOKUP($A118,Строчный!$A:$A,Строчный!N:N,"ERR",0))</f>
        <v>1457.1000000000001</v>
      </c>
      <c r="R118" s="89" t="str">
        <f ca="1">_xlfn.XLOOKUP($G118,Фабрика!A:A,Фабрика!B:B,"ERR",0)</f>
        <v>Chapellerie Herman S.A.; Rue Jean Meunier, 6, 6922 Wellin, Belgium</v>
      </c>
      <c r="S118" s="80" t="str">
        <f ca="1">_xlfn.XLOOKUP(RIGHT(AA118,2),Размеры!D:D,Размеры!A:A,"ERR",0)</f>
        <v>55</v>
      </c>
      <c r="T118" s="80">
        <f ca="1">VALUE(_xlfn.XLOOKUP($AA118,Строчный!$S:$S,Строчный!U:U,"ERR",0))</f>
        <v>3</v>
      </c>
      <c r="U118" s="14" t="s">
        <v>265</v>
      </c>
      <c r="V118" s="101" t="str">
        <f t="shared" ca="1" si="8"/>
        <v>Шляпа HERMAN арт. MAC LORCA (серый)</v>
      </c>
      <c r="W118" s="100" t="str">
        <f t="shared" ca="1" si="9"/>
        <v>Шляпа HERMAN арт. MAC LORCA (серый) {grey}</v>
      </c>
      <c r="X118" s="18" t="str">
        <f t="shared" ca="1" si="10"/>
        <v>серый</v>
      </c>
      <c r="Y118" s="18" t="str">
        <f t="shared" ca="1" si="11"/>
        <v>серый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серый</v>
      </c>
      <c r="AA118" s="73" t="str">
        <f ca="1"/>
        <v>81-023-08-55</v>
      </c>
      <c r="AB118" s="75" t="str">
        <f ca="1">VLOOKUP(C118,Группа!A:B,2,FALSE)</f>
        <v>Шляпа</v>
      </c>
      <c r="AC118" s="97" t="str">
        <f ca="1">IFERROR(VLOOKUP(S118,Размеры!A:C,3,FALSE),"")</f>
        <v>55 S</v>
      </c>
      <c r="AD118" s="97" t="str">
        <f ca="1">VLOOKUP(I118,ЦветПолный!A:B,2,FALSE)</f>
        <v>80</v>
      </c>
      <c r="AE118" s="97" t="str">
        <f ca="1">IFERROR(VLOOKUP(S118,Размеры!A:D,4,FALSE),"")</f>
        <v>55</v>
      </c>
      <c r="AF118" s="97">
        <f ca="1">IF(LEFT(IFERROR(VLOOKUP(LOOKUP(2,1/SEARCH(B118,Товары!A:A),Товары!A:A),Товары!A:B,2,0),""),6)=MID(AA118,1,6),1,0)</f>
        <v>1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str">
        <f ca="1">IF(VLOOKUP(W118,Товары!A:B,2,FALSE)=A118,"Есть в 1С","ERR")</f>
        <v>Есть в 1С</v>
      </c>
      <c r="AU118" s="65" t="str">
        <f ca="1">IF(VLOOKUP(A118,Товары!B:B,1,FALSE)=A118,"Есть в 1С","ERR")</f>
        <v>Есть в 1С</v>
      </c>
      <c r="AV118" s="96" t="str">
        <f ca="1">VLOOKUP(W118,Товары!A:B,2,FALSE)</f>
        <v>81-023-08</v>
      </c>
      <c r="AW118" s="94" t="str">
        <f ca="1">VLOOKUP(W118,Товары!A:B,1,FALSE)</f>
        <v>Шляпа HERMAN арт. MAC LORCA (серый) {grey}</v>
      </c>
    </row>
    <row r="119" spans="1:49" x14ac:dyDescent="0.25">
      <c r="A119" s="110" t="str">
        <f t="shared" ca="1" si="7"/>
        <v>81-023-05</v>
      </c>
      <c r="B119" s="107" t="str">
        <f ca="1">_xlfn.LET(_xlpm.CAPS,0,_xlpm.Style,TRIM(_xlfn.XLOOKUP($A119,Строчный!$A:$A,Строчный!B:B,"ERR",0)),IF(_xlpm.CAPS=0,_xlpm.Style,UPPER(_xlpm.Style)))</f>
        <v>MAC LORCA</v>
      </c>
      <c r="C119" s="81" t="str">
        <f ca="1">TRIM(PROPER(_xlfn.XLOOKUP($A119,Строчный!$A:$A,Строчный!C:C,"ERR",0)))</f>
        <v>Шляпы</v>
      </c>
      <c r="D119" s="81" t="str">
        <f ca="1">_xlfn.LET(_xlpm.DATA,TRIM(_xlfn.XLOOKUP($A119,Строчный!$A:$A,Строчный!D:D,"ERR",0)),UPPER(MID(_xlpm.DATA,1,1))&amp;LOWER(MID(_xlpm.DATA,2,LEN(_xlpm.DATA)-1)))</f>
        <v>Шляпа федора</v>
      </c>
      <c r="E119" s="81" t="str">
        <f ca="1">PROPER(TRIM(_xlfn.XLOOKUP($A119,Строчный!$A:$A,Строчный!E:E,"ERR",0)))</f>
        <v>Herman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HERMAN</v>
      </c>
      <c r="H119" s="81" t="str">
        <f ca="1">LOWER(TRIM(_xlfn.XLOOKUP($A119,Строчный!$A:$A,Строчный!H:H,"ERR",0)))</f>
        <v>charcoal</v>
      </c>
      <c r="I119" s="81" t="str">
        <f ca="1">LOWER(TRIM(_xlfn.XLOOKUP($A119,Строчный!$A:$A,Строчный!I:I,"ERR",0)))</f>
        <v>темно-серый</v>
      </c>
      <c r="J119" s="81" t="str">
        <f ca="1">SUBSTITUTE(LOWER(TRIM(_xlfn.XLOOKUP($A119,Строчный!$A:$A,Строчный!J:J,"ERR",0))),"подклад","Подклад")</f>
        <v>100% шерсть</v>
      </c>
      <c r="K119" s="81" t="str">
        <f ca="1">LOWER(TRIM(_xlfn.XLOOKUP($A119,Строчный!$A:$A,Строчный!K:K,"ERR",0)))</f>
        <v>фетровые</v>
      </c>
      <c r="L119" s="81" t="str">
        <f ca="1">PROPER(TRIM(_xlfn.XLOOKUP($A119,Строчный!$A:$A,Строчный!L:L,"ERR",0)))</f>
        <v>Мужской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/>
      </c>
      <c r="O119" s="102" t="str">
        <f ca="1">PROPER(TRIM(_xlfn.XLOOKUP($A119,Строчный!$A:$A,Строчный!P:P,"ERR",0)))</f>
        <v/>
      </c>
      <c r="P119" s="81" t="str">
        <f ca="1">PROPER(TRIM(_xlfn.XLOOKUP($A119,Строчный!$A:$A,Строчный!R:R,"ERR",0)))</f>
        <v/>
      </c>
      <c r="Q119" s="90">
        <f ca="1">VALUE(_xlfn.XLOOKUP($A119,Строчный!$A:$A,Строчный!N:N,"ERR",0))</f>
        <v>1457.1000000000001</v>
      </c>
      <c r="R119" s="89" t="str">
        <f ca="1">_xlfn.XLOOKUP($G119,Фабрика!A:A,Фабрика!B:B,"ERR",0)</f>
        <v>Chapellerie Herman S.A.; Rue Jean Meunier, 6, 6922 Wellin, Belgium</v>
      </c>
      <c r="S119" s="80" t="str">
        <f ca="1">_xlfn.XLOOKUP(RIGHT(AA119,2),Размеры!D:D,Размеры!A:A,"ERR",0)</f>
        <v>61</v>
      </c>
      <c r="T119" s="80">
        <f ca="1">VALUE(_xlfn.XLOOKUP($AA119,Строчный!$S:$S,Строчный!U:U,"ERR",0))</f>
        <v>16</v>
      </c>
      <c r="U119" s="14" t="s">
        <v>265</v>
      </c>
      <c r="V119" s="101" t="str">
        <f t="shared" ca="1" si="8"/>
        <v>Шляпа HERMAN арт. MAC LORCA (темно-серый)</v>
      </c>
      <c r="W119" s="100" t="str">
        <f t="shared" ca="1" si="9"/>
        <v>Шляпа HERMAN арт. MAC LORCA (темно-серый) {charcoal}</v>
      </c>
      <c r="X119" s="18" t="str">
        <f t="shared" ca="1" si="10"/>
        <v>серый</v>
      </c>
      <c r="Y119" s="18" t="str">
        <f t="shared" ca="1" si="11"/>
        <v>серый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серый</v>
      </c>
      <c r="AA119" s="73" t="str">
        <f ca="1"/>
        <v>81-023-05-61</v>
      </c>
      <c r="AB119" s="75" t="str">
        <f ca="1">VLOOKUP(C119,Группа!A:B,2,FALSE)</f>
        <v>Шляпа</v>
      </c>
      <c r="AC119" s="97" t="str">
        <f ca="1">IFERROR(VLOOKUP(S119,Размеры!A:C,3,FALSE),"")</f>
        <v>61 XL</v>
      </c>
      <c r="AD119" s="97" t="str">
        <f ca="1">VLOOKUP(I119,ЦветПолный!A:B,2,FALSE)</f>
        <v>05</v>
      </c>
      <c r="AE119" s="97" t="str">
        <f ca="1">IFERROR(VLOOKUP(S119,Размеры!A:D,4,FALSE),"")</f>
        <v>61</v>
      </c>
      <c r="AF119" s="97">
        <f ca="1">IF(LEFT(IFERROR(VLOOKUP(LOOKUP(2,1/SEARCH(B119,Товары!A:A),Товары!A:A),Товары!A:B,2,0),""),6)=MID(AA119,1,6),1,0)</f>
        <v>1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str">
        <f ca="1">IF(VLOOKUP(W119,Товары!A:B,2,FALSE)=A119,"Есть в 1С","ERR")</f>
        <v>Есть в 1С</v>
      </c>
      <c r="AU119" s="65" t="str">
        <f ca="1">IF(VLOOKUP(A119,Товары!B:B,1,FALSE)=A119,"Есть в 1С","ERR")</f>
        <v>Есть в 1С</v>
      </c>
      <c r="AV119" s="96" t="str">
        <f ca="1">VLOOKUP(W119,Товары!A:B,2,FALSE)</f>
        <v>81-023-05</v>
      </c>
      <c r="AW119" s="94" t="str">
        <f ca="1">VLOOKUP(W119,Товары!A:B,1,FALSE)</f>
        <v>Шляпа HERMAN арт. MAC LORCA (темно-серый) {charcoal}</v>
      </c>
    </row>
    <row r="120" spans="1:49" x14ac:dyDescent="0.25">
      <c r="A120" s="110" t="str">
        <f t="shared" ca="1" si="7"/>
        <v>81-023-05</v>
      </c>
      <c r="B120" s="107" t="str">
        <f ca="1">_xlfn.LET(_xlpm.CAPS,0,_xlpm.Style,TRIM(_xlfn.XLOOKUP($A120,Строчный!$A:$A,Строчный!B:B,"ERR",0)),IF(_xlpm.CAPS=0,_xlpm.Style,UPPER(_xlpm.Style)))</f>
        <v>MAC LORCA</v>
      </c>
      <c r="C120" s="81" t="str">
        <f ca="1">TRIM(PROPER(_xlfn.XLOOKUP($A120,Строчный!$A:$A,Строчный!C:C,"ERR",0)))</f>
        <v>Шляпы</v>
      </c>
      <c r="D120" s="81" t="str">
        <f ca="1">_xlfn.LET(_xlpm.DATA,TRIM(_xlfn.XLOOKUP($A120,Строчный!$A:$A,Строчный!D:D,"ERR",0)),UPPER(MID(_xlpm.DATA,1,1))&amp;LOWER(MID(_xlpm.DATA,2,LEN(_xlpm.DATA)-1)))</f>
        <v>Шляпа федора</v>
      </c>
      <c r="E120" s="81" t="str">
        <f ca="1">PROPER(TRIM(_xlfn.XLOOKUP($A120,Строчный!$A:$A,Строчный!E:E,"ERR",0)))</f>
        <v>Herman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HERMAN</v>
      </c>
      <c r="H120" s="81" t="str">
        <f ca="1">LOWER(TRIM(_xlfn.XLOOKUP($A120,Строчный!$A:$A,Строчный!H:H,"ERR",0)))</f>
        <v>charcoal</v>
      </c>
      <c r="I120" s="81" t="str">
        <f ca="1">LOWER(TRIM(_xlfn.XLOOKUP($A120,Строчный!$A:$A,Строчный!I:I,"ERR",0)))</f>
        <v>темно-серый</v>
      </c>
      <c r="J120" s="81" t="str">
        <f ca="1">SUBSTITUTE(LOWER(TRIM(_xlfn.XLOOKUP($A120,Строчный!$A:$A,Строчный!J:J,"ERR",0))),"подклад","Подклад")</f>
        <v>100% шерсть</v>
      </c>
      <c r="K120" s="81" t="str">
        <f ca="1">LOWER(TRIM(_xlfn.XLOOKUP($A120,Строчный!$A:$A,Строчный!K:K,"ERR",0)))</f>
        <v>фетровые</v>
      </c>
      <c r="L120" s="81" t="str">
        <f ca="1">PROPER(TRIM(_xlfn.XLOOKUP($A120,Строчный!$A:$A,Строчный!L:L,"ERR",0)))</f>
        <v>Мужской</v>
      </c>
      <c r="M120" s="113" t="str">
        <f ca="1">PROPER(TRIM(_xlfn.XLOOKUP($A120,Строчный!$A:$A,Строчный!M:M,"ERR",0)))</f>
        <v>Китай</v>
      </c>
      <c r="N120" s="81" t="str">
        <f ca="1">UPPER(TRIM(_xlfn.XLOOKUP($A120,Строчный!$A:$A,Строчный!O:O,"ERR",0)))</f>
        <v/>
      </c>
      <c r="O120" s="102" t="str">
        <f ca="1">PROPER(TRIM(_xlfn.XLOOKUP($A120,Строчный!$A:$A,Строчный!P:P,"ERR",0)))</f>
        <v/>
      </c>
      <c r="P120" s="81" t="str">
        <f ca="1">PROPER(TRIM(_xlfn.XLOOKUP($A120,Строчный!$A:$A,Строчный!R:R,"ERR",0)))</f>
        <v/>
      </c>
      <c r="Q120" s="90">
        <f ca="1">VALUE(_xlfn.XLOOKUP($A120,Строчный!$A:$A,Строчный!N:N,"ERR",0))</f>
        <v>1457.1000000000001</v>
      </c>
      <c r="R120" s="89" t="str">
        <f ca="1">_xlfn.XLOOKUP($G120,Фабрика!A:A,Фабрика!B:B,"ERR",0)</f>
        <v>Chapellerie Herman S.A.; Rue Jean Meunier, 6, 6922 Wellin, Belgium</v>
      </c>
      <c r="S120" s="80" t="str">
        <f ca="1">_xlfn.XLOOKUP(RIGHT(AA120,2),Размеры!D:D,Размеры!A:A,"ERR",0)</f>
        <v>59</v>
      </c>
      <c r="T120" s="80">
        <f ca="1">VALUE(_xlfn.XLOOKUP($AA120,Строчный!$S:$S,Строчный!U:U,"ERR",0))</f>
        <v>22</v>
      </c>
      <c r="U120" s="14" t="s">
        <v>265</v>
      </c>
      <c r="V120" s="101" t="str">
        <f t="shared" ca="1" si="8"/>
        <v>Шляпа HERMAN арт. MAC LORCA (темно-серый)</v>
      </c>
      <c r="W120" s="100" t="str">
        <f t="shared" ca="1" si="9"/>
        <v>Шляпа HERMAN арт. MAC LORCA (темно-серый) {charcoal}</v>
      </c>
      <c r="X120" s="18" t="str">
        <f t="shared" ca="1" si="10"/>
        <v>серый</v>
      </c>
      <c r="Y120" s="18" t="str">
        <f t="shared" ca="1" si="11"/>
        <v>серый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серый</v>
      </c>
      <c r="AA120" s="73" t="str">
        <f ca="1"/>
        <v>81-023-05-59</v>
      </c>
      <c r="AB120" s="75" t="str">
        <f ca="1">VLOOKUP(C120,Группа!A:B,2,FALSE)</f>
        <v>Шляпа</v>
      </c>
      <c r="AC120" s="97" t="str">
        <f ca="1">IFERROR(VLOOKUP(S120,Размеры!A:C,3,FALSE),"")</f>
        <v>59 L</v>
      </c>
      <c r="AD120" s="97" t="str">
        <f ca="1">VLOOKUP(I120,ЦветПолный!A:B,2,FALSE)</f>
        <v>05</v>
      </c>
      <c r="AE120" s="97" t="str">
        <f ca="1">IFERROR(VLOOKUP(S120,Размеры!A:D,4,FALSE),"")</f>
        <v>59</v>
      </c>
      <c r="AF120" s="97">
        <f ca="1">IF(LEFT(IFERROR(VLOOKUP(LOOKUP(2,1/SEARCH(B120,Товары!A:A),Товары!A:A),Товары!A:B,2,0),""),6)=MID(AA120,1,6),1,0)</f>
        <v>1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1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1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str">
        <f ca="1">IF(VLOOKUP(W120,Товары!A:B,2,FALSE)=A120,"Есть в 1С","ERR")</f>
        <v>Есть в 1С</v>
      </c>
      <c r="AU120" s="65" t="str">
        <f ca="1">IF(VLOOKUP(A120,Товары!B:B,1,FALSE)=A120,"Есть в 1С","ERR")</f>
        <v>Есть в 1С</v>
      </c>
      <c r="AV120" s="96" t="str">
        <f ca="1">VLOOKUP(W120,Товары!A:B,2,FALSE)</f>
        <v>81-023-05</v>
      </c>
      <c r="AW120" s="94" t="str">
        <f ca="1">VLOOKUP(W120,Товары!A:B,1,FALSE)</f>
        <v>Шляпа HERMAN арт. MAC LORCA (темно-серый) {charcoal}</v>
      </c>
    </row>
    <row r="121" spans="1:49" x14ac:dyDescent="0.25">
      <c r="A121" s="110" t="str">
        <f t="shared" ca="1" si="7"/>
        <v>81-023-05</v>
      </c>
      <c r="B121" s="107" t="str">
        <f ca="1">_xlfn.LET(_xlpm.CAPS,0,_xlpm.Style,TRIM(_xlfn.XLOOKUP($A121,Строчный!$A:$A,Строчный!B:B,"ERR",0)),IF(_xlpm.CAPS=0,_xlpm.Style,UPPER(_xlpm.Style)))</f>
        <v>MAC LORCA</v>
      </c>
      <c r="C121" s="81" t="str">
        <f ca="1">TRIM(PROPER(_xlfn.XLOOKUP($A121,Строчный!$A:$A,Строчный!C:C,"ERR",0)))</f>
        <v>Шляпы</v>
      </c>
      <c r="D121" s="81" t="str">
        <f ca="1">_xlfn.LET(_xlpm.DATA,TRIM(_xlfn.XLOOKUP($A121,Строчный!$A:$A,Строчный!D:D,"ERR",0)),UPPER(MID(_xlpm.DATA,1,1))&amp;LOWER(MID(_xlpm.DATA,2,LEN(_xlpm.DATA)-1)))</f>
        <v>Шляпа федора</v>
      </c>
      <c r="E121" s="81" t="str">
        <f ca="1">PROPER(TRIM(_xlfn.XLOOKUP($A121,Строчный!$A:$A,Строчный!E:E,"ERR",0)))</f>
        <v>Herman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HERMAN</v>
      </c>
      <c r="H121" s="81" t="str">
        <f ca="1">LOWER(TRIM(_xlfn.XLOOKUP($A121,Строчный!$A:$A,Строчный!H:H,"ERR",0)))</f>
        <v>charcoal</v>
      </c>
      <c r="I121" s="81" t="str">
        <f ca="1">LOWER(TRIM(_xlfn.XLOOKUP($A121,Строчный!$A:$A,Строчный!I:I,"ERR",0)))</f>
        <v>темно-серый</v>
      </c>
      <c r="J121" s="81" t="str">
        <f ca="1">SUBSTITUTE(LOWER(TRIM(_xlfn.XLOOKUP($A121,Строчный!$A:$A,Строчный!J:J,"ERR",0))),"подклад","Подклад")</f>
        <v>100% шерсть</v>
      </c>
      <c r="K121" s="81" t="str">
        <f ca="1">LOWER(TRIM(_xlfn.XLOOKUP($A121,Строчный!$A:$A,Строчный!K:K,"ERR",0)))</f>
        <v>фетровые</v>
      </c>
      <c r="L121" s="81" t="str">
        <f ca="1">PROPER(TRIM(_xlfn.XLOOKUP($A121,Строчный!$A:$A,Строчный!L:L,"ERR",0)))</f>
        <v>Мужской</v>
      </c>
      <c r="M121" s="113" t="str">
        <f ca="1">PROPER(TRIM(_xlfn.XLOOKUP($A121,Строчный!$A:$A,Строчный!M:M,"ERR",0)))</f>
        <v>Китай</v>
      </c>
      <c r="N121" s="81" t="str">
        <f ca="1">UPPER(TRIM(_xlfn.XLOOKUP($A121,Строчный!$A:$A,Строчный!O:O,"ERR",0)))</f>
        <v/>
      </c>
      <c r="O121" s="102" t="str">
        <f ca="1">PROPER(TRIM(_xlfn.XLOOKUP($A121,Строчный!$A:$A,Строчный!P:P,"ERR",0)))</f>
        <v/>
      </c>
      <c r="P121" s="81" t="str">
        <f ca="1">PROPER(TRIM(_xlfn.XLOOKUP($A121,Строчный!$A:$A,Строчный!R:R,"ERR",0)))</f>
        <v/>
      </c>
      <c r="Q121" s="90">
        <f ca="1">VALUE(_xlfn.XLOOKUP($A121,Строчный!$A:$A,Строчный!N:N,"ERR",0))</f>
        <v>1457.1000000000001</v>
      </c>
      <c r="R121" s="89" t="str">
        <f ca="1">_xlfn.XLOOKUP($G121,Фабрика!A:A,Фабрика!B:B,"ERR",0)</f>
        <v>Chapellerie Herman S.A.; Rue Jean Meunier, 6, 6922 Wellin, Belgium</v>
      </c>
      <c r="S121" s="80" t="str">
        <f ca="1">_xlfn.XLOOKUP(RIGHT(AA121,2),Размеры!D:D,Размеры!A:A,"ERR",0)</f>
        <v>57</v>
      </c>
      <c r="T121" s="80">
        <f ca="1">VALUE(_xlfn.XLOOKUP($AA121,Строчный!$S:$S,Строчный!U:U,"ERR",0))</f>
        <v>11</v>
      </c>
      <c r="U121" s="14" t="s">
        <v>265</v>
      </c>
      <c r="V121" s="101" t="str">
        <f t="shared" ca="1" si="8"/>
        <v>Шляпа HERMAN арт. MAC LORCA (темно-серый)</v>
      </c>
      <c r="W121" s="100" t="str">
        <f t="shared" ca="1" si="9"/>
        <v>Шляпа HERMAN арт. MAC LORCA (темно-серый) {charcoal}</v>
      </c>
      <c r="X121" s="18" t="str">
        <f t="shared" ca="1" si="10"/>
        <v>серый</v>
      </c>
      <c r="Y121" s="18" t="str">
        <f t="shared" ca="1" si="11"/>
        <v>серый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серый</v>
      </c>
      <c r="AA121" s="73" t="str">
        <f ca="1"/>
        <v>81-023-05-57</v>
      </c>
      <c r="AB121" s="75" t="str">
        <f ca="1">VLOOKUP(C121,Группа!A:B,2,FALSE)</f>
        <v>Шляпа</v>
      </c>
      <c r="AC121" s="97" t="str">
        <f ca="1">IFERROR(VLOOKUP(S121,Размеры!A:C,3,FALSE),"")</f>
        <v>57 M</v>
      </c>
      <c r="AD121" s="97" t="str">
        <f ca="1">VLOOKUP(I121,ЦветПолный!A:B,2,FALSE)</f>
        <v>05</v>
      </c>
      <c r="AE121" s="97" t="str">
        <f ca="1">IFERROR(VLOOKUP(S121,Размеры!A:D,4,FALSE),"")</f>
        <v>57</v>
      </c>
      <c r="AF121" s="97">
        <f ca="1">IF(LEFT(IFERROR(VLOOKUP(LOOKUP(2,1/SEARCH(B121,Товары!A:A),Товары!A:A),Товары!A:B,2,0),""),6)=MID(AA121,1,6),1,0)</f>
        <v>1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1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1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str">
        <f ca="1">IF(VLOOKUP(W121,Товары!A:B,2,FALSE)=A121,"Есть в 1С","ERR")</f>
        <v>Есть в 1С</v>
      </c>
      <c r="AU121" s="65" t="str">
        <f ca="1">IF(VLOOKUP(A121,Товары!B:B,1,FALSE)=A121,"Есть в 1С","ERR")</f>
        <v>Есть в 1С</v>
      </c>
      <c r="AV121" s="96" t="str">
        <f ca="1">VLOOKUP(W121,Товары!A:B,2,FALSE)</f>
        <v>81-023-05</v>
      </c>
      <c r="AW121" s="94" t="str">
        <f ca="1">VLOOKUP(W121,Товары!A:B,1,FALSE)</f>
        <v>Шляпа HERMAN арт. MAC LORCA (темно-серый) {charcoal}</v>
      </c>
    </row>
    <row r="122" spans="1:49" x14ac:dyDescent="0.25">
      <c r="A122" s="110" t="str">
        <f t="shared" ca="1" si="7"/>
        <v>81-023-05</v>
      </c>
      <c r="B122" s="107" t="str">
        <f ca="1">_xlfn.LET(_xlpm.CAPS,0,_xlpm.Style,TRIM(_xlfn.XLOOKUP($A122,Строчный!$A:$A,Строчный!B:B,"ERR",0)),IF(_xlpm.CAPS=0,_xlpm.Style,UPPER(_xlpm.Style)))</f>
        <v>MAC LORCA</v>
      </c>
      <c r="C122" s="81" t="str">
        <f ca="1">TRIM(PROPER(_xlfn.XLOOKUP($A122,Строчный!$A:$A,Строчный!C:C,"ERR",0)))</f>
        <v>Шляпы</v>
      </c>
      <c r="D122" s="81" t="str">
        <f ca="1">_xlfn.LET(_xlpm.DATA,TRIM(_xlfn.XLOOKUP($A122,Строчный!$A:$A,Строчный!D:D,"ERR",0)),UPPER(MID(_xlpm.DATA,1,1))&amp;LOWER(MID(_xlpm.DATA,2,LEN(_xlpm.DATA)-1)))</f>
        <v>Шляпа федора</v>
      </c>
      <c r="E122" s="81" t="str">
        <f ca="1">PROPER(TRIM(_xlfn.XLOOKUP($A122,Строчный!$A:$A,Строчный!E:E,"ERR",0)))</f>
        <v>Herman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HERMAN</v>
      </c>
      <c r="H122" s="81" t="str">
        <f ca="1">LOWER(TRIM(_xlfn.XLOOKUP($A122,Строчный!$A:$A,Строчный!H:H,"ERR",0)))</f>
        <v>charcoal</v>
      </c>
      <c r="I122" s="81" t="str">
        <f ca="1">LOWER(TRIM(_xlfn.XLOOKUP($A122,Строчный!$A:$A,Строчный!I:I,"ERR",0)))</f>
        <v>темно-серый</v>
      </c>
      <c r="J122" s="81" t="str">
        <f ca="1">SUBSTITUTE(LOWER(TRIM(_xlfn.XLOOKUP($A122,Строчный!$A:$A,Строчный!J:J,"ERR",0))),"подклад","Подклад")</f>
        <v>100% шерсть</v>
      </c>
      <c r="K122" s="81" t="str">
        <f ca="1">LOWER(TRIM(_xlfn.XLOOKUP($A122,Строчный!$A:$A,Строчный!K:K,"ERR",0)))</f>
        <v>фетровые</v>
      </c>
      <c r="L122" s="81" t="str">
        <f ca="1">PROPER(TRIM(_xlfn.XLOOKUP($A122,Строчный!$A:$A,Строчный!L:L,"ERR",0)))</f>
        <v>Мужской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/>
      </c>
      <c r="O122" s="102" t="str">
        <f ca="1">PROPER(TRIM(_xlfn.XLOOKUP($A122,Строчный!$A:$A,Строчный!P:P,"ERR",0)))</f>
        <v/>
      </c>
      <c r="P122" s="81" t="str">
        <f ca="1">PROPER(TRIM(_xlfn.XLOOKUP($A122,Строчный!$A:$A,Строчный!R:R,"ERR",0)))</f>
        <v/>
      </c>
      <c r="Q122" s="90">
        <f ca="1">VALUE(_xlfn.XLOOKUP($A122,Строчный!$A:$A,Строчный!N:N,"ERR",0))</f>
        <v>1457.1000000000001</v>
      </c>
      <c r="R122" s="89" t="str">
        <f ca="1">_xlfn.XLOOKUP($G122,Фабрика!A:A,Фабрика!B:B,"ERR",0)</f>
        <v>Chapellerie Herman S.A.; Rue Jean Meunier, 6, 6922 Wellin, Belgium</v>
      </c>
      <c r="S122" s="80" t="str">
        <f ca="1">_xlfn.XLOOKUP(RIGHT(AA122,2),Размеры!D:D,Размеры!A:A,"ERR",0)</f>
        <v>55</v>
      </c>
      <c r="T122" s="80">
        <f ca="1">VALUE(_xlfn.XLOOKUP($AA122,Строчный!$S:$S,Строчный!U:U,"ERR",0))</f>
        <v>6</v>
      </c>
      <c r="U122" s="14" t="s">
        <v>265</v>
      </c>
      <c r="V122" s="101" t="str">
        <f t="shared" ca="1" si="8"/>
        <v>Шляпа HERMAN арт. MAC LORCA (темно-серый)</v>
      </c>
      <c r="W122" s="100" t="str">
        <f t="shared" ca="1" si="9"/>
        <v>Шляпа HERMAN арт. MAC LORCA (темно-серый) {charcoal}</v>
      </c>
      <c r="X122" s="18" t="str">
        <f t="shared" ca="1" si="10"/>
        <v>серый</v>
      </c>
      <c r="Y122" s="18" t="str">
        <f t="shared" ca="1" si="11"/>
        <v>серый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серый</v>
      </c>
      <c r="AA122" s="73" t="str">
        <f ca="1"/>
        <v>81-023-05-55</v>
      </c>
      <c r="AB122" s="75" t="str">
        <f ca="1">VLOOKUP(C122,Группа!A:B,2,FALSE)</f>
        <v>Шляпа</v>
      </c>
      <c r="AC122" s="97" t="str">
        <f ca="1">IFERROR(VLOOKUP(S122,Размеры!A:C,3,FALSE),"")</f>
        <v>55 S</v>
      </c>
      <c r="AD122" s="97" t="str">
        <f ca="1">VLOOKUP(I122,ЦветПолный!A:B,2,FALSE)</f>
        <v>05</v>
      </c>
      <c r="AE122" s="97" t="str">
        <f ca="1">IFERROR(VLOOKUP(S122,Размеры!A:D,4,FALSE),"")</f>
        <v>55</v>
      </c>
      <c r="AF122" s="97">
        <f ca="1">IF(LEFT(IFERROR(VLOOKUP(LOOKUP(2,1/SEARCH(B122,Товары!A:A),Товары!A:A),Товары!A:B,2,0),""),6)=MID(AA122,1,6),1,0)</f>
        <v>1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1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str">
        <f ca="1">IF(VLOOKUP(W122,Товары!A:B,2,FALSE)=A122,"Есть в 1С","ERR")</f>
        <v>Есть в 1С</v>
      </c>
      <c r="AU122" s="65" t="str">
        <f ca="1">IF(VLOOKUP(A122,Товары!B:B,1,FALSE)=A122,"Есть в 1С","ERR")</f>
        <v>Есть в 1С</v>
      </c>
      <c r="AV122" s="96" t="str">
        <f ca="1">VLOOKUP(W122,Товары!A:B,2,FALSE)</f>
        <v>81-023-05</v>
      </c>
      <c r="AW122" s="94" t="str">
        <f ca="1">VLOOKUP(W122,Товары!A:B,1,FALSE)</f>
        <v>Шляпа HERMAN арт. MAC LORCA (темно-серый) {charcoal}</v>
      </c>
    </row>
    <row r="123" spans="1:49" x14ac:dyDescent="0.25">
      <c r="A123" s="110" t="str">
        <f t="shared" ca="1" si="7"/>
        <v>81-022-16</v>
      </c>
      <c r="B123" s="107" t="str">
        <f ca="1">_xlfn.LET(_xlpm.CAPS,0,_xlpm.Style,TRIM(_xlfn.XLOOKUP($A123,Строчный!$A:$A,Строчный!B:B,"ERR",0)),IF(_xlpm.CAPS=0,_xlpm.Style,UPPER(_xlpm.Style)))</f>
        <v>MAC COY</v>
      </c>
      <c r="C123" s="81" t="str">
        <f ca="1">TRIM(PROPER(_xlfn.XLOOKUP($A123,Строчный!$A:$A,Строчный!C:C,"ERR",0)))</f>
        <v>Шляпы</v>
      </c>
      <c r="D123" s="81" t="str">
        <f ca="1">_xlfn.LET(_xlpm.DATA,TRIM(_xlfn.XLOOKUP($A123,Строчный!$A:$A,Строчный!D:D,"ERR",0)),UPPER(MID(_xlpm.DATA,1,1))&amp;LOWER(MID(_xlpm.DATA,2,LEN(_xlpm.DATA)-1)))</f>
        <v>Шляпа федора</v>
      </c>
      <c r="E123" s="81" t="str">
        <f ca="1">PROPER(TRIM(_xlfn.XLOOKUP($A123,Строчный!$A:$A,Строчный!E:E,"ERR",0)))</f>
        <v>Herman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HERMAN</v>
      </c>
      <c r="H123" s="81" t="str">
        <f ca="1">LOWER(TRIM(_xlfn.XLOOKUP($A123,Строчный!$A:$A,Строчный!H:H,"ERR",0)))</f>
        <v>navy</v>
      </c>
      <c r="I123" s="81" t="str">
        <f ca="1">LOWER(TRIM(_xlfn.XLOOKUP($A123,Строчный!$A:$A,Строчный!I:I,"ERR",0)))</f>
        <v>темно-синий</v>
      </c>
      <c r="J123" s="81" t="str">
        <f ca="1">SUBSTITUTE(LOWER(TRIM(_xlfn.XLOOKUP($A123,Строчный!$A:$A,Строчный!J:J,"ERR",0))),"подклад","Подклад")</f>
        <v>100% шерсть</v>
      </c>
      <c r="K123" s="81" t="str">
        <f ca="1">LOWER(TRIM(_xlfn.XLOOKUP($A123,Строчный!$A:$A,Строчный!K:K,"ERR",0)))</f>
        <v>фетровые</v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/>
      </c>
      <c r="O123" s="102" t="str">
        <f ca="1">PROPER(TRIM(_xlfn.XLOOKUP($A123,Строчный!$A:$A,Строчный!P:P,"ERR",0)))</f>
        <v/>
      </c>
      <c r="P123" s="81" t="str">
        <f ca="1">PROPER(TRIM(_xlfn.XLOOKUP($A123,Строчный!$A:$A,Строчный!R:R,"ERR",0)))</f>
        <v/>
      </c>
      <c r="Q123" s="90">
        <f ca="1">VALUE(_xlfn.XLOOKUP($A123,Строчный!$A:$A,Строчный!N:N,"ERR",0))</f>
        <v>1281.5999999999999</v>
      </c>
      <c r="R123" s="89" t="str">
        <f ca="1">_xlfn.XLOOKUP($G123,Фабрика!A:A,Фабрика!B:B,"ERR",0)</f>
        <v>Chapellerie Herman S.A.; Rue Jean Meunier, 6, 6922 Wellin, Belgium</v>
      </c>
      <c r="S123" s="80" t="str">
        <f ca="1">_xlfn.XLOOKUP(RIGHT(AA123,2),Размеры!D:D,Размеры!A:A,"ERR",0)</f>
        <v>61</v>
      </c>
      <c r="T123" s="80">
        <f ca="1">VALUE(_xlfn.XLOOKUP($AA123,Строчный!$S:$S,Строчный!U:U,"ERR",0))</f>
        <v>4</v>
      </c>
      <c r="U123" s="14" t="s">
        <v>265</v>
      </c>
      <c r="V123" s="101" t="str">
        <f t="shared" ca="1" si="8"/>
        <v>Шляпа HERMAN арт. MAC COY (темно-синий)</v>
      </c>
      <c r="W123" s="100" t="str">
        <f t="shared" ca="1" si="9"/>
        <v>Шляпа HERMAN арт. MAC COY (темно-синий) {navy}</v>
      </c>
      <c r="X123" s="18" t="str">
        <f t="shared" ca="1" si="10"/>
        <v>синий</v>
      </c>
      <c r="Y123" s="18" t="str">
        <f t="shared" ca="1" si="11"/>
        <v>синий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синий</v>
      </c>
      <c r="AA123" s="73" t="str">
        <f ca="1"/>
        <v>81-022-16-61</v>
      </c>
      <c r="AB123" s="75" t="str">
        <f ca="1">VLOOKUP(C123,Группа!A:B,2,FALSE)</f>
        <v>Шляпа</v>
      </c>
      <c r="AC123" s="97" t="str">
        <f ca="1">IFERROR(VLOOKUP(S123,Размеры!A:C,3,FALSE),"")</f>
        <v>61 XL</v>
      </c>
      <c r="AD123" s="97" t="str">
        <f ca="1">VLOOKUP(I123,ЦветПолный!A:B,2,FALSE)</f>
        <v>16</v>
      </c>
      <c r="AE123" s="97" t="str">
        <f ca="1">IFERROR(VLOOKUP(S123,Размеры!A:D,4,FALSE),"")</f>
        <v>61</v>
      </c>
      <c r="AF123" s="97">
        <f ca="1">IF(LEFT(IFERROR(VLOOKUP(LOOKUP(2,1/SEARCH(B123,Товары!A:A),Товары!A:A),Товары!A:B,2,0),""),6)=MID(AA123,1,6),1,0)</f>
        <v>1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1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str">
        <f ca="1">IF(VLOOKUP(W123,Товары!A:B,2,FALSE)=A123,"Есть в 1С","ERR")</f>
        <v>Есть в 1С</v>
      </c>
      <c r="AU123" s="65" t="str">
        <f ca="1">IF(VLOOKUP(A123,Товары!B:B,1,FALSE)=A123,"Есть в 1С","ERR")</f>
        <v>Есть в 1С</v>
      </c>
      <c r="AV123" s="96" t="str">
        <f ca="1">VLOOKUP(W123,Товары!A:B,2,FALSE)</f>
        <v>81-022-16</v>
      </c>
      <c r="AW123" s="94" t="str">
        <f ca="1">VLOOKUP(W123,Товары!A:B,1,FALSE)</f>
        <v>Шляпа HERMAN арт. MAC COY (темно-синий) {navy}</v>
      </c>
    </row>
    <row r="124" spans="1:49" x14ac:dyDescent="0.25">
      <c r="A124" s="110" t="str">
        <f t="shared" ca="1" si="7"/>
        <v>81-022-16</v>
      </c>
      <c r="B124" s="107" t="str">
        <f ca="1">_xlfn.LET(_xlpm.CAPS,0,_xlpm.Style,TRIM(_xlfn.XLOOKUP($A124,Строчный!$A:$A,Строчный!B:B,"ERR",0)),IF(_xlpm.CAPS=0,_xlpm.Style,UPPER(_xlpm.Style)))</f>
        <v>MAC COY</v>
      </c>
      <c r="C124" s="81" t="str">
        <f ca="1">TRIM(PROPER(_xlfn.XLOOKUP($A124,Строчный!$A:$A,Строчный!C:C,"ERR",0)))</f>
        <v>Шляпы</v>
      </c>
      <c r="D124" s="81" t="str">
        <f ca="1">_xlfn.LET(_xlpm.DATA,TRIM(_xlfn.XLOOKUP($A124,Строчный!$A:$A,Строчный!D:D,"ERR",0)),UPPER(MID(_xlpm.DATA,1,1))&amp;LOWER(MID(_xlpm.DATA,2,LEN(_xlpm.DATA)-1)))</f>
        <v>Шляпа федора</v>
      </c>
      <c r="E124" s="81" t="str">
        <f ca="1">PROPER(TRIM(_xlfn.XLOOKUP($A124,Строчный!$A:$A,Строчный!E:E,"ERR",0)))</f>
        <v>Herman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HERMAN</v>
      </c>
      <c r="H124" s="81" t="str">
        <f ca="1">LOWER(TRIM(_xlfn.XLOOKUP($A124,Строчный!$A:$A,Строчный!H:H,"ERR",0)))</f>
        <v>navy</v>
      </c>
      <c r="I124" s="81" t="str">
        <f ca="1">LOWER(TRIM(_xlfn.XLOOKUP($A124,Строчный!$A:$A,Строчный!I:I,"ERR",0)))</f>
        <v>темно-синий</v>
      </c>
      <c r="J124" s="81" t="str">
        <f ca="1">SUBSTITUTE(LOWER(TRIM(_xlfn.XLOOKUP($A124,Строчный!$A:$A,Строчный!J:J,"ERR",0))),"подклад","Подклад")</f>
        <v>100% шерсть</v>
      </c>
      <c r="K124" s="81" t="str">
        <f ca="1">LOWER(TRIM(_xlfn.XLOOKUP($A124,Строчный!$A:$A,Строчный!K:K,"ERR",0)))</f>
        <v>фетровые</v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/>
      </c>
      <c r="O124" s="102" t="str">
        <f ca="1">PROPER(TRIM(_xlfn.XLOOKUP($A124,Строчный!$A:$A,Строчный!P:P,"ERR",0)))</f>
        <v/>
      </c>
      <c r="P124" s="81" t="str">
        <f ca="1">PROPER(TRIM(_xlfn.XLOOKUP($A124,Строчный!$A:$A,Строчный!R:R,"ERR",0)))</f>
        <v/>
      </c>
      <c r="Q124" s="90">
        <f ca="1">VALUE(_xlfn.XLOOKUP($A124,Строчный!$A:$A,Строчный!N:N,"ERR",0))</f>
        <v>1281.5999999999999</v>
      </c>
      <c r="R124" s="89" t="str">
        <f ca="1">_xlfn.XLOOKUP($G124,Фабрика!A:A,Фабрика!B:B,"ERR",0)</f>
        <v>Chapellerie Herman S.A.; Rue Jean Meunier, 6, 6922 Wellin, Belgium</v>
      </c>
      <c r="S124" s="80" t="str">
        <f ca="1">_xlfn.XLOOKUP(RIGHT(AA124,2),Размеры!D:D,Размеры!A:A,"ERR",0)</f>
        <v>59</v>
      </c>
      <c r="T124" s="80">
        <f ca="1">VALUE(_xlfn.XLOOKUP($AA124,Строчный!$S:$S,Строчный!U:U,"ERR",0))</f>
        <v>11</v>
      </c>
      <c r="U124" s="14" t="s">
        <v>265</v>
      </c>
      <c r="V124" s="101" t="str">
        <f t="shared" ca="1" si="8"/>
        <v>Шляпа HERMAN арт. MAC COY (темно-синий)</v>
      </c>
      <c r="W124" s="100" t="str">
        <f t="shared" ca="1" si="9"/>
        <v>Шляпа HERMAN арт. MAC COY (темно-синий) {navy}</v>
      </c>
      <c r="X124" s="18" t="str">
        <f t="shared" ca="1" si="10"/>
        <v>синий</v>
      </c>
      <c r="Y124" s="18" t="str">
        <f t="shared" ca="1" si="11"/>
        <v>синий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3" t="str">
        <f ca="1"/>
        <v>81-022-16-59</v>
      </c>
      <c r="AB124" s="75" t="str">
        <f ca="1">VLOOKUP(C124,Группа!A:B,2,FALSE)</f>
        <v>Шляпа</v>
      </c>
      <c r="AC124" s="97" t="str">
        <f ca="1">IFERROR(VLOOKUP(S124,Размеры!A:C,3,FALSE),"")</f>
        <v>59 L</v>
      </c>
      <c r="AD124" s="97" t="str">
        <f ca="1">VLOOKUP(I124,ЦветПолный!A:B,2,FALSE)</f>
        <v>16</v>
      </c>
      <c r="AE124" s="97" t="str">
        <f ca="1">IFERROR(VLOOKUP(S124,Размеры!A:D,4,FALSE),"")</f>
        <v>59</v>
      </c>
      <c r="AF124" s="97">
        <f ca="1">IF(LEFT(IFERROR(VLOOKUP(LOOKUP(2,1/SEARCH(B124,Товары!A:A),Товары!A:A),Товары!A:B,2,0),""),6)=MID(AA124,1,6),1,0)</f>
        <v>1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1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str">
        <f ca="1">IF(VLOOKUP(W124,Товары!A:B,2,FALSE)=A124,"Есть в 1С","ERR")</f>
        <v>Есть в 1С</v>
      </c>
      <c r="AU124" s="65" t="str">
        <f ca="1">IF(VLOOKUP(A124,Товары!B:B,1,FALSE)=A124,"Есть в 1С","ERR")</f>
        <v>Есть в 1С</v>
      </c>
      <c r="AV124" s="96" t="str">
        <f ca="1">VLOOKUP(W124,Товары!A:B,2,FALSE)</f>
        <v>81-022-16</v>
      </c>
      <c r="AW124" s="94" t="str">
        <f ca="1">VLOOKUP(W124,Товары!A:B,1,FALSE)</f>
        <v>Шляпа HERMAN арт. MAC COY (темно-синий) {navy}</v>
      </c>
    </row>
    <row r="125" spans="1:49" x14ac:dyDescent="0.25">
      <c r="A125" s="110" t="str">
        <f t="shared" ca="1" si="7"/>
        <v>81-022-16</v>
      </c>
      <c r="B125" s="107" t="str">
        <f ca="1">_xlfn.LET(_xlpm.CAPS,0,_xlpm.Style,TRIM(_xlfn.XLOOKUP($A125,Строчный!$A:$A,Строчный!B:B,"ERR",0)),IF(_xlpm.CAPS=0,_xlpm.Style,UPPER(_xlpm.Style)))</f>
        <v>MAC COY</v>
      </c>
      <c r="C125" s="81" t="str">
        <f ca="1">TRIM(PROPER(_xlfn.XLOOKUP($A125,Строчный!$A:$A,Строчный!C:C,"ERR",0)))</f>
        <v>Шляпы</v>
      </c>
      <c r="D125" s="81" t="str">
        <f ca="1">_xlfn.LET(_xlpm.DATA,TRIM(_xlfn.XLOOKUP($A125,Строчный!$A:$A,Строчный!D:D,"ERR",0)),UPPER(MID(_xlpm.DATA,1,1))&amp;LOWER(MID(_xlpm.DATA,2,LEN(_xlpm.DATA)-1)))</f>
        <v>Шляпа федора</v>
      </c>
      <c r="E125" s="81" t="str">
        <f ca="1">PROPER(TRIM(_xlfn.XLOOKUP($A125,Строчный!$A:$A,Строчный!E:E,"ERR",0)))</f>
        <v>Herman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HERMAN</v>
      </c>
      <c r="H125" s="81" t="str">
        <f ca="1">LOWER(TRIM(_xlfn.XLOOKUP($A125,Строчный!$A:$A,Строчный!H:H,"ERR",0)))</f>
        <v>navy</v>
      </c>
      <c r="I125" s="81" t="str">
        <f ca="1">LOWER(TRIM(_xlfn.XLOOKUP($A125,Строчный!$A:$A,Строчный!I:I,"ERR",0)))</f>
        <v>темно-синий</v>
      </c>
      <c r="J125" s="81" t="str">
        <f ca="1">SUBSTITUTE(LOWER(TRIM(_xlfn.XLOOKUP($A125,Строчный!$A:$A,Строчный!J:J,"ERR",0))),"подклад","Подклад")</f>
        <v>100% шерсть</v>
      </c>
      <c r="K125" s="81" t="str">
        <f ca="1">LOWER(TRIM(_xlfn.XLOOKUP($A125,Строчный!$A:$A,Строчный!K:K,"ERR",0)))</f>
        <v>фетровые</v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/>
      </c>
      <c r="O125" s="102" t="str">
        <f ca="1">PROPER(TRIM(_xlfn.XLOOKUP($A125,Строчный!$A:$A,Строчный!P:P,"ERR",0)))</f>
        <v/>
      </c>
      <c r="P125" s="81" t="str">
        <f ca="1">PROPER(TRIM(_xlfn.XLOOKUP($A125,Строчный!$A:$A,Строчный!R:R,"ERR",0)))</f>
        <v/>
      </c>
      <c r="Q125" s="90">
        <f ca="1">VALUE(_xlfn.XLOOKUP($A125,Строчный!$A:$A,Строчный!N:N,"ERR",0))</f>
        <v>1281.5999999999999</v>
      </c>
      <c r="R125" s="89" t="str">
        <f ca="1">_xlfn.XLOOKUP($G125,Фабрика!A:A,Фабрика!B:B,"ERR",0)</f>
        <v>Chapellerie Herman S.A.; Rue Jean Meunier, 6, 6922 Wellin, Belgium</v>
      </c>
      <c r="S125" s="80" t="str">
        <f ca="1">_xlfn.XLOOKUP(RIGHT(AA125,2),Размеры!D:D,Размеры!A:A,"ERR",0)</f>
        <v>57</v>
      </c>
      <c r="T125" s="80">
        <f ca="1">VALUE(_xlfn.XLOOKUP($AA125,Строчный!$S:$S,Строчный!U:U,"ERR",0))</f>
        <v>5</v>
      </c>
      <c r="U125" s="14" t="s">
        <v>265</v>
      </c>
      <c r="V125" s="101" t="str">
        <f t="shared" ca="1" si="8"/>
        <v>Шляпа HERMAN арт. MAC COY (темно-синий)</v>
      </c>
      <c r="W125" s="100" t="str">
        <f t="shared" ca="1" si="9"/>
        <v>Шляпа HERMAN арт. MAC COY (темно-синий) {navy}</v>
      </c>
      <c r="X125" s="18" t="str">
        <f t="shared" ca="1" si="10"/>
        <v>синий</v>
      </c>
      <c r="Y125" s="18" t="str">
        <f t="shared" ca="1" si="11"/>
        <v>синий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синий</v>
      </c>
      <c r="AA125" s="73" t="str">
        <f ca="1"/>
        <v>81-022-16-57</v>
      </c>
      <c r="AB125" s="75" t="str">
        <f ca="1">VLOOKUP(C125,Группа!A:B,2,FALSE)</f>
        <v>Шляпа</v>
      </c>
      <c r="AC125" s="97" t="str">
        <f ca="1">IFERROR(VLOOKUP(S125,Размеры!A:C,3,FALSE),"")</f>
        <v>57 M</v>
      </c>
      <c r="AD125" s="97" t="str">
        <f ca="1">VLOOKUP(I125,ЦветПолный!A:B,2,FALSE)</f>
        <v>16</v>
      </c>
      <c r="AE125" s="97" t="str">
        <f ca="1">IFERROR(VLOOKUP(S125,Размеры!A:D,4,FALSE),"")</f>
        <v>57</v>
      </c>
      <c r="AF125" s="97">
        <f ca="1">IF(LEFT(IFERROR(VLOOKUP(LOOKUP(2,1/SEARCH(B125,Товары!A:A),Товары!A:A),Товары!A:B,2,0),""),6)=MID(AA125,1,6),1,0)</f>
        <v>1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1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str">
        <f ca="1">IF(VLOOKUP(W125,Товары!A:B,2,FALSE)=A125,"Есть в 1С","ERR")</f>
        <v>Есть в 1С</v>
      </c>
      <c r="AU125" s="65" t="str">
        <f ca="1">IF(VLOOKUP(A125,Товары!B:B,1,FALSE)=A125,"Есть в 1С","ERR")</f>
        <v>Есть в 1С</v>
      </c>
      <c r="AV125" s="96" t="str">
        <f ca="1">VLOOKUP(W125,Товары!A:B,2,FALSE)</f>
        <v>81-022-16</v>
      </c>
      <c r="AW125" s="94" t="str">
        <f ca="1">VLOOKUP(W125,Товары!A:B,1,FALSE)</f>
        <v>Шляпа HERMAN арт. MAC COY (темно-синий) {navy}</v>
      </c>
    </row>
    <row r="126" spans="1:49" x14ac:dyDescent="0.25">
      <c r="A126" s="110" t="str">
        <f t="shared" ca="1" si="7"/>
        <v>81-022-11</v>
      </c>
      <c r="B126" s="107" t="str">
        <f ca="1">_xlfn.LET(_xlpm.CAPS,0,_xlpm.Style,TRIM(_xlfn.XLOOKUP($A126,Строчный!$A:$A,Строчный!B:B,"ERR",0)),IF(_xlpm.CAPS=0,_xlpm.Style,UPPER(_xlpm.Style)))</f>
        <v>MAC COY</v>
      </c>
      <c r="C126" s="81" t="str">
        <f ca="1">TRIM(PROPER(_xlfn.XLOOKUP($A126,Строчный!$A:$A,Строчный!C:C,"ERR",0)))</f>
        <v>Шляпы</v>
      </c>
      <c r="D126" s="81" t="str">
        <f ca="1">_xlfn.LET(_xlpm.DATA,TRIM(_xlfn.XLOOKUP($A126,Строчный!$A:$A,Строчный!D:D,"ERR",0)),UPPER(MID(_xlpm.DATA,1,1))&amp;LOWER(MID(_xlpm.DATA,2,LEN(_xlpm.DATA)-1)))</f>
        <v>Шляпа федора</v>
      </c>
      <c r="E126" s="81" t="str">
        <f ca="1">PROPER(TRIM(_xlfn.XLOOKUP($A126,Строчный!$A:$A,Строчный!E:E,"ERR",0)))</f>
        <v>Herman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HERMAN</v>
      </c>
      <c r="H126" s="81" t="str">
        <f ca="1">LOWER(TRIM(_xlfn.XLOOKUP($A126,Строчный!$A:$A,Строчный!H:H,"ERR",0)))</f>
        <v>green</v>
      </c>
      <c r="I126" s="81" t="str">
        <f ca="1">LOWER(TRIM(_xlfn.XLOOKUP($A126,Строчный!$A:$A,Строчный!I:I,"ERR",0)))</f>
        <v>зеленый</v>
      </c>
      <c r="J126" s="81" t="str">
        <f ca="1">SUBSTITUTE(LOWER(TRIM(_xlfn.XLOOKUP($A126,Строчный!$A:$A,Строчный!J:J,"ERR",0))),"подклад","Подклад")</f>
        <v>100% шерсть</v>
      </c>
      <c r="K126" s="81" t="str">
        <f ca="1">LOWER(TRIM(_xlfn.XLOOKUP($A126,Строчный!$A:$A,Строчный!K:K,"ERR",0)))</f>
        <v>фетровые</v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/>
      </c>
      <c r="O126" s="102" t="str">
        <f ca="1">PROPER(TRIM(_xlfn.XLOOKUP($A126,Строчный!$A:$A,Строчный!P:P,"ERR",0)))</f>
        <v/>
      </c>
      <c r="P126" s="81" t="str">
        <f ca="1">PROPER(TRIM(_xlfn.XLOOKUP($A126,Строчный!$A:$A,Строчный!R:R,"ERR",0)))</f>
        <v/>
      </c>
      <c r="Q126" s="90">
        <f ca="1">VALUE(_xlfn.XLOOKUP($A126,Строчный!$A:$A,Строчный!N:N,"ERR",0))</f>
        <v>1281.5999999999999</v>
      </c>
      <c r="R126" s="89" t="str">
        <f ca="1">_xlfn.XLOOKUP($G126,Фабрика!A:A,Фабрика!B:B,"ERR",0)</f>
        <v>Chapellerie Herman S.A.; Rue Jean Meunier, 6, 6922 Wellin, Belgium</v>
      </c>
      <c r="S126" s="80" t="str">
        <f ca="1">_xlfn.XLOOKUP(RIGHT(AA126,2),Размеры!D:D,Размеры!A:A,"ERR",0)</f>
        <v>61</v>
      </c>
      <c r="T126" s="80">
        <f ca="1">VALUE(_xlfn.XLOOKUP($AA126,Строчный!$S:$S,Строчный!U:U,"ERR",0))</f>
        <v>6</v>
      </c>
      <c r="U126" s="14" t="s">
        <v>265</v>
      </c>
      <c r="V126" s="101" t="str">
        <f t="shared" ca="1" si="8"/>
        <v>Шляпа HERMAN арт. MAC COY (зеленый)</v>
      </c>
      <c r="W126" s="100" t="str">
        <f t="shared" ca="1" si="9"/>
        <v>Шляпа HERMAN арт. MAC COY (зеленый) {green}</v>
      </c>
      <c r="X126" s="18" t="str">
        <f t="shared" ca="1" si="10"/>
        <v>зеленый</v>
      </c>
      <c r="Y126" s="18" t="str">
        <f t="shared" ca="1" si="11"/>
        <v>зеленый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зеленый</v>
      </c>
      <c r="AA126" s="73" t="str">
        <f ca="1"/>
        <v>81-022-11-61</v>
      </c>
      <c r="AB126" s="75" t="str">
        <f ca="1">VLOOKUP(C126,Группа!A:B,2,FALSE)</f>
        <v>Шляпа</v>
      </c>
      <c r="AC126" s="97" t="str">
        <f ca="1">IFERROR(VLOOKUP(S126,Размеры!A:C,3,FALSE),"")</f>
        <v>61 XL</v>
      </c>
      <c r="AD126" s="97" t="str">
        <f ca="1">VLOOKUP(I126,ЦветПолный!A:B,2,FALSE)</f>
        <v>11</v>
      </c>
      <c r="AE126" s="97" t="str">
        <f ca="1">IFERROR(VLOOKUP(S126,Размеры!A:D,4,FALSE),"")</f>
        <v>61</v>
      </c>
      <c r="AF126" s="97">
        <f ca="1">IF(LEFT(IFERROR(VLOOKUP(LOOKUP(2,1/SEARCH(B126,Товары!A:A),Товары!A:A),Товары!A:B,2,0),""),6)=MID(AA126,1,6),1,0)</f>
        <v>1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1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str">
        <f ca="1">IF(VLOOKUP(W126,Товары!A:B,2,FALSE)=A126,"Есть в 1С","ERR")</f>
        <v>Есть в 1С</v>
      </c>
      <c r="AU126" s="65" t="str">
        <f ca="1">IF(VLOOKUP(A126,Товары!B:B,1,FALSE)=A126,"Есть в 1С","ERR")</f>
        <v>Есть в 1С</v>
      </c>
      <c r="AV126" s="96" t="str">
        <f ca="1">VLOOKUP(W126,Товары!A:B,2,FALSE)</f>
        <v>81-022-11</v>
      </c>
      <c r="AW126" s="94" t="str">
        <f ca="1">VLOOKUP(W126,Товары!A:B,1,FALSE)</f>
        <v>Шляпа HERMAN арт. MAC COY (зеленый) {green}</v>
      </c>
    </row>
    <row r="127" spans="1:49" x14ac:dyDescent="0.25">
      <c r="A127" s="110" t="str">
        <f t="shared" ca="1" si="7"/>
        <v>81-022-11</v>
      </c>
      <c r="B127" s="107" t="str">
        <f ca="1">_xlfn.LET(_xlpm.CAPS,0,_xlpm.Style,TRIM(_xlfn.XLOOKUP($A127,Строчный!$A:$A,Строчный!B:B,"ERR",0)),IF(_xlpm.CAPS=0,_xlpm.Style,UPPER(_xlpm.Style)))</f>
        <v>MAC COY</v>
      </c>
      <c r="C127" s="81" t="str">
        <f ca="1">TRIM(PROPER(_xlfn.XLOOKUP($A127,Строчный!$A:$A,Строчный!C:C,"ERR",0)))</f>
        <v>Шляпы</v>
      </c>
      <c r="D127" s="81" t="str">
        <f ca="1">_xlfn.LET(_xlpm.DATA,TRIM(_xlfn.XLOOKUP($A127,Строчный!$A:$A,Строчный!D:D,"ERR",0)),UPPER(MID(_xlpm.DATA,1,1))&amp;LOWER(MID(_xlpm.DATA,2,LEN(_xlpm.DATA)-1)))</f>
        <v>Шляпа федора</v>
      </c>
      <c r="E127" s="81" t="str">
        <f ca="1">PROPER(TRIM(_xlfn.XLOOKUP($A127,Строчный!$A:$A,Строчный!E:E,"ERR",0)))</f>
        <v>Herman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HERMAN</v>
      </c>
      <c r="H127" s="81" t="str">
        <f ca="1">LOWER(TRIM(_xlfn.XLOOKUP($A127,Строчный!$A:$A,Строчный!H:H,"ERR",0)))</f>
        <v>green</v>
      </c>
      <c r="I127" s="81" t="str">
        <f ca="1">LOWER(TRIM(_xlfn.XLOOKUP($A127,Строчный!$A:$A,Строчный!I:I,"ERR",0)))</f>
        <v>зеленый</v>
      </c>
      <c r="J127" s="81" t="str">
        <f ca="1">SUBSTITUTE(LOWER(TRIM(_xlfn.XLOOKUP($A127,Строчный!$A:$A,Строчный!J:J,"ERR",0))),"подклад","Подклад")</f>
        <v>100% шерсть</v>
      </c>
      <c r="K127" s="81" t="str">
        <f ca="1">LOWER(TRIM(_xlfn.XLOOKUP($A127,Строчный!$A:$A,Строчный!K:K,"ERR",0)))</f>
        <v>фетровые</v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/>
      </c>
      <c r="O127" s="102" t="str">
        <f ca="1">PROPER(TRIM(_xlfn.XLOOKUP($A127,Строчный!$A:$A,Строчный!P:P,"ERR",0)))</f>
        <v/>
      </c>
      <c r="P127" s="81" t="str">
        <f ca="1">PROPER(TRIM(_xlfn.XLOOKUP($A127,Строчный!$A:$A,Строчный!R:R,"ERR",0)))</f>
        <v/>
      </c>
      <c r="Q127" s="90">
        <f ca="1">VALUE(_xlfn.XLOOKUP($A127,Строчный!$A:$A,Строчный!N:N,"ERR",0))</f>
        <v>1281.5999999999999</v>
      </c>
      <c r="R127" s="89" t="str">
        <f ca="1">_xlfn.XLOOKUP($G127,Фабрика!A:A,Фабрика!B:B,"ERR",0)</f>
        <v>Chapellerie Herman S.A.; Rue Jean Meunier, 6, 6922 Wellin, Belgium</v>
      </c>
      <c r="S127" s="80" t="str">
        <f ca="1">_xlfn.XLOOKUP(RIGHT(AA127,2),Размеры!D:D,Размеры!A:A,"ERR",0)</f>
        <v>59</v>
      </c>
      <c r="T127" s="80">
        <f ca="1">VALUE(_xlfn.XLOOKUP($AA127,Строчный!$S:$S,Строчный!U:U,"ERR",0))</f>
        <v>7</v>
      </c>
      <c r="U127" s="14" t="s">
        <v>265</v>
      </c>
      <c r="V127" s="101" t="str">
        <f t="shared" ca="1" si="8"/>
        <v>Шляпа HERMAN арт. MAC COY (зеленый)</v>
      </c>
      <c r="W127" s="100" t="str">
        <f t="shared" ca="1" si="9"/>
        <v>Шляпа HERMAN арт. MAC COY (зеленый) {green}</v>
      </c>
      <c r="X127" s="18" t="str">
        <f t="shared" ca="1" si="10"/>
        <v>зеленый</v>
      </c>
      <c r="Y127" s="18" t="str">
        <f t="shared" ca="1" si="11"/>
        <v>зеленый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зеленый</v>
      </c>
      <c r="AA127" s="73" t="str">
        <f ca="1"/>
        <v>81-022-11-59</v>
      </c>
      <c r="AB127" s="75" t="str">
        <f ca="1">VLOOKUP(C127,Группа!A:B,2,FALSE)</f>
        <v>Шляпа</v>
      </c>
      <c r="AC127" s="97" t="str">
        <f ca="1">IFERROR(VLOOKUP(S127,Размеры!A:C,3,FALSE),"")</f>
        <v>59 L</v>
      </c>
      <c r="AD127" s="97" t="str">
        <f ca="1">VLOOKUP(I127,ЦветПолный!A:B,2,FALSE)</f>
        <v>11</v>
      </c>
      <c r="AE127" s="97" t="str">
        <f ca="1">IFERROR(VLOOKUP(S127,Размеры!A:D,4,FALSE),"")</f>
        <v>59</v>
      </c>
      <c r="AF127" s="97">
        <f ca="1">IF(LEFT(IFERROR(VLOOKUP(LOOKUP(2,1/SEARCH(B127,Товары!A:A),Товары!A:A),Товары!A:B,2,0),""),6)=MID(AA127,1,6),1,0)</f>
        <v>1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1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str">
        <f ca="1">IF(VLOOKUP(W127,Товары!A:B,2,FALSE)=A127,"Есть в 1С","ERR")</f>
        <v>Есть в 1С</v>
      </c>
      <c r="AU127" s="65" t="str">
        <f ca="1">IF(VLOOKUP(A127,Товары!B:B,1,FALSE)=A127,"Есть в 1С","ERR")</f>
        <v>Есть в 1С</v>
      </c>
      <c r="AV127" s="96" t="str">
        <f ca="1">VLOOKUP(W127,Товары!A:B,2,FALSE)</f>
        <v>81-022-11</v>
      </c>
      <c r="AW127" s="94" t="str">
        <f ca="1">VLOOKUP(W127,Товары!A:B,1,FALSE)</f>
        <v>Шляпа HERMAN арт. MAC COY (зеленый) {green}</v>
      </c>
    </row>
    <row r="128" spans="1:49" x14ac:dyDescent="0.25">
      <c r="A128" s="110" t="str">
        <f t="shared" ca="1" si="7"/>
        <v>81-022-11</v>
      </c>
      <c r="B128" s="107" t="str">
        <f ca="1">_xlfn.LET(_xlpm.CAPS,0,_xlpm.Style,TRIM(_xlfn.XLOOKUP($A128,Строчный!$A:$A,Строчный!B:B,"ERR",0)),IF(_xlpm.CAPS=0,_xlpm.Style,UPPER(_xlpm.Style)))</f>
        <v>MAC COY</v>
      </c>
      <c r="C128" s="81" t="str">
        <f ca="1">TRIM(PROPER(_xlfn.XLOOKUP($A128,Строчный!$A:$A,Строчный!C:C,"ERR",0)))</f>
        <v>Шляпы</v>
      </c>
      <c r="D128" s="81" t="str">
        <f ca="1">_xlfn.LET(_xlpm.DATA,TRIM(_xlfn.XLOOKUP($A128,Строчный!$A:$A,Строчный!D:D,"ERR",0)),UPPER(MID(_xlpm.DATA,1,1))&amp;LOWER(MID(_xlpm.DATA,2,LEN(_xlpm.DATA)-1)))</f>
        <v>Шляпа федора</v>
      </c>
      <c r="E128" s="81" t="str">
        <f ca="1">PROPER(TRIM(_xlfn.XLOOKUP($A128,Строчный!$A:$A,Строчный!E:E,"ERR",0)))</f>
        <v>Herman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HERMAN</v>
      </c>
      <c r="H128" s="81" t="str">
        <f ca="1">LOWER(TRIM(_xlfn.XLOOKUP($A128,Строчный!$A:$A,Строчный!H:H,"ERR",0)))</f>
        <v>green</v>
      </c>
      <c r="I128" s="81" t="str">
        <f ca="1">LOWER(TRIM(_xlfn.XLOOKUP($A128,Строчный!$A:$A,Строчный!I:I,"ERR",0)))</f>
        <v>зеленый</v>
      </c>
      <c r="J128" s="81" t="str">
        <f ca="1">SUBSTITUTE(LOWER(TRIM(_xlfn.XLOOKUP($A128,Строчный!$A:$A,Строчный!J:J,"ERR",0))),"подклад","Подклад")</f>
        <v>100% шерсть</v>
      </c>
      <c r="K128" s="81" t="str">
        <f ca="1">LOWER(TRIM(_xlfn.XLOOKUP($A128,Строчный!$A:$A,Строчный!K:K,"ERR",0)))</f>
        <v>фетровые</v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/>
      </c>
      <c r="O128" s="102" t="str">
        <f ca="1">PROPER(TRIM(_xlfn.XLOOKUP($A128,Строчный!$A:$A,Строчный!P:P,"ERR",0)))</f>
        <v/>
      </c>
      <c r="P128" s="81" t="str">
        <f ca="1">PROPER(TRIM(_xlfn.XLOOKUP($A128,Строчный!$A:$A,Строчный!R:R,"ERR",0)))</f>
        <v/>
      </c>
      <c r="Q128" s="90">
        <f ca="1">VALUE(_xlfn.XLOOKUP($A128,Строчный!$A:$A,Строчный!N:N,"ERR",0))</f>
        <v>1281.5999999999999</v>
      </c>
      <c r="R128" s="89" t="str">
        <f ca="1">_xlfn.XLOOKUP($G128,Фабрика!A:A,Фабрика!B:B,"ERR",0)</f>
        <v>Chapellerie Herman S.A.; Rue Jean Meunier, 6, 6922 Wellin, Belgium</v>
      </c>
      <c r="S128" s="80" t="str">
        <f ca="1">_xlfn.XLOOKUP(RIGHT(AA128,2),Размеры!D:D,Размеры!A:A,"ERR",0)</f>
        <v>57</v>
      </c>
      <c r="T128" s="80">
        <f ca="1">VALUE(_xlfn.XLOOKUP($AA128,Строчный!$S:$S,Строчный!U:U,"ERR",0))</f>
        <v>2</v>
      </c>
      <c r="U128" s="14" t="s">
        <v>265</v>
      </c>
      <c r="V128" s="101" t="str">
        <f t="shared" ca="1" si="8"/>
        <v>Шляпа HERMAN арт. MAC COY (зеленый)</v>
      </c>
      <c r="W128" s="100" t="str">
        <f t="shared" ca="1" si="9"/>
        <v>Шляпа HERMAN арт. MAC COY (зеленый) {green}</v>
      </c>
      <c r="X128" s="18" t="str">
        <f t="shared" ca="1" si="10"/>
        <v>зеленый</v>
      </c>
      <c r="Y128" s="18" t="str">
        <f t="shared" ca="1" si="11"/>
        <v>зеленый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зеленый</v>
      </c>
      <c r="AA128" s="73" t="str">
        <f ca="1"/>
        <v>81-022-11-57</v>
      </c>
      <c r="AB128" s="75" t="str">
        <f ca="1">VLOOKUP(C128,Группа!A:B,2,FALSE)</f>
        <v>Шляпа</v>
      </c>
      <c r="AC128" s="97" t="str">
        <f ca="1">IFERROR(VLOOKUP(S128,Размеры!A:C,3,FALSE),"")</f>
        <v>57 M</v>
      </c>
      <c r="AD128" s="97" t="str">
        <f ca="1">VLOOKUP(I128,ЦветПолный!A:B,2,FALSE)</f>
        <v>11</v>
      </c>
      <c r="AE128" s="97" t="str">
        <f ca="1">IFERROR(VLOOKUP(S128,Размеры!A:D,4,FALSE),"")</f>
        <v>57</v>
      </c>
      <c r="AF128" s="97">
        <f ca="1">IF(LEFT(IFERROR(VLOOKUP(LOOKUP(2,1/SEARCH(B128,Товары!A:A),Товары!A:A),Товары!A:B,2,0),""),6)=MID(AA128,1,6),1,0)</f>
        <v>1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1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1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str">
        <f ca="1">IF(VLOOKUP(W128,Товары!A:B,2,FALSE)=A128,"Есть в 1С","ERR")</f>
        <v>Есть в 1С</v>
      </c>
      <c r="AU128" s="65" t="str">
        <f ca="1">IF(VLOOKUP(A128,Товары!B:B,1,FALSE)=A128,"Есть в 1С","ERR")</f>
        <v>Есть в 1С</v>
      </c>
      <c r="AV128" s="96" t="str">
        <f ca="1">VLOOKUP(W128,Товары!A:B,2,FALSE)</f>
        <v>81-022-11</v>
      </c>
      <c r="AW128" s="94" t="str">
        <f ca="1">VLOOKUP(W128,Товары!A:B,1,FALSE)</f>
        <v>Шляпа HERMAN арт. MAC COY (зеленый) {green}</v>
      </c>
    </row>
    <row r="129" spans="1:49" x14ac:dyDescent="0.25">
      <c r="A129" s="110" t="str">
        <f t="shared" ca="1" si="7"/>
        <v>81-022-11</v>
      </c>
      <c r="B129" s="107" t="str">
        <f ca="1">_xlfn.LET(_xlpm.CAPS,0,_xlpm.Style,TRIM(_xlfn.XLOOKUP($A129,Строчный!$A:$A,Строчный!B:B,"ERR",0)),IF(_xlpm.CAPS=0,_xlpm.Style,UPPER(_xlpm.Style)))</f>
        <v>MAC COY</v>
      </c>
      <c r="C129" s="81" t="str">
        <f ca="1">TRIM(PROPER(_xlfn.XLOOKUP($A129,Строчный!$A:$A,Строчный!C:C,"ERR",0)))</f>
        <v>Шляпы</v>
      </c>
      <c r="D129" s="81" t="str">
        <f ca="1">_xlfn.LET(_xlpm.DATA,TRIM(_xlfn.XLOOKUP($A129,Строчный!$A:$A,Строчный!D:D,"ERR",0)),UPPER(MID(_xlpm.DATA,1,1))&amp;LOWER(MID(_xlpm.DATA,2,LEN(_xlpm.DATA)-1)))</f>
        <v>Шляпа федора</v>
      </c>
      <c r="E129" s="81" t="str">
        <f ca="1">PROPER(TRIM(_xlfn.XLOOKUP($A129,Строчный!$A:$A,Строчный!E:E,"ERR",0)))</f>
        <v>Herman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HERMAN</v>
      </c>
      <c r="H129" s="81" t="str">
        <f ca="1">LOWER(TRIM(_xlfn.XLOOKUP($A129,Строчный!$A:$A,Строчный!H:H,"ERR",0)))</f>
        <v>green</v>
      </c>
      <c r="I129" s="81" t="str">
        <f ca="1">LOWER(TRIM(_xlfn.XLOOKUP($A129,Строчный!$A:$A,Строчный!I:I,"ERR",0)))</f>
        <v>зеленый</v>
      </c>
      <c r="J129" s="81" t="str">
        <f ca="1">SUBSTITUTE(LOWER(TRIM(_xlfn.XLOOKUP($A129,Строчный!$A:$A,Строчный!J:J,"ERR",0))),"подклад","Подклад")</f>
        <v>100% шерсть</v>
      </c>
      <c r="K129" s="81" t="str">
        <f ca="1">LOWER(TRIM(_xlfn.XLOOKUP($A129,Строчный!$A:$A,Строчный!K:K,"ERR",0)))</f>
        <v>фетровые</v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/>
      </c>
      <c r="O129" s="102" t="str">
        <f ca="1">PROPER(TRIM(_xlfn.XLOOKUP($A129,Строчный!$A:$A,Строчный!P:P,"ERR",0)))</f>
        <v/>
      </c>
      <c r="P129" s="81" t="str">
        <f ca="1">PROPER(TRIM(_xlfn.XLOOKUP($A129,Строчный!$A:$A,Строчный!R:R,"ERR",0)))</f>
        <v/>
      </c>
      <c r="Q129" s="90">
        <f ca="1">VALUE(_xlfn.XLOOKUP($A129,Строчный!$A:$A,Строчный!N:N,"ERR",0))</f>
        <v>1281.5999999999999</v>
      </c>
      <c r="R129" s="89" t="str">
        <f ca="1">_xlfn.XLOOKUP($G129,Фабрика!A:A,Фабрика!B:B,"ERR",0)</f>
        <v>Chapellerie Herman S.A.; Rue Jean Meunier, 6, 6922 Wellin, Belgium</v>
      </c>
      <c r="S129" s="80" t="str">
        <f ca="1">_xlfn.XLOOKUP(RIGHT(AA129,2),Размеры!D:D,Размеры!A:A,"ERR",0)</f>
        <v>55</v>
      </c>
      <c r="T129" s="80">
        <f ca="1">VALUE(_xlfn.XLOOKUP($AA129,Строчный!$S:$S,Строчный!U:U,"ERR",0))</f>
        <v>2</v>
      </c>
      <c r="U129" s="14" t="s">
        <v>265</v>
      </c>
      <c r="V129" s="101" t="str">
        <f t="shared" ca="1" si="8"/>
        <v>Шляпа HERMAN арт. MAC COY (зеленый)</v>
      </c>
      <c r="W129" s="100" t="str">
        <f t="shared" ca="1" si="9"/>
        <v>Шляпа HERMAN арт. MAC COY (зеленый) {green}</v>
      </c>
      <c r="X129" s="18" t="str">
        <f t="shared" ca="1" si="10"/>
        <v>зеленый</v>
      </c>
      <c r="Y129" s="18" t="str">
        <f t="shared" ca="1" si="11"/>
        <v>зеленый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зеленый</v>
      </c>
      <c r="AA129" s="73" t="str">
        <f ca="1"/>
        <v>81-022-11-55</v>
      </c>
      <c r="AB129" s="75" t="str">
        <f ca="1">VLOOKUP(C129,Группа!A:B,2,FALSE)</f>
        <v>Шляпа</v>
      </c>
      <c r="AC129" s="97" t="str">
        <f ca="1">IFERROR(VLOOKUP(S129,Размеры!A:C,3,FALSE),"")</f>
        <v>55 S</v>
      </c>
      <c r="AD129" s="97" t="str">
        <f ca="1">VLOOKUP(I129,ЦветПолный!A:B,2,FALSE)</f>
        <v>11</v>
      </c>
      <c r="AE129" s="97" t="str">
        <f ca="1">IFERROR(VLOOKUP(S129,Размеры!A:D,4,FALSE),"")</f>
        <v>55</v>
      </c>
      <c r="AF129" s="97">
        <f ca="1">IF(LEFT(IFERROR(VLOOKUP(LOOKUP(2,1/SEARCH(B129,Товары!A:A),Товары!A:A),Товары!A:B,2,0),""),6)=MID(AA129,1,6),1,0)</f>
        <v>1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1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1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str">
        <f ca="1">IF(VLOOKUP(W129,Товары!A:B,2,FALSE)=A129,"Есть в 1С","ERR")</f>
        <v>Есть в 1С</v>
      </c>
      <c r="AU129" s="65" t="str">
        <f ca="1">IF(VLOOKUP(A129,Товары!B:B,1,FALSE)=A129,"Есть в 1С","ERR")</f>
        <v>Есть в 1С</v>
      </c>
      <c r="AV129" s="96" t="str">
        <f ca="1">VLOOKUP(W129,Товары!A:B,2,FALSE)</f>
        <v>81-022-11</v>
      </c>
      <c r="AW129" s="94" t="str">
        <f ca="1">VLOOKUP(W129,Товары!A:B,1,FALSE)</f>
        <v>Шляпа HERMAN арт. MAC COY (зеленый) {green}</v>
      </c>
    </row>
    <row r="130" spans="1:49" x14ac:dyDescent="0.25">
      <c r="A130" s="110" t="str">
        <f t="shared" ca="1" si="7"/>
        <v>81-022-09</v>
      </c>
      <c r="B130" s="107" t="str">
        <f ca="1">_xlfn.LET(_xlpm.CAPS,0,_xlpm.Style,TRIM(_xlfn.XLOOKUP($A130,Строчный!$A:$A,Строчный!B:B,"ERR",0)),IF(_xlpm.CAPS=0,_xlpm.Style,UPPER(_xlpm.Style)))</f>
        <v>MAC COY</v>
      </c>
      <c r="C130" s="81" t="str">
        <f ca="1">TRIM(PROPER(_xlfn.XLOOKUP($A130,Строчный!$A:$A,Строчный!C:C,"ERR",0)))</f>
        <v>Шляпы</v>
      </c>
      <c r="D130" s="81" t="str">
        <f ca="1">_xlfn.LET(_xlpm.DATA,TRIM(_xlfn.XLOOKUP($A130,Строчный!$A:$A,Строчный!D:D,"ERR",0)),UPPER(MID(_xlpm.DATA,1,1))&amp;LOWER(MID(_xlpm.DATA,2,LEN(_xlpm.DATA)-1)))</f>
        <v>Шляпа федора</v>
      </c>
      <c r="E130" s="81" t="str">
        <f ca="1">PROPER(TRIM(_xlfn.XLOOKUP($A130,Строчный!$A:$A,Строчный!E:E,"ERR",0)))</f>
        <v>Herman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HERMAN</v>
      </c>
      <c r="H130" s="81" t="str">
        <f ca="1">LOWER(TRIM(_xlfn.XLOOKUP($A130,Строчный!$A:$A,Строчный!H:H,"ERR",0)))</f>
        <v>black</v>
      </c>
      <c r="I130" s="81" t="str">
        <f ca="1">LOWER(TRIM(_xlfn.XLOOKUP($A130,Строчный!$A:$A,Строчный!I:I,"ERR",0)))</f>
        <v>черный</v>
      </c>
      <c r="J130" s="81" t="str">
        <f ca="1">SUBSTITUTE(LOWER(TRIM(_xlfn.XLOOKUP($A130,Строчный!$A:$A,Строчный!J:J,"ERR",0))),"подклад","Подклад")</f>
        <v>100% шерсть</v>
      </c>
      <c r="K130" s="81" t="str">
        <f ca="1">LOWER(TRIM(_xlfn.XLOOKUP($A130,Строчный!$A:$A,Строчный!K:K,"ERR",0)))</f>
        <v>фетровые</v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/>
      </c>
      <c r="O130" s="102" t="str">
        <f ca="1">PROPER(TRIM(_xlfn.XLOOKUP($A130,Строчный!$A:$A,Строчный!P:P,"ERR",0)))</f>
        <v/>
      </c>
      <c r="P130" s="81" t="str">
        <f ca="1">PROPER(TRIM(_xlfn.XLOOKUP($A130,Строчный!$A:$A,Строчный!R:R,"ERR",0)))</f>
        <v/>
      </c>
      <c r="Q130" s="90">
        <f ca="1">VALUE(_xlfn.XLOOKUP($A130,Строчный!$A:$A,Строчный!N:N,"ERR",0))</f>
        <v>1281.5999999999999</v>
      </c>
      <c r="R130" s="89" t="str">
        <f ca="1">_xlfn.XLOOKUP($G130,Фабрика!A:A,Фабрика!B:B,"ERR",0)</f>
        <v>Chapellerie Herman S.A.; Rue Jean Meunier, 6, 6922 Wellin, Belgium</v>
      </c>
      <c r="S130" s="80" t="str">
        <f ca="1">_xlfn.XLOOKUP(RIGHT(AA130,2),Размеры!D:D,Размеры!A:A,"ERR",0)</f>
        <v>61</v>
      </c>
      <c r="T130" s="80">
        <f ca="1">VALUE(_xlfn.XLOOKUP($AA130,Строчный!$S:$S,Строчный!U:U,"ERR",0))</f>
        <v>14</v>
      </c>
      <c r="U130" s="14" t="s">
        <v>265</v>
      </c>
      <c r="V130" s="101" t="str">
        <f t="shared" ca="1" si="8"/>
        <v>Шляпа HERMAN арт. MAC COY (черный)</v>
      </c>
      <c r="W130" s="100" t="str">
        <f t="shared" ca="1" si="9"/>
        <v>Шляпа HERMAN арт. MAC COY (черный) {black}</v>
      </c>
      <c r="X130" s="18" t="str">
        <f t="shared" ca="1" si="10"/>
        <v>черный</v>
      </c>
      <c r="Y130" s="18" t="str">
        <f t="shared" ca="1" si="11"/>
        <v>черный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черный</v>
      </c>
      <c r="AA130" s="73" t="str">
        <f ca="1"/>
        <v>81-022-09-61</v>
      </c>
      <c r="AB130" s="75" t="str">
        <f ca="1">VLOOKUP(C130,Группа!A:B,2,FALSE)</f>
        <v>Шляпа</v>
      </c>
      <c r="AC130" s="97" t="str">
        <f ca="1">IFERROR(VLOOKUP(S130,Размеры!A:C,3,FALSE),"")</f>
        <v>61 XL</v>
      </c>
      <c r="AD130" s="97" t="str">
        <f ca="1">VLOOKUP(I130,ЦветПолный!A:B,2,FALSE)</f>
        <v>09</v>
      </c>
      <c r="AE130" s="97" t="str">
        <f ca="1">IFERROR(VLOOKUP(S130,Размеры!A:D,4,FALSE),"")</f>
        <v>61</v>
      </c>
      <c r="AF130" s="97">
        <f ca="1">IF(LEFT(IFERROR(VLOOKUP(LOOKUP(2,1/SEARCH(B130,Товары!A:A),Товары!A:A),Товары!A:B,2,0),""),6)=MID(AA130,1,6),1,0)</f>
        <v>1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1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1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str">
        <f ca="1">IF(VLOOKUP(W130,Товары!A:B,2,FALSE)=A130,"Есть в 1С","ERR")</f>
        <v>Есть в 1С</v>
      </c>
      <c r="AU130" s="65" t="str">
        <f ca="1">IF(VLOOKUP(A130,Товары!B:B,1,FALSE)=A130,"Есть в 1С","ERR")</f>
        <v>Есть в 1С</v>
      </c>
      <c r="AV130" s="96" t="str">
        <f ca="1">VLOOKUP(W130,Товары!A:B,2,FALSE)</f>
        <v>81-022-09</v>
      </c>
      <c r="AW130" s="94" t="str">
        <f ca="1">VLOOKUP(W130,Товары!A:B,1,FALSE)</f>
        <v>Шляпа HERMAN арт. MAC COY (черный) {black}</v>
      </c>
    </row>
    <row r="131" spans="1:49" x14ac:dyDescent="0.25">
      <c r="A131" s="110" t="str">
        <f t="shared" ref="A131:A194" ca="1" si="12">LEFT(AA131,9)</f>
        <v>81-022-09</v>
      </c>
      <c r="B131" s="107" t="str">
        <f ca="1">_xlfn.LET(_xlpm.CAPS,0,_xlpm.Style,TRIM(_xlfn.XLOOKUP($A131,Строчный!$A:$A,Строчный!B:B,"ERR",0)),IF(_xlpm.CAPS=0,_xlpm.Style,UPPER(_xlpm.Style)))</f>
        <v>MAC COY</v>
      </c>
      <c r="C131" s="81" t="str">
        <f ca="1">TRIM(PROPER(_xlfn.XLOOKUP($A131,Строчный!$A:$A,Строчный!C:C,"ERR",0)))</f>
        <v>Шляпы</v>
      </c>
      <c r="D131" s="81" t="str">
        <f ca="1">_xlfn.LET(_xlpm.DATA,TRIM(_xlfn.XLOOKUP($A131,Строчный!$A:$A,Строчный!D:D,"ERR",0)),UPPER(MID(_xlpm.DATA,1,1))&amp;LOWER(MID(_xlpm.DATA,2,LEN(_xlpm.DATA)-1)))</f>
        <v>Шляпа федора</v>
      </c>
      <c r="E131" s="81" t="str">
        <f ca="1">PROPER(TRIM(_xlfn.XLOOKUP($A131,Строчный!$A:$A,Строчный!E:E,"ERR",0)))</f>
        <v>Herman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HERMAN</v>
      </c>
      <c r="H131" s="81" t="str">
        <f ca="1">LOWER(TRIM(_xlfn.XLOOKUP($A131,Строчный!$A:$A,Строчный!H:H,"ERR",0)))</f>
        <v>black</v>
      </c>
      <c r="I131" s="81" t="str">
        <f ca="1">LOWER(TRIM(_xlfn.XLOOKUP($A131,Строчный!$A:$A,Строчный!I:I,"ERR",0)))</f>
        <v>черный</v>
      </c>
      <c r="J131" s="81" t="str">
        <f ca="1">SUBSTITUTE(LOWER(TRIM(_xlfn.XLOOKUP($A131,Строчный!$A:$A,Строчный!J:J,"ERR",0))),"подклад","Подклад")</f>
        <v>100% шерсть</v>
      </c>
      <c r="K131" s="81" t="str">
        <f ca="1">LOWER(TRIM(_xlfn.XLOOKUP($A131,Строчный!$A:$A,Строчный!K:K,"ERR",0)))</f>
        <v>фетровые</v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/>
      </c>
      <c r="O131" s="102" t="str">
        <f ca="1">PROPER(TRIM(_xlfn.XLOOKUP($A131,Строчный!$A:$A,Строчный!P:P,"ERR",0)))</f>
        <v/>
      </c>
      <c r="P131" s="81" t="str">
        <f ca="1">PROPER(TRIM(_xlfn.XLOOKUP($A131,Строчный!$A:$A,Строчный!R:R,"ERR",0)))</f>
        <v/>
      </c>
      <c r="Q131" s="90">
        <f ca="1">VALUE(_xlfn.XLOOKUP($A131,Строчный!$A:$A,Строчный!N:N,"ERR",0))</f>
        <v>1281.5999999999999</v>
      </c>
      <c r="R131" s="89" t="str">
        <f ca="1">_xlfn.XLOOKUP($G131,Фабрика!A:A,Фабрика!B:B,"ERR",0)</f>
        <v>Chapellerie Herman S.A.; Rue Jean Meunier, 6, 6922 Wellin, Belgium</v>
      </c>
      <c r="S131" s="80" t="str">
        <f ca="1">_xlfn.XLOOKUP(RIGHT(AA131,2),Размеры!D:D,Размеры!A:A,"ERR",0)</f>
        <v>59</v>
      </c>
      <c r="T131" s="80">
        <f ca="1">VALUE(_xlfn.XLOOKUP($AA131,Строчный!$S:$S,Строчный!U:U,"ERR",0))</f>
        <v>19</v>
      </c>
      <c r="U131" s="14" t="s">
        <v>265</v>
      </c>
      <c r="V131" s="101" t="str">
        <f t="shared" ref="V131:V194" ca="1" si="13">TRIM(CONCATENATE(AB131," ",G131," арт. ",B131," (",I131,")"))</f>
        <v>Шляпа HERMAN арт. MAC COY (черный)</v>
      </c>
      <c r="W131" s="100" t="str">
        <f t="shared" ref="W131:W194" ca="1" si="14">TRIM(CONCATENATE(AB131," ",G131," арт. ",B131," (",I131,") {",H131,"}"))</f>
        <v>Шляпа HERMAN арт. MAC COY (черный) {black}</v>
      </c>
      <c r="X131" s="18" t="str">
        <f t="shared" ref="X131:X194" ca="1" si="15">IFERROR(MID(I131,FIND("-",I131)+1,LEN(I131)),IFERROR(MID(I131,1,FIND("/",I131)-2),I131))</f>
        <v>черный</v>
      </c>
      <c r="Y131" s="18" t="str">
        <f t="shared" ref="Y131:Y194" ca="1" si="16">IFERROR(MID(I131,FIND("-",I131)+1,LEN(I131)),IFERROR(MID(I131,FIND("/",I131)+2,LEN(I131)),I131))</f>
        <v>черный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черный</v>
      </c>
      <c r="AA131" s="73" t="str">
        <f ca="1"/>
        <v>81-022-09-59</v>
      </c>
      <c r="AB131" s="75" t="str">
        <f ca="1">VLOOKUP(C131,Группа!A:B,2,FALSE)</f>
        <v>Шляпа</v>
      </c>
      <c r="AC131" s="97" t="str">
        <f ca="1">IFERROR(VLOOKUP(S131,Размеры!A:C,3,FALSE),"")</f>
        <v>59 L</v>
      </c>
      <c r="AD131" s="97" t="str">
        <f ca="1">VLOOKUP(I131,ЦветПолный!A:B,2,FALSE)</f>
        <v>09</v>
      </c>
      <c r="AE131" s="97" t="str">
        <f ca="1">IFERROR(VLOOKUP(S131,Размеры!A:D,4,FALSE),"")</f>
        <v>59</v>
      </c>
      <c r="AF131" s="97">
        <f ca="1">IF(LEFT(IFERROR(VLOOKUP(LOOKUP(2,1/SEARCH(B131,Товары!A:A),Товары!A:A),Товары!A:B,2,0),""),6)=MID(AA131,1,6),1,0)</f>
        <v>1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1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1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str">
        <f ca="1">IF(VLOOKUP(W131,Товары!A:B,2,FALSE)=A131,"Есть в 1С","ERR")</f>
        <v>Есть в 1С</v>
      </c>
      <c r="AU131" s="65" t="str">
        <f ca="1">IF(VLOOKUP(A131,Товары!B:B,1,FALSE)=A131,"Есть в 1С","ERR")</f>
        <v>Есть в 1С</v>
      </c>
      <c r="AV131" s="96" t="str">
        <f ca="1">VLOOKUP(W131,Товары!A:B,2,FALSE)</f>
        <v>81-022-09</v>
      </c>
      <c r="AW131" s="94" t="str">
        <f ca="1">VLOOKUP(W131,Товары!A:B,1,FALSE)</f>
        <v>Шляпа HERMAN арт. MAC COY (черный) {black}</v>
      </c>
    </row>
    <row r="132" spans="1:49" x14ac:dyDescent="0.25">
      <c r="A132" s="110" t="str">
        <f t="shared" ca="1" si="12"/>
        <v>81-022-09</v>
      </c>
      <c r="B132" s="107" t="str">
        <f ca="1">_xlfn.LET(_xlpm.CAPS,0,_xlpm.Style,TRIM(_xlfn.XLOOKUP($A132,Строчный!$A:$A,Строчный!B:B,"ERR",0)),IF(_xlpm.CAPS=0,_xlpm.Style,UPPER(_xlpm.Style)))</f>
        <v>MAC COY</v>
      </c>
      <c r="C132" s="81" t="str">
        <f ca="1">TRIM(PROPER(_xlfn.XLOOKUP($A132,Строчный!$A:$A,Строчный!C:C,"ERR",0)))</f>
        <v>Шляпы</v>
      </c>
      <c r="D132" s="81" t="str">
        <f ca="1">_xlfn.LET(_xlpm.DATA,TRIM(_xlfn.XLOOKUP($A132,Строчный!$A:$A,Строчный!D:D,"ERR",0)),UPPER(MID(_xlpm.DATA,1,1))&amp;LOWER(MID(_xlpm.DATA,2,LEN(_xlpm.DATA)-1)))</f>
        <v>Шляпа федора</v>
      </c>
      <c r="E132" s="81" t="str">
        <f ca="1">PROPER(TRIM(_xlfn.XLOOKUP($A132,Строчный!$A:$A,Строчный!E:E,"ERR",0)))</f>
        <v>Herman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HERMAN</v>
      </c>
      <c r="H132" s="81" t="str">
        <f ca="1">LOWER(TRIM(_xlfn.XLOOKUP($A132,Строчный!$A:$A,Строчный!H:H,"ERR",0)))</f>
        <v>black</v>
      </c>
      <c r="I132" s="81" t="str">
        <f ca="1">LOWER(TRIM(_xlfn.XLOOKUP($A132,Строчный!$A:$A,Строчный!I:I,"ERR",0)))</f>
        <v>черный</v>
      </c>
      <c r="J132" s="81" t="str">
        <f ca="1">SUBSTITUTE(LOWER(TRIM(_xlfn.XLOOKUP($A132,Строчный!$A:$A,Строчный!J:J,"ERR",0))),"подклад","Подклад")</f>
        <v>100% шерсть</v>
      </c>
      <c r="K132" s="81" t="str">
        <f ca="1">LOWER(TRIM(_xlfn.XLOOKUP($A132,Строчный!$A:$A,Строчный!K:K,"ERR",0)))</f>
        <v>фетровые</v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/>
      </c>
      <c r="O132" s="102" t="str">
        <f ca="1">PROPER(TRIM(_xlfn.XLOOKUP($A132,Строчный!$A:$A,Строчный!P:P,"ERR",0)))</f>
        <v/>
      </c>
      <c r="P132" s="81" t="str">
        <f ca="1">PROPER(TRIM(_xlfn.XLOOKUP($A132,Строчный!$A:$A,Строчный!R:R,"ERR",0)))</f>
        <v/>
      </c>
      <c r="Q132" s="90">
        <f ca="1">VALUE(_xlfn.XLOOKUP($A132,Строчный!$A:$A,Строчный!N:N,"ERR",0))</f>
        <v>1281.5999999999999</v>
      </c>
      <c r="R132" s="89" t="str">
        <f ca="1">_xlfn.XLOOKUP($G132,Фабрика!A:A,Фабрика!B:B,"ERR",0)</f>
        <v>Chapellerie Herman S.A.; Rue Jean Meunier, 6, 6922 Wellin, Belgium</v>
      </c>
      <c r="S132" s="80" t="str">
        <f ca="1">_xlfn.XLOOKUP(RIGHT(AA132,2),Размеры!D:D,Размеры!A:A,"ERR",0)</f>
        <v>57</v>
      </c>
      <c r="T132" s="80">
        <f ca="1">VALUE(_xlfn.XLOOKUP($AA132,Строчный!$S:$S,Строчный!U:U,"ERR",0))</f>
        <v>17</v>
      </c>
      <c r="U132" s="14" t="s">
        <v>265</v>
      </c>
      <c r="V132" s="101" t="str">
        <f t="shared" ca="1" si="13"/>
        <v>Шляпа HERMAN арт. MAC COY (черный)</v>
      </c>
      <c r="W132" s="100" t="str">
        <f t="shared" ca="1" si="14"/>
        <v>Шляпа HERMAN арт. MAC COY (черный) {black}</v>
      </c>
      <c r="X132" s="18" t="str">
        <f t="shared" ca="1" si="15"/>
        <v>черный</v>
      </c>
      <c r="Y132" s="18" t="str">
        <f t="shared" ca="1" si="16"/>
        <v>черный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черный</v>
      </c>
      <c r="AA132" s="73" t="str">
        <f ca="1"/>
        <v>81-022-09-57</v>
      </c>
      <c r="AB132" s="75" t="str">
        <f ca="1">VLOOKUP(C132,Группа!A:B,2,FALSE)</f>
        <v>Шляпа</v>
      </c>
      <c r="AC132" s="97" t="str">
        <f ca="1">IFERROR(VLOOKUP(S132,Размеры!A:C,3,FALSE),"")</f>
        <v>57 M</v>
      </c>
      <c r="AD132" s="97" t="str">
        <f ca="1">VLOOKUP(I132,ЦветПолный!A:B,2,FALSE)</f>
        <v>09</v>
      </c>
      <c r="AE132" s="97" t="str">
        <f ca="1">IFERROR(VLOOKUP(S132,Размеры!A:D,4,FALSE),"")</f>
        <v>57</v>
      </c>
      <c r="AF132" s="97">
        <f ca="1">IF(LEFT(IFERROR(VLOOKUP(LOOKUP(2,1/SEARCH(B132,Товары!A:A),Товары!A:A),Товары!A:B,2,0),""),6)=MID(AA132,1,6),1,0)</f>
        <v>1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1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1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str">
        <f ca="1">IF(VLOOKUP(W132,Товары!A:B,2,FALSE)=A132,"Есть в 1С","ERR")</f>
        <v>Есть в 1С</v>
      </c>
      <c r="AU132" s="65" t="str">
        <f ca="1">IF(VLOOKUP(A132,Товары!B:B,1,FALSE)=A132,"Есть в 1С","ERR")</f>
        <v>Есть в 1С</v>
      </c>
      <c r="AV132" s="96" t="str">
        <f ca="1">VLOOKUP(W132,Товары!A:B,2,FALSE)</f>
        <v>81-022-09</v>
      </c>
      <c r="AW132" s="94" t="str">
        <f ca="1">VLOOKUP(W132,Товары!A:B,1,FALSE)</f>
        <v>Шляпа HERMAN арт. MAC COY (черный) {black}</v>
      </c>
    </row>
    <row r="133" spans="1:49" x14ac:dyDescent="0.25">
      <c r="A133" s="110" t="str">
        <f t="shared" ca="1" si="12"/>
        <v>81-022-09</v>
      </c>
      <c r="B133" s="107" t="str">
        <f ca="1">_xlfn.LET(_xlpm.CAPS,0,_xlpm.Style,TRIM(_xlfn.XLOOKUP($A133,Строчный!$A:$A,Строчный!B:B,"ERR",0)),IF(_xlpm.CAPS=0,_xlpm.Style,UPPER(_xlpm.Style)))</f>
        <v>MAC COY</v>
      </c>
      <c r="C133" s="81" t="str">
        <f ca="1">TRIM(PROPER(_xlfn.XLOOKUP($A133,Строчный!$A:$A,Строчный!C:C,"ERR",0)))</f>
        <v>Шляпы</v>
      </c>
      <c r="D133" s="81" t="str">
        <f ca="1">_xlfn.LET(_xlpm.DATA,TRIM(_xlfn.XLOOKUP($A133,Строчный!$A:$A,Строчный!D:D,"ERR",0)),UPPER(MID(_xlpm.DATA,1,1))&amp;LOWER(MID(_xlpm.DATA,2,LEN(_xlpm.DATA)-1)))</f>
        <v>Шляпа федора</v>
      </c>
      <c r="E133" s="81" t="str">
        <f ca="1">PROPER(TRIM(_xlfn.XLOOKUP($A133,Строчный!$A:$A,Строчный!E:E,"ERR",0)))</f>
        <v>Herman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HERMAN</v>
      </c>
      <c r="H133" s="81" t="str">
        <f ca="1">LOWER(TRIM(_xlfn.XLOOKUP($A133,Строчный!$A:$A,Строчный!H:H,"ERR",0)))</f>
        <v>black</v>
      </c>
      <c r="I133" s="81" t="str">
        <f ca="1">LOWER(TRIM(_xlfn.XLOOKUP($A133,Строчный!$A:$A,Строчный!I:I,"ERR",0)))</f>
        <v>черный</v>
      </c>
      <c r="J133" s="81" t="str">
        <f ca="1">SUBSTITUTE(LOWER(TRIM(_xlfn.XLOOKUP($A133,Строчный!$A:$A,Строчный!J:J,"ERR",0))),"подклад","Подклад")</f>
        <v>100% шерсть</v>
      </c>
      <c r="K133" s="81" t="str">
        <f ca="1">LOWER(TRIM(_xlfn.XLOOKUP($A133,Строчный!$A:$A,Строчный!K:K,"ERR",0)))</f>
        <v>фетровые</v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/>
      </c>
      <c r="O133" s="102" t="str">
        <f ca="1">PROPER(TRIM(_xlfn.XLOOKUP($A133,Строчный!$A:$A,Строчный!P:P,"ERR",0)))</f>
        <v/>
      </c>
      <c r="P133" s="81" t="str">
        <f ca="1">PROPER(TRIM(_xlfn.XLOOKUP($A133,Строчный!$A:$A,Строчный!R:R,"ERR",0)))</f>
        <v/>
      </c>
      <c r="Q133" s="90">
        <f ca="1">VALUE(_xlfn.XLOOKUP($A133,Строчный!$A:$A,Строчный!N:N,"ERR",0))</f>
        <v>1281.5999999999999</v>
      </c>
      <c r="R133" s="89" t="str">
        <f ca="1">_xlfn.XLOOKUP($G133,Фабрика!A:A,Фабрика!B:B,"ERR",0)</f>
        <v>Chapellerie Herman S.A.; Rue Jean Meunier, 6, 6922 Wellin, Belgium</v>
      </c>
      <c r="S133" s="80" t="str">
        <f ca="1">_xlfn.XLOOKUP(RIGHT(AA133,2),Размеры!D:D,Размеры!A:A,"ERR",0)</f>
        <v>55</v>
      </c>
      <c r="T133" s="80">
        <f ca="1">VALUE(_xlfn.XLOOKUP($AA133,Строчный!$S:$S,Строчный!U:U,"ERR",0))</f>
        <v>4</v>
      </c>
      <c r="U133" s="14" t="s">
        <v>265</v>
      </c>
      <c r="V133" s="101" t="str">
        <f t="shared" ca="1" si="13"/>
        <v>Шляпа HERMAN арт. MAC COY (черный)</v>
      </c>
      <c r="W133" s="100" t="str">
        <f t="shared" ca="1" si="14"/>
        <v>Шляпа HERMAN арт. MAC COY (черный) {black}</v>
      </c>
      <c r="X133" s="18" t="str">
        <f t="shared" ca="1" si="15"/>
        <v>черный</v>
      </c>
      <c r="Y133" s="18" t="str">
        <f t="shared" ca="1" si="16"/>
        <v>черный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73" t="str">
        <f ca="1"/>
        <v>81-022-09-55</v>
      </c>
      <c r="AB133" s="75" t="str">
        <f ca="1">VLOOKUP(C133,Группа!A:B,2,FALSE)</f>
        <v>Шляпа</v>
      </c>
      <c r="AC133" s="97" t="str">
        <f ca="1">IFERROR(VLOOKUP(S133,Размеры!A:C,3,FALSE),"")</f>
        <v>55 S</v>
      </c>
      <c r="AD133" s="97" t="str">
        <f ca="1">VLOOKUP(I133,ЦветПолный!A:B,2,FALSE)</f>
        <v>09</v>
      </c>
      <c r="AE133" s="97" t="str">
        <f ca="1">IFERROR(VLOOKUP(S133,Размеры!A:D,4,FALSE),"")</f>
        <v>55</v>
      </c>
      <c r="AF133" s="97">
        <f ca="1">IF(LEFT(IFERROR(VLOOKUP(LOOKUP(2,1/SEARCH(B133,Товары!A:A),Товары!A:A),Товары!A:B,2,0),""),6)=MID(AA133,1,6),1,0)</f>
        <v>1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1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1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str">
        <f ca="1">IF(VLOOKUP(W133,Товары!A:B,2,FALSE)=A133,"Есть в 1С","ERR")</f>
        <v>Есть в 1С</v>
      </c>
      <c r="AU133" s="65" t="str">
        <f ca="1">IF(VLOOKUP(A133,Товары!B:B,1,FALSE)=A133,"Есть в 1С","ERR")</f>
        <v>Есть в 1С</v>
      </c>
      <c r="AV133" s="96" t="str">
        <f ca="1">VLOOKUP(W133,Товары!A:B,2,FALSE)</f>
        <v>81-022-09</v>
      </c>
      <c r="AW133" s="94" t="str">
        <f ca="1">VLOOKUP(W133,Товары!A:B,1,FALSE)</f>
        <v>Шляпа HERMAN арт. MAC COY (черный) {black}</v>
      </c>
    </row>
    <row r="134" spans="1:49" x14ac:dyDescent="0.25">
      <c r="A134" s="110" t="str">
        <f t="shared" ca="1" si="12"/>
        <v>81-008-09</v>
      </c>
      <c r="B134" s="107" t="str">
        <f ca="1">_xlfn.LET(_xlpm.CAPS,0,_xlpm.Style,TRIM(_xlfn.XLOOKUP($A134,Строчный!$A:$A,Строчный!B:B,"ERR",0)),IF(_xlpm.CAPS=0,_xlpm.Style,UPPER(_xlpm.Style)))</f>
        <v>MAC HAWK</v>
      </c>
      <c r="C134" s="81" t="str">
        <f ca="1">TRIM(PROPER(_xlfn.XLOOKUP($A134,Строчный!$A:$A,Строчный!C:C,"ERR",0)))</f>
        <v>Шляпы</v>
      </c>
      <c r="D134" s="81" t="str">
        <f ca="1">_xlfn.LET(_xlpm.DATA,TRIM(_xlfn.XLOOKUP($A134,Строчный!$A:$A,Строчный!D:D,"ERR",0)),UPPER(MID(_xlpm.DATA,1,1))&amp;LOWER(MID(_xlpm.DATA,2,LEN(_xlpm.DATA)-1)))</f>
        <v>Шляпа федора</v>
      </c>
      <c r="E134" s="81" t="str">
        <f ca="1">PROPER(TRIM(_xlfn.XLOOKUP($A134,Строчный!$A:$A,Строчный!E:E,"ERR",0)))</f>
        <v>Herman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HERMAN</v>
      </c>
      <c r="H134" s="81" t="str">
        <f ca="1">LOWER(TRIM(_xlfn.XLOOKUP($A134,Строчный!$A:$A,Строчный!H:H,"ERR",0)))</f>
        <v>black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100% шерсть</v>
      </c>
      <c r="K134" s="81" t="str">
        <f ca="1">LOWER(TRIM(_xlfn.XLOOKUP($A134,Строчный!$A:$A,Строчный!K:K,"ERR",0)))</f>
        <v>фетровые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/>
      </c>
      <c r="O134" s="102" t="str">
        <f ca="1">PROPER(TRIM(_xlfn.XLOOKUP($A134,Строчный!$A:$A,Строчный!P:P,"ERR",0)))</f>
        <v/>
      </c>
      <c r="P134" s="81" t="str">
        <f ca="1">PROPER(TRIM(_xlfn.XLOOKUP($A134,Строчный!$A:$A,Строчный!R:R,"ERR",0)))</f>
        <v/>
      </c>
      <c r="Q134" s="90">
        <f ca="1">VALUE(_xlfn.XLOOKUP($A134,Строчный!$A:$A,Строчный!N:N,"ERR",0))</f>
        <v>1164.5999999999999</v>
      </c>
      <c r="R134" s="89" t="str">
        <f ca="1">_xlfn.XLOOKUP($G134,Фабрика!A:A,Фабрика!B:B,"ERR",0)</f>
        <v>Chapellerie Herman S.A.; Rue Jean Meunier, 6, 6922 Wellin, Belgium</v>
      </c>
      <c r="S134" s="80" t="str">
        <f ca="1">_xlfn.XLOOKUP(RIGHT(AA134,2),Размеры!D:D,Размеры!A:A,"ERR",0)</f>
        <v>61</v>
      </c>
      <c r="T134" s="80">
        <f ca="1">VALUE(_xlfn.XLOOKUP($AA134,Строчный!$S:$S,Строчный!U:U,"ERR",0))</f>
        <v>15</v>
      </c>
      <c r="U134" s="14" t="s">
        <v>265</v>
      </c>
      <c r="V134" s="101" t="str">
        <f t="shared" ca="1" si="13"/>
        <v>Шляпа HERMAN арт. MAC HAWK (черный)</v>
      </c>
      <c r="W134" s="100" t="str">
        <f t="shared" ca="1" si="14"/>
        <v>Шляпа HERMAN арт. MAC HAWK (черный) {black}</v>
      </c>
      <c r="X134" s="18" t="str">
        <f t="shared" ca="1" si="15"/>
        <v>черный</v>
      </c>
      <c r="Y134" s="18" t="str">
        <f t="shared" ca="1" si="16"/>
        <v>черный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73" t="str">
        <f ca="1"/>
        <v>81-008-09-61</v>
      </c>
      <c r="AB134" s="75" t="str">
        <f ca="1">VLOOKUP(C134,Группа!A:B,2,FALSE)</f>
        <v>Шляпа</v>
      </c>
      <c r="AC134" s="97" t="str">
        <f ca="1">IFERROR(VLOOKUP(S134,Размеры!A:C,3,FALSE),"")</f>
        <v>61 XL</v>
      </c>
      <c r="AD134" s="97" t="str">
        <f ca="1">VLOOKUP(I134,ЦветПолный!A:B,2,FALSE)</f>
        <v>09</v>
      </c>
      <c r="AE134" s="97" t="str">
        <f ca="1">IFERROR(VLOOKUP(S134,Размеры!A:D,4,FALSE),"")</f>
        <v>61</v>
      </c>
      <c r="AF134" s="97">
        <f ca="1">IF(LEFT(IFERROR(VLOOKUP(LOOKUP(2,1/SEARCH(B134,Товары!A:A),Товары!A:A),Товары!A:B,2,0),""),6)=MID(AA134,1,6),1,0)</f>
        <v>1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1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str">
        <f ca="1">IF(VLOOKUP(W134,Товары!A:B,2,FALSE)=A134,"Есть в 1С","ERR")</f>
        <v>Есть в 1С</v>
      </c>
      <c r="AU134" s="65" t="str">
        <f ca="1">IF(VLOOKUP(A134,Товары!B:B,1,FALSE)=A134,"Есть в 1С","ERR")</f>
        <v>Есть в 1С</v>
      </c>
      <c r="AV134" s="96" t="str">
        <f ca="1">VLOOKUP(W134,Товары!A:B,2,FALSE)</f>
        <v>81-008-09</v>
      </c>
      <c r="AW134" s="94" t="str">
        <f ca="1">VLOOKUP(W134,Товары!A:B,1,FALSE)</f>
        <v>Шляпа HERMAN арт. MAC HAWK (черный) {black}</v>
      </c>
    </row>
    <row r="135" spans="1:49" x14ac:dyDescent="0.25">
      <c r="A135" s="110" t="str">
        <f t="shared" ca="1" si="12"/>
        <v>81-008-09</v>
      </c>
      <c r="B135" s="107" t="str">
        <f ca="1">_xlfn.LET(_xlpm.CAPS,0,_xlpm.Style,TRIM(_xlfn.XLOOKUP($A135,Строчный!$A:$A,Строчный!B:B,"ERR",0)),IF(_xlpm.CAPS=0,_xlpm.Style,UPPER(_xlpm.Style)))</f>
        <v>MAC HAWK</v>
      </c>
      <c r="C135" s="81" t="str">
        <f ca="1">TRIM(PROPER(_xlfn.XLOOKUP($A135,Строчный!$A:$A,Строчный!C:C,"ERR",0)))</f>
        <v>Шляпы</v>
      </c>
      <c r="D135" s="81" t="str">
        <f ca="1">_xlfn.LET(_xlpm.DATA,TRIM(_xlfn.XLOOKUP($A135,Строчный!$A:$A,Строчный!D:D,"ERR",0)),UPPER(MID(_xlpm.DATA,1,1))&amp;LOWER(MID(_xlpm.DATA,2,LEN(_xlpm.DATA)-1)))</f>
        <v>Шляпа федора</v>
      </c>
      <c r="E135" s="81" t="str">
        <f ca="1">PROPER(TRIM(_xlfn.XLOOKUP($A135,Строчный!$A:$A,Строчный!E:E,"ERR",0)))</f>
        <v>Herman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HERMAN</v>
      </c>
      <c r="H135" s="81" t="str">
        <f ca="1">LOWER(TRIM(_xlfn.XLOOKUP($A135,Строчный!$A:$A,Строчный!H:H,"ERR",0)))</f>
        <v>black</v>
      </c>
      <c r="I135" s="81" t="str">
        <f ca="1">LOWER(TRIM(_xlfn.XLOOKUP($A135,Строчный!$A:$A,Строчный!I:I,"ERR",0)))</f>
        <v>черный</v>
      </c>
      <c r="J135" s="81" t="str">
        <f ca="1">SUBSTITUTE(LOWER(TRIM(_xlfn.XLOOKUP($A135,Строчный!$A:$A,Строчный!J:J,"ERR",0))),"подклад","Подклад")</f>
        <v>100% шерсть</v>
      </c>
      <c r="K135" s="81" t="str">
        <f ca="1">LOWER(TRIM(_xlfn.XLOOKUP($A135,Строчный!$A:$A,Строчный!K:K,"ERR",0)))</f>
        <v>фетровые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/>
      </c>
      <c r="O135" s="102" t="str">
        <f ca="1">PROPER(TRIM(_xlfn.XLOOKUP($A135,Строчный!$A:$A,Строчный!P:P,"ERR",0)))</f>
        <v/>
      </c>
      <c r="P135" s="81" t="str">
        <f ca="1">PROPER(TRIM(_xlfn.XLOOKUP($A135,Строчный!$A:$A,Строчный!R:R,"ERR",0)))</f>
        <v/>
      </c>
      <c r="Q135" s="90">
        <f ca="1">VALUE(_xlfn.XLOOKUP($A135,Строчный!$A:$A,Строчный!N:N,"ERR",0))</f>
        <v>1164.5999999999999</v>
      </c>
      <c r="R135" s="89" t="str">
        <f ca="1">_xlfn.XLOOKUP($G135,Фабрика!A:A,Фабрика!B:B,"ERR",0)</f>
        <v>Chapellerie Herman S.A.; Rue Jean Meunier, 6, 6922 Wellin, Belgium</v>
      </c>
      <c r="S135" s="80" t="str">
        <f ca="1">_xlfn.XLOOKUP(RIGHT(AA135,2),Размеры!D:D,Размеры!A:A,"ERR",0)</f>
        <v>59</v>
      </c>
      <c r="T135" s="80">
        <f ca="1">VALUE(_xlfn.XLOOKUP($AA135,Строчный!$S:$S,Строчный!U:U,"ERR",0))</f>
        <v>40</v>
      </c>
      <c r="U135" s="14" t="s">
        <v>265</v>
      </c>
      <c r="V135" s="101" t="str">
        <f t="shared" ca="1" si="13"/>
        <v>Шляпа HERMAN арт. MAC HAWK (черный)</v>
      </c>
      <c r="W135" s="100" t="str">
        <f t="shared" ca="1" si="14"/>
        <v>Шляпа HERMAN арт. MAC HAWK (черный) {black}</v>
      </c>
      <c r="X135" s="18" t="str">
        <f t="shared" ca="1" si="15"/>
        <v>черный</v>
      </c>
      <c r="Y135" s="18" t="str">
        <f t="shared" ca="1" si="16"/>
        <v>черный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черный</v>
      </c>
      <c r="AA135" s="73" t="str">
        <f ca="1"/>
        <v>81-008-09-59</v>
      </c>
      <c r="AB135" s="75" t="str">
        <f ca="1">VLOOKUP(C135,Группа!A:B,2,FALSE)</f>
        <v>Шляпа</v>
      </c>
      <c r="AC135" s="97" t="str">
        <f ca="1">IFERROR(VLOOKUP(S135,Размеры!A:C,3,FALSE),"")</f>
        <v>59 L</v>
      </c>
      <c r="AD135" s="97" t="str">
        <f ca="1">VLOOKUP(I135,ЦветПолный!A:B,2,FALSE)</f>
        <v>09</v>
      </c>
      <c r="AE135" s="97" t="str">
        <f ca="1">IFERROR(VLOOKUP(S135,Размеры!A:D,4,FALSE),"")</f>
        <v>59</v>
      </c>
      <c r="AF135" s="97">
        <f ca="1">IF(LEFT(IFERROR(VLOOKUP(LOOKUP(2,1/SEARCH(B135,Товары!A:A),Товары!A:A),Товары!A:B,2,0),""),6)=MID(AA135,1,6),1,0)</f>
        <v>1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1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str">
        <f ca="1">IF(VLOOKUP(W135,Товары!A:B,2,FALSE)=A135,"Есть в 1С","ERR")</f>
        <v>Есть в 1С</v>
      </c>
      <c r="AU135" s="65" t="str">
        <f ca="1">IF(VLOOKUP(A135,Товары!B:B,1,FALSE)=A135,"Есть в 1С","ERR")</f>
        <v>Есть в 1С</v>
      </c>
      <c r="AV135" s="96" t="str">
        <f ca="1">VLOOKUP(W135,Товары!A:B,2,FALSE)</f>
        <v>81-008-09</v>
      </c>
      <c r="AW135" s="94" t="str">
        <f ca="1">VLOOKUP(W135,Товары!A:B,1,FALSE)</f>
        <v>Шляпа HERMAN арт. MAC HAWK (черный) {black}</v>
      </c>
    </row>
    <row r="136" spans="1:49" x14ac:dyDescent="0.25">
      <c r="A136" s="110" t="str">
        <f t="shared" ca="1" si="12"/>
        <v>81-008-09</v>
      </c>
      <c r="B136" s="107" t="str">
        <f ca="1">_xlfn.LET(_xlpm.CAPS,0,_xlpm.Style,TRIM(_xlfn.XLOOKUP($A136,Строчный!$A:$A,Строчный!B:B,"ERR",0)),IF(_xlpm.CAPS=0,_xlpm.Style,UPPER(_xlpm.Style)))</f>
        <v>MAC HAWK</v>
      </c>
      <c r="C136" s="81" t="str">
        <f ca="1">TRIM(PROPER(_xlfn.XLOOKUP($A136,Строчный!$A:$A,Строчный!C:C,"ERR",0)))</f>
        <v>Шляпы</v>
      </c>
      <c r="D136" s="81" t="str">
        <f ca="1">_xlfn.LET(_xlpm.DATA,TRIM(_xlfn.XLOOKUP($A136,Строчный!$A:$A,Строчный!D:D,"ERR",0)),UPPER(MID(_xlpm.DATA,1,1))&amp;LOWER(MID(_xlpm.DATA,2,LEN(_xlpm.DATA)-1)))</f>
        <v>Шляпа федора</v>
      </c>
      <c r="E136" s="81" t="str">
        <f ca="1">PROPER(TRIM(_xlfn.XLOOKUP($A136,Строчный!$A:$A,Строчный!E:E,"ERR",0)))</f>
        <v>Herman</v>
      </c>
      <c r="F136" s="81" t="str">
        <f ca="1">LOWER(TRIM(_xlfn.XLOOKUP($A136,Строчный!$A:$A,Строчный!F:F,"ERR",0)))</f>
        <v>всесезон</v>
      </c>
      <c r="G136" s="81" t="str">
        <f ca="1">UPPER(TRIM(_xlfn.XLOOKUP($A136,Строчный!$A:$A,Строчный!G:G,"ERR",0)))</f>
        <v>HERMAN</v>
      </c>
      <c r="H136" s="81" t="str">
        <f ca="1">LOWER(TRIM(_xlfn.XLOOKUP($A136,Строчный!$A:$A,Строчный!H:H,"ERR",0)))</f>
        <v>black</v>
      </c>
      <c r="I136" s="81" t="str">
        <f ca="1">LOWER(TRIM(_xlfn.XLOOKUP($A136,Строчный!$A:$A,Строчный!I:I,"ERR",0)))</f>
        <v>черный</v>
      </c>
      <c r="J136" s="81" t="str">
        <f ca="1">SUBSTITUTE(LOWER(TRIM(_xlfn.XLOOKUP($A136,Строчный!$A:$A,Строчный!J:J,"ERR",0))),"подклад","Подклад")</f>
        <v>100% шерсть</v>
      </c>
      <c r="K136" s="81" t="str">
        <f ca="1">LOWER(TRIM(_xlfn.XLOOKUP($A136,Строчный!$A:$A,Строчный!K:K,"ERR",0)))</f>
        <v>фетровые</v>
      </c>
      <c r="L136" s="81" t="str">
        <f ca="1">PROPER(TRIM(_xlfn.XLOOKUP($A136,Строчный!$A:$A,Строчный!L:L,"ERR",0)))</f>
        <v>Унисекс</v>
      </c>
      <c r="M136" s="113" t="str">
        <f ca="1">PROPER(TRIM(_xlfn.XLOOKUP($A136,Строчный!$A:$A,Строчный!M:M,"ERR",0)))</f>
        <v>Китай</v>
      </c>
      <c r="N136" s="81" t="str">
        <f ca="1">UPPER(TRIM(_xlfn.XLOOKUP($A136,Строчный!$A:$A,Строчный!O:O,"ERR",0)))</f>
        <v/>
      </c>
      <c r="O136" s="102" t="str">
        <f ca="1">PROPER(TRIM(_xlfn.XLOOKUP($A136,Строчный!$A:$A,Строчный!P:P,"ERR",0)))</f>
        <v/>
      </c>
      <c r="P136" s="81" t="str">
        <f ca="1">PROPER(TRIM(_xlfn.XLOOKUP($A136,Строчный!$A:$A,Строчный!R:R,"ERR",0)))</f>
        <v/>
      </c>
      <c r="Q136" s="90">
        <f ca="1">VALUE(_xlfn.XLOOKUP($A136,Строчный!$A:$A,Строчный!N:N,"ERR",0))</f>
        <v>1164.5999999999999</v>
      </c>
      <c r="R136" s="89" t="str">
        <f ca="1">_xlfn.XLOOKUP($G136,Фабрика!A:A,Фабрика!B:B,"ERR",0)</f>
        <v>Chapellerie Herman S.A.; Rue Jean Meunier, 6, 6922 Wellin, Belgium</v>
      </c>
      <c r="S136" s="80" t="str">
        <f ca="1">_xlfn.XLOOKUP(RIGHT(AA136,2),Размеры!D:D,Размеры!A:A,"ERR",0)</f>
        <v>57</v>
      </c>
      <c r="T136" s="80">
        <f ca="1">VALUE(_xlfn.XLOOKUP($AA136,Строчный!$S:$S,Строчный!U:U,"ERR",0))</f>
        <v>26</v>
      </c>
      <c r="U136" s="14" t="s">
        <v>265</v>
      </c>
      <c r="V136" s="101" t="str">
        <f t="shared" ca="1" si="13"/>
        <v>Шляпа HERMAN арт. MAC HAWK (черный)</v>
      </c>
      <c r="W136" s="100" t="str">
        <f t="shared" ca="1" si="14"/>
        <v>Шляпа HERMAN арт. MAC HAWK (черный) {black}</v>
      </c>
      <c r="X136" s="18" t="str">
        <f t="shared" ca="1" si="15"/>
        <v>черный</v>
      </c>
      <c r="Y136" s="18" t="str">
        <f t="shared" ca="1" si="16"/>
        <v>черный</v>
      </c>
      <c r="Z136" s="117" t="str">
        <f ca="1">_xlfn.LET(_xlpm.FormColors,_xlfn.XLOOKUP(A136,Строчный!A:A,Строчный!Q:Q,"",0),IF(_xlpm.FormColors=0,IFERROR(MID(I136,FIND("-",I136)+1,LEN(I136)),IFERROR(MID(I136,1,FIND("/",I136)-2),I136)),_xlpm.FormColors))</f>
        <v>черный</v>
      </c>
      <c r="AA136" s="73" t="str">
        <f ca="1"/>
        <v>81-008-09-57</v>
      </c>
      <c r="AB136" s="75" t="str">
        <f ca="1">VLOOKUP(C136,Группа!A:B,2,FALSE)</f>
        <v>Шляпа</v>
      </c>
      <c r="AC136" s="97" t="str">
        <f ca="1">IFERROR(VLOOKUP(S136,Размеры!A:C,3,FALSE),"")</f>
        <v>57 M</v>
      </c>
      <c r="AD136" s="97" t="str">
        <f ca="1">VLOOKUP(I136,ЦветПолный!A:B,2,FALSE)</f>
        <v>09</v>
      </c>
      <c r="AE136" s="97" t="str">
        <f ca="1">IFERROR(VLOOKUP(S136,Размеры!A:D,4,FALSE),"")</f>
        <v>57</v>
      </c>
      <c r="AF136" s="97">
        <f ca="1">IF(LEFT(IFERROR(VLOOKUP(LOOKUP(2,1/SEARCH(B136,Товары!A:A),Товары!A:A),Товары!A:B,2,0),""),6)=MID(AA136,1,6),1,0)</f>
        <v>1</v>
      </c>
      <c r="AH136" s="97">
        <f ca="1">SUMIF(Группа!A:A,C136,Группа!C:C)</f>
        <v>1</v>
      </c>
      <c r="AI136" s="97">
        <f ca="1">SUMIF(Группа!B:B,AB136,Группа!C:C)</f>
        <v>1</v>
      </c>
      <c r="AJ136" s="97">
        <f ca="1">SUMIF(Формы!A:A,D136,Формы!B:B)</f>
        <v>1</v>
      </c>
      <c r="AK136" s="97">
        <f ca="1">SUMIF(Материал!A:A,K136,Материал!B:B)</f>
        <v>1</v>
      </c>
      <c r="AL136" s="97">
        <f ca="1">SUMIF(Размеры!A:A,S136,Размеры!E:E)</f>
        <v>1</v>
      </c>
      <c r="AM136" s="97">
        <f ca="1">SUMIF(Сезон!A:A,F136,Сезон!B:B)</f>
        <v>1</v>
      </c>
      <c r="AN136" s="97">
        <f ca="1">SUMIF(Состав!A:A,J136,Состав!B:B)</f>
        <v>1</v>
      </c>
      <c r="AO136" s="97">
        <f ca="1">VLOOKUP(I136,ЦветПолный!A:C,3,0)</f>
        <v>1</v>
      </c>
      <c r="AP136" s="97">
        <f ca="1">SUMIF(Цвет!A:A,Z136,Цвет!B:B)</f>
        <v>1</v>
      </c>
      <c r="AQ136" s="97">
        <f ca="1">_xlfn.XLOOKUP(L136,Пол!A:A,Пол!B:B,0,0)</f>
        <v>1</v>
      </c>
      <c r="AR136" s="97">
        <f ca="1">SUMIF(Бренд!A:A,G136,Бренд!B:B)</f>
        <v>1</v>
      </c>
      <c r="AS136" s="97">
        <f ca="1">SUMIF(Страна!A:A,M136,Страна!B:B)</f>
        <v>1</v>
      </c>
      <c r="AT136" s="64" t="str">
        <f ca="1">IF(VLOOKUP(W136,Товары!A:B,2,FALSE)=A136,"Есть в 1С","ERR")</f>
        <v>Есть в 1С</v>
      </c>
      <c r="AU136" s="65" t="str">
        <f ca="1">IF(VLOOKUP(A136,Товары!B:B,1,FALSE)=A136,"Есть в 1С","ERR")</f>
        <v>Есть в 1С</v>
      </c>
      <c r="AV136" s="96" t="str">
        <f ca="1">VLOOKUP(W136,Товары!A:B,2,FALSE)</f>
        <v>81-008-09</v>
      </c>
      <c r="AW136" s="94" t="str">
        <f ca="1">VLOOKUP(W136,Товары!A:B,1,FALSE)</f>
        <v>Шляпа HERMAN арт. MAC HAWK (черный) {black}</v>
      </c>
    </row>
    <row r="137" spans="1:49" x14ac:dyDescent="0.25">
      <c r="A137" s="110" t="str">
        <f t="shared" ca="1" si="12"/>
        <v>81-008-09</v>
      </c>
      <c r="B137" s="107" t="str">
        <f ca="1">_xlfn.LET(_xlpm.CAPS,0,_xlpm.Style,TRIM(_xlfn.XLOOKUP($A137,Строчный!$A:$A,Строчный!B:B,"ERR",0)),IF(_xlpm.CAPS=0,_xlpm.Style,UPPER(_xlpm.Style)))</f>
        <v>MAC HAWK</v>
      </c>
      <c r="C137" s="81" t="str">
        <f ca="1">TRIM(PROPER(_xlfn.XLOOKUP($A137,Строчный!$A:$A,Строчный!C:C,"ERR",0)))</f>
        <v>Шляпы</v>
      </c>
      <c r="D137" s="81" t="str">
        <f ca="1">_xlfn.LET(_xlpm.DATA,TRIM(_xlfn.XLOOKUP($A137,Строчный!$A:$A,Строчный!D:D,"ERR",0)),UPPER(MID(_xlpm.DATA,1,1))&amp;LOWER(MID(_xlpm.DATA,2,LEN(_xlpm.DATA)-1)))</f>
        <v>Шляпа федора</v>
      </c>
      <c r="E137" s="81" t="str">
        <f ca="1">PROPER(TRIM(_xlfn.XLOOKUP($A137,Строчный!$A:$A,Строчный!E:E,"ERR",0)))</f>
        <v>Herman</v>
      </c>
      <c r="F137" s="81" t="str">
        <f ca="1">LOWER(TRIM(_xlfn.XLOOKUP($A137,Строчный!$A:$A,Строчный!F:F,"ERR",0)))</f>
        <v>всесезон</v>
      </c>
      <c r="G137" s="81" t="str">
        <f ca="1">UPPER(TRIM(_xlfn.XLOOKUP($A137,Строчный!$A:$A,Строчный!G:G,"ERR",0)))</f>
        <v>HERMAN</v>
      </c>
      <c r="H137" s="81" t="str">
        <f ca="1">LOWER(TRIM(_xlfn.XLOOKUP($A137,Строчный!$A:$A,Строчный!H:H,"ERR",0)))</f>
        <v>black</v>
      </c>
      <c r="I137" s="81" t="str">
        <f ca="1">LOWER(TRIM(_xlfn.XLOOKUP($A137,Строчный!$A:$A,Строчный!I:I,"ERR",0)))</f>
        <v>черный</v>
      </c>
      <c r="J137" s="81" t="str">
        <f ca="1">SUBSTITUTE(LOWER(TRIM(_xlfn.XLOOKUP($A137,Строчный!$A:$A,Строчный!J:J,"ERR",0))),"подклад","Подклад")</f>
        <v>100% шерсть</v>
      </c>
      <c r="K137" s="81" t="str">
        <f ca="1">LOWER(TRIM(_xlfn.XLOOKUP($A137,Строчный!$A:$A,Строчный!K:K,"ERR",0)))</f>
        <v>фетровые</v>
      </c>
      <c r="L137" s="81" t="str">
        <f ca="1">PROPER(TRIM(_xlfn.XLOOKUP($A137,Строчный!$A:$A,Строчный!L:L,"ERR",0)))</f>
        <v>Унисекс</v>
      </c>
      <c r="M137" s="113" t="str">
        <f ca="1">PROPER(TRIM(_xlfn.XLOOKUP($A137,Строчный!$A:$A,Строчный!M:M,"ERR",0)))</f>
        <v>Китай</v>
      </c>
      <c r="N137" s="81" t="str">
        <f ca="1">UPPER(TRIM(_xlfn.XLOOKUP($A137,Строчный!$A:$A,Строчный!O:O,"ERR",0)))</f>
        <v/>
      </c>
      <c r="O137" s="102" t="str">
        <f ca="1">PROPER(TRIM(_xlfn.XLOOKUP($A137,Строчный!$A:$A,Строчный!P:P,"ERR",0)))</f>
        <v/>
      </c>
      <c r="P137" s="81" t="str">
        <f ca="1">PROPER(TRIM(_xlfn.XLOOKUP($A137,Строчный!$A:$A,Строчный!R:R,"ERR",0)))</f>
        <v/>
      </c>
      <c r="Q137" s="90">
        <f ca="1">VALUE(_xlfn.XLOOKUP($A137,Строчный!$A:$A,Строчный!N:N,"ERR",0))</f>
        <v>1164.5999999999999</v>
      </c>
      <c r="R137" s="89" t="str">
        <f ca="1">_xlfn.XLOOKUP($G137,Фабрика!A:A,Фабрика!B:B,"ERR",0)</f>
        <v>Chapellerie Herman S.A.; Rue Jean Meunier, 6, 6922 Wellin, Belgium</v>
      </c>
      <c r="S137" s="80" t="str">
        <f ca="1">_xlfn.XLOOKUP(RIGHT(AA137,2),Размеры!D:D,Размеры!A:A,"ERR",0)</f>
        <v>55</v>
      </c>
      <c r="T137" s="80">
        <f ca="1">VALUE(_xlfn.XLOOKUP($AA137,Строчный!$S:$S,Строчный!U:U,"ERR",0))</f>
        <v>19</v>
      </c>
      <c r="U137" s="14" t="s">
        <v>265</v>
      </c>
      <c r="V137" s="101" t="str">
        <f t="shared" ca="1" si="13"/>
        <v>Шляпа HERMAN арт. MAC HAWK (черный)</v>
      </c>
      <c r="W137" s="100" t="str">
        <f t="shared" ca="1" si="14"/>
        <v>Шляпа HERMAN арт. MAC HAWK (черный) {black}</v>
      </c>
      <c r="X137" s="18" t="str">
        <f t="shared" ca="1" si="15"/>
        <v>черный</v>
      </c>
      <c r="Y137" s="18" t="str">
        <f t="shared" ca="1" si="16"/>
        <v>черный</v>
      </c>
      <c r="Z137" s="117" t="str">
        <f ca="1">_xlfn.LET(_xlpm.FormColors,_xlfn.XLOOKUP(A137,Строчный!A:A,Строчный!Q:Q,"",0),IF(_xlpm.FormColors=0,IFERROR(MID(I137,FIND("-",I137)+1,LEN(I137)),IFERROR(MID(I137,1,FIND("/",I137)-2),I137)),_xlpm.FormColors))</f>
        <v>черный</v>
      </c>
      <c r="AA137" s="73" t="str">
        <f ca="1"/>
        <v>81-008-09-55</v>
      </c>
      <c r="AB137" s="75" t="str">
        <f ca="1">VLOOKUP(C137,Группа!A:B,2,FALSE)</f>
        <v>Шляпа</v>
      </c>
      <c r="AC137" s="97" t="str">
        <f ca="1">IFERROR(VLOOKUP(S137,Размеры!A:C,3,FALSE),"")</f>
        <v>55 S</v>
      </c>
      <c r="AD137" s="97" t="str">
        <f ca="1">VLOOKUP(I137,ЦветПолный!A:B,2,FALSE)</f>
        <v>09</v>
      </c>
      <c r="AE137" s="97" t="str">
        <f ca="1">IFERROR(VLOOKUP(S137,Размеры!A:D,4,FALSE),"")</f>
        <v>55</v>
      </c>
      <c r="AF137" s="97">
        <f ca="1">IF(LEFT(IFERROR(VLOOKUP(LOOKUP(2,1/SEARCH(B137,Товары!A:A),Товары!A:A),Товары!A:B,2,0),""),6)=MID(AA137,1,6),1,0)</f>
        <v>1</v>
      </c>
      <c r="AH137" s="97">
        <f ca="1">SUMIF(Группа!A:A,C137,Группа!C:C)</f>
        <v>1</v>
      </c>
      <c r="AI137" s="97">
        <f ca="1">SUMIF(Группа!B:B,AB137,Группа!C:C)</f>
        <v>1</v>
      </c>
      <c r="AJ137" s="97">
        <f ca="1">SUMIF(Формы!A:A,D137,Формы!B:B)</f>
        <v>1</v>
      </c>
      <c r="AK137" s="97">
        <f ca="1">SUMIF(Материал!A:A,K137,Материал!B:B)</f>
        <v>1</v>
      </c>
      <c r="AL137" s="97">
        <f ca="1">SUMIF(Размеры!A:A,S137,Размеры!E:E)</f>
        <v>1</v>
      </c>
      <c r="AM137" s="97">
        <f ca="1">SUMIF(Сезон!A:A,F137,Сезон!B:B)</f>
        <v>1</v>
      </c>
      <c r="AN137" s="97">
        <f ca="1">SUMIF(Состав!A:A,J137,Состав!B:B)</f>
        <v>1</v>
      </c>
      <c r="AO137" s="97">
        <f ca="1">VLOOKUP(I137,ЦветПолный!A:C,3,0)</f>
        <v>1</v>
      </c>
      <c r="AP137" s="97">
        <f ca="1">SUMIF(Цвет!A:A,Z137,Цвет!B:B)</f>
        <v>1</v>
      </c>
      <c r="AQ137" s="97">
        <f ca="1">_xlfn.XLOOKUP(L137,Пол!A:A,Пол!B:B,0,0)</f>
        <v>1</v>
      </c>
      <c r="AR137" s="97">
        <f ca="1">SUMIF(Бренд!A:A,G137,Бренд!B:B)</f>
        <v>1</v>
      </c>
      <c r="AS137" s="97">
        <f ca="1">SUMIF(Страна!A:A,M137,Страна!B:B)</f>
        <v>1</v>
      </c>
      <c r="AT137" s="64" t="str">
        <f ca="1">IF(VLOOKUP(W137,Товары!A:B,2,FALSE)=A137,"Есть в 1С","ERR")</f>
        <v>Есть в 1С</v>
      </c>
      <c r="AU137" s="65" t="str">
        <f ca="1">IF(VLOOKUP(A137,Товары!B:B,1,FALSE)=A137,"Есть в 1С","ERR")</f>
        <v>Есть в 1С</v>
      </c>
      <c r="AV137" s="96" t="str">
        <f ca="1">VLOOKUP(W137,Товары!A:B,2,FALSE)</f>
        <v>81-008-09</v>
      </c>
      <c r="AW137" s="94" t="str">
        <f ca="1">VLOOKUP(W137,Товары!A:B,1,FALSE)</f>
        <v>Шляпа HERMAN арт. MAC HAWK (черный) {black}</v>
      </c>
    </row>
    <row r="138" spans="1:49" x14ac:dyDescent="0.25">
      <c r="A138" s="110" t="str">
        <f t="shared" ca="1" si="12"/>
        <v>81-004-14</v>
      </c>
      <c r="B138" s="107" t="str">
        <f ca="1">_xlfn.LET(_xlpm.CAPS,0,_xlpm.Style,TRIM(_xlfn.XLOOKUP($A138,Строчный!$A:$A,Строчный!B:B,"ERR",0)),IF(_xlpm.CAPS=0,_xlpm.Style,UPPER(_xlpm.Style)))</f>
        <v>MAC CARTHY</v>
      </c>
      <c r="C138" s="81" t="str">
        <f ca="1">TRIM(PROPER(_xlfn.XLOOKUP($A138,Строчный!$A:$A,Строчный!C:C,"ERR",0)))</f>
        <v>Шляпы</v>
      </c>
      <c r="D138" s="81" t="str">
        <f ca="1">_xlfn.LET(_xlpm.DATA,TRIM(_xlfn.XLOOKUP($A138,Строчный!$A:$A,Строчный!D:D,"ERR",0)),UPPER(MID(_xlpm.DATA,1,1))&amp;LOWER(MID(_xlpm.DATA,2,LEN(_xlpm.DATA)-1)))</f>
        <v>Шляпа федора</v>
      </c>
      <c r="E138" s="81" t="str">
        <f ca="1">PROPER(TRIM(_xlfn.XLOOKUP($A138,Строчный!$A:$A,Строчный!E:E,"ERR",0)))</f>
        <v>Herman</v>
      </c>
      <c r="F138" s="81" t="str">
        <f ca="1">LOWER(TRIM(_xlfn.XLOOKUP($A138,Строчный!$A:$A,Строчный!F:F,"ERR",0)))</f>
        <v>всесезон</v>
      </c>
      <c r="G138" s="81" t="str">
        <f ca="1">UPPER(TRIM(_xlfn.XLOOKUP($A138,Строчный!$A:$A,Строчный!G:G,"ERR",0)))</f>
        <v>HERMAN</v>
      </c>
      <c r="H138" s="81" t="str">
        <f ca="1">LOWER(TRIM(_xlfn.XLOOKUP($A138,Строчный!$A:$A,Строчный!H:H,"ERR",0)))</f>
        <v>brown</v>
      </c>
      <c r="I138" s="81" t="str">
        <f ca="1">LOWER(TRIM(_xlfn.XLOOKUP($A138,Строчный!$A:$A,Строчный!I:I,"ERR",0)))</f>
        <v>коричневый</v>
      </c>
      <c r="J138" s="81" t="str">
        <f ca="1">SUBSTITUTE(LOWER(TRIM(_xlfn.XLOOKUP($A138,Строчный!$A:$A,Строчный!J:J,"ERR",0))),"подклад","Подклад")</f>
        <v>100% шерсть</v>
      </c>
      <c r="K138" s="81" t="str">
        <f ca="1">LOWER(TRIM(_xlfn.XLOOKUP($A138,Строчный!$A:$A,Строчный!K:K,"ERR",0)))</f>
        <v>фетровые</v>
      </c>
      <c r="L138" s="81" t="str">
        <f ca="1">PROPER(TRIM(_xlfn.XLOOKUP($A138,Строчный!$A:$A,Строчный!L:L,"ERR",0)))</f>
        <v>Унисекс</v>
      </c>
      <c r="M138" s="113" t="str">
        <f ca="1">PROPER(TRIM(_xlfn.XLOOKUP($A138,Строчный!$A:$A,Строчный!M:M,"ERR",0)))</f>
        <v>Китай</v>
      </c>
      <c r="N138" s="81" t="str">
        <f ca="1">UPPER(TRIM(_xlfn.XLOOKUP($A138,Строчный!$A:$A,Строчный!O:O,"ERR",0)))</f>
        <v/>
      </c>
      <c r="O138" s="102" t="str">
        <f ca="1">PROPER(TRIM(_xlfn.XLOOKUP($A138,Строчный!$A:$A,Строчный!P:P,"ERR",0)))</f>
        <v/>
      </c>
      <c r="P138" s="81" t="str">
        <f ca="1">PROPER(TRIM(_xlfn.XLOOKUP($A138,Строчный!$A:$A,Строчный!R:R,"ERR",0)))</f>
        <v/>
      </c>
      <c r="Q138" s="90">
        <f ca="1">VALUE(_xlfn.XLOOKUP($A138,Строчный!$A:$A,Строчный!N:N,"ERR",0))</f>
        <v>1340.1000000000001</v>
      </c>
      <c r="R138" s="89" t="str">
        <f ca="1">_xlfn.XLOOKUP($G138,Фабрика!A:A,Фабрика!B:B,"ERR",0)</f>
        <v>Chapellerie Herman S.A.; Rue Jean Meunier, 6, 6922 Wellin, Belgium</v>
      </c>
      <c r="S138" s="80" t="str">
        <f ca="1">_xlfn.XLOOKUP(RIGHT(AA138,2),Размеры!D:D,Размеры!A:A,"ERR",0)</f>
        <v>61</v>
      </c>
      <c r="T138" s="80">
        <f ca="1">VALUE(_xlfn.XLOOKUP($AA138,Строчный!$S:$S,Строчный!U:U,"ERR",0))</f>
        <v>16</v>
      </c>
      <c r="U138" s="14" t="s">
        <v>265</v>
      </c>
      <c r="V138" s="101" t="str">
        <f t="shared" ca="1" si="13"/>
        <v>Шляпа HERMAN арт. MAC CARTHY (коричневый)</v>
      </c>
      <c r="W138" s="100" t="str">
        <f t="shared" ca="1" si="14"/>
        <v>Шляпа HERMAN арт. MAC CARTHY (коричневый) {brown}</v>
      </c>
      <c r="X138" s="18" t="str">
        <f t="shared" ca="1" si="15"/>
        <v>коричневый</v>
      </c>
      <c r="Y138" s="18" t="str">
        <f t="shared" ca="1" si="16"/>
        <v>коричневый</v>
      </c>
      <c r="Z138" s="117" t="str">
        <f ca="1">_xlfn.LET(_xlpm.FormColors,_xlfn.XLOOKUP(A138,Строчный!A:A,Строчный!Q:Q,"",0),IF(_xlpm.FormColors=0,IFERROR(MID(I138,FIND("-",I138)+1,LEN(I138)),IFERROR(MID(I138,1,FIND("/",I138)-2),I138)),_xlpm.FormColors))</f>
        <v>коричневый</v>
      </c>
      <c r="AA138" s="73" t="str">
        <f ca="1"/>
        <v>81-004-14-61</v>
      </c>
      <c r="AB138" s="75" t="str">
        <f ca="1">VLOOKUP(C138,Группа!A:B,2,FALSE)</f>
        <v>Шляпа</v>
      </c>
      <c r="AC138" s="97" t="str">
        <f ca="1">IFERROR(VLOOKUP(S138,Размеры!A:C,3,FALSE),"")</f>
        <v>61 XL</v>
      </c>
      <c r="AD138" s="97" t="str">
        <f ca="1">VLOOKUP(I138,ЦветПолный!A:B,2,FALSE)</f>
        <v>14</v>
      </c>
      <c r="AE138" s="97" t="str">
        <f ca="1">IFERROR(VLOOKUP(S138,Размеры!A:D,4,FALSE),"")</f>
        <v>61</v>
      </c>
      <c r="AF138" s="97">
        <f ca="1">IF(LEFT(IFERROR(VLOOKUP(LOOKUP(2,1/SEARCH(B138,Товары!A:A),Товары!A:A),Товары!A:B,2,0),""),6)=MID(AA138,1,6),1,0)</f>
        <v>1</v>
      </c>
      <c r="AH138" s="97">
        <f ca="1">SUMIF(Группа!A:A,C138,Группа!C:C)</f>
        <v>1</v>
      </c>
      <c r="AI138" s="97">
        <f ca="1">SUMIF(Группа!B:B,AB138,Группа!C:C)</f>
        <v>1</v>
      </c>
      <c r="AJ138" s="97">
        <f ca="1">SUMIF(Формы!A:A,D138,Формы!B:B)</f>
        <v>1</v>
      </c>
      <c r="AK138" s="97">
        <f ca="1">SUMIF(Материал!A:A,K138,Материал!B:B)</f>
        <v>1</v>
      </c>
      <c r="AL138" s="97">
        <f ca="1">SUMIF(Размеры!A:A,S138,Размеры!E:E)</f>
        <v>1</v>
      </c>
      <c r="AM138" s="97">
        <f ca="1">SUMIF(Сезон!A:A,F138,Сезон!B:B)</f>
        <v>1</v>
      </c>
      <c r="AN138" s="97">
        <f ca="1">SUMIF(Состав!A:A,J138,Состав!B:B)</f>
        <v>1</v>
      </c>
      <c r="AO138" s="97">
        <f ca="1">VLOOKUP(I138,ЦветПолный!A:C,3,0)</f>
        <v>1</v>
      </c>
      <c r="AP138" s="97">
        <f ca="1">SUMIF(Цвет!A:A,Z138,Цвет!B:B)</f>
        <v>1</v>
      </c>
      <c r="AQ138" s="97">
        <f ca="1">_xlfn.XLOOKUP(L138,Пол!A:A,Пол!B:B,0,0)</f>
        <v>1</v>
      </c>
      <c r="AR138" s="97">
        <f ca="1">SUMIF(Бренд!A:A,G138,Бренд!B:B)</f>
        <v>1</v>
      </c>
      <c r="AS138" s="97">
        <f ca="1">SUMIF(Страна!A:A,M138,Страна!B:B)</f>
        <v>1</v>
      </c>
      <c r="AT138" s="64" t="str">
        <f ca="1">IF(VLOOKUP(W138,Товары!A:B,2,FALSE)=A138,"Есть в 1С","ERR")</f>
        <v>Есть в 1С</v>
      </c>
      <c r="AU138" s="65" t="str">
        <f ca="1">IF(VLOOKUP(A138,Товары!B:B,1,FALSE)=A138,"Есть в 1С","ERR")</f>
        <v>Есть в 1С</v>
      </c>
      <c r="AV138" s="96" t="str">
        <f ca="1">VLOOKUP(W138,Товары!A:B,2,FALSE)</f>
        <v>81-004-14</v>
      </c>
      <c r="AW138" s="94" t="str">
        <f ca="1">VLOOKUP(W138,Товары!A:B,1,FALSE)</f>
        <v>Шляпа HERMAN арт. MAC CARTHY (коричневый) {brown}</v>
      </c>
    </row>
    <row r="139" spans="1:49" x14ac:dyDescent="0.25">
      <c r="A139" s="110" t="str">
        <f t="shared" ca="1" si="12"/>
        <v>81-004-14</v>
      </c>
      <c r="B139" s="107" t="str">
        <f ca="1">_xlfn.LET(_xlpm.CAPS,0,_xlpm.Style,TRIM(_xlfn.XLOOKUP($A139,Строчный!$A:$A,Строчный!B:B,"ERR",0)),IF(_xlpm.CAPS=0,_xlpm.Style,UPPER(_xlpm.Style)))</f>
        <v>MAC CARTHY</v>
      </c>
      <c r="C139" s="81" t="str">
        <f ca="1">TRIM(PROPER(_xlfn.XLOOKUP($A139,Строчный!$A:$A,Строчный!C:C,"ERR",0)))</f>
        <v>Шляпы</v>
      </c>
      <c r="D139" s="81" t="str">
        <f ca="1">_xlfn.LET(_xlpm.DATA,TRIM(_xlfn.XLOOKUP($A139,Строчный!$A:$A,Строчный!D:D,"ERR",0)),UPPER(MID(_xlpm.DATA,1,1))&amp;LOWER(MID(_xlpm.DATA,2,LEN(_xlpm.DATA)-1)))</f>
        <v>Шляпа федора</v>
      </c>
      <c r="E139" s="81" t="str">
        <f ca="1">PROPER(TRIM(_xlfn.XLOOKUP($A139,Строчный!$A:$A,Строчный!E:E,"ERR",0)))</f>
        <v>Herman</v>
      </c>
      <c r="F139" s="81" t="str">
        <f ca="1">LOWER(TRIM(_xlfn.XLOOKUP($A139,Строчный!$A:$A,Строчный!F:F,"ERR",0)))</f>
        <v>всесезон</v>
      </c>
      <c r="G139" s="81" t="str">
        <f ca="1">UPPER(TRIM(_xlfn.XLOOKUP($A139,Строчный!$A:$A,Строчный!G:G,"ERR",0)))</f>
        <v>HERMAN</v>
      </c>
      <c r="H139" s="81" t="str">
        <f ca="1">LOWER(TRIM(_xlfn.XLOOKUP($A139,Строчный!$A:$A,Строчный!H:H,"ERR",0)))</f>
        <v>brown</v>
      </c>
      <c r="I139" s="81" t="str">
        <f ca="1">LOWER(TRIM(_xlfn.XLOOKUP($A139,Строчный!$A:$A,Строчный!I:I,"ERR",0)))</f>
        <v>коричневый</v>
      </c>
      <c r="J139" s="81" t="str">
        <f ca="1">SUBSTITUTE(LOWER(TRIM(_xlfn.XLOOKUP($A139,Строчный!$A:$A,Строчный!J:J,"ERR",0))),"подклад","Подклад")</f>
        <v>100% шерсть</v>
      </c>
      <c r="K139" s="81" t="str">
        <f ca="1">LOWER(TRIM(_xlfn.XLOOKUP($A139,Строчный!$A:$A,Строчный!K:K,"ERR",0)))</f>
        <v>фетровые</v>
      </c>
      <c r="L139" s="81" t="str">
        <f ca="1">PROPER(TRIM(_xlfn.XLOOKUP($A139,Строчный!$A:$A,Строчный!L:L,"ERR",0)))</f>
        <v>Унисекс</v>
      </c>
      <c r="M139" s="113" t="str">
        <f ca="1">PROPER(TRIM(_xlfn.XLOOKUP($A139,Строчный!$A:$A,Строчный!M:M,"ERR",0)))</f>
        <v>Китай</v>
      </c>
      <c r="N139" s="81" t="str">
        <f ca="1">UPPER(TRIM(_xlfn.XLOOKUP($A139,Строчный!$A:$A,Строчный!O:O,"ERR",0)))</f>
        <v/>
      </c>
      <c r="O139" s="102" t="str">
        <f ca="1">PROPER(TRIM(_xlfn.XLOOKUP($A139,Строчный!$A:$A,Строчный!P:P,"ERR",0)))</f>
        <v/>
      </c>
      <c r="P139" s="81" t="str">
        <f ca="1">PROPER(TRIM(_xlfn.XLOOKUP($A139,Строчный!$A:$A,Строчный!R:R,"ERR",0)))</f>
        <v/>
      </c>
      <c r="Q139" s="90">
        <f ca="1">VALUE(_xlfn.XLOOKUP($A139,Строчный!$A:$A,Строчный!N:N,"ERR",0))</f>
        <v>1340.1000000000001</v>
      </c>
      <c r="R139" s="89" t="str">
        <f ca="1">_xlfn.XLOOKUP($G139,Фабрика!A:A,Фабрика!B:B,"ERR",0)</f>
        <v>Chapellerie Herman S.A.; Rue Jean Meunier, 6, 6922 Wellin, Belgium</v>
      </c>
      <c r="S139" s="80" t="str">
        <f ca="1">_xlfn.XLOOKUP(RIGHT(AA139,2),Размеры!D:D,Размеры!A:A,"ERR",0)</f>
        <v>59</v>
      </c>
      <c r="T139" s="80">
        <f ca="1">VALUE(_xlfn.XLOOKUP($AA139,Строчный!$S:$S,Строчный!U:U,"ERR",0))</f>
        <v>20</v>
      </c>
      <c r="U139" s="14" t="s">
        <v>265</v>
      </c>
      <c r="V139" s="101" t="str">
        <f t="shared" ca="1" si="13"/>
        <v>Шляпа HERMAN арт. MAC CARTHY (коричневый)</v>
      </c>
      <c r="W139" s="100" t="str">
        <f t="shared" ca="1" si="14"/>
        <v>Шляпа HERMAN арт. MAC CARTHY (коричневый) {brown}</v>
      </c>
      <c r="X139" s="18" t="str">
        <f t="shared" ca="1" si="15"/>
        <v>коричневый</v>
      </c>
      <c r="Y139" s="18" t="str">
        <f t="shared" ca="1" si="16"/>
        <v>коричневый</v>
      </c>
      <c r="Z139" s="117" t="str">
        <f ca="1">_xlfn.LET(_xlpm.FormColors,_xlfn.XLOOKUP(A139,Строчный!A:A,Строчный!Q:Q,"",0),IF(_xlpm.FormColors=0,IFERROR(MID(I139,FIND("-",I139)+1,LEN(I139)),IFERROR(MID(I139,1,FIND("/",I139)-2),I139)),_xlpm.FormColors))</f>
        <v>коричневый</v>
      </c>
      <c r="AA139" s="73" t="str">
        <f ca="1"/>
        <v>81-004-14-59</v>
      </c>
      <c r="AB139" s="75" t="str">
        <f ca="1">VLOOKUP(C139,Группа!A:B,2,FALSE)</f>
        <v>Шляпа</v>
      </c>
      <c r="AC139" s="97" t="str">
        <f ca="1">IFERROR(VLOOKUP(S139,Размеры!A:C,3,FALSE),"")</f>
        <v>59 L</v>
      </c>
      <c r="AD139" s="97" t="str">
        <f ca="1">VLOOKUP(I139,ЦветПолный!A:B,2,FALSE)</f>
        <v>14</v>
      </c>
      <c r="AE139" s="97" t="str">
        <f ca="1">IFERROR(VLOOKUP(S139,Размеры!A:D,4,FALSE),"")</f>
        <v>59</v>
      </c>
      <c r="AF139" s="97">
        <f ca="1">IF(LEFT(IFERROR(VLOOKUP(LOOKUP(2,1/SEARCH(B139,Товары!A:A),Товары!A:A),Товары!A:B,2,0),""),6)=MID(AA139,1,6),1,0)</f>
        <v>1</v>
      </c>
      <c r="AH139" s="97">
        <f ca="1">SUMIF(Группа!A:A,C139,Группа!C:C)</f>
        <v>1</v>
      </c>
      <c r="AI139" s="97">
        <f ca="1">SUMIF(Группа!B:B,AB139,Группа!C:C)</f>
        <v>1</v>
      </c>
      <c r="AJ139" s="97">
        <f ca="1">SUMIF(Формы!A:A,D139,Формы!B:B)</f>
        <v>1</v>
      </c>
      <c r="AK139" s="97">
        <f ca="1">SUMIF(Материал!A:A,K139,Материал!B:B)</f>
        <v>1</v>
      </c>
      <c r="AL139" s="97">
        <f ca="1">SUMIF(Размеры!A:A,S139,Размеры!E:E)</f>
        <v>1</v>
      </c>
      <c r="AM139" s="97">
        <f ca="1">SUMIF(Сезон!A:A,F139,Сезон!B:B)</f>
        <v>1</v>
      </c>
      <c r="AN139" s="97">
        <f ca="1">SUMIF(Состав!A:A,J139,Состав!B:B)</f>
        <v>1</v>
      </c>
      <c r="AO139" s="97">
        <f ca="1">VLOOKUP(I139,ЦветПолный!A:C,3,0)</f>
        <v>1</v>
      </c>
      <c r="AP139" s="97">
        <f ca="1">SUMIF(Цвет!A:A,Z139,Цвет!B:B)</f>
        <v>1</v>
      </c>
      <c r="AQ139" s="97">
        <f ca="1">_xlfn.XLOOKUP(L139,Пол!A:A,Пол!B:B,0,0)</f>
        <v>1</v>
      </c>
      <c r="AR139" s="97">
        <f ca="1">SUMIF(Бренд!A:A,G139,Бренд!B:B)</f>
        <v>1</v>
      </c>
      <c r="AS139" s="97">
        <f ca="1">SUMIF(Страна!A:A,M139,Страна!B:B)</f>
        <v>1</v>
      </c>
      <c r="AT139" s="64" t="str">
        <f ca="1">IF(VLOOKUP(W139,Товары!A:B,2,FALSE)=A139,"Есть в 1С","ERR")</f>
        <v>Есть в 1С</v>
      </c>
      <c r="AU139" s="65" t="str">
        <f ca="1">IF(VLOOKUP(A139,Товары!B:B,1,FALSE)=A139,"Есть в 1С","ERR")</f>
        <v>Есть в 1С</v>
      </c>
      <c r="AV139" s="96" t="str">
        <f ca="1">VLOOKUP(W139,Товары!A:B,2,FALSE)</f>
        <v>81-004-14</v>
      </c>
      <c r="AW139" s="94" t="str">
        <f ca="1">VLOOKUP(W139,Товары!A:B,1,FALSE)</f>
        <v>Шляпа HERMAN арт. MAC CARTHY (коричневый) {brown}</v>
      </c>
    </row>
    <row r="140" spans="1:49" x14ac:dyDescent="0.25">
      <c r="A140" s="110" t="str">
        <f t="shared" ca="1" si="12"/>
        <v>81-004-14</v>
      </c>
      <c r="B140" s="107" t="str">
        <f ca="1">_xlfn.LET(_xlpm.CAPS,0,_xlpm.Style,TRIM(_xlfn.XLOOKUP($A140,Строчный!$A:$A,Строчный!B:B,"ERR",0)),IF(_xlpm.CAPS=0,_xlpm.Style,UPPER(_xlpm.Style)))</f>
        <v>MAC CARTHY</v>
      </c>
      <c r="C140" s="81" t="str">
        <f ca="1">TRIM(PROPER(_xlfn.XLOOKUP($A140,Строчный!$A:$A,Строчный!C:C,"ERR",0)))</f>
        <v>Шляпы</v>
      </c>
      <c r="D140" s="81" t="str">
        <f ca="1">_xlfn.LET(_xlpm.DATA,TRIM(_xlfn.XLOOKUP($A140,Строчный!$A:$A,Строчный!D:D,"ERR",0)),UPPER(MID(_xlpm.DATA,1,1))&amp;LOWER(MID(_xlpm.DATA,2,LEN(_xlpm.DATA)-1)))</f>
        <v>Шляпа федора</v>
      </c>
      <c r="E140" s="81" t="str">
        <f ca="1">PROPER(TRIM(_xlfn.XLOOKUP($A140,Строчный!$A:$A,Строчный!E:E,"ERR",0)))</f>
        <v>Herman</v>
      </c>
      <c r="F140" s="81" t="str">
        <f ca="1">LOWER(TRIM(_xlfn.XLOOKUP($A140,Строчный!$A:$A,Строчный!F:F,"ERR",0)))</f>
        <v>всесезон</v>
      </c>
      <c r="G140" s="81" t="str">
        <f ca="1">UPPER(TRIM(_xlfn.XLOOKUP($A140,Строчный!$A:$A,Строчный!G:G,"ERR",0)))</f>
        <v>HERMAN</v>
      </c>
      <c r="H140" s="81" t="str">
        <f ca="1">LOWER(TRIM(_xlfn.XLOOKUP($A140,Строчный!$A:$A,Строчный!H:H,"ERR",0)))</f>
        <v>brown</v>
      </c>
      <c r="I140" s="81" t="str">
        <f ca="1">LOWER(TRIM(_xlfn.XLOOKUP($A140,Строчный!$A:$A,Строчный!I:I,"ERR",0)))</f>
        <v>коричневый</v>
      </c>
      <c r="J140" s="81" t="str">
        <f ca="1">SUBSTITUTE(LOWER(TRIM(_xlfn.XLOOKUP($A140,Строчный!$A:$A,Строчный!J:J,"ERR",0))),"подклад","Подклад")</f>
        <v>100% шерсть</v>
      </c>
      <c r="K140" s="81" t="str">
        <f ca="1">LOWER(TRIM(_xlfn.XLOOKUP($A140,Строчный!$A:$A,Строчный!K:K,"ERR",0)))</f>
        <v>фетровые</v>
      </c>
      <c r="L140" s="81" t="str">
        <f ca="1">PROPER(TRIM(_xlfn.XLOOKUP($A140,Строчный!$A:$A,Строчный!L:L,"ERR",0)))</f>
        <v>Унисекс</v>
      </c>
      <c r="M140" s="113" t="str">
        <f ca="1">PROPER(TRIM(_xlfn.XLOOKUP($A140,Строчный!$A:$A,Строчный!M:M,"ERR",0)))</f>
        <v>Китай</v>
      </c>
      <c r="N140" s="81" t="str">
        <f ca="1">UPPER(TRIM(_xlfn.XLOOKUP($A140,Строчный!$A:$A,Строчный!O:O,"ERR",0)))</f>
        <v/>
      </c>
      <c r="O140" s="102" t="str">
        <f ca="1">PROPER(TRIM(_xlfn.XLOOKUP($A140,Строчный!$A:$A,Строчный!P:P,"ERR",0)))</f>
        <v/>
      </c>
      <c r="P140" s="81" t="str">
        <f ca="1">PROPER(TRIM(_xlfn.XLOOKUP($A140,Строчный!$A:$A,Строчный!R:R,"ERR",0)))</f>
        <v/>
      </c>
      <c r="Q140" s="90">
        <f ca="1">VALUE(_xlfn.XLOOKUP($A140,Строчный!$A:$A,Строчный!N:N,"ERR",0))</f>
        <v>1340.1000000000001</v>
      </c>
      <c r="R140" s="89" t="str">
        <f ca="1">_xlfn.XLOOKUP($G140,Фабрика!A:A,Фабрика!B:B,"ERR",0)</f>
        <v>Chapellerie Herman S.A.; Rue Jean Meunier, 6, 6922 Wellin, Belgium</v>
      </c>
      <c r="S140" s="80" t="str">
        <f ca="1">_xlfn.XLOOKUP(RIGHT(AA140,2),Размеры!D:D,Размеры!A:A,"ERR",0)</f>
        <v>57</v>
      </c>
      <c r="T140" s="80">
        <f ca="1">VALUE(_xlfn.XLOOKUP($AA140,Строчный!$S:$S,Строчный!U:U,"ERR",0))</f>
        <v>18</v>
      </c>
      <c r="U140" s="14" t="s">
        <v>265</v>
      </c>
      <c r="V140" s="101" t="str">
        <f t="shared" ca="1" si="13"/>
        <v>Шляпа HERMAN арт. MAC CARTHY (коричневый)</v>
      </c>
      <c r="W140" s="100" t="str">
        <f t="shared" ca="1" si="14"/>
        <v>Шляпа HERMAN арт. MAC CARTHY (коричневый) {brown}</v>
      </c>
      <c r="X140" s="18" t="str">
        <f t="shared" ca="1" si="15"/>
        <v>коричневый</v>
      </c>
      <c r="Y140" s="18" t="str">
        <f t="shared" ca="1" si="16"/>
        <v>коричневый</v>
      </c>
      <c r="Z140" s="117" t="str">
        <f ca="1">_xlfn.LET(_xlpm.FormColors,_xlfn.XLOOKUP(A140,Строчный!A:A,Строчный!Q:Q,"",0),IF(_xlpm.FormColors=0,IFERROR(MID(I140,FIND("-",I140)+1,LEN(I140)),IFERROR(MID(I140,1,FIND("/",I140)-2),I140)),_xlpm.FormColors))</f>
        <v>коричневый</v>
      </c>
      <c r="AA140" s="73" t="str">
        <f ca="1"/>
        <v>81-004-14-57</v>
      </c>
      <c r="AB140" s="75" t="str">
        <f ca="1">VLOOKUP(C140,Группа!A:B,2,FALSE)</f>
        <v>Шляпа</v>
      </c>
      <c r="AC140" s="97" t="str">
        <f ca="1">IFERROR(VLOOKUP(S140,Размеры!A:C,3,FALSE),"")</f>
        <v>57 M</v>
      </c>
      <c r="AD140" s="97" t="str">
        <f ca="1">VLOOKUP(I140,ЦветПолный!A:B,2,FALSE)</f>
        <v>14</v>
      </c>
      <c r="AE140" s="97" t="str">
        <f ca="1">IFERROR(VLOOKUP(S140,Размеры!A:D,4,FALSE),"")</f>
        <v>57</v>
      </c>
      <c r="AF140" s="97">
        <f ca="1">IF(LEFT(IFERROR(VLOOKUP(LOOKUP(2,1/SEARCH(B140,Товары!A:A),Товары!A:A),Товары!A:B,2,0),""),6)=MID(AA140,1,6),1,0)</f>
        <v>1</v>
      </c>
      <c r="AH140" s="97">
        <f ca="1">SUMIF(Группа!A:A,C140,Группа!C:C)</f>
        <v>1</v>
      </c>
      <c r="AI140" s="97">
        <f ca="1">SUMIF(Группа!B:B,AB140,Группа!C:C)</f>
        <v>1</v>
      </c>
      <c r="AJ140" s="97">
        <f ca="1">SUMIF(Формы!A:A,D140,Формы!B:B)</f>
        <v>1</v>
      </c>
      <c r="AK140" s="97">
        <f ca="1">SUMIF(Материал!A:A,K140,Материал!B:B)</f>
        <v>1</v>
      </c>
      <c r="AL140" s="97">
        <f ca="1">SUMIF(Размеры!A:A,S140,Размеры!E:E)</f>
        <v>1</v>
      </c>
      <c r="AM140" s="97">
        <f ca="1">SUMIF(Сезон!A:A,F140,Сезон!B:B)</f>
        <v>1</v>
      </c>
      <c r="AN140" s="97">
        <f ca="1">SUMIF(Состав!A:A,J140,Состав!B:B)</f>
        <v>1</v>
      </c>
      <c r="AO140" s="97">
        <f ca="1">VLOOKUP(I140,ЦветПолный!A:C,3,0)</f>
        <v>1</v>
      </c>
      <c r="AP140" s="97">
        <f ca="1">SUMIF(Цвет!A:A,Z140,Цвет!B:B)</f>
        <v>1</v>
      </c>
      <c r="AQ140" s="97">
        <f ca="1">_xlfn.XLOOKUP(L140,Пол!A:A,Пол!B:B,0,0)</f>
        <v>1</v>
      </c>
      <c r="AR140" s="97">
        <f ca="1">SUMIF(Бренд!A:A,G140,Бренд!B:B)</f>
        <v>1</v>
      </c>
      <c r="AS140" s="97">
        <f ca="1">SUMIF(Страна!A:A,M140,Страна!B:B)</f>
        <v>1</v>
      </c>
      <c r="AT140" s="64" t="str">
        <f ca="1">IF(VLOOKUP(W140,Товары!A:B,2,FALSE)=A140,"Есть в 1С","ERR")</f>
        <v>Есть в 1С</v>
      </c>
      <c r="AU140" s="65" t="str">
        <f ca="1">IF(VLOOKUP(A140,Товары!B:B,1,FALSE)=A140,"Есть в 1С","ERR")</f>
        <v>Есть в 1С</v>
      </c>
      <c r="AV140" s="96" t="str">
        <f ca="1">VLOOKUP(W140,Товары!A:B,2,FALSE)</f>
        <v>81-004-14</v>
      </c>
      <c r="AW140" s="94" t="str">
        <f ca="1">VLOOKUP(W140,Товары!A:B,1,FALSE)</f>
        <v>Шляпа HERMAN арт. MAC CARTHY (коричневый) {brown}</v>
      </c>
    </row>
    <row r="141" spans="1:49" x14ac:dyDescent="0.25">
      <c r="A141" s="110" t="str">
        <f t="shared" ca="1" si="12"/>
        <v>81-004-14</v>
      </c>
      <c r="B141" s="107" t="str">
        <f ca="1">_xlfn.LET(_xlpm.CAPS,0,_xlpm.Style,TRIM(_xlfn.XLOOKUP($A141,Строчный!$A:$A,Строчный!B:B,"ERR",0)),IF(_xlpm.CAPS=0,_xlpm.Style,UPPER(_xlpm.Style)))</f>
        <v>MAC CARTHY</v>
      </c>
      <c r="C141" s="81" t="str">
        <f ca="1">TRIM(PROPER(_xlfn.XLOOKUP($A141,Строчный!$A:$A,Строчный!C:C,"ERR",0)))</f>
        <v>Шляпы</v>
      </c>
      <c r="D141" s="81" t="str">
        <f ca="1">_xlfn.LET(_xlpm.DATA,TRIM(_xlfn.XLOOKUP($A141,Строчный!$A:$A,Строчный!D:D,"ERR",0)),UPPER(MID(_xlpm.DATA,1,1))&amp;LOWER(MID(_xlpm.DATA,2,LEN(_xlpm.DATA)-1)))</f>
        <v>Шляпа федора</v>
      </c>
      <c r="E141" s="81" t="str">
        <f ca="1">PROPER(TRIM(_xlfn.XLOOKUP($A141,Строчный!$A:$A,Строчный!E:E,"ERR",0)))</f>
        <v>Herman</v>
      </c>
      <c r="F141" s="81" t="str">
        <f ca="1">LOWER(TRIM(_xlfn.XLOOKUP($A141,Строчный!$A:$A,Строчный!F:F,"ERR",0)))</f>
        <v>всесезон</v>
      </c>
      <c r="G141" s="81" t="str">
        <f ca="1">UPPER(TRIM(_xlfn.XLOOKUP($A141,Строчный!$A:$A,Строчный!G:G,"ERR",0)))</f>
        <v>HERMAN</v>
      </c>
      <c r="H141" s="81" t="str">
        <f ca="1">LOWER(TRIM(_xlfn.XLOOKUP($A141,Строчный!$A:$A,Строчный!H:H,"ERR",0)))</f>
        <v>brown</v>
      </c>
      <c r="I141" s="81" t="str">
        <f ca="1">LOWER(TRIM(_xlfn.XLOOKUP($A141,Строчный!$A:$A,Строчный!I:I,"ERR",0)))</f>
        <v>коричневый</v>
      </c>
      <c r="J141" s="81" t="str">
        <f ca="1">SUBSTITUTE(LOWER(TRIM(_xlfn.XLOOKUP($A141,Строчный!$A:$A,Строчный!J:J,"ERR",0))),"подклад","Подклад")</f>
        <v>100% шерсть</v>
      </c>
      <c r="K141" s="81" t="str">
        <f ca="1">LOWER(TRIM(_xlfn.XLOOKUP($A141,Строчный!$A:$A,Строчный!K:K,"ERR",0)))</f>
        <v>фетровые</v>
      </c>
      <c r="L141" s="81" t="str">
        <f ca="1">PROPER(TRIM(_xlfn.XLOOKUP($A141,Строчный!$A:$A,Строчный!L:L,"ERR",0)))</f>
        <v>Унисекс</v>
      </c>
      <c r="M141" s="113" t="str">
        <f ca="1">PROPER(TRIM(_xlfn.XLOOKUP($A141,Строчный!$A:$A,Строчный!M:M,"ERR",0)))</f>
        <v>Китай</v>
      </c>
      <c r="N141" s="81" t="str">
        <f ca="1">UPPER(TRIM(_xlfn.XLOOKUP($A141,Строчный!$A:$A,Строчный!O:O,"ERR",0)))</f>
        <v/>
      </c>
      <c r="O141" s="102" t="str">
        <f ca="1">PROPER(TRIM(_xlfn.XLOOKUP($A141,Строчный!$A:$A,Строчный!P:P,"ERR",0)))</f>
        <v/>
      </c>
      <c r="P141" s="81" t="str">
        <f ca="1">PROPER(TRIM(_xlfn.XLOOKUP($A141,Строчный!$A:$A,Строчный!R:R,"ERR",0)))</f>
        <v/>
      </c>
      <c r="Q141" s="90">
        <f ca="1">VALUE(_xlfn.XLOOKUP($A141,Строчный!$A:$A,Строчный!N:N,"ERR",0))</f>
        <v>1340.1000000000001</v>
      </c>
      <c r="R141" s="89" t="str">
        <f ca="1">_xlfn.XLOOKUP($G141,Фабрика!A:A,Фабрика!B:B,"ERR",0)</f>
        <v>Chapellerie Herman S.A.; Rue Jean Meunier, 6, 6922 Wellin, Belgium</v>
      </c>
      <c r="S141" s="80" t="str">
        <f ca="1">_xlfn.XLOOKUP(RIGHT(AA141,2),Размеры!D:D,Размеры!A:A,"ERR",0)</f>
        <v>55</v>
      </c>
      <c r="T141" s="80">
        <f ca="1">VALUE(_xlfn.XLOOKUP($AA141,Строчный!$S:$S,Строчный!U:U,"ERR",0))</f>
        <v>7</v>
      </c>
      <c r="U141" s="14" t="s">
        <v>265</v>
      </c>
      <c r="V141" s="101" t="str">
        <f t="shared" ca="1" si="13"/>
        <v>Шляпа HERMAN арт. MAC CARTHY (коричневый)</v>
      </c>
      <c r="W141" s="100" t="str">
        <f t="shared" ca="1" si="14"/>
        <v>Шляпа HERMAN арт. MAC CARTHY (коричневый) {brown}</v>
      </c>
      <c r="X141" s="18" t="str">
        <f t="shared" ca="1" si="15"/>
        <v>коричневый</v>
      </c>
      <c r="Y141" s="18" t="str">
        <f t="shared" ca="1" si="16"/>
        <v>коричневый</v>
      </c>
      <c r="Z141" s="117" t="str">
        <f ca="1">_xlfn.LET(_xlpm.FormColors,_xlfn.XLOOKUP(A141,Строчный!A:A,Строчный!Q:Q,"",0),IF(_xlpm.FormColors=0,IFERROR(MID(I141,FIND("-",I141)+1,LEN(I141)),IFERROR(MID(I141,1,FIND("/",I141)-2),I141)),_xlpm.FormColors))</f>
        <v>коричневый</v>
      </c>
      <c r="AA141" s="73" t="str">
        <f ca="1"/>
        <v>81-004-14-55</v>
      </c>
      <c r="AB141" s="75" t="str">
        <f ca="1">VLOOKUP(C141,Группа!A:B,2,FALSE)</f>
        <v>Шляпа</v>
      </c>
      <c r="AC141" s="97" t="str">
        <f ca="1">IFERROR(VLOOKUP(S141,Размеры!A:C,3,FALSE),"")</f>
        <v>55 S</v>
      </c>
      <c r="AD141" s="97" t="str">
        <f ca="1">VLOOKUP(I141,ЦветПолный!A:B,2,FALSE)</f>
        <v>14</v>
      </c>
      <c r="AE141" s="97" t="str">
        <f ca="1">IFERROR(VLOOKUP(S141,Размеры!A:D,4,FALSE),"")</f>
        <v>55</v>
      </c>
      <c r="AF141" s="97">
        <f ca="1">IF(LEFT(IFERROR(VLOOKUP(LOOKUP(2,1/SEARCH(B141,Товары!A:A),Товары!A:A),Товары!A:B,2,0),""),6)=MID(AA141,1,6),1,0)</f>
        <v>1</v>
      </c>
      <c r="AH141" s="97">
        <f ca="1">SUMIF(Группа!A:A,C141,Группа!C:C)</f>
        <v>1</v>
      </c>
      <c r="AI141" s="97">
        <f ca="1">SUMIF(Группа!B:B,AB141,Группа!C:C)</f>
        <v>1</v>
      </c>
      <c r="AJ141" s="97">
        <f ca="1">SUMIF(Формы!A:A,D141,Формы!B:B)</f>
        <v>1</v>
      </c>
      <c r="AK141" s="97">
        <f ca="1">SUMIF(Материал!A:A,K141,Материал!B:B)</f>
        <v>1</v>
      </c>
      <c r="AL141" s="97">
        <f ca="1">SUMIF(Размеры!A:A,S141,Размеры!E:E)</f>
        <v>1</v>
      </c>
      <c r="AM141" s="97">
        <f ca="1">SUMIF(Сезон!A:A,F141,Сезон!B:B)</f>
        <v>1</v>
      </c>
      <c r="AN141" s="97">
        <f ca="1">SUMIF(Состав!A:A,J141,Состав!B:B)</f>
        <v>1</v>
      </c>
      <c r="AO141" s="97">
        <f ca="1">VLOOKUP(I141,ЦветПолный!A:C,3,0)</f>
        <v>1</v>
      </c>
      <c r="AP141" s="97">
        <f ca="1">SUMIF(Цвет!A:A,Z141,Цвет!B:B)</f>
        <v>1</v>
      </c>
      <c r="AQ141" s="97">
        <f ca="1">_xlfn.XLOOKUP(L141,Пол!A:A,Пол!B:B,0,0)</f>
        <v>1</v>
      </c>
      <c r="AR141" s="97">
        <f ca="1">SUMIF(Бренд!A:A,G141,Бренд!B:B)</f>
        <v>1</v>
      </c>
      <c r="AS141" s="97">
        <f ca="1">SUMIF(Страна!A:A,M141,Страна!B:B)</f>
        <v>1</v>
      </c>
      <c r="AT141" s="64" t="str">
        <f ca="1">IF(VLOOKUP(W141,Товары!A:B,2,FALSE)=A141,"Есть в 1С","ERR")</f>
        <v>Есть в 1С</v>
      </c>
      <c r="AU141" s="65" t="str">
        <f ca="1">IF(VLOOKUP(A141,Товары!B:B,1,FALSE)=A141,"Есть в 1С","ERR")</f>
        <v>Есть в 1С</v>
      </c>
      <c r="AV141" s="96" t="str">
        <f ca="1">VLOOKUP(W141,Товары!A:B,2,FALSE)</f>
        <v>81-004-14</v>
      </c>
      <c r="AW141" s="94" t="str">
        <f ca="1">VLOOKUP(W141,Товары!A:B,1,FALSE)</f>
        <v>Шляпа HERMAN арт. MAC CARTHY (коричневый) {brown}</v>
      </c>
    </row>
    <row r="142" spans="1:49" x14ac:dyDescent="0.25">
      <c r="A142" s="110" t="str">
        <f t="shared" ca="1" si="12"/>
        <v>81-004-09</v>
      </c>
      <c r="B142" s="107" t="str">
        <f ca="1">_xlfn.LET(_xlpm.CAPS,0,_xlpm.Style,TRIM(_xlfn.XLOOKUP($A142,Строчный!$A:$A,Строчный!B:B,"ERR",0)),IF(_xlpm.CAPS=0,_xlpm.Style,UPPER(_xlpm.Style)))</f>
        <v>MAC CARTHY</v>
      </c>
      <c r="C142" s="81" t="str">
        <f ca="1">TRIM(PROPER(_xlfn.XLOOKUP($A142,Строчный!$A:$A,Строчный!C:C,"ERR",0)))</f>
        <v>Шляпы</v>
      </c>
      <c r="D142" s="81" t="str">
        <f ca="1">_xlfn.LET(_xlpm.DATA,TRIM(_xlfn.XLOOKUP($A142,Строчный!$A:$A,Строчный!D:D,"ERR",0)),UPPER(MID(_xlpm.DATA,1,1))&amp;LOWER(MID(_xlpm.DATA,2,LEN(_xlpm.DATA)-1)))</f>
        <v>Шляпа федора</v>
      </c>
      <c r="E142" s="81" t="str">
        <f ca="1">PROPER(TRIM(_xlfn.XLOOKUP($A142,Строчный!$A:$A,Строчный!E:E,"ERR",0)))</f>
        <v>Herman</v>
      </c>
      <c r="F142" s="81" t="str">
        <f ca="1">LOWER(TRIM(_xlfn.XLOOKUP($A142,Строчный!$A:$A,Строчный!F:F,"ERR",0)))</f>
        <v>всесезон</v>
      </c>
      <c r="G142" s="81" t="str">
        <f ca="1">UPPER(TRIM(_xlfn.XLOOKUP($A142,Строчный!$A:$A,Строчный!G:G,"ERR",0)))</f>
        <v>HERMAN</v>
      </c>
      <c r="H142" s="81" t="str">
        <f ca="1">LOWER(TRIM(_xlfn.XLOOKUP($A142,Строчный!$A:$A,Строчный!H:H,"ERR",0)))</f>
        <v>black</v>
      </c>
      <c r="I142" s="81" t="str">
        <f ca="1">LOWER(TRIM(_xlfn.XLOOKUP($A142,Строчный!$A:$A,Строчный!I:I,"ERR",0)))</f>
        <v>черный</v>
      </c>
      <c r="J142" s="81" t="str">
        <f ca="1">SUBSTITUTE(LOWER(TRIM(_xlfn.XLOOKUP($A142,Строчный!$A:$A,Строчный!J:J,"ERR",0))),"подклад","Подклад")</f>
        <v>100% шерсть</v>
      </c>
      <c r="K142" s="81" t="str">
        <f ca="1">LOWER(TRIM(_xlfn.XLOOKUP($A142,Строчный!$A:$A,Строчный!K:K,"ERR",0)))</f>
        <v>фетровые</v>
      </c>
      <c r="L142" s="81" t="str">
        <f ca="1">PROPER(TRIM(_xlfn.XLOOKUP($A142,Строчный!$A:$A,Строчный!L:L,"ERR",0)))</f>
        <v>Унисекс</v>
      </c>
      <c r="M142" s="113" t="str">
        <f ca="1">PROPER(TRIM(_xlfn.XLOOKUP($A142,Строчный!$A:$A,Строчный!M:M,"ERR",0)))</f>
        <v>Китай</v>
      </c>
      <c r="N142" s="81" t="str">
        <f ca="1">UPPER(TRIM(_xlfn.XLOOKUP($A142,Строчный!$A:$A,Строчный!O:O,"ERR",0)))</f>
        <v/>
      </c>
      <c r="O142" s="102" t="str">
        <f ca="1">PROPER(TRIM(_xlfn.XLOOKUP($A142,Строчный!$A:$A,Строчный!P:P,"ERR",0)))</f>
        <v/>
      </c>
      <c r="P142" s="81" t="str">
        <f ca="1">PROPER(TRIM(_xlfn.XLOOKUP($A142,Строчный!$A:$A,Строчный!R:R,"ERR",0)))</f>
        <v/>
      </c>
      <c r="Q142" s="90">
        <f ca="1">VALUE(_xlfn.XLOOKUP($A142,Строчный!$A:$A,Строчный!N:N,"ERR",0))</f>
        <v>1340.1000000000001</v>
      </c>
      <c r="R142" s="89" t="str">
        <f ca="1">_xlfn.XLOOKUP($G142,Фабрика!A:A,Фабрика!B:B,"ERR",0)</f>
        <v>Chapellerie Herman S.A.; Rue Jean Meunier, 6, 6922 Wellin, Belgium</v>
      </c>
      <c r="S142" s="80" t="str">
        <f ca="1">_xlfn.XLOOKUP(RIGHT(AA142,2),Размеры!D:D,Размеры!A:A,"ERR",0)</f>
        <v>61</v>
      </c>
      <c r="T142" s="80">
        <f ca="1">VALUE(_xlfn.XLOOKUP($AA142,Строчный!$S:$S,Строчный!U:U,"ERR",0))</f>
        <v>25</v>
      </c>
      <c r="U142" s="14" t="s">
        <v>265</v>
      </c>
      <c r="V142" s="101" t="str">
        <f t="shared" ca="1" si="13"/>
        <v>Шляпа HERMAN арт. MAC CARTHY (черный)</v>
      </c>
      <c r="W142" s="100" t="str">
        <f t="shared" ca="1" si="14"/>
        <v>Шляпа HERMAN арт. MAC CARTHY (черный) {black}</v>
      </c>
      <c r="X142" s="18" t="str">
        <f t="shared" ca="1" si="15"/>
        <v>черный</v>
      </c>
      <c r="Y142" s="18" t="str">
        <f t="shared" ca="1" si="16"/>
        <v>черный</v>
      </c>
      <c r="Z142" s="117" t="str">
        <f ca="1">_xlfn.LET(_xlpm.FormColors,_xlfn.XLOOKUP(A142,Строчный!A:A,Строчный!Q:Q,"",0),IF(_xlpm.FormColors=0,IFERROR(MID(I142,FIND("-",I142)+1,LEN(I142)),IFERROR(MID(I142,1,FIND("/",I142)-2),I142)),_xlpm.FormColors))</f>
        <v>черный</v>
      </c>
      <c r="AA142" s="73" t="str">
        <f ca="1"/>
        <v>81-004-09-61</v>
      </c>
      <c r="AB142" s="75" t="str">
        <f ca="1">VLOOKUP(C142,Группа!A:B,2,FALSE)</f>
        <v>Шляпа</v>
      </c>
      <c r="AC142" s="97" t="str">
        <f ca="1">IFERROR(VLOOKUP(S142,Размеры!A:C,3,FALSE),"")</f>
        <v>61 XL</v>
      </c>
      <c r="AD142" s="97" t="str">
        <f ca="1">VLOOKUP(I142,ЦветПолный!A:B,2,FALSE)</f>
        <v>09</v>
      </c>
      <c r="AE142" s="97" t="str">
        <f ca="1">IFERROR(VLOOKUP(S142,Размеры!A:D,4,FALSE),"")</f>
        <v>61</v>
      </c>
      <c r="AF142" s="97">
        <f ca="1">IF(LEFT(IFERROR(VLOOKUP(LOOKUP(2,1/SEARCH(B142,Товары!A:A),Товары!A:A),Товары!A:B,2,0),""),6)=MID(AA142,1,6),1,0)</f>
        <v>1</v>
      </c>
      <c r="AH142" s="97">
        <f ca="1">SUMIF(Группа!A:A,C142,Группа!C:C)</f>
        <v>1</v>
      </c>
      <c r="AI142" s="97">
        <f ca="1">SUMIF(Группа!B:B,AB142,Группа!C:C)</f>
        <v>1</v>
      </c>
      <c r="AJ142" s="97">
        <f ca="1">SUMIF(Формы!A:A,D142,Формы!B:B)</f>
        <v>1</v>
      </c>
      <c r="AK142" s="97">
        <f ca="1">SUMIF(Материал!A:A,K142,Материал!B:B)</f>
        <v>1</v>
      </c>
      <c r="AL142" s="97">
        <f ca="1">SUMIF(Размеры!A:A,S142,Размеры!E:E)</f>
        <v>1</v>
      </c>
      <c r="AM142" s="97">
        <f ca="1">SUMIF(Сезон!A:A,F142,Сезон!B:B)</f>
        <v>1</v>
      </c>
      <c r="AN142" s="97">
        <f ca="1">SUMIF(Состав!A:A,J142,Состав!B:B)</f>
        <v>1</v>
      </c>
      <c r="AO142" s="97">
        <f ca="1">VLOOKUP(I142,ЦветПолный!A:C,3,0)</f>
        <v>1</v>
      </c>
      <c r="AP142" s="97">
        <f ca="1">SUMIF(Цвет!A:A,Z142,Цвет!B:B)</f>
        <v>1</v>
      </c>
      <c r="AQ142" s="97">
        <f ca="1">_xlfn.XLOOKUP(L142,Пол!A:A,Пол!B:B,0,0)</f>
        <v>1</v>
      </c>
      <c r="AR142" s="97">
        <f ca="1">SUMIF(Бренд!A:A,G142,Бренд!B:B)</f>
        <v>1</v>
      </c>
      <c r="AS142" s="97">
        <f ca="1">SUMIF(Страна!A:A,M142,Страна!B:B)</f>
        <v>1</v>
      </c>
      <c r="AT142" s="64" t="str">
        <f ca="1">IF(VLOOKUP(W142,Товары!A:B,2,FALSE)=A142,"Есть в 1С","ERR")</f>
        <v>Есть в 1С</v>
      </c>
      <c r="AU142" s="65" t="str">
        <f ca="1">IF(VLOOKUP(A142,Товары!B:B,1,FALSE)=A142,"Есть в 1С","ERR")</f>
        <v>Есть в 1С</v>
      </c>
      <c r="AV142" s="96" t="str">
        <f ca="1">VLOOKUP(W142,Товары!A:B,2,FALSE)</f>
        <v>81-004-09</v>
      </c>
      <c r="AW142" s="94" t="str">
        <f ca="1">VLOOKUP(W142,Товары!A:B,1,FALSE)</f>
        <v>Шляпа HERMAN арт. MAC CARTHY (черный) {black}</v>
      </c>
    </row>
    <row r="143" spans="1:49" x14ac:dyDescent="0.25">
      <c r="A143" s="110" t="str">
        <f t="shared" ca="1" si="12"/>
        <v>81-004-09</v>
      </c>
      <c r="B143" s="107" t="str">
        <f ca="1">_xlfn.LET(_xlpm.CAPS,0,_xlpm.Style,TRIM(_xlfn.XLOOKUP($A143,Строчный!$A:$A,Строчный!B:B,"ERR",0)),IF(_xlpm.CAPS=0,_xlpm.Style,UPPER(_xlpm.Style)))</f>
        <v>MAC CARTHY</v>
      </c>
      <c r="C143" s="81" t="str">
        <f ca="1">TRIM(PROPER(_xlfn.XLOOKUP($A143,Строчный!$A:$A,Строчный!C:C,"ERR",0)))</f>
        <v>Шляпы</v>
      </c>
      <c r="D143" s="81" t="str">
        <f ca="1">_xlfn.LET(_xlpm.DATA,TRIM(_xlfn.XLOOKUP($A143,Строчный!$A:$A,Строчный!D:D,"ERR",0)),UPPER(MID(_xlpm.DATA,1,1))&amp;LOWER(MID(_xlpm.DATA,2,LEN(_xlpm.DATA)-1)))</f>
        <v>Шляпа федора</v>
      </c>
      <c r="E143" s="81" t="str">
        <f ca="1">PROPER(TRIM(_xlfn.XLOOKUP($A143,Строчный!$A:$A,Строчный!E:E,"ERR",0)))</f>
        <v>Herman</v>
      </c>
      <c r="F143" s="81" t="str">
        <f ca="1">LOWER(TRIM(_xlfn.XLOOKUP($A143,Строчный!$A:$A,Строчный!F:F,"ERR",0)))</f>
        <v>всесезон</v>
      </c>
      <c r="G143" s="81" t="str">
        <f ca="1">UPPER(TRIM(_xlfn.XLOOKUP($A143,Строчный!$A:$A,Строчный!G:G,"ERR",0)))</f>
        <v>HERMAN</v>
      </c>
      <c r="H143" s="81" t="str">
        <f ca="1">LOWER(TRIM(_xlfn.XLOOKUP($A143,Строчный!$A:$A,Строчный!H:H,"ERR",0)))</f>
        <v>black</v>
      </c>
      <c r="I143" s="81" t="str">
        <f ca="1">LOWER(TRIM(_xlfn.XLOOKUP($A143,Строчный!$A:$A,Строчный!I:I,"ERR",0)))</f>
        <v>черный</v>
      </c>
      <c r="J143" s="81" t="str">
        <f ca="1">SUBSTITUTE(LOWER(TRIM(_xlfn.XLOOKUP($A143,Строчный!$A:$A,Строчный!J:J,"ERR",0))),"подклад","Подклад")</f>
        <v>100% шерсть</v>
      </c>
      <c r="K143" s="81" t="str">
        <f ca="1">LOWER(TRIM(_xlfn.XLOOKUP($A143,Строчный!$A:$A,Строчный!K:K,"ERR",0)))</f>
        <v>фетровые</v>
      </c>
      <c r="L143" s="81" t="str">
        <f ca="1">PROPER(TRIM(_xlfn.XLOOKUP($A143,Строчный!$A:$A,Строчный!L:L,"ERR",0)))</f>
        <v>Унисекс</v>
      </c>
      <c r="M143" s="113" t="str">
        <f ca="1">PROPER(TRIM(_xlfn.XLOOKUP($A143,Строчный!$A:$A,Строчный!M:M,"ERR",0)))</f>
        <v>Китай</v>
      </c>
      <c r="N143" s="81" t="str">
        <f ca="1">UPPER(TRIM(_xlfn.XLOOKUP($A143,Строчный!$A:$A,Строчный!O:O,"ERR",0)))</f>
        <v/>
      </c>
      <c r="O143" s="102" t="str">
        <f ca="1">PROPER(TRIM(_xlfn.XLOOKUP($A143,Строчный!$A:$A,Строчный!P:P,"ERR",0)))</f>
        <v/>
      </c>
      <c r="P143" s="81" t="str">
        <f ca="1">PROPER(TRIM(_xlfn.XLOOKUP($A143,Строчный!$A:$A,Строчный!R:R,"ERR",0)))</f>
        <v/>
      </c>
      <c r="Q143" s="90">
        <f ca="1">VALUE(_xlfn.XLOOKUP($A143,Строчный!$A:$A,Строчный!N:N,"ERR",0))</f>
        <v>1340.1000000000001</v>
      </c>
      <c r="R143" s="89" t="str">
        <f ca="1">_xlfn.XLOOKUP($G143,Фабрика!A:A,Фабрика!B:B,"ERR",0)</f>
        <v>Chapellerie Herman S.A.; Rue Jean Meunier, 6, 6922 Wellin, Belgium</v>
      </c>
      <c r="S143" s="80" t="str">
        <f ca="1">_xlfn.XLOOKUP(RIGHT(AA143,2),Размеры!D:D,Размеры!A:A,"ERR",0)</f>
        <v>59</v>
      </c>
      <c r="T143" s="80">
        <f ca="1">VALUE(_xlfn.XLOOKUP($AA143,Строчный!$S:$S,Строчный!U:U,"ERR",0))</f>
        <v>45</v>
      </c>
      <c r="U143" s="14" t="s">
        <v>265</v>
      </c>
      <c r="V143" s="101" t="str">
        <f t="shared" ca="1" si="13"/>
        <v>Шляпа HERMAN арт. MAC CARTHY (черный)</v>
      </c>
      <c r="W143" s="100" t="str">
        <f t="shared" ca="1" si="14"/>
        <v>Шляпа HERMAN арт. MAC CARTHY (черный) {black}</v>
      </c>
      <c r="X143" s="18" t="str">
        <f t="shared" ca="1" si="15"/>
        <v>черный</v>
      </c>
      <c r="Y143" s="18" t="str">
        <f t="shared" ca="1" si="16"/>
        <v>черный</v>
      </c>
      <c r="Z143" s="117" t="str">
        <f ca="1">_xlfn.LET(_xlpm.FormColors,_xlfn.XLOOKUP(A143,Строчный!A:A,Строчный!Q:Q,"",0),IF(_xlpm.FormColors=0,IFERROR(MID(I143,FIND("-",I143)+1,LEN(I143)),IFERROR(MID(I143,1,FIND("/",I143)-2),I143)),_xlpm.FormColors))</f>
        <v>черный</v>
      </c>
      <c r="AA143" s="73" t="str">
        <f ca="1"/>
        <v>81-004-09-59</v>
      </c>
      <c r="AB143" s="75" t="str">
        <f ca="1">VLOOKUP(C143,Группа!A:B,2,FALSE)</f>
        <v>Шляпа</v>
      </c>
      <c r="AC143" s="97" t="str">
        <f ca="1">IFERROR(VLOOKUP(S143,Размеры!A:C,3,FALSE),"")</f>
        <v>59 L</v>
      </c>
      <c r="AD143" s="97" t="str">
        <f ca="1">VLOOKUP(I143,ЦветПолный!A:B,2,FALSE)</f>
        <v>09</v>
      </c>
      <c r="AE143" s="97" t="str">
        <f ca="1">IFERROR(VLOOKUP(S143,Размеры!A:D,4,FALSE),"")</f>
        <v>59</v>
      </c>
      <c r="AF143" s="97">
        <f ca="1">IF(LEFT(IFERROR(VLOOKUP(LOOKUP(2,1/SEARCH(B143,Товары!A:A),Товары!A:A),Товары!A:B,2,0),""),6)=MID(AA143,1,6),1,0)</f>
        <v>1</v>
      </c>
      <c r="AH143" s="97">
        <f ca="1">SUMIF(Группа!A:A,C143,Группа!C:C)</f>
        <v>1</v>
      </c>
      <c r="AI143" s="97">
        <f ca="1">SUMIF(Группа!B:B,AB143,Группа!C:C)</f>
        <v>1</v>
      </c>
      <c r="AJ143" s="97">
        <f ca="1">SUMIF(Формы!A:A,D143,Формы!B:B)</f>
        <v>1</v>
      </c>
      <c r="AK143" s="97">
        <f ca="1">SUMIF(Материал!A:A,K143,Материал!B:B)</f>
        <v>1</v>
      </c>
      <c r="AL143" s="97">
        <f ca="1">SUMIF(Размеры!A:A,S143,Размеры!E:E)</f>
        <v>1</v>
      </c>
      <c r="AM143" s="97">
        <f ca="1">SUMIF(Сезон!A:A,F143,Сезон!B:B)</f>
        <v>1</v>
      </c>
      <c r="AN143" s="97">
        <f ca="1">SUMIF(Состав!A:A,J143,Состав!B:B)</f>
        <v>1</v>
      </c>
      <c r="AO143" s="97">
        <f ca="1">VLOOKUP(I143,ЦветПолный!A:C,3,0)</f>
        <v>1</v>
      </c>
      <c r="AP143" s="97">
        <f ca="1">SUMIF(Цвет!A:A,Z143,Цвет!B:B)</f>
        <v>1</v>
      </c>
      <c r="AQ143" s="97">
        <f ca="1">_xlfn.XLOOKUP(L143,Пол!A:A,Пол!B:B,0,0)</f>
        <v>1</v>
      </c>
      <c r="AR143" s="97">
        <f ca="1">SUMIF(Бренд!A:A,G143,Бренд!B:B)</f>
        <v>1</v>
      </c>
      <c r="AS143" s="97">
        <f ca="1">SUMIF(Страна!A:A,M143,Страна!B:B)</f>
        <v>1</v>
      </c>
      <c r="AT143" s="64" t="str">
        <f ca="1">IF(VLOOKUP(W143,Товары!A:B,2,FALSE)=A143,"Есть в 1С","ERR")</f>
        <v>Есть в 1С</v>
      </c>
      <c r="AU143" s="65" t="str">
        <f ca="1">IF(VLOOKUP(A143,Товары!B:B,1,FALSE)=A143,"Есть в 1С","ERR")</f>
        <v>Есть в 1С</v>
      </c>
      <c r="AV143" s="96" t="str">
        <f ca="1">VLOOKUP(W143,Товары!A:B,2,FALSE)</f>
        <v>81-004-09</v>
      </c>
      <c r="AW143" s="94" t="str">
        <f ca="1">VLOOKUP(W143,Товары!A:B,1,FALSE)</f>
        <v>Шляпа HERMAN арт. MAC CARTHY (черный) {black}</v>
      </c>
    </row>
    <row r="144" spans="1:49" x14ac:dyDescent="0.25">
      <c r="A144" s="110" t="str">
        <f t="shared" ca="1" si="12"/>
        <v>81-004-09</v>
      </c>
      <c r="B144" s="107" t="str">
        <f ca="1">_xlfn.LET(_xlpm.CAPS,0,_xlpm.Style,TRIM(_xlfn.XLOOKUP($A144,Строчный!$A:$A,Строчный!B:B,"ERR",0)),IF(_xlpm.CAPS=0,_xlpm.Style,UPPER(_xlpm.Style)))</f>
        <v>MAC CARTHY</v>
      </c>
      <c r="C144" s="81" t="str">
        <f ca="1">TRIM(PROPER(_xlfn.XLOOKUP($A144,Строчный!$A:$A,Строчный!C:C,"ERR",0)))</f>
        <v>Шляпы</v>
      </c>
      <c r="D144" s="81" t="str">
        <f ca="1">_xlfn.LET(_xlpm.DATA,TRIM(_xlfn.XLOOKUP($A144,Строчный!$A:$A,Строчный!D:D,"ERR",0)),UPPER(MID(_xlpm.DATA,1,1))&amp;LOWER(MID(_xlpm.DATA,2,LEN(_xlpm.DATA)-1)))</f>
        <v>Шляпа федора</v>
      </c>
      <c r="E144" s="81" t="str">
        <f ca="1">PROPER(TRIM(_xlfn.XLOOKUP($A144,Строчный!$A:$A,Строчный!E:E,"ERR",0)))</f>
        <v>Herman</v>
      </c>
      <c r="F144" s="81" t="str">
        <f ca="1">LOWER(TRIM(_xlfn.XLOOKUP($A144,Строчный!$A:$A,Строчный!F:F,"ERR",0)))</f>
        <v>всесезон</v>
      </c>
      <c r="G144" s="81" t="str">
        <f ca="1">UPPER(TRIM(_xlfn.XLOOKUP($A144,Строчный!$A:$A,Строчный!G:G,"ERR",0)))</f>
        <v>HERMAN</v>
      </c>
      <c r="H144" s="81" t="str">
        <f ca="1">LOWER(TRIM(_xlfn.XLOOKUP($A144,Строчный!$A:$A,Строчный!H:H,"ERR",0)))</f>
        <v>black</v>
      </c>
      <c r="I144" s="81" t="str">
        <f ca="1">LOWER(TRIM(_xlfn.XLOOKUP($A144,Строчный!$A:$A,Строчный!I:I,"ERR",0)))</f>
        <v>черный</v>
      </c>
      <c r="J144" s="81" t="str">
        <f ca="1">SUBSTITUTE(LOWER(TRIM(_xlfn.XLOOKUP($A144,Строчный!$A:$A,Строчный!J:J,"ERR",0))),"подклад","Подклад")</f>
        <v>100% шерсть</v>
      </c>
      <c r="K144" s="81" t="str">
        <f ca="1">LOWER(TRIM(_xlfn.XLOOKUP($A144,Строчный!$A:$A,Строчный!K:K,"ERR",0)))</f>
        <v>фетровые</v>
      </c>
      <c r="L144" s="81" t="str">
        <f ca="1">PROPER(TRIM(_xlfn.XLOOKUP($A144,Строчный!$A:$A,Строчный!L:L,"ERR",0)))</f>
        <v>Унисекс</v>
      </c>
      <c r="M144" s="113" t="str">
        <f ca="1">PROPER(TRIM(_xlfn.XLOOKUP($A144,Строчный!$A:$A,Строчный!M:M,"ERR",0)))</f>
        <v>Китай</v>
      </c>
      <c r="N144" s="81" t="str">
        <f ca="1">UPPER(TRIM(_xlfn.XLOOKUP($A144,Строчный!$A:$A,Строчный!O:O,"ERR",0)))</f>
        <v/>
      </c>
      <c r="O144" s="102" t="str">
        <f ca="1">PROPER(TRIM(_xlfn.XLOOKUP($A144,Строчный!$A:$A,Строчный!P:P,"ERR",0)))</f>
        <v/>
      </c>
      <c r="P144" s="81" t="str">
        <f ca="1">PROPER(TRIM(_xlfn.XLOOKUP($A144,Строчный!$A:$A,Строчный!R:R,"ERR",0)))</f>
        <v/>
      </c>
      <c r="Q144" s="90">
        <f ca="1">VALUE(_xlfn.XLOOKUP($A144,Строчный!$A:$A,Строчный!N:N,"ERR",0))</f>
        <v>1340.1000000000001</v>
      </c>
      <c r="R144" s="89" t="str">
        <f ca="1">_xlfn.XLOOKUP($G144,Фабрика!A:A,Фабрика!B:B,"ERR",0)</f>
        <v>Chapellerie Herman S.A.; Rue Jean Meunier, 6, 6922 Wellin, Belgium</v>
      </c>
      <c r="S144" s="80" t="str">
        <f ca="1">_xlfn.XLOOKUP(RIGHT(AA144,2),Размеры!D:D,Размеры!A:A,"ERR",0)</f>
        <v>57</v>
      </c>
      <c r="T144" s="80">
        <f ca="1">VALUE(_xlfn.XLOOKUP($AA144,Строчный!$S:$S,Строчный!U:U,"ERR",0))</f>
        <v>40</v>
      </c>
      <c r="U144" s="14" t="s">
        <v>265</v>
      </c>
      <c r="V144" s="101" t="str">
        <f t="shared" ca="1" si="13"/>
        <v>Шляпа HERMAN арт. MAC CARTHY (черный)</v>
      </c>
      <c r="W144" s="100" t="str">
        <f t="shared" ca="1" si="14"/>
        <v>Шляпа HERMAN арт. MAC CARTHY (черный) {black}</v>
      </c>
      <c r="X144" s="18" t="str">
        <f t="shared" ca="1" si="15"/>
        <v>черный</v>
      </c>
      <c r="Y144" s="18" t="str">
        <f t="shared" ca="1" si="16"/>
        <v>черный</v>
      </c>
      <c r="Z144" s="117" t="str">
        <f ca="1">_xlfn.LET(_xlpm.FormColors,_xlfn.XLOOKUP(A144,Строчный!A:A,Строчный!Q:Q,"",0),IF(_xlpm.FormColors=0,IFERROR(MID(I144,FIND("-",I144)+1,LEN(I144)),IFERROR(MID(I144,1,FIND("/",I144)-2),I144)),_xlpm.FormColors))</f>
        <v>черный</v>
      </c>
      <c r="AA144" s="73" t="str">
        <f ca="1"/>
        <v>81-004-09-57</v>
      </c>
      <c r="AB144" s="75" t="str">
        <f ca="1">VLOOKUP(C144,Группа!A:B,2,FALSE)</f>
        <v>Шляпа</v>
      </c>
      <c r="AC144" s="97" t="str">
        <f ca="1">IFERROR(VLOOKUP(S144,Размеры!A:C,3,FALSE),"")</f>
        <v>57 M</v>
      </c>
      <c r="AD144" s="97" t="str">
        <f ca="1">VLOOKUP(I144,ЦветПолный!A:B,2,FALSE)</f>
        <v>09</v>
      </c>
      <c r="AE144" s="97" t="str">
        <f ca="1">IFERROR(VLOOKUP(S144,Размеры!A:D,4,FALSE),"")</f>
        <v>57</v>
      </c>
      <c r="AF144" s="97">
        <f ca="1">IF(LEFT(IFERROR(VLOOKUP(LOOKUP(2,1/SEARCH(B144,Товары!A:A),Товары!A:A),Товары!A:B,2,0),""),6)=MID(AA144,1,6),1,0)</f>
        <v>1</v>
      </c>
      <c r="AH144" s="97">
        <f ca="1">SUMIF(Группа!A:A,C144,Группа!C:C)</f>
        <v>1</v>
      </c>
      <c r="AI144" s="97">
        <f ca="1">SUMIF(Группа!B:B,AB144,Группа!C:C)</f>
        <v>1</v>
      </c>
      <c r="AJ144" s="97">
        <f ca="1">SUMIF(Формы!A:A,D144,Формы!B:B)</f>
        <v>1</v>
      </c>
      <c r="AK144" s="97">
        <f ca="1">SUMIF(Материал!A:A,K144,Материал!B:B)</f>
        <v>1</v>
      </c>
      <c r="AL144" s="97">
        <f ca="1">SUMIF(Размеры!A:A,S144,Размеры!E:E)</f>
        <v>1</v>
      </c>
      <c r="AM144" s="97">
        <f ca="1">SUMIF(Сезон!A:A,F144,Сезон!B:B)</f>
        <v>1</v>
      </c>
      <c r="AN144" s="97">
        <f ca="1">SUMIF(Состав!A:A,J144,Состав!B:B)</f>
        <v>1</v>
      </c>
      <c r="AO144" s="97">
        <f ca="1">VLOOKUP(I144,ЦветПолный!A:C,3,0)</f>
        <v>1</v>
      </c>
      <c r="AP144" s="97">
        <f ca="1">SUMIF(Цвет!A:A,Z144,Цвет!B:B)</f>
        <v>1</v>
      </c>
      <c r="AQ144" s="97">
        <f ca="1">_xlfn.XLOOKUP(L144,Пол!A:A,Пол!B:B,0,0)</f>
        <v>1</v>
      </c>
      <c r="AR144" s="97">
        <f ca="1">SUMIF(Бренд!A:A,G144,Бренд!B:B)</f>
        <v>1</v>
      </c>
      <c r="AS144" s="97">
        <f ca="1">SUMIF(Страна!A:A,M144,Страна!B:B)</f>
        <v>1</v>
      </c>
      <c r="AT144" s="64" t="str">
        <f ca="1">IF(VLOOKUP(W144,Товары!A:B,2,FALSE)=A144,"Есть в 1С","ERR")</f>
        <v>Есть в 1С</v>
      </c>
      <c r="AU144" s="65" t="str">
        <f ca="1">IF(VLOOKUP(A144,Товары!B:B,1,FALSE)=A144,"Есть в 1С","ERR")</f>
        <v>Есть в 1С</v>
      </c>
      <c r="AV144" s="96" t="str">
        <f ca="1">VLOOKUP(W144,Товары!A:B,2,FALSE)</f>
        <v>81-004-09</v>
      </c>
      <c r="AW144" s="94" t="str">
        <f ca="1">VLOOKUP(W144,Товары!A:B,1,FALSE)</f>
        <v>Шляпа HERMAN арт. MAC CARTHY (черный) {black}</v>
      </c>
    </row>
    <row r="145" spans="1:49" x14ac:dyDescent="0.25">
      <c r="A145" s="110" t="str">
        <f t="shared" ca="1" si="12"/>
        <v>81-004-09</v>
      </c>
      <c r="B145" s="107" t="str">
        <f ca="1">_xlfn.LET(_xlpm.CAPS,0,_xlpm.Style,TRIM(_xlfn.XLOOKUP($A145,Строчный!$A:$A,Строчный!B:B,"ERR",0)),IF(_xlpm.CAPS=0,_xlpm.Style,UPPER(_xlpm.Style)))</f>
        <v>MAC CARTHY</v>
      </c>
      <c r="C145" s="81" t="str">
        <f ca="1">TRIM(PROPER(_xlfn.XLOOKUP($A145,Строчный!$A:$A,Строчный!C:C,"ERR",0)))</f>
        <v>Шляпы</v>
      </c>
      <c r="D145" s="81" t="str">
        <f ca="1">_xlfn.LET(_xlpm.DATA,TRIM(_xlfn.XLOOKUP($A145,Строчный!$A:$A,Строчный!D:D,"ERR",0)),UPPER(MID(_xlpm.DATA,1,1))&amp;LOWER(MID(_xlpm.DATA,2,LEN(_xlpm.DATA)-1)))</f>
        <v>Шляпа федора</v>
      </c>
      <c r="E145" s="81" t="str">
        <f ca="1">PROPER(TRIM(_xlfn.XLOOKUP($A145,Строчный!$A:$A,Строчный!E:E,"ERR",0)))</f>
        <v>Herman</v>
      </c>
      <c r="F145" s="81" t="str">
        <f ca="1">LOWER(TRIM(_xlfn.XLOOKUP($A145,Строчный!$A:$A,Строчный!F:F,"ERR",0)))</f>
        <v>всесезон</v>
      </c>
      <c r="G145" s="81" t="str">
        <f ca="1">UPPER(TRIM(_xlfn.XLOOKUP($A145,Строчный!$A:$A,Строчный!G:G,"ERR",0)))</f>
        <v>HERMAN</v>
      </c>
      <c r="H145" s="81" t="str">
        <f ca="1">LOWER(TRIM(_xlfn.XLOOKUP($A145,Строчный!$A:$A,Строчный!H:H,"ERR",0)))</f>
        <v>black</v>
      </c>
      <c r="I145" s="81" t="str">
        <f ca="1">LOWER(TRIM(_xlfn.XLOOKUP($A145,Строчный!$A:$A,Строчный!I:I,"ERR",0)))</f>
        <v>черный</v>
      </c>
      <c r="J145" s="81" t="str">
        <f ca="1">SUBSTITUTE(LOWER(TRIM(_xlfn.XLOOKUP($A145,Строчный!$A:$A,Строчный!J:J,"ERR",0))),"подклад","Подклад")</f>
        <v>100% шерсть</v>
      </c>
      <c r="K145" s="81" t="str">
        <f ca="1">LOWER(TRIM(_xlfn.XLOOKUP($A145,Строчный!$A:$A,Строчный!K:K,"ERR",0)))</f>
        <v>фетровые</v>
      </c>
      <c r="L145" s="81" t="str">
        <f ca="1">PROPER(TRIM(_xlfn.XLOOKUP($A145,Строчный!$A:$A,Строчный!L:L,"ERR",0)))</f>
        <v>Унисекс</v>
      </c>
      <c r="M145" s="113" t="str">
        <f ca="1">PROPER(TRIM(_xlfn.XLOOKUP($A145,Строчный!$A:$A,Строчный!M:M,"ERR",0)))</f>
        <v>Китай</v>
      </c>
      <c r="N145" s="81" t="str">
        <f ca="1">UPPER(TRIM(_xlfn.XLOOKUP($A145,Строчный!$A:$A,Строчный!O:O,"ERR",0)))</f>
        <v/>
      </c>
      <c r="O145" s="102" t="str">
        <f ca="1">PROPER(TRIM(_xlfn.XLOOKUP($A145,Строчный!$A:$A,Строчный!P:P,"ERR",0)))</f>
        <v/>
      </c>
      <c r="P145" s="81" t="str">
        <f ca="1">PROPER(TRIM(_xlfn.XLOOKUP($A145,Строчный!$A:$A,Строчный!R:R,"ERR",0)))</f>
        <v/>
      </c>
      <c r="Q145" s="90">
        <f ca="1">VALUE(_xlfn.XLOOKUP($A145,Строчный!$A:$A,Строчный!N:N,"ERR",0))</f>
        <v>1340.1000000000001</v>
      </c>
      <c r="R145" s="89" t="str">
        <f ca="1">_xlfn.XLOOKUP($G145,Фабрика!A:A,Фабрика!B:B,"ERR",0)</f>
        <v>Chapellerie Herman S.A.; Rue Jean Meunier, 6, 6922 Wellin, Belgium</v>
      </c>
      <c r="S145" s="80" t="str">
        <f ca="1">_xlfn.XLOOKUP(RIGHT(AA145,2),Размеры!D:D,Размеры!A:A,"ERR",0)</f>
        <v>55</v>
      </c>
      <c r="T145" s="80">
        <f ca="1">VALUE(_xlfn.XLOOKUP($AA145,Строчный!$S:$S,Строчный!U:U,"ERR",0))</f>
        <v>18</v>
      </c>
      <c r="U145" s="14" t="s">
        <v>265</v>
      </c>
      <c r="V145" s="101" t="str">
        <f t="shared" ca="1" si="13"/>
        <v>Шляпа HERMAN арт. MAC CARTHY (черный)</v>
      </c>
      <c r="W145" s="100" t="str">
        <f t="shared" ca="1" si="14"/>
        <v>Шляпа HERMAN арт. MAC CARTHY (черный) {black}</v>
      </c>
      <c r="X145" s="18" t="str">
        <f t="shared" ca="1" si="15"/>
        <v>черный</v>
      </c>
      <c r="Y145" s="18" t="str">
        <f t="shared" ca="1" si="16"/>
        <v>черный</v>
      </c>
      <c r="Z145" s="117" t="str">
        <f ca="1">_xlfn.LET(_xlpm.FormColors,_xlfn.XLOOKUP(A145,Строчный!A:A,Строчный!Q:Q,"",0),IF(_xlpm.FormColors=0,IFERROR(MID(I145,FIND("-",I145)+1,LEN(I145)),IFERROR(MID(I145,1,FIND("/",I145)-2),I145)),_xlpm.FormColors))</f>
        <v>черный</v>
      </c>
      <c r="AA145" s="73" t="str">
        <f ca="1"/>
        <v>81-004-09-55</v>
      </c>
      <c r="AB145" s="75" t="str">
        <f ca="1">VLOOKUP(C145,Группа!A:B,2,FALSE)</f>
        <v>Шляпа</v>
      </c>
      <c r="AC145" s="97" t="str">
        <f ca="1">IFERROR(VLOOKUP(S145,Размеры!A:C,3,FALSE),"")</f>
        <v>55 S</v>
      </c>
      <c r="AD145" s="97" t="str">
        <f ca="1">VLOOKUP(I145,ЦветПолный!A:B,2,FALSE)</f>
        <v>09</v>
      </c>
      <c r="AE145" s="97" t="str">
        <f ca="1">IFERROR(VLOOKUP(S145,Размеры!A:D,4,FALSE),"")</f>
        <v>55</v>
      </c>
      <c r="AF145" s="97">
        <f ca="1">IF(LEFT(IFERROR(VLOOKUP(LOOKUP(2,1/SEARCH(B145,Товары!A:A),Товары!A:A),Товары!A:B,2,0),""),6)=MID(AA145,1,6),1,0)</f>
        <v>1</v>
      </c>
      <c r="AH145" s="97">
        <f ca="1">SUMIF(Группа!A:A,C145,Группа!C:C)</f>
        <v>1</v>
      </c>
      <c r="AI145" s="97">
        <f ca="1">SUMIF(Группа!B:B,AB145,Группа!C:C)</f>
        <v>1</v>
      </c>
      <c r="AJ145" s="97">
        <f ca="1">SUMIF(Формы!A:A,D145,Формы!B:B)</f>
        <v>1</v>
      </c>
      <c r="AK145" s="97">
        <f ca="1">SUMIF(Материал!A:A,K145,Материал!B:B)</f>
        <v>1</v>
      </c>
      <c r="AL145" s="97">
        <f ca="1">SUMIF(Размеры!A:A,S145,Размеры!E:E)</f>
        <v>1</v>
      </c>
      <c r="AM145" s="97">
        <f ca="1">SUMIF(Сезон!A:A,F145,Сезон!B:B)</f>
        <v>1</v>
      </c>
      <c r="AN145" s="97">
        <f ca="1">SUMIF(Состав!A:A,J145,Состав!B:B)</f>
        <v>1</v>
      </c>
      <c r="AO145" s="97">
        <f ca="1">VLOOKUP(I145,ЦветПолный!A:C,3,0)</f>
        <v>1</v>
      </c>
      <c r="AP145" s="97">
        <f ca="1">SUMIF(Цвет!A:A,Z145,Цвет!B:B)</f>
        <v>1</v>
      </c>
      <c r="AQ145" s="97">
        <f ca="1">_xlfn.XLOOKUP(L145,Пол!A:A,Пол!B:B,0,0)</f>
        <v>1</v>
      </c>
      <c r="AR145" s="97">
        <f ca="1">SUMIF(Бренд!A:A,G145,Бренд!B:B)</f>
        <v>1</v>
      </c>
      <c r="AS145" s="97">
        <f ca="1">SUMIF(Страна!A:A,M145,Страна!B:B)</f>
        <v>1</v>
      </c>
      <c r="AT145" s="64" t="str">
        <f ca="1">IF(VLOOKUP(W145,Товары!A:B,2,FALSE)=A145,"Есть в 1С","ERR")</f>
        <v>Есть в 1С</v>
      </c>
      <c r="AU145" s="65" t="str">
        <f ca="1">IF(VLOOKUP(A145,Товары!B:B,1,FALSE)=A145,"Есть в 1С","ERR")</f>
        <v>Есть в 1С</v>
      </c>
      <c r="AV145" s="96" t="str">
        <f ca="1">VLOOKUP(W145,Товары!A:B,2,FALSE)</f>
        <v>81-004-09</v>
      </c>
      <c r="AW145" s="94" t="str">
        <f ca="1">VLOOKUP(W145,Товары!A:B,1,FALSE)</f>
        <v>Шляпа HERMAN арт. MAC CARTHY (черный) {black}</v>
      </c>
    </row>
    <row r="146" spans="1:49" x14ac:dyDescent="0.25">
      <c r="A146" s="110" t="str">
        <f t="shared" ca="1" si="12"/>
        <v>81-004-08</v>
      </c>
      <c r="B146" s="107" t="str">
        <f ca="1">_xlfn.LET(_xlpm.CAPS,0,_xlpm.Style,TRIM(_xlfn.XLOOKUP($A146,Строчный!$A:$A,Строчный!B:B,"ERR",0)),IF(_xlpm.CAPS=0,_xlpm.Style,UPPER(_xlpm.Style)))</f>
        <v>MAC CARTHY</v>
      </c>
      <c r="C146" s="81" t="str">
        <f ca="1">TRIM(PROPER(_xlfn.XLOOKUP($A146,Строчный!$A:$A,Строчный!C:C,"ERR",0)))</f>
        <v>Шляпы</v>
      </c>
      <c r="D146" s="81" t="str">
        <f ca="1">_xlfn.LET(_xlpm.DATA,TRIM(_xlfn.XLOOKUP($A146,Строчный!$A:$A,Строчный!D:D,"ERR",0)),UPPER(MID(_xlpm.DATA,1,1))&amp;LOWER(MID(_xlpm.DATA,2,LEN(_xlpm.DATA)-1)))</f>
        <v>Шляпа федора</v>
      </c>
      <c r="E146" s="81" t="str">
        <f ca="1">PROPER(TRIM(_xlfn.XLOOKUP($A146,Строчный!$A:$A,Строчный!E:E,"ERR",0)))</f>
        <v>Herman</v>
      </c>
      <c r="F146" s="81" t="str">
        <f ca="1">LOWER(TRIM(_xlfn.XLOOKUP($A146,Строчный!$A:$A,Строчный!F:F,"ERR",0)))</f>
        <v>всесезон</v>
      </c>
      <c r="G146" s="81" t="str">
        <f ca="1">UPPER(TRIM(_xlfn.XLOOKUP($A146,Строчный!$A:$A,Строчный!G:G,"ERR",0)))</f>
        <v>HERMAN</v>
      </c>
      <c r="H146" s="81" t="str">
        <f ca="1">LOWER(TRIM(_xlfn.XLOOKUP($A146,Строчный!$A:$A,Строчный!H:H,"ERR",0)))</f>
        <v>charcoal</v>
      </c>
      <c r="I146" s="81" t="str">
        <f ca="1">LOWER(TRIM(_xlfn.XLOOKUP($A146,Строчный!$A:$A,Строчный!I:I,"ERR",0)))</f>
        <v>серый</v>
      </c>
      <c r="J146" s="81" t="str">
        <f ca="1">SUBSTITUTE(LOWER(TRIM(_xlfn.XLOOKUP($A146,Строчный!$A:$A,Строчный!J:J,"ERR",0))),"подклад","Подклад")</f>
        <v>100% шерсть</v>
      </c>
      <c r="K146" s="81" t="str">
        <f ca="1">LOWER(TRIM(_xlfn.XLOOKUP($A146,Строчный!$A:$A,Строчный!K:K,"ERR",0)))</f>
        <v>фетровые</v>
      </c>
      <c r="L146" s="81" t="str">
        <f ca="1">PROPER(TRIM(_xlfn.XLOOKUP($A146,Строчный!$A:$A,Строчный!L:L,"ERR",0)))</f>
        <v>Унисекс</v>
      </c>
      <c r="M146" s="113" t="str">
        <f ca="1">PROPER(TRIM(_xlfn.XLOOKUP($A146,Строчный!$A:$A,Строчный!M:M,"ERR",0)))</f>
        <v>Китай</v>
      </c>
      <c r="N146" s="81" t="str">
        <f ca="1">UPPER(TRIM(_xlfn.XLOOKUP($A146,Строчный!$A:$A,Строчный!O:O,"ERR",0)))</f>
        <v/>
      </c>
      <c r="O146" s="102" t="str">
        <f ca="1">PROPER(TRIM(_xlfn.XLOOKUP($A146,Строчный!$A:$A,Строчный!P:P,"ERR",0)))</f>
        <v/>
      </c>
      <c r="P146" s="81" t="str">
        <f ca="1">PROPER(TRIM(_xlfn.XLOOKUP($A146,Строчный!$A:$A,Строчный!R:R,"ERR",0)))</f>
        <v/>
      </c>
      <c r="Q146" s="90">
        <f ca="1">VALUE(_xlfn.XLOOKUP($A146,Строчный!$A:$A,Строчный!N:N,"ERR",0))</f>
        <v>1340.1000000000001</v>
      </c>
      <c r="R146" s="89" t="str">
        <f ca="1">_xlfn.XLOOKUP($G146,Фабрика!A:A,Фабрика!B:B,"ERR",0)</f>
        <v>Chapellerie Herman S.A.; Rue Jean Meunier, 6, 6922 Wellin, Belgium</v>
      </c>
      <c r="S146" s="80" t="str">
        <f ca="1">_xlfn.XLOOKUP(RIGHT(AA146,2),Размеры!D:D,Размеры!A:A,"ERR",0)</f>
        <v>61</v>
      </c>
      <c r="T146" s="80">
        <f ca="1">VALUE(_xlfn.XLOOKUP($AA146,Строчный!$S:$S,Строчный!U:U,"ERR",0))</f>
        <v>11</v>
      </c>
      <c r="U146" s="14" t="s">
        <v>265</v>
      </c>
      <c r="V146" s="101" t="str">
        <f t="shared" ca="1" si="13"/>
        <v>Шляпа HERMAN арт. MAC CARTHY (серый)</v>
      </c>
      <c r="W146" s="100" t="str">
        <f t="shared" ca="1" si="14"/>
        <v>Шляпа HERMAN арт. MAC CARTHY (серый) {charcoal}</v>
      </c>
      <c r="X146" s="18" t="str">
        <f t="shared" ca="1" si="15"/>
        <v>серый</v>
      </c>
      <c r="Y146" s="18" t="str">
        <f t="shared" ca="1" si="16"/>
        <v>серый</v>
      </c>
      <c r="Z146" s="117" t="str">
        <f ca="1">_xlfn.LET(_xlpm.FormColors,_xlfn.XLOOKUP(A146,Строчный!A:A,Строчный!Q:Q,"",0),IF(_xlpm.FormColors=0,IFERROR(MID(I146,FIND("-",I146)+1,LEN(I146)),IFERROR(MID(I146,1,FIND("/",I146)-2),I146)),_xlpm.FormColors))</f>
        <v>серый</v>
      </c>
      <c r="AA146" s="73" t="str">
        <f ca="1"/>
        <v>81-004-08-61</v>
      </c>
      <c r="AB146" s="75" t="str">
        <f ca="1">VLOOKUP(C146,Группа!A:B,2,FALSE)</f>
        <v>Шляпа</v>
      </c>
      <c r="AC146" s="97" t="str">
        <f ca="1">IFERROR(VLOOKUP(S146,Размеры!A:C,3,FALSE),"")</f>
        <v>61 XL</v>
      </c>
      <c r="AD146" s="97" t="str">
        <f ca="1">VLOOKUP(I146,ЦветПолный!A:B,2,FALSE)</f>
        <v>80</v>
      </c>
      <c r="AE146" s="97" t="str">
        <f ca="1">IFERROR(VLOOKUP(S146,Размеры!A:D,4,FALSE),"")</f>
        <v>61</v>
      </c>
      <c r="AF146" s="97">
        <f ca="1">IF(LEFT(IFERROR(VLOOKUP(LOOKUP(2,1/SEARCH(B146,Товары!A:A),Товары!A:A),Товары!A:B,2,0),""),6)=MID(AA146,1,6),1,0)</f>
        <v>1</v>
      </c>
      <c r="AH146" s="97">
        <f ca="1">SUMIF(Группа!A:A,C146,Группа!C:C)</f>
        <v>1</v>
      </c>
      <c r="AI146" s="97">
        <f ca="1">SUMIF(Группа!B:B,AB146,Группа!C:C)</f>
        <v>1</v>
      </c>
      <c r="AJ146" s="97">
        <f ca="1">SUMIF(Формы!A:A,D146,Формы!B:B)</f>
        <v>1</v>
      </c>
      <c r="AK146" s="97">
        <f ca="1">SUMIF(Материал!A:A,K146,Материал!B:B)</f>
        <v>1</v>
      </c>
      <c r="AL146" s="97">
        <f ca="1">SUMIF(Размеры!A:A,S146,Размеры!E:E)</f>
        <v>1</v>
      </c>
      <c r="AM146" s="97">
        <f ca="1">SUMIF(Сезон!A:A,F146,Сезон!B:B)</f>
        <v>1</v>
      </c>
      <c r="AN146" s="97">
        <f ca="1">SUMIF(Состав!A:A,J146,Состав!B:B)</f>
        <v>1</v>
      </c>
      <c r="AO146" s="97">
        <f ca="1">VLOOKUP(I146,ЦветПолный!A:C,3,0)</f>
        <v>1</v>
      </c>
      <c r="AP146" s="97">
        <f ca="1">SUMIF(Цвет!A:A,Z146,Цвет!B:B)</f>
        <v>1</v>
      </c>
      <c r="AQ146" s="97">
        <f ca="1">_xlfn.XLOOKUP(L146,Пол!A:A,Пол!B:B,0,0)</f>
        <v>1</v>
      </c>
      <c r="AR146" s="97">
        <f ca="1">SUMIF(Бренд!A:A,G146,Бренд!B:B)</f>
        <v>1</v>
      </c>
      <c r="AS146" s="97">
        <f ca="1">SUMIF(Страна!A:A,M146,Страна!B:B)</f>
        <v>1</v>
      </c>
      <c r="AT146" s="64" t="str">
        <f ca="1">IF(VLOOKUP(W146,Товары!A:B,2,FALSE)=A146,"Есть в 1С","ERR")</f>
        <v>Есть в 1С</v>
      </c>
      <c r="AU146" s="65" t="str">
        <f ca="1">IF(VLOOKUP(A146,Товары!B:B,1,FALSE)=A146,"Есть в 1С","ERR")</f>
        <v>Есть в 1С</v>
      </c>
      <c r="AV146" s="96" t="str">
        <f ca="1">VLOOKUP(W146,Товары!A:B,2,FALSE)</f>
        <v>81-004-08</v>
      </c>
      <c r="AW146" s="94" t="str">
        <f ca="1">VLOOKUP(W146,Товары!A:B,1,FALSE)</f>
        <v>Шляпа HERMAN арт. MAC CARTHY (серый) {charcoal}</v>
      </c>
    </row>
    <row r="147" spans="1:49" x14ac:dyDescent="0.25">
      <c r="A147" s="110" t="str">
        <f t="shared" ca="1" si="12"/>
        <v>81-004-08</v>
      </c>
      <c r="B147" s="107" t="str">
        <f ca="1">_xlfn.LET(_xlpm.CAPS,0,_xlpm.Style,TRIM(_xlfn.XLOOKUP($A147,Строчный!$A:$A,Строчный!B:B,"ERR",0)),IF(_xlpm.CAPS=0,_xlpm.Style,UPPER(_xlpm.Style)))</f>
        <v>MAC CARTHY</v>
      </c>
      <c r="C147" s="81" t="str">
        <f ca="1">TRIM(PROPER(_xlfn.XLOOKUP($A147,Строчный!$A:$A,Строчный!C:C,"ERR",0)))</f>
        <v>Шляпы</v>
      </c>
      <c r="D147" s="81" t="str">
        <f ca="1">_xlfn.LET(_xlpm.DATA,TRIM(_xlfn.XLOOKUP($A147,Строчный!$A:$A,Строчный!D:D,"ERR",0)),UPPER(MID(_xlpm.DATA,1,1))&amp;LOWER(MID(_xlpm.DATA,2,LEN(_xlpm.DATA)-1)))</f>
        <v>Шляпа федора</v>
      </c>
      <c r="E147" s="81" t="str">
        <f ca="1">PROPER(TRIM(_xlfn.XLOOKUP($A147,Строчный!$A:$A,Строчный!E:E,"ERR",0)))</f>
        <v>Herman</v>
      </c>
      <c r="F147" s="81" t="str">
        <f ca="1">LOWER(TRIM(_xlfn.XLOOKUP($A147,Строчный!$A:$A,Строчный!F:F,"ERR",0)))</f>
        <v>всесезон</v>
      </c>
      <c r="G147" s="81" t="str">
        <f ca="1">UPPER(TRIM(_xlfn.XLOOKUP($A147,Строчный!$A:$A,Строчный!G:G,"ERR",0)))</f>
        <v>HERMAN</v>
      </c>
      <c r="H147" s="81" t="str">
        <f ca="1">LOWER(TRIM(_xlfn.XLOOKUP($A147,Строчный!$A:$A,Строчный!H:H,"ERR",0)))</f>
        <v>charcoal</v>
      </c>
      <c r="I147" s="81" t="str">
        <f ca="1">LOWER(TRIM(_xlfn.XLOOKUP($A147,Строчный!$A:$A,Строчный!I:I,"ERR",0)))</f>
        <v>серый</v>
      </c>
      <c r="J147" s="81" t="str">
        <f ca="1">SUBSTITUTE(LOWER(TRIM(_xlfn.XLOOKUP($A147,Строчный!$A:$A,Строчный!J:J,"ERR",0))),"подклад","Подклад")</f>
        <v>100% шерсть</v>
      </c>
      <c r="K147" s="81" t="str">
        <f ca="1">LOWER(TRIM(_xlfn.XLOOKUP($A147,Строчный!$A:$A,Строчный!K:K,"ERR",0)))</f>
        <v>фетровые</v>
      </c>
      <c r="L147" s="81" t="str">
        <f ca="1">PROPER(TRIM(_xlfn.XLOOKUP($A147,Строчный!$A:$A,Строчный!L:L,"ERR",0)))</f>
        <v>Унисекс</v>
      </c>
      <c r="M147" s="113" t="str">
        <f ca="1">PROPER(TRIM(_xlfn.XLOOKUP($A147,Строчный!$A:$A,Строчный!M:M,"ERR",0)))</f>
        <v>Китай</v>
      </c>
      <c r="N147" s="81" t="str">
        <f ca="1">UPPER(TRIM(_xlfn.XLOOKUP($A147,Строчный!$A:$A,Строчный!O:O,"ERR",0)))</f>
        <v/>
      </c>
      <c r="O147" s="102" t="str">
        <f ca="1">PROPER(TRIM(_xlfn.XLOOKUP($A147,Строчный!$A:$A,Строчный!P:P,"ERR",0)))</f>
        <v/>
      </c>
      <c r="P147" s="81" t="str">
        <f ca="1">PROPER(TRIM(_xlfn.XLOOKUP($A147,Строчный!$A:$A,Строчный!R:R,"ERR",0)))</f>
        <v/>
      </c>
      <c r="Q147" s="90">
        <f ca="1">VALUE(_xlfn.XLOOKUP($A147,Строчный!$A:$A,Строчный!N:N,"ERR",0))</f>
        <v>1340.1000000000001</v>
      </c>
      <c r="R147" s="89" t="str">
        <f ca="1">_xlfn.XLOOKUP($G147,Фабрика!A:A,Фабрика!B:B,"ERR",0)</f>
        <v>Chapellerie Herman S.A.; Rue Jean Meunier, 6, 6922 Wellin, Belgium</v>
      </c>
      <c r="S147" s="80" t="str">
        <f ca="1">_xlfn.XLOOKUP(RIGHT(AA147,2),Размеры!D:D,Размеры!A:A,"ERR",0)</f>
        <v>59</v>
      </c>
      <c r="T147" s="80">
        <f ca="1">VALUE(_xlfn.XLOOKUP($AA147,Строчный!$S:$S,Строчный!U:U,"ERR",0))</f>
        <v>15</v>
      </c>
      <c r="U147" s="14" t="s">
        <v>265</v>
      </c>
      <c r="V147" s="101" t="str">
        <f t="shared" ca="1" si="13"/>
        <v>Шляпа HERMAN арт. MAC CARTHY (серый)</v>
      </c>
      <c r="W147" s="100" t="str">
        <f t="shared" ca="1" si="14"/>
        <v>Шляпа HERMAN арт. MAC CARTHY (серый) {charcoal}</v>
      </c>
      <c r="X147" s="18" t="str">
        <f t="shared" ca="1" si="15"/>
        <v>серый</v>
      </c>
      <c r="Y147" s="18" t="str">
        <f t="shared" ca="1" si="16"/>
        <v>серый</v>
      </c>
      <c r="Z147" s="117" t="str">
        <f ca="1">_xlfn.LET(_xlpm.FormColors,_xlfn.XLOOKUP(A147,Строчный!A:A,Строчный!Q:Q,"",0),IF(_xlpm.FormColors=0,IFERROR(MID(I147,FIND("-",I147)+1,LEN(I147)),IFERROR(MID(I147,1,FIND("/",I147)-2),I147)),_xlpm.FormColors))</f>
        <v>серый</v>
      </c>
      <c r="AA147" s="73" t="str">
        <f ca="1"/>
        <v>81-004-08-59</v>
      </c>
      <c r="AB147" s="75" t="str">
        <f ca="1">VLOOKUP(C147,Группа!A:B,2,FALSE)</f>
        <v>Шляпа</v>
      </c>
      <c r="AC147" s="97" t="str">
        <f ca="1">IFERROR(VLOOKUP(S147,Размеры!A:C,3,FALSE),"")</f>
        <v>59 L</v>
      </c>
      <c r="AD147" s="97" t="str">
        <f ca="1">VLOOKUP(I147,ЦветПолный!A:B,2,FALSE)</f>
        <v>80</v>
      </c>
      <c r="AE147" s="97" t="str">
        <f ca="1">IFERROR(VLOOKUP(S147,Размеры!A:D,4,FALSE),"")</f>
        <v>59</v>
      </c>
      <c r="AF147" s="97">
        <f ca="1">IF(LEFT(IFERROR(VLOOKUP(LOOKUP(2,1/SEARCH(B147,Товары!A:A),Товары!A:A),Товары!A:B,2,0),""),6)=MID(AA147,1,6),1,0)</f>
        <v>1</v>
      </c>
      <c r="AH147" s="97">
        <f ca="1">SUMIF(Группа!A:A,C147,Группа!C:C)</f>
        <v>1</v>
      </c>
      <c r="AI147" s="97">
        <f ca="1">SUMIF(Группа!B:B,AB147,Группа!C:C)</f>
        <v>1</v>
      </c>
      <c r="AJ147" s="97">
        <f ca="1">SUMIF(Формы!A:A,D147,Формы!B:B)</f>
        <v>1</v>
      </c>
      <c r="AK147" s="97">
        <f ca="1">SUMIF(Материал!A:A,K147,Материал!B:B)</f>
        <v>1</v>
      </c>
      <c r="AL147" s="97">
        <f ca="1">SUMIF(Размеры!A:A,S147,Размеры!E:E)</f>
        <v>1</v>
      </c>
      <c r="AM147" s="97">
        <f ca="1">SUMIF(Сезон!A:A,F147,Сезон!B:B)</f>
        <v>1</v>
      </c>
      <c r="AN147" s="97">
        <f ca="1">SUMIF(Состав!A:A,J147,Состав!B:B)</f>
        <v>1</v>
      </c>
      <c r="AO147" s="97">
        <f ca="1">VLOOKUP(I147,ЦветПолный!A:C,3,0)</f>
        <v>1</v>
      </c>
      <c r="AP147" s="97">
        <f ca="1">SUMIF(Цвет!A:A,Z147,Цвет!B:B)</f>
        <v>1</v>
      </c>
      <c r="AQ147" s="97">
        <f ca="1">_xlfn.XLOOKUP(L147,Пол!A:A,Пол!B:B,0,0)</f>
        <v>1</v>
      </c>
      <c r="AR147" s="97">
        <f ca="1">SUMIF(Бренд!A:A,G147,Бренд!B:B)</f>
        <v>1</v>
      </c>
      <c r="AS147" s="97">
        <f ca="1">SUMIF(Страна!A:A,M147,Страна!B:B)</f>
        <v>1</v>
      </c>
      <c r="AT147" s="64" t="str">
        <f ca="1">IF(VLOOKUP(W147,Товары!A:B,2,FALSE)=A147,"Есть в 1С","ERR")</f>
        <v>Есть в 1С</v>
      </c>
      <c r="AU147" s="65" t="str">
        <f ca="1">IF(VLOOKUP(A147,Товары!B:B,1,FALSE)=A147,"Есть в 1С","ERR")</f>
        <v>Есть в 1С</v>
      </c>
      <c r="AV147" s="96" t="str">
        <f ca="1">VLOOKUP(W147,Товары!A:B,2,FALSE)</f>
        <v>81-004-08</v>
      </c>
      <c r="AW147" s="94" t="str">
        <f ca="1">VLOOKUP(W147,Товары!A:B,1,FALSE)</f>
        <v>Шляпа HERMAN арт. MAC CARTHY (серый) {charcoal}</v>
      </c>
    </row>
    <row r="148" spans="1:49" x14ac:dyDescent="0.25">
      <c r="A148" s="110" t="str">
        <f t="shared" ca="1" si="12"/>
        <v>81-004-08</v>
      </c>
      <c r="B148" s="107" t="str">
        <f ca="1">_xlfn.LET(_xlpm.CAPS,0,_xlpm.Style,TRIM(_xlfn.XLOOKUP($A148,Строчный!$A:$A,Строчный!B:B,"ERR",0)),IF(_xlpm.CAPS=0,_xlpm.Style,UPPER(_xlpm.Style)))</f>
        <v>MAC CARTHY</v>
      </c>
      <c r="C148" s="81" t="str">
        <f ca="1">TRIM(PROPER(_xlfn.XLOOKUP($A148,Строчный!$A:$A,Строчный!C:C,"ERR",0)))</f>
        <v>Шляпы</v>
      </c>
      <c r="D148" s="81" t="str">
        <f ca="1">_xlfn.LET(_xlpm.DATA,TRIM(_xlfn.XLOOKUP($A148,Строчный!$A:$A,Строчный!D:D,"ERR",0)),UPPER(MID(_xlpm.DATA,1,1))&amp;LOWER(MID(_xlpm.DATA,2,LEN(_xlpm.DATA)-1)))</f>
        <v>Шляпа федора</v>
      </c>
      <c r="E148" s="81" t="str">
        <f ca="1">PROPER(TRIM(_xlfn.XLOOKUP($A148,Строчный!$A:$A,Строчный!E:E,"ERR",0)))</f>
        <v>Herman</v>
      </c>
      <c r="F148" s="81" t="str">
        <f ca="1">LOWER(TRIM(_xlfn.XLOOKUP($A148,Строчный!$A:$A,Строчный!F:F,"ERR",0)))</f>
        <v>всесезон</v>
      </c>
      <c r="G148" s="81" t="str">
        <f ca="1">UPPER(TRIM(_xlfn.XLOOKUP($A148,Строчный!$A:$A,Строчный!G:G,"ERR",0)))</f>
        <v>HERMAN</v>
      </c>
      <c r="H148" s="81" t="str">
        <f ca="1">LOWER(TRIM(_xlfn.XLOOKUP($A148,Строчный!$A:$A,Строчный!H:H,"ERR",0)))</f>
        <v>charcoal</v>
      </c>
      <c r="I148" s="81" t="str">
        <f ca="1">LOWER(TRIM(_xlfn.XLOOKUP($A148,Строчный!$A:$A,Строчный!I:I,"ERR",0)))</f>
        <v>серый</v>
      </c>
      <c r="J148" s="81" t="str">
        <f ca="1">SUBSTITUTE(LOWER(TRIM(_xlfn.XLOOKUP($A148,Строчный!$A:$A,Строчный!J:J,"ERR",0))),"подклад","Подклад")</f>
        <v>100% шерсть</v>
      </c>
      <c r="K148" s="81" t="str">
        <f ca="1">LOWER(TRIM(_xlfn.XLOOKUP($A148,Строчный!$A:$A,Строчный!K:K,"ERR",0)))</f>
        <v>фетровые</v>
      </c>
      <c r="L148" s="81" t="str">
        <f ca="1">PROPER(TRIM(_xlfn.XLOOKUP($A148,Строчный!$A:$A,Строчный!L:L,"ERR",0)))</f>
        <v>Унисекс</v>
      </c>
      <c r="M148" s="113" t="str">
        <f ca="1">PROPER(TRIM(_xlfn.XLOOKUP($A148,Строчный!$A:$A,Строчный!M:M,"ERR",0)))</f>
        <v>Китай</v>
      </c>
      <c r="N148" s="81" t="str">
        <f ca="1">UPPER(TRIM(_xlfn.XLOOKUP($A148,Строчный!$A:$A,Строчный!O:O,"ERR",0)))</f>
        <v/>
      </c>
      <c r="O148" s="102" t="str">
        <f ca="1">PROPER(TRIM(_xlfn.XLOOKUP($A148,Строчный!$A:$A,Строчный!P:P,"ERR",0)))</f>
        <v/>
      </c>
      <c r="P148" s="81" t="str">
        <f ca="1">PROPER(TRIM(_xlfn.XLOOKUP($A148,Строчный!$A:$A,Строчный!R:R,"ERR",0)))</f>
        <v/>
      </c>
      <c r="Q148" s="90">
        <f ca="1">VALUE(_xlfn.XLOOKUP($A148,Строчный!$A:$A,Строчный!N:N,"ERR",0))</f>
        <v>1340.1000000000001</v>
      </c>
      <c r="R148" s="89" t="str">
        <f ca="1">_xlfn.XLOOKUP($G148,Фабрика!A:A,Фабрика!B:B,"ERR",0)</f>
        <v>Chapellerie Herman S.A.; Rue Jean Meunier, 6, 6922 Wellin, Belgium</v>
      </c>
      <c r="S148" s="80" t="str">
        <f ca="1">_xlfn.XLOOKUP(RIGHT(AA148,2),Размеры!D:D,Размеры!A:A,"ERR",0)</f>
        <v>57</v>
      </c>
      <c r="T148" s="80">
        <f ca="1">VALUE(_xlfn.XLOOKUP($AA148,Строчный!$S:$S,Строчный!U:U,"ERR",0))</f>
        <v>14</v>
      </c>
      <c r="U148" s="14" t="s">
        <v>265</v>
      </c>
      <c r="V148" s="101" t="str">
        <f t="shared" ca="1" si="13"/>
        <v>Шляпа HERMAN арт. MAC CARTHY (серый)</v>
      </c>
      <c r="W148" s="100" t="str">
        <f t="shared" ca="1" si="14"/>
        <v>Шляпа HERMAN арт. MAC CARTHY (серый) {charcoal}</v>
      </c>
      <c r="X148" s="18" t="str">
        <f t="shared" ca="1" si="15"/>
        <v>серый</v>
      </c>
      <c r="Y148" s="18" t="str">
        <f t="shared" ca="1" si="16"/>
        <v>серый</v>
      </c>
      <c r="Z148" s="117" t="str">
        <f ca="1">_xlfn.LET(_xlpm.FormColors,_xlfn.XLOOKUP(A148,Строчный!A:A,Строчный!Q:Q,"",0),IF(_xlpm.FormColors=0,IFERROR(MID(I148,FIND("-",I148)+1,LEN(I148)),IFERROR(MID(I148,1,FIND("/",I148)-2),I148)),_xlpm.FormColors))</f>
        <v>серый</v>
      </c>
      <c r="AA148" s="73" t="str">
        <f ca="1"/>
        <v>81-004-08-57</v>
      </c>
      <c r="AB148" s="75" t="str">
        <f ca="1">VLOOKUP(C148,Группа!A:B,2,FALSE)</f>
        <v>Шляпа</v>
      </c>
      <c r="AC148" s="97" t="str">
        <f ca="1">IFERROR(VLOOKUP(S148,Размеры!A:C,3,FALSE),"")</f>
        <v>57 M</v>
      </c>
      <c r="AD148" s="97" t="str">
        <f ca="1">VLOOKUP(I148,ЦветПолный!A:B,2,FALSE)</f>
        <v>80</v>
      </c>
      <c r="AE148" s="97" t="str">
        <f ca="1">IFERROR(VLOOKUP(S148,Размеры!A:D,4,FALSE),"")</f>
        <v>57</v>
      </c>
      <c r="AF148" s="97">
        <f ca="1">IF(LEFT(IFERROR(VLOOKUP(LOOKUP(2,1/SEARCH(B148,Товары!A:A),Товары!A:A),Товары!A:B,2,0),""),6)=MID(AA148,1,6),1,0)</f>
        <v>1</v>
      </c>
      <c r="AH148" s="97">
        <f ca="1">SUMIF(Группа!A:A,C148,Группа!C:C)</f>
        <v>1</v>
      </c>
      <c r="AI148" s="97">
        <f ca="1">SUMIF(Группа!B:B,AB148,Группа!C:C)</f>
        <v>1</v>
      </c>
      <c r="AJ148" s="97">
        <f ca="1">SUMIF(Формы!A:A,D148,Формы!B:B)</f>
        <v>1</v>
      </c>
      <c r="AK148" s="97">
        <f ca="1">SUMIF(Материал!A:A,K148,Материал!B:B)</f>
        <v>1</v>
      </c>
      <c r="AL148" s="97">
        <f ca="1">SUMIF(Размеры!A:A,S148,Размеры!E:E)</f>
        <v>1</v>
      </c>
      <c r="AM148" s="97">
        <f ca="1">SUMIF(Сезон!A:A,F148,Сезон!B:B)</f>
        <v>1</v>
      </c>
      <c r="AN148" s="97">
        <f ca="1">SUMIF(Состав!A:A,J148,Состав!B:B)</f>
        <v>1</v>
      </c>
      <c r="AO148" s="97">
        <f ca="1">VLOOKUP(I148,ЦветПолный!A:C,3,0)</f>
        <v>1</v>
      </c>
      <c r="AP148" s="97">
        <f ca="1">SUMIF(Цвет!A:A,Z148,Цвет!B:B)</f>
        <v>1</v>
      </c>
      <c r="AQ148" s="97">
        <f ca="1">_xlfn.XLOOKUP(L148,Пол!A:A,Пол!B:B,0,0)</f>
        <v>1</v>
      </c>
      <c r="AR148" s="97">
        <f ca="1">SUMIF(Бренд!A:A,G148,Бренд!B:B)</f>
        <v>1</v>
      </c>
      <c r="AS148" s="97">
        <f ca="1">SUMIF(Страна!A:A,M148,Страна!B:B)</f>
        <v>1</v>
      </c>
      <c r="AT148" s="64" t="str">
        <f ca="1">IF(VLOOKUP(W148,Товары!A:B,2,FALSE)=A148,"Есть в 1С","ERR")</f>
        <v>Есть в 1С</v>
      </c>
      <c r="AU148" s="65" t="str">
        <f ca="1">IF(VLOOKUP(A148,Товары!B:B,1,FALSE)=A148,"Есть в 1С","ERR")</f>
        <v>Есть в 1С</v>
      </c>
      <c r="AV148" s="96" t="str">
        <f ca="1">VLOOKUP(W148,Товары!A:B,2,FALSE)</f>
        <v>81-004-08</v>
      </c>
      <c r="AW148" s="94" t="str">
        <f ca="1">VLOOKUP(W148,Товары!A:B,1,FALSE)</f>
        <v>Шляпа HERMAN арт. MAC CARTHY (серый) {charcoal}</v>
      </c>
    </row>
    <row r="149" spans="1:49" x14ac:dyDescent="0.25">
      <c r="A149" s="110" t="str">
        <f t="shared" ca="1" si="12"/>
        <v>81-004-08</v>
      </c>
      <c r="B149" s="107" t="str">
        <f ca="1">_xlfn.LET(_xlpm.CAPS,0,_xlpm.Style,TRIM(_xlfn.XLOOKUP($A149,Строчный!$A:$A,Строчный!B:B,"ERR",0)),IF(_xlpm.CAPS=0,_xlpm.Style,UPPER(_xlpm.Style)))</f>
        <v>MAC CARTHY</v>
      </c>
      <c r="C149" s="81" t="str">
        <f ca="1">TRIM(PROPER(_xlfn.XLOOKUP($A149,Строчный!$A:$A,Строчный!C:C,"ERR",0)))</f>
        <v>Шляпы</v>
      </c>
      <c r="D149" s="81" t="str">
        <f ca="1">_xlfn.LET(_xlpm.DATA,TRIM(_xlfn.XLOOKUP($A149,Строчный!$A:$A,Строчный!D:D,"ERR",0)),UPPER(MID(_xlpm.DATA,1,1))&amp;LOWER(MID(_xlpm.DATA,2,LEN(_xlpm.DATA)-1)))</f>
        <v>Шляпа федора</v>
      </c>
      <c r="E149" s="81" t="str">
        <f ca="1">PROPER(TRIM(_xlfn.XLOOKUP($A149,Строчный!$A:$A,Строчный!E:E,"ERR",0)))</f>
        <v>Herman</v>
      </c>
      <c r="F149" s="81" t="str">
        <f ca="1">LOWER(TRIM(_xlfn.XLOOKUP($A149,Строчный!$A:$A,Строчный!F:F,"ERR",0)))</f>
        <v>всесезон</v>
      </c>
      <c r="G149" s="81" t="str">
        <f ca="1">UPPER(TRIM(_xlfn.XLOOKUP($A149,Строчный!$A:$A,Строчный!G:G,"ERR",0)))</f>
        <v>HERMAN</v>
      </c>
      <c r="H149" s="81" t="str">
        <f ca="1">LOWER(TRIM(_xlfn.XLOOKUP($A149,Строчный!$A:$A,Строчный!H:H,"ERR",0)))</f>
        <v>charcoal</v>
      </c>
      <c r="I149" s="81" t="str">
        <f ca="1">LOWER(TRIM(_xlfn.XLOOKUP($A149,Строчный!$A:$A,Строчный!I:I,"ERR",0)))</f>
        <v>серый</v>
      </c>
      <c r="J149" s="81" t="str">
        <f ca="1">SUBSTITUTE(LOWER(TRIM(_xlfn.XLOOKUP($A149,Строчный!$A:$A,Строчный!J:J,"ERR",0))),"подклад","Подклад")</f>
        <v>100% шерсть</v>
      </c>
      <c r="K149" s="81" t="str">
        <f ca="1">LOWER(TRIM(_xlfn.XLOOKUP($A149,Строчный!$A:$A,Строчный!K:K,"ERR",0)))</f>
        <v>фетровые</v>
      </c>
      <c r="L149" s="81" t="str">
        <f ca="1">PROPER(TRIM(_xlfn.XLOOKUP($A149,Строчный!$A:$A,Строчный!L:L,"ERR",0)))</f>
        <v>Унисекс</v>
      </c>
      <c r="M149" s="113" t="str">
        <f ca="1">PROPER(TRIM(_xlfn.XLOOKUP($A149,Строчный!$A:$A,Строчный!M:M,"ERR",0)))</f>
        <v>Китай</v>
      </c>
      <c r="N149" s="81" t="str">
        <f ca="1">UPPER(TRIM(_xlfn.XLOOKUP($A149,Строчный!$A:$A,Строчный!O:O,"ERR",0)))</f>
        <v/>
      </c>
      <c r="O149" s="102" t="str">
        <f ca="1">PROPER(TRIM(_xlfn.XLOOKUP($A149,Строчный!$A:$A,Строчный!P:P,"ERR",0)))</f>
        <v/>
      </c>
      <c r="P149" s="81" t="str">
        <f ca="1">PROPER(TRIM(_xlfn.XLOOKUP($A149,Строчный!$A:$A,Строчный!R:R,"ERR",0)))</f>
        <v/>
      </c>
      <c r="Q149" s="90">
        <f ca="1">VALUE(_xlfn.XLOOKUP($A149,Строчный!$A:$A,Строчный!N:N,"ERR",0))</f>
        <v>1340.1000000000001</v>
      </c>
      <c r="R149" s="89" t="str">
        <f ca="1">_xlfn.XLOOKUP($G149,Фабрика!A:A,Фабрика!B:B,"ERR",0)</f>
        <v>Chapellerie Herman S.A.; Rue Jean Meunier, 6, 6922 Wellin, Belgium</v>
      </c>
      <c r="S149" s="80" t="str">
        <f ca="1">_xlfn.XLOOKUP(RIGHT(AA149,2),Размеры!D:D,Размеры!A:A,"ERR",0)</f>
        <v>55</v>
      </c>
      <c r="T149" s="80">
        <f ca="1">VALUE(_xlfn.XLOOKUP($AA149,Строчный!$S:$S,Строчный!U:U,"ERR",0))</f>
        <v>5</v>
      </c>
      <c r="U149" s="14" t="s">
        <v>265</v>
      </c>
      <c r="V149" s="101" t="str">
        <f t="shared" ca="1" si="13"/>
        <v>Шляпа HERMAN арт. MAC CARTHY (серый)</v>
      </c>
      <c r="W149" s="100" t="str">
        <f t="shared" ca="1" si="14"/>
        <v>Шляпа HERMAN арт. MAC CARTHY (серый) {charcoal}</v>
      </c>
      <c r="X149" s="18" t="str">
        <f t="shared" ca="1" si="15"/>
        <v>серый</v>
      </c>
      <c r="Y149" s="18" t="str">
        <f t="shared" ca="1" si="16"/>
        <v>серый</v>
      </c>
      <c r="Z149" s="117" t="str">
        <f ca="1">_xlfn.LET(_xlpm.FormColors,_xlfn.XLOOKUP(A149,Строчный!A:A,Строчный!Q:Q,"",0),IF(_xlpm.FormColors=0,IFERROR(MID(I149,FIND("-",I149)+1,LEN(I149)),IFERROR(MID(I149,1,FIND("/",I149)-2),I149)),_xlpm.FormColors))</f>
        <v>серый</v>
      </c>
      <c r="AA149" s="73" t="str">
        <f ca="1"/>
        <v>81-004-08-55</v>
      </c>
      <c r="AB149" s="75" t="str">
        <f ca="1">VLOOKUP(C149,Группа!A:B,2,FALSE)</f>
        <v>Шляпа</v>
      </c>
      <c r="AC149" s="97" t="str">
        <f ca="1">IFERROR(VLOOKUP(S149,Размеры!A:C,3,FALSE),"")</f>
        <v>55 S</v>
      </c>
      <c r="AD149" s="97" t="str">
        <f ca="1">VLOOKUP(I149,ЦветПолный!A:B,2,FALSE)</f>
        <v>80</v>
      </c>
      <c r="AE149" s="97" t="str">
        <f ca="1">IFERROR(VLOOKUP(S149,Размеры!A:D,4,FALSE),"")</f>
        <v>55</v>
      </c>
      <c r="AF149" s="97">
        <f ca="1">IF(LEFT(IFERROR(VLOOKUP(LOOKUP(2,1/SEARCH(B149,Товары!A:A),Товары!A:A),Товары!A:B,2,0),""),6)=MID(AA149,1,6),1,0)</f>
        <v>1</v>
      </c>
      <c r="AH149" s="97">
        <f ca="1">SUMIF(Группа!A:A,C149,Группа!C:C)</f>
        <v>1</v>
      </c>
      <c r="AI149" s="97">
        <f ca="1">SUMIF(Группа!B:B,AB149,Группа!C:C)</f>
        <v>1</v>
      </c>
      <c r="AJ149" s="97">
        <f ca="1">SUMIF(Формы!A:A,D149,Формы!B:B)</f>
        <v>1</v>
      </c>
      <c r="AK149" s="97">
        <f ca="1">SUMIF(Материал!A:A,K149,Материал!B:B)</f>
        <v>1</v>
      </c>
      <c r="AL149" s="97">
        <f ca="1">SUMIF(Размеры!A:A,S149,Размеры!E:E)</f>
        <v>1</v>
      </c>
      <c r="AM149" s="97">
        <f ca="1">SUMIF(Сезон!A:A,F149,Сезон!B:B)</f>
        <v>1</v>
      </c>
      <c r="AN149" s="97">
        <f ca="1">SUMIF(Состав!A:A,J149,Состав!B:B)</f>
        <v>1</v>
      </c>
      <c r="AO149" s="97">
        <f ca="1">VLOOKUP(I149,ЦветПолный!A:C,3,0)</f>
        <v>1</v>
      </c>
      <c r="AP149" s="97">
        <f ca="1">SUMIF(Цвет!A:A,Z149,Цвет!B:B)</f>
        <v>1</v>
      </c>
      <c r="AQ149" s="97">
        <f ca="1">_xlfn.XLOOKUP(L149,Пол!A:A,Пол!B:B,0,0)</f>
        <v>1</v>
      </c>
      <c r="AR149" s="97">
        <f ca="1">SUMIF(Бренд!A:A,G149,Бренд!B:B)</f>
        <v>1</v>
      </c>
      <c r="AS149" s="97">
        <f ca="1">SUMIF(Страна!A:A,M149,Страна!B:B)</f>
        <v>1</v>
      </c>
      <c r="AT149" s="64" t="str">
        <f ca="1">IF(VLOOKUP(W149,Товары!A:B,2,FALSE)=A149,"Есть в 1С","ERR")</f>
        <v>Есть в 1С</v>
      </c>
      <c r="AU149" s="65" t="str">
        <f ca="1">IF(VLOOKUP(A149,Товары!B:B,1,FALSE)=A149,"Есть в 1С","ERR")</f>
        <v>Есть в 1С</v>
      </c>
      <c r="AV149" s="96" t="str">
        <f ca="1">VLOOKUP(W149,Товары!A:B,2,FALSE)</f>
        <v>81-004-08</v>
      </c>
      <c r="AW149" s="94" t="str">
        <f ca="1">VLOOKUP(W149,Товары!A:B,1,FALSE)</f>
        <v>Шляпа HERMAN арт. MAC CARTHY (серый) {charcoal}</v>
      </c>
    </row>
    <row r="150" spans="1:49" x14ac:dyDescent="0.25">
      <c r="A150" s="110" t="str">
        <f t="shared" ca="1" si="12"/>
        <v>81-001-06</v>
      </c>
      <c r="B150" s="107" t="str">
        <f ca="1">_xlfn.LET(_xlpm.CAPS,0,_xlpm.Style,TRIM(_xlfn.XLOOKUP($A150,Строчный!$A:$A,Строчный!B:B,"ERR",0)),IF(_xlpm.CAPS=0,_xlpm.Style,UPPER(_xlpm.Style)))</f>
        <v>RUTFORD</v>
      </c>
      <c r="C150" s="81" t="str">
        <f ca="1">TRIM(PROPER(_xlfn.XLOOKUP($A150,Строчный!$A:$A,Строчный!C:C,"ERR",0)))</f>
        <v>Кепки</v>
      </c>
      <c r="D150" s="81" t="str">
        <f ca="1">_xlfn.LET(_xlpm.DATA,TRIM(_xlfn.XLOOKUP($A150,Строчный!$A:$A,Строчный!D:D,"ERR",0)),UPPER(MID(_xlpm.DATA,1,1))&amp;LOWER(MID(_xlpm.DATA,2,LEN(_xlpm.DATA)-1)))</f>
        <v>Кепка уточка</v>
      </c>
      <c r="E150" s="81" t="str">
        <f ca="1">PROPER(TRIM(_xlfn.XLOOKUP($A150,Строчный!$A:$A,Строчный!E:E,"ERR",0)))</f>
        <v>Herman</v>
      </c>
      <c r="F150" s="81" t="str">
        <f ca="1">LOWER(TRIM(_xlfn.XLOOKUP($A150,Строчный!$A:$A,Строчный!F:F,"ERR",0)))</f>
        <v>всесезон</v>
      </c>
      <c r="G150" s="81" t="str">
        <f ca="1">UPPER(TRIM(_xlfn.XLOOKUP($A150,Строчный!$A:$A,Строчный!G:G,"ERR",0)))</f>
        <v>HERMAN</v>
      </c>
      <c r="H150" s="81" t="str">
        <f ca="1">LOWER(TRIM(_xlfn.XLOOKUP($A150,Строчный!$A:$A,Строчный!H:H,"ERR",0)))</f>
        <v>blue</v>
      </c>
      <c r="I150" s="81" t="str">
        <f ca="1">LOWER(TRIM(_xlfn.XLOOKUP($A150,Строчный!$A:$A,Строчный!I:I,"ERR",0)))</f>
        <v>синий</v>
      </c>
      <c r="J150" s="81" t="str">
        <f ca="1">SUBSTITUTE(LOWER(TRIM(_xlfn.XLOOKUP($A150,Строчный!$A:$A,Строчный!J:J,"ERR",0))),"подклад","Подклад")</f>
        <v>55% полиэстер - 45% шерсть</v>
      </c>
      <c r="K150" s="81" t="str">
        <f ca="1">LOWER(TRIM(_xlfn.XLOOKUP($A150,Строчный!$A:$A,Строчный!K:K,"ERR",0)))</f>
        <v>шерстяные</v>
      </c>
      <c r="L150" s="81" t="str">
        <f ca="1">PROPER(TRIM(_xlfn.XLOOKUP($A150,Строчный!$A:$A,Строчный!L:L,"ERR",0)))</f>
        <v>Унисекс</v>
      </c>
      <c r="M150" s="113" t="str">
        <f ca="1">PROPER(TRIM(_xlfn.XLOOKUP($A150,Строчный!$A:$A,Строчный!M:M,"ERR",0)))</f>
        <v>Китай</v>
      </c>
      <c r="N150" s="81" t="str">
        <f ca="1">UPPER(TRIM(_xlfn.XLOOKUP($A150,Строчный!$A:$A,Строчный!O:O,"ERR",0)))</f>
        <v/>
      </c>
      <c r="O150" s="102" t="str">
        <f ca="1">PROPER(TRIM(_xlfn.XLOOKUP($A150,Строчный!$A:$A,Строчный!P:P,"ERR",0)))</f>
        <v/>
      </c>
      <c r="P150" s="81" t="str">
        <f ca="1">PROPER(TRIM(_xlfn.XLOOKUP($A150,Строчный!$A:$A,Строчный!R:R,"ERR",0)))</f>
        <v/>
      </c>
      <c r="Q150" s="90">
        <f ca="1">VALUE(_xlfn.XLOOKUP($A150,Строчный!$A:$A,Строчный!N:N,"ERR",0))</f>
        <v>270</v>
      </c>
      <c r="R150" s="89" t="str">
        <f ca="1">_xlfn.XLOOKUP($G150,Фабрика!A:A,Фабрика!B:B,"ERR",0)</f>
        <v>Chapellerie Herman S.A.; Rue Jean Meunier, 6, 6922 Wellin, Belgium</v>
      </c>
      <c r="S150" s="80" t="str">
        <f ca="1">_xlfn.XLOOKUP(RIGHT(AA150,2),Размеры!D:D,Размеры!A:A,"ERR",0)</f>
        <v>61</v>
      </c>
      <c r="T150" s="80">
        <f ca="1">VALUE(_xlfn.XLOOKUP($AA150,Строчный!$S:$S,Строчный!U:U,"ERR",0))</f>
        <v>1</v>
      </c>
      <c r="U150" s="14" t="s">
        <v>265</v>
      </c>
      <c r="V150" s="101" t="str">
        <f t="shared" ca="1" si="13"/>
        <v>Кепка HERMAN арт. RUTFORD (синий)</v>
      </c>
      <c r="W150" s="100" t="str">
        <f t="shared" ca="1" si="14"/>
        <v>Кепка HERMAN арт. RUTFORD (синий) {blue}</v>
      </c>
      <c r="X150" s="18" t="str">
        <f t="shared" ca="1" si="15"/>
        <v>синий</v>
      </c>
      <c r="Y150" s="18" t="str">
        <f t="shared" ca="1" si="16"/>
        <v>синий</v>
      </c>
      <c r="Z150" s="117" t="str">
        <f ca="1">_xlfn.LET(_xlpm.FormColors,_xlfn.XLOOKUP(A150,Строчный!A:A,Строчный!Q:Q,"",0),IF(_xlpm.FormColors=0,IFERROR(MID(I150,FIND("-",I150)+1,LEN(I150)),IFERROR(MID(I150,1,FIND("/",I150)-2),I150)),_xlpm.FormColors))</f>
        <v>синий</v>
      </c>
      <c r="AA150" s="73" t="str">
        <f ca="1"/>
        <v>81-001-06-61</v>
      </c>
      <c r="AB150" s="75" t="str">
        <f ca="1">VLOOKUP(C150,Группа!A:B,2,FALSE)</f>
        <v>Кепка</v>
      </c>
      <c r="AC150" s="97" t="str">
        <f ca="1">IFERROR(VLOOKUP(S150,Размеры!A:C,3,FALSE),"")</f>
        <v>61 XL</v>
      </c>
      <c r="AD150" s="97" t="str">
        <f ca="1">VLOOKUP(I150,ЦветПолный!A:B,2,FALSE)</f>
        <v>06</v>
      </c>
      <c r="AE150" s="97" t="str">
        <f ca="1">IFERROR(VLOOKUP(S150,Размеры!A:D,4,FALSE),"")</f>
        <v>61</v>
      </c>
      <c r="AF150" s="97">
        <f ca="1">IF(LEFT(IFERROR(VLOOKUP(LOOKUP(2,1/SEARCH(B150,Товары!A:A),Товары!A:A),Товары!A:B,2,0),""),6)=MID(AA150,1,6),1,0)</f>
        <v>1</v>
      </c>
      <c r="AH150" s="97">
        <f ca="1">SUMIF(Группа!A:A,C150,Группа!C:C)</f>
        <v>1</v>
      </c>
      <c r="AI150" s="97">
        <f ca="1">SUMIF(Группа!B:B,AB150,Группа!C:C)</f>
        <v>1</v>
      </c>
      <c r="AJ150" s="97">
        <f ca="1">SUMIF(Формы!A:A,D150,Формы!B:B)</f>
        <v>1</v>
      </c>
      <c r="AK150" s="97">
        <f ca="1">SUMIF(Материал!A:A,K150,Материал!B:B)</f>
        <v>1</v>
      </c>
      <c r="AL150" s="97">
        <f ca="1">SUMIF(Размеры!A:A,S150,Размеры!E:E)</f>
        <v>1</v>
      </c>
      <c r="AM150" s="97">
        <f ca="1">SUMIF(Сезон!A:A,F150,Сезон!B:B)</f>
        <v>1</v>
      </c>
      <c r="AN150" s="97">
        <f ca="1">SUMIF(Состав!A:A,J150,Состав!B:B)</f>
        <v>1</v>
      </c>
      <c r="AO150" s="97">
        <f ca="1">VLOOKUP(I150,ЦветПолный!A:C,3,0)</f>
        <v>1</v>
      </c>
      <c r="AP150" s="97">
        <f ca="1">SUMIF(Цвет!A:A,Z150,Цвет!B:B)</f>
        <v>1</v>
      </c>
      <c r="AQ150" s="97">
        <f ca="1">_xlfn.XLOOKUP(L150,Пол!A:A,Пол!B:B,0,0)</f>
        <v>1</v>
      </c>
      <c r="AR150" s="97">
        <f ca="1">SUMIF(Бренд!A:A,G150,Бренд!B:B)</f>
        <v>1</v>
      </c>
      <c r="AS150" s="97">
        <f ca="1">SUMIF(Страна!A:A,M150,Страна!B:B)</f>
        <v>1</v>
      </c>
      <c r="AT150" s="64" t="str">
        <f ca="1">IF(VLOOKUP(W150,Товары!A:B,2,FALSE)=A150,"Есть в 1С","ERR")</f>
        <v>Есть в 1С</v>
      </c>
      <c r="AU150" s="65" t="str">
        <f ca="1">IF(VLOOKUP(A150,Товары!B:B,1,FALSE)=A150,"Есть в 1С","ERR")</f>
        <v>Есть в 1С</v>
      </c>
      <c r="AV150" s="96" t="str">
        <f ca="1">VLOOKUP(W150,Товары!A:B,2,FALSE)</f>
        <v>81-001-06</v>
      </c>
      <c r="AW150" s="94" t="str">
        <f ca="1">VLOOKUP(W150,Товары!A:B,1,FALSE)</f>
        <v>Кепка HERMAN арт. RUTFORD (синий) {blue}</v>
      </c>
    </row>
    <row r="151" spans="1:49" x14ac:dyDescent="0.25">
      <c r="A151" s="110" t="str">
        <f t="shared" ca="1" si="12"/>
        <v>81-001-06</v>
      </c>
      <c r="B151" s="107" t="str">
        <f ca="1">_xlfn.LET(_xlpm.CAPS,0,_xlpm.Style,TRIM(_xlfn.XLOOKUP($A151,Строчный!$A:$A,Строчный!B:B,"ERR",0)),IF(_xlpm.CAPS=0,_xlpm.Style,UPPER(_xlpm.Style)))</f>
        <v>RUTFORD</v>
      </c>
      <c r="C151" s="81" t="str">
        <f ca="1">TRIM(PROPER(_xlfn.XLOOKUP($A151,Строчный!$A:$A,Строчный!C:C,"ERR",0)))</f>
        <v>Кепки</v>
      </c>
      <c r="D151" s="81" t="str">
        <f ca="1">_xlfn.LET(_xlpm.DATA,TRIM(_xlfn.XLOOKUP($A151,Строчный!$A:$A,Строчный!D:D,"ERR",0)),UPPER(MID(_xlpm.DATA,1,1))&amp;LOWER(MID(_xlpm.DATA,2,LEN(_xlpm.DATA)-1)))</f>
        <v>Кепка уточка</v>
      </c>
      <c r="E151" s="81" t="str">
        <f ca="1">PROPER(TRIM(_xlfn.XLOOKUP($A151,Строчный!$A:$A,Строчный!E:E,"ERR",0)))</f>
        <v>Herman</v>
      </c>
      <c r="F151" s="81" t="str">
        <f ca="1">LOWER(TRIM(_xlfn.XLOOKUP($A151,Строчный!$A:$A,Строчный!F:F,"ERR",0)))</f>
        <v>всесезон</v>
      </c>
      <c r="G151" s="81" t="str">
        <f ca="1">UPPER(TRIM(_xlfn.XLOOKUP($A151,Строчный!$A:$A,Строчный!G:G,"ERR",0)))</f>
        <v>HERMAN</v>
      </c>
      <c r="H151" s="81" t="str">
        <f ca="1">LOWER(TRIM(_xlfn.XLOOKUP($A151,Строчный!$A:$A,Строчный!H:H,"ERR",0)))</f>
        <v>blue</v>
      </c>
      <c r="I151" s="81" t="str">
        <f ca="1">LOWER(TRIM(_xlfn.XLOOKUP($A151,Строчный!$A:$A,Строчный!I:I,"ERR",0)))</f>
        <v>синий</v>
      </c>
      <c r="J151" s="81" t="str">
        <f ca="1">SUBSTITUTE(LOWER(TRIM(_xlfn.XLOOKUP($A151,Строчный!$A:$A,Строчный!J:J,"ERR",0))),"подклад","Подклад")</f>
        <v>55% полиэстер - 45% шерсть</v>
      </c>
      <c r="K151" s="81" t="str">
        <f ca="1">LOWER(TRIM(_xlfn.XLOOKUP($A151,Строчный!$A:$A,Строчный!K:K,"ERR",0)))</f>
        <v>шерстяные</v>
      </c>
      <c r="L151" s="81" t="str">
        <f ca="1">PROPER(TRIM(_xlfn.XLOOKUP($A151,Строчный!$A:$A,Строчный!L:L,"ERR",0)))</f>
        <v>Унисекс</v>
      </c>
      <c r="M151" s="113" t="str">
        <f ca="1">PROPER(TRIM(_xlfn.XLOOKUP($A151,Строчный!$A:$A,Строчный!M:M,"ERR",0)))</f>
        <v>Китай</v>
      </c>
      <c r="N151" s="81" t="str">
        <f ca="1">UPPER(TRIM(_xlfn.XLOOKUP($A151,Строчный!$A:$A,Строчный!O:O,"ERR",0)))</f>
        <v/>
      </c>
      <c r="O151" s="102" t="str">
        <f ca="1">PROPER(TRIM(_xlfn.XLOOKUP($A151,Строчный!$A:$A,Строчный!P:P,"ERR",0)))</f>
        <v/>
      </c>
      <c r="P151" s="81" t="str">
        <f ca="1">PROPER(TRIM(_xlfn.XLOOKUP($A151,Строчный!$A:$A,Строчный!R:R,"ERR",0)))</f>
        <v/>
      </c>
      <c r="Q151" s="90">
        <f ca="1">VALUE(_xlfn.XLOOKUP($A151,Строчный!$A:$A,Строчный!N:N,"ERR",0))</f>
        <v>270</v>
      </c>
      <c r="R151" s="89" t="str">
        <f ca="1">_xlfn.XLOOKUP($G151,Фабрика!A:A,Фабрика!B:B,"ERR",0)</f>
        <v>Chapellerie Herman S.A.; Rue Jean Meunier, 6, 6922 Wellin, Belgium</v>
      </c>
      <c r="S151" s="80" t="str">
        <f ca="1">_xlfn.XLOOKUP(RIGHT(AA151,2),Размеры!D:D,Размеры!A:A,"ERR",0)</f>
        <v>59</v>
      </c>
      <c r="T151" s="80">
        <f ca="1">VALUE(_xlfn.XLOOKUP($AA151,Строчный!$S:$S,Строчный!U:U,"ERR",0))</f>
        <v>2</v>
      </c>
      <c r="U151" s="14" t="s">
        <v>265</v>
      </c>
      <c r="V151" s="101" t="str">
        <f t="shared" ca="1" si="13"/>
        <v>Кепка HERMAN арт. RUTFORD (синий)</v>
      </c>
      <c r="W151" s="100" t="str">
        <f t="shared" ca="1" si="14"/>
        <v>Кепка HERMAN арт. RUTFORD (синий) {blue}</v>
      </c>
      <c r="X151" s="18" t="str">
        <f t="shared" ca="1" si="15"/>
        <v>синий</v>
      </c>
      <c r="Y151" s="18" t="str">
        <f t="shared" ca="1" si="16"/>
        <v>синий</v>
      </c>
      <c r="Z151" s="117" t="str">
        <f ca="1">_xlfn.LET(_xlpm.FormColors,_xlfn.XLOOKUP(A151,Строчный!A:A,Строчный!Q:Q,"",0),IF(_xlpm.FormColors=0,IFERROR(MID(I151,FIND("-",I151)+1,LEN(I151)),IFERROR(MID(I151,1,FIND("/",I151)-2),I151)),_xlpm.FormColors))</f>
        <v>синий</v>
      </c>
      <c r="AA151" s="73" t="str">
        <f ca="1"/>
        <v>81-001-06-59</v>
      </c>
      <c r="AB151" s="75" t="str">
        <f ca="1">VLOOKUP(C151,Группа!A:B,2,FALSE)</f>
        <v>Кепка</v>
      </c>
      <c r="AC151" s="97" t="str">
        <f ca="1">IFERROR(VLOOKUP(S151,Размеры!A:C,3,FALSE),"")</f>
        <v>59 L</v>
      </c>
      <c r="AD151" s="97" t="str">
        <f ca="1">VLOOKUP(I151,ЦветПолный!A:B,2,FALSE)</f>
        <v>06</v>
      </c>
      <c r="AE151" s="97" t="str">
        <f ca="1">IFERROR(VLOOKUP(S151,Размеры!A:D,4,FALSE),"")</f>
        <v>59</v>
      </c>
      <c r="AF151" s="97">
        <f ca="1">IF(LEFT(IFERROR(VLOOKUP(LOOKUP(2,1/SEARCH(B151,Товары!A:A),Товары!A:A),Товары!A:B,2,0),""),6)=MID(AA151,1,6),1,0)</f>
        <v>1</v>
      </c>
      <c r="AH151" s="97">
        <f ca="1">SUMIF(Группа!A:A,C151,Группа!C:C)</f>
        <v>1</v>
      </c>
      <c r="AI151" s="97">
        <f ca="1">SUMIF(Группа!B:B,AB151,Группа!C:C)</f>
        <v>1</v>
      </c>
      <c r="AJ151" s="97">
        <f ca="1">SUMIF(Формы!A:A,D151,Формы!B:B)</f>
        <v>1</v>
      </c>
      <c r="AK151" s="97">
        <f ca="1">SUMIF(Материал!A:A,K151,Материал!B:B)</f>
        <v>1</v>
      </c>
      <c r="AL151" s="97">
        <f ca="1">SUMIF(Размеры!A:A,S151,Размеры!E:E)</f>
        <v>1</v>
      </c>
      <c r="AM151" s="97">
        <f ca="1">SUMIF(Сезон!A:A,F151,Сезон!B:B)</f>
        <v>1</v>
      </c>
      <c r="AN151" s="97">
        <f ca="1">SUMIF(Состав!A:A,J151,Состав!B:B)</f>
        <v>1</v>
      </c>
      <c r="AO151" s="97">
        <f ca="1">VLOOKUP(I151,ЦветПолный!A:C,3,0)</f>
        <v>1</v>
      </c>
      <c r="AP151" s="97">
        <f ca="1">SUMIF(Цвет!A:A,Z151,Цвет!B:B)</f>
        <v>1</v>
      </c>
      <c r="AQ151" s="97">
        <f ca="1">_xlfn.XLOOKUP(L151,Пол!A:A,Пол!B:B,0,0)</f>
        <v>1</v>
      </c>
      <c r="AR151" s="97">
        <f ca="1">SUMIF(Бренд!A:A,G151,Бренд!B:B)</f>
        <v>1</v>
      </c>
      <c r="AS151" s="97">
        <f ca="1">SUMIF(Страна!A:A,M151,Страна!B:B)</f>
        <v>1</v>
      </c>
      <c r="AT151" s="64" t="str">
        <f ca="1">IF(VLOOKUP(W151,Товары!A:B,2,FALSE)=A151,"Есть в 1С","ERR")</f>
        <v>Есть в 1С</v>
      </c>
      <c r="AU151" s="65" t="str">
        <f ca="1">IF(VLOOKUP(A151,Товары!B:B,1,FALSE)=A151,"Есть в 1С","ERR")</f>
        <v>Есть в 1С</v>
      </c>
      <c r="AV151" s="96" t="str">
        <f ca="1">VLOOKUP(W151,Товары!A:B,2,FALSE)</f>
        <v>81-001-06</v>
      </c>
      <c r="AW151" s="94" t="str">
        <f ca="1">VLOOKUP(W151,Товары!A:B,1,FALSE)</f>
        <v>Кепка HERMAN арт. RUTFORD (синий) {blue}</v>
      </c>
    </row>
    <row r="152" spans="1:49" x14ac:dyDescent="0.25">
      <c r="A152" s="110" t="str">
        <f t="shared" ca="1" si="12"/>
        <v>81-001-06</v>
      </c>
      <c r="B152" s="107" t="str">
        <f ca="1">_xlfn.LET(_xlpm.CAPS,0,_xlpm.Style,TRIM(_xlfn.XLOOKUP($A152,Строчный!$A:$A,Строчный!B:B,"ERR",0)),IF(_xlpm.CAPS=0,_xlpm.Style,UPPER(_xlpm.Style)))</f>
        <v>RUTFORD</v>
      </c>
      <c r="C152" s="81" t="str">
        <f ca="1">TRIM(PROPER(_xlfn.XLOOKUP($A152,Строчный!$A:$A,Строчный!C:C,"ERR",0)))</f>
        <v>Кепки</v>
      </c>
      <c r="D152" s="81" t="str">
        <f ca="1">_xlfn.LET(_xlpm.DATA,TRIM(_xlfn.XLOOKUP($A152,Строчный!$A:$A,Строчный!D:D,"ERR",0)),UPPER(MID(_xlpm.DATA,1,1))&amp;LOWER(MID(_xlpm.DATA,2,LEN(_xlpm.DATA)-1)))</f>
        <v>Кепка уточка</v>
      </c>
      <c r="E152" s="81" t="str">
        <f ca="1">PROPER(TRIM(_xlfn.XLOOKUP($A152,Строчный!$A:$A,Строчный!E:E,"ERR",0)))</f>
        <v>Herman</v>
      </c>
      <c r="F152" s="81" t="str">
        <f ca="1">LOWER(TRIM(_xlfn.XLOOKUP($A152,Строчный!$A:$A,Строчный!F:F,"ERR",0)))</f>
        <v>всесезон</v>
      </c>
      <c r="G152" s="81" t="str">
        <f ca="1">UPPER(TRIM(_xlfn.XLOOKUP($A152,Строчный!$A:$A,Строчный!G:G,"ERR",0)))</f>
        <v>HERMAN</v>
      </c>
      <c r="H152" s="81" t="str">
        <f ca="1">LOWER(TRIM(_xlfn.XLOOKUP($A152,Строчный!$A:$A,Строчный!H:H,"ERR",0)))</f>
        <v>blue</v>
      </c>
      <c r="I152" s="81" t="str">
        <f ca="1">LOWER(TRIM(_xlfn.XLOOKUP($A152,Строчный!$A:$A,Строчный!I:I,"ERR",0)))</f>
        <v>синий</v>
      </c>
      <c r="J152" s="81" t="str">
        <f ca="1">SUBSTITUTE(LOWER(TRIM(_xlfn.XLOOKUP($A152,Строчный!$A:$A,Строчный!J:J,"ERR",0))),"подклад","Подклад")</f>
        <v>55% полиэстер - 45% шерсть</v>
      </c>
      <c r="K152" s="81" t="str">
        <f ca="1">LOWER(TRIM(_xlfn.XLOOKUP($A152,Строчный!$A:$A,Строчный!K:K,"ERR",0)))</f>
        <v>шерстяные</v>
      </c>
      <c r="L152" s="81" t="str">
        <f ca="1">PROPER(TRIM(_xlfn.XLOOKUP($A152,Строчный!$A:$A,Строчный!L:L,"ERR",0)))</f>
        <v>Унисекс</v>
      </c>
      <c r="M152" s="113" t="str">
        <f ca="1">PROPER(TRIM(_xlfn.XLOOKUP($A152,Строчный!$A:$A,Строчный!M:M,"ERR",0)))</f>
        <v>Китай</v>
      </c>
      <c r="N152" s="81" t="str">
        <f ca="1">UPPER(TRIM(_xlfn.XLOOKUP($A152,Строчный!$A:$A,Строчный!O:O,"ERR",0)))</f>
        <v/>
      </c>
      <c r="O152" s="102" t="str">
        <f ca="1">PROPER(TRIM(_xlfn.XLOOKUP($A152,Строчный!$A:$A,Строчный!P:P,"ERR",0)))</f>
        <v/>
      </c>
      <c r="P152" s="81" t="str">
        <f ca="1">PROPER(TRIM(_xlfn.XLOOKUP($A152,Строчный!$A:$A,Строчный!R:R,"ERR",0)))</f>
        <v/>
      </c>
      <c r="Q152" s="90">
        <f ca="1">VALUE(_xlfn.XLOOKUP($A152,Строчный!$A:$A,Строчный!N:N,"ERR",0))</f>
        <v>270</v>
      </c>
      <c r="R152" s="89" t="str">
        <f ca="1">_xlfn.XLOOKUP($G152,Фабрика!A:A,Фабрика!B:B,"ERR",0)</f>
        <v>Chapellerie Herman S.A.; Rue Jean Meunier, 6, 6922 Wellin, Belgium</v>
      </c>
      <c r="S152" s="80" t="str">
        <f ca="1">_xlfn.XLOOKUP(RIGHT(AA152,2),Размеры!D:D,Размеры!A:A,"ERR",0)</f>
        <v>57</v>
      </c>
      <c r="T152" s="80">
        <f ca="1">VALUE(_xlfn.XLOOKUP($AA152,Строчный!$S:$S,Строчный!U:U,"ERR",0))</f>
        <v>2</v>
      </c>
      <c r="U152" s="14" t="s">
        <v>265</v>
      </c>
      <c r="V152" s="101" t="str">
        <f t="shared" ca="1" si="13"/>
        <v>Кепка HERMAN арт. RUTFORD (синий)</v>
      </c>
      <c r="W152" s="100" t="str">
        <f t="shared" ca="1" si="14"/>
        <v>Кепка HERMAN арт. RUTFORD (синий) {blue}</v>
      </c>
      <c r="X152" s="18" t="str">
        <f t="shared" ca="1" si="15"/>
        <v>синий</v>
      </c>
      <c r="Y152" s="18" t="str">
        <f t="shared" ca="1" si="16"/>
        <v>синий</v>
      </c>
      <c r="Z152" s="117" t="str">
        <f ca="1">_xlfn.LET(_xlpm.FormColors,_xlfn.XLOOKUP(A152,Строчный!A:A,Строчный!Q:Q,"",0),IF(_xlpm.FormColors=0,IFERROR(MID(I152,FIND("-",I152)+1,LEN(I152)),IFERROR(MID(I152,1,FIND("/",I152)-2),I152)),_xlpm.FormColors))</f>
        <v>синий</v>
      </c>
      <c r="AA152" s="73" t="str">
        <f ca="1"/>
        <v>81-001-06-57</v>
      </c>
      <c r="AB152" s="75" t="str">
        <f ca="1">VLOOKUP(C152,Группа!A:B,2,FALSE)</f>
        <v>Кепка</v>
      </c>
      <c r="AC152" s="97" t="str">
        <f ca="1">IFERROR(VLOOKUP(S152,Размеры!A:C,3,FALSE),"")</f>
        <v>57 M</v>
      </c>
      <c r="AD152" s="97" t="str">
        <f ca="1">VLOOKUP(I152,ЦветПолный!A:B,2,FALSE)</f>
        <v>06</v>
      </c>
      <c r="AE152" s="97" t="str">
        <f ca="1">IFERROR(VLOOKUP(S152,Размеры!A:D,4,FALSE),"")</f>
        <v>57</v>
      </c>
      <c r="AF152" s="97">
        <f ca="1">IF(LEFT(IFERROR(VLOOKUP(LOOKUP(2,1/SEARCH(B152,Товары!A:A),Товары!A:A),Товары!A:B,2,0),""),6)=MID(AA152,1,6),1,0)</f>
        <v>1</v>
      </c>
      <c r="AH152" s="97">
        <f ca="1">SUMIF(Группа!A:A,C152,Группа!C:C)</f>
        <v>1</v>
      </c>
      <c r="AI152" s="97">
        <f ca="1">SUMIF(Группа!B:B,AB152,Группа!C:C)</f>
        <v>1</v>
      </c>
      <c r="AJ152" s="97">
        <f ca="1">SUMIF(Формы!A:A,D152,Формы!B:B)</f>
        <v>1</v>
      </c>
      <c r="AK152" s="97">
        <f ca="1">SUMIF(Материал!A:A,K152,Материал!B:B)</f>
        <v>1</v>
      </c>
      <c r="AL152" s="97">
        <f ca="1">SUMIF(Размеры!A:A,S152,Размеры!E:E)</f>
        <v>1</v>
      </c>
      <c r="AM152" s="97">
        <f ca="1">SUMIF(Сезон!A:A,F152,Сезон!B:B)</f>
        <v>1</v>
      </c>
      <c r="AN152" s="97">
        <f ca="1">SUMIF(Состав!A:A,J152,Состав!B:B)</f>
        <v>1</v>
      </c>
      <c r="AO152" s="97">
        <f ca="1">VLOOKUP(I152,ЦветПолный!A:C,3,0)</f>
        <v>1</v>
      </c>
      <c r="AP152" s="97">
        <f ca="1">SUMIF(Цвет!A:A,Z152,Цвет!B:B)</f>
        <v>1</v>
      </c>
      <c r="AQ152" s="97">
        <f ca="1">_xlfn.XLOOKUP(L152,Пол!A:A,Пол!B:B,0,0)</f>
        <v>1</v>
      </c>
      <c r="AR152" s="97">
        <f ca="1">SUMIF(Бренд!A:A,G152,Бренд!B:B)</f>
        <v>1</v>
      </c>
      <c r="AS152" s="97">
        <f ca="1">SUMIF(Страна!A:A,M152,Страна!B:B)</f>
        <v>1</v>
      </c>
      <c r="AT152" s="64" t="str">
        <f ca="1">IF(VLOOKUP(W152,Товары!A:B,2,FALSE)=A152,"Есть в 1С","ERR")</f>
        <v>Есть в 1С</v>
      </c>
      <c r="AU152" s="65" t="str">
        <f ca="1">IF(VLOOKUP(A152,Товары!B:B,1,FALSE)=A152,"Есть в 1С","ERR")</f>
        <v>Есть в 1С</v>
      </c>
      <c r="AV152" s="96" t="str">
        <f ca="1">VLOOKUP(W152,Товары!A:B,2,FALSE)</f>
        <v>81-001-06</v>
      </c>
      <c r="AW152" s="94" t="str">
        <f ca="1">VLOOKUP(W152,Товары!A:B,1,FALSE)</f>
        <v>Кепка HERMAN арт. RUTFORD (синий) {blue}</v>
      </c>
    </row>
    <row r="153" spans="1:49" x14ac:dyDescent="0.25">
      <c r="A153" s="110" t="str">
        <f t="shared" ca="1" si="12"/>
        <v>81-001-06</v>
      </c>
      <c r="B153" s="107" t="str">
        <f ca="1">_xlfn.LET(_xlpm.CAPS,0,_xlpm.Style,TRIM(_xlfn.XLOOKUP($A153,Строчный!$A:$A,Строчный!B:B,"ERR",0)),IF(_xlpm.CAPS=0,_xlpm.Style,UPPER(_xlpm.Style)))</f>
        <v>RUTFORD</v>
      </c>
      <c r="C153" s="81" t="str">
        <f ca="1">TRIM(PROPER(_xlfn.XLOOKUP($A153,Строчный!$A:$A,Строчный!C:C,"ERR",0)))</f>
        <v>Кепки</v>
      </c>
      <c r="D153" s="81" t="str">
        <f ca="1">_xlfn.LET(_xlpm.DATA,TRIM(_xlfn.XLOOKUP($A153,Строчный!$A:$A,Строчный!D:D,"ERR",0)),UPPER(MID(_xlpm.DATA,1,1))&amp;LOWER(MID(_xlpm.DATA,2,LEN(_xlpm.DATA)-1)))</f>
        <v>Кепка уточка</v>
      </c>
      <c r="E153" s="81" t="str">
        <f ca="1">PROPER(TRIM(_xlfn.XLOOKUP($A153,Строчный!$A:$A,Строчный!E:E,"ERR",0)))</f>
        <v>Herman</v>
      </c>
      <c r="F153" s="81" t="str">
        <f ca="1">LOWER(TRIM(_xlfn.XLOOKUP($A153,Строчный!$A:$A,Строчный!F:F,"ERR",0)))</f>
        <v>всесезон</v>
      </c>
      <c r="G153" s="81" t="str">
        <f ca="1">UPPER(TRIM(_xlfn.XLOOKUP($A153,Строчный!$A:$A,Строчный!G:G,"ERR",0)))</f>
        <v>HERMAN</v>
      </c>
      <c r="H153" s="81" t="str">
        <f ca="1">LOWER(TRIM(_xlfn.XLOOKUP($A153,Строчный!$A:$A,Строчный!H:H,"ERR",0)))</f>
        <v>blue</v>
      </c>
      <c r="I153" s="81" t="str">
        <f ca="1">LOWER(TRIM(_xlfn.XLOOKUP($A153,Строчный!$A:$A,Строчный!I:I,"ERR",0)))</f>
        <v>синий</v>
      </c>
      <c r="J153" s="81" t="str">
        <f ca="1">SUBSTITUTE(LOWER(TRIM(_xlfn.XLOOKUP($A153,Строчный!$A:$A,Строчный!J:J,"ERR",0))),"подклад","Подклад")</f>
        <v>55% полиэстер - 45% шерсть</v>
      </c>
      <c r="K153" s="81" t="str">
        <f ca="1">LOWER(TRIM(_xlfn.XLOOKUP($A153,Строчный!$A:$A,Строчный!K:K,"ERR",0)))</f>
        <v>шерстяные</v>
      </c>
      <c r="L153" s="81" t="str">
        <f ca="1">PROPER(TRIM(_xlfn.XLOOKUP($A153,Строчный!$A:$A,Строчный!L:L,"ERR",0)))</f>
        <v>Унисекс</v>
      </c>
      <c r="M153" s="113" t="str">
        <f ca="1">PROPER(TRIM(_xlfn.XLOOKUP($A153,Строчный!$A:$A,Строчный!M:M,"ERR",0)))</f>
        <v>Китай</v>
      </c>
      <c r="N153" s="81" t="str">
        <f ca="1">UPPER(TRIM(_xlfn.XLOOKUP($A153,Строчный!$A:$A,Строчный!O:O,"ERR",0)))</f>
        <v/>
      </c>
      <c r="O153" s="102" t="str">
        <f ca="1">PROPER(TRIM(_xlfn.XLOOKUP($A153,Строчный!$A:$A,Строчный!P:P,"ERR",0)))</f>
        <v/>
      </c>
      <c r="P153" s="81" t="str">
        <f ca="1">PROPER(TRIM(_xlfn.XLOOKUP($A153,Строчный!$A:$A,Строчный!R:R,"ERR",0)))</f>
        <v/>
      </c>
      <c r="Q153" s="90">
        <f ca="1">VALUE(_xlfn.XLOOKUP($A153,Строчный!$A:$A,Строчный!N:N,"ERR",0))</f>
        <v>270</v>
      </c>
      <c r="R153" s="89" t="str">
        <f ca="1">_xlfn.XLOOKUP($G153,Фабрика!A:A,Фабрика!B:B,"ERR",0)</f>
        <v>Chapellerie Herman S.A.; Rue Jean Meunier, 6, 6922 Wellin, Belgium</v>
      </c>
      <c r="S153" s="80" t="str">
        <f ca="1">_xlfn.XLOOKUP(RIGHT(AA153,2),Размеры!D:D,Размеры!A:A,"ERR",0)</f>
        <v>55</v>
      </c>
      <c r="T153" s="80">
        <f ca="1">VALUE(_xlfn.XLOOKUP($AA153,Строчный!$S:$S,Строчный!U:U,"ERR",0))</f>
        <v>1</v>
      </c>
      <c r="U153" s="14" t="s">
        <v>265</v>
      </c>
      <c r="V153" s="101" t="str">
        <f t="shared" ca="1" si="13"/>
        <v>Кепка HERMAN арт. RUTFORD (синий)</v>
      </c>
      <c r="W153" s="100" t="str">
        <f t="shared" ca="1" si="14"/>
        <v>Кепка HERMAN арт. RUTFORD (синий) {blue}</v>
      </c>
      <c r="X153" s="18" t="str">
        <f t="shared" ca="1" si="15"/>
        <v>синий</v>
      </c>
      <c r="Y153" s="18" t="str">
        <f t="shared" ca="1" si="16"/>
        <v>синий</v>
      </c>
      <c r="Z153" s="117" t="str">
        <f ca="1">_xlfn.LET(_xlpm.FormColors,_xlfn.XLOOKUP(A153,Строчный!A:A,Строчный!Q:Q,"",0),IF(_xlpm.FormColors=0,IFERROR(MID(I153,FIND("-",I153)+1,LEN(I153)),IFERROR(MID(I153,1,FIND("/",I153)-2),I153)),_xlpm.FormColors))</f>
        <v>синий</v>
      </c>
      <c r="AA153" s="73" t="str">
        <f ca="1"/>
        <v>81-001-06-55</v>
      </c>
      <c r="AB153" s="75" t="str">
        <f ca="1">VLOOKUP(C153,Группа!A:B,2,FALSE)</f>
        <v>Кепка</v>
      </c>
      <c r="AC153" s="97" t="str">
        <f ca="1">IFERROR(VLOOKUP(S153,Размеры!A:C,3,FALSE),"")</f>
        <v>55 S</v>
      </c>
      <c r="AD153" s="97" t="str">
        <f ca="1">VLOOKUP(I153,ЦветПолный!A:B,2,FALSE)</f>
        <v>06</v>
      </c>
      <c r="AE153" s="97" t="str">
        <f ca="1">IFERROR(VLOOKUP(S153,Размеры!A:D,4,FALSE),"")</f>
        <v>55</v>
      </c>
      <c r="AF153" s="97">
        <f ca="1">IF(LEFT(IFERROR(VLOOKUP(LOOKUP(2,1/SEARCH(B153,Товары!A:A),Товары!A:A),Товары!A:B,2,0),""),6)=MID(AA153,1,6),1,0)</f>
        <v>1</v>
      </c>
      <c r="AH153" s="97">
        <f ca="1">SUMIF(Группа!A:A,C153,Группа!C:C)</f>
        <v>1</v>
      </c>
      <c r="AI153" s="97">
        <f ca="1">SUMIF(Группа!B:B,AB153,Группа!C:C)</f>
        <v>1</v>
      </c>
      <c r="AJ153" s="97">
        <f ca="1">SUMIF(Формы!A:A,D153,Формы!B:B)</f>
        <v>1</v>
      </c>
      <c r="AK153" s="97">
        <f ca="1">SUMIF(Материал!A:A,K153,Материал!B:B)</f>
        <v>1</v>
      </c>
      <c r="AL153" s="97">
        <f ca="1">SUMIF(Размеры!A:A,S153,Размеры!E:E)</f>
        <v>1</v>
      </c>
      <c r="AM153" s="97">
        <f ca="1">SUMIF(Сезон!A:A,F153,Сезон!B:B)</f>
        <v>1</v>
      </c>
      <c r="AN153" s="97">
        <f ca="1">SUMIF(Состав!A:A,J153,Состав!B:B)</f>
        <v>1</v>
      </c>
      <c r="AO153" s="97">
        <f ca="1">VLOOKUP(I153,ЦветПолный!A:C,3,0)</f>
        <v>1</v>
      </c>
      <c r="AP153" s="97">
        <f ca="1">SUMIF(Цвет!A:A,Z153,Цвет!B:B)</f>
        <v>1</v>
      </c>
      <c r="AQ153" s="97">
        <f ca="1">_xlfn.XLOOKUP(L153,Пол!A:A,Пол!B:B,0,0)</f>
        <v>1</v>
      </c>
      <c r="AR153" s="97">
        <f ca="1">SUMIF(Бренд!A:A,G153,Бренд!B:B)</f>
        <v>1</v>
      </c>
      <c r="AS153" s="97">
        <f ca="1">SUMIF(Страна!A:A,M153,Страна!B:B)</f>
        <v>1</v>
      </c>
      <c r="AT153" s="64" t="str">
        <f ca="1">IF(VLOOKUP(W153,Товары!A:B,2,FALSE)=A153,"Есть в 1С","ERR")</f>
        <v>Есть в 1С</v>
      </c>
      <c r="AU153" s="65" t="str">
        <f ca="1">IF(VLOOKUP(A153,Товары!B:B,1,FALSE)=A153,"Есть в 1С","ERR")</f>
        <v>Есть в 1С</v>
      </c>
      <c r="AV153" s="96" t="str">
        <f ca="1">VLOOKUP(W153,Товары!A:B,2,FALSE)</f>
        <v>81-001-06</v>
      </c>
      <c r="AW153" s="94" t="str">
        <f ca="1">VLOOKUP(W153,Товары!A:B,1,FALSE)</f>
        <v>Кепка HERMAN арт. RUTFORD (синий) {blue}</v>
      </c>
    </row>
    <row r="154" spans="1:49" x14ac:dyDescent="0.25">
      <c r="A154" s="110" t="str">
        <f t="shared" ca="1" si="12"/>
        <v>80-941-80</v>
      </c>
      <c r="B154" s="107" t="str">
        <f ca="1">_xlfn.LET(_xlpm.CAPS,0,_xlpm.Style,TRIM(_xlfn.XLOOKUP($A154,Строчный!$A:$A,Строчный!B:B,"ERR",0)),IF(_xlpm.CAPS=0,_xlpm.Style,UPPER(_xlpm.Style)))</f>
        <v>AGUSTA</v>
      </c>
      <c r="C154" s="81" t="str">
        <f ca="1">TRIM(PROPER(_xlfn.XLOOKUP($A154,Строчный!$A:$A,Строчный!C:C,"ERR",0)))</f>
        <v>Бейсболки</v>
      </c>
      <c r="D154" s="81" t="str">
        <f ca="1">_xlfn.LET(_xlpm.DATA,TRIM(_xlfn.XLOOKUP($A154,Строчный!$A:$A,Строчный!D:D,"ERR",0)),UPPER(MID(_xlpm.DATA,1,1))&amp;LOWER(MID(_xlpm.DATA,2,LEN(_xlpm.DATA)-1)))</f>
        <v>Бейсболка</v>
      </c>
      <c r="E154" s="81" t="str">
        <f ca="1">PROPER(TRIM(_xlfn.XLOOKUP($A154,Строчный!$A:$A,Строчный!E:E,"ERR",0)))</f>
        <v>Herman</v>
      </c>
      <c r="F154" s="81" t="str">
        <f ca="1">LOWER(TRIM(_xlfn.XLOOKUP($A154,Строчный!$A:$A,Строчный!F:F,"ERR",0)))</f>
        <v>всесезон</v>
      </c>
      <c r="G154" s="81" t="str">
        <f ca="1">UPPER(TRIM(_xlfn.XLOOKUP($A154,Строчный!$A:$A,Строчный!G:G,"ERR",0)))</f>
        <v>HERMAN</v>
      </c>
      <c r="H154" s="81" t="str">
        <f ca="1">LOWER(TRIM(_xlfn.XLOOKUP($A154,Строчный!$A:$A,Строчный!H:H,"ERR",0)))</f>
        <v>grey</v>
      </c>
      <c r="I154" s="81" t="str">
        <f ca="1">LOWER(TRIM(_xlfn.XLOOKUP($A154,Строчный!$A:$A,Строчный!I:I,"ERR",0)))</f>
        <v>серый</v>
      </c>
      <c r="J154" s="81" t="str">
        <f ca="1">SUBSTITUTE(LOWER(TRIM(_xlfn.XLOOKUP($A154,Строчный!$A:$A,Строчный!J:J,"ERR",0))),"подклад","Подклад")</f>
        <v>100% хлопок</v>
      </c>
      <c r="K154" s="81" t="str">
        <f ca="1">LOWER(TRIM(_xlfn.XLOOKUP($A154,Строчный!$A:$A,Строчный!K:K,"ERR",0)))</f>
        <v>хлопковые</v>
      </c>
      <c r="L154" s="81" t="str">
        <f ca="1">PROPER(TRIM(_xlfn.XLOOKUP($A154,Строчный!$A:$A,Строчный!L:L,"ERR",0)))</f>
        <v>Унисекс</v>
      </c>
      <c r="M154" s="113" t="str">
        <f ca="1">PROPER(TRIM(_xlfn.XLOOKUP($A154,Строчный!$A:$A,Строчный!M:M,"ERR",0)))</f>
        <v>Китай</v>
      </c>
      <c r="N154" s="81" t="str">
        <f ca="1">UPPER(TRIM(_xlfn.XLOOKUP($A154,Строчный!$A:$A,Строчный!O:O,"ERR",0)))</f>
        <v/>
      </c>
      <c r="O154" s="102" t="str">
        <f ca="1">PROPER(TRIM(_xlfn.XLOOKUP($A154,Строчный!$A:$A,Строчный!P:P,"ERR",0)))</f>
        <v/>
      </c>
      <c r="P154" s="81" t="str">
        <f ca="1">PROPER(TRIM(_xlfn.XLOOKUP($A154,Строчный!$A:$A,Строчный!R:R,"ERR",0)))</f>
        <v/>
      </c>
      <c r="Q154" s="90">
        <f ca="1">VALUE(_xlfn.XLOOKUP($A154,Строчный!$A:$A,Строчный!N:N,"ERR",0))</f>
        <v>749.7</v>
      </c>
      <c r="R154" s="89" t="str">
        <f ca="1">_xlfn.XLOOKUP($G154,Фабрика!A:A,Фабрика!B:B,"ERR",0)</f>
        <v>Chapellerie Herman S.A.; Rue Jean Meunier, 6, 6922 Wellin, Belgium</v>
      </c>
      <c r="S154" s="80" t="str">
        <f ca="1">_xlfn.XLOOKUP(RIGHT(AA154,2),Размеры!D:D,Размеры!A:A,"ERR",0)</f>
        <v>59</v>
      </c>
      <c r="T154" s="80">
        <f ca="1">VALUE(_xlfn.XLOOKUP($AA154,Строчный!$S:$S,Строчный!U:U,"ERR",0))</f>
        <v>30</v>
      </c>
      <c r="U154" s="14" t="s">
        <v>265</v>
      </c>
      <c r="V154" s="101" t="str">
        <f t="shared" ca="1" si="13"/>
        <v>Бейсболка HERMAN арт. AGUSTA (серый)</v>
      </c>
      <c r="W154" s="100" t="str">
        <f t="shared" ca="1" si="14"/>
        <v>Бейсболка HERMAN арт. AGUSTA (серый) {grey}</v>
      </c>
      <c r="X154" s="18" t="str">
        <f t="shared" ca="1" si="15"/>
        <v>серый</v>
      </c>
      <c r="Y154" s="18" t="str">
        <f t="shared" ca="1" si="16"/>
        <v>серый</v>
      </c>
      <c r="Z154" s="117" t="str">
        <f ca="1">_xlfn.LET(_xlpm.FormColors,_xlfn.XLOOKUP(A154,Строчный!A:A,Строчный!Q:Q,"",0),IF(_xlpm.FormColors=0,IFERROR(MID(I154,FIND("-",I154)+1,LEN(I154)),IFERROR(MID(I154,1,FIND("/",I154)-2),I154)),_xlpm.FormColors))</f>
        <v>серый</v>
      </c>
      <c r="AA154" s="73" t="str">
        <f ca="1"/>
        <v>80-941-80-59</v>
      </c>
      <c r="AB154" s="75" t="str">
        <f ca="1">VLOOKUP(C154,Группа!A:B,2,FALSE)</f>
        <v>Бейсболка</v>
      </c>
      <c r="AC154" s="97" t="str">
        <f ca="1">IFERROR(VLOOKUP(S154,Размеры!A:C,3,FALSE),"")</f>
        <v>59 L</v>
      </c>
      <c r="AD154" s="97" t="str">
        <f ca="1">VLOOKUP(I154,ЦветПолный!A:B,2,FALSE)</f>
        <v>80</v>
      </c>
      <c r="AE154" s="97" t="str">
        <f ca="1">IFERROR(VLOOKUP(S154,Размеры!A:D,4,FALSE),"")</f>
        <v>59</v>
      </c>
      <c r="AF154" s="97">
        <f ca="1">IF(LEFT(IFERROR(VLOOKUP(LOOKUP(2,1/SEARCH(B154,Товары!A:A),Товары!A:A),Товары!A:B,2,0),""),6)=MID(AA154,1,6),1,0)</f>
        <v>0</v>
      </c>
      <c r="AH154" s="97">
        <f ca="1">SUMIF(Группа!A:A,C154,Группа!C:C)</f>
        <v>1</v>
      </c>
      <c r="AI154" s="97">
        <f ca="1">SUMIF(Группа!B:B,AB154,Группа!C:C)</f>
        <v>1</v>
      </c>
      <c r="AJ154" s="97">
        <f ca="1">SUMIF(Формы!A:A,D154,Формы!B:B)</f>
        <v>1</v>
      </c>
      <c r="AK154" s="97">
        <f ca="1">SUMIF(Материал!A:A,K154,Материал!B:B)</f>
        <v>1</v>
      </c>
      <c r="AL154" s="97">
        <f ca="1">SUMIF(Размеры!A:A,S154,Размеры!E:E)</f>
        <v>1</v>
      </c>
      <c r="AM154" s="97">
        <f ca="1">SUMIF(Сезон!A:A,F154,Сезон!B:B)</f>
        <v>1</v>
      </c>
      <c r="AN154" s="97">
        <f ca="1">SUMIF(Состав!A:A,J154,Состав!B:B)</f>
        <v>1</v>
      </c>
      <c r="AO154" s="97">
        <f ca="1">VLOOKUP(I154,ЦветПолный!A:C,3,0)</f>
        <v>1</v>
      </c>
      <c r="AP154" s="97">
        <f ca="1">SUMIF(Цвет!A:A,Z154,Цвет!B:B)</f>
        <v>1</v>
      </c>
      <c r="AQ154" s="97">
        <f ca="1">_xlfn.XLOOKUP(L154,Пол!A:A,Пол!B:B,0,0)</f>
        <v>1</v>
      </c>
      <c r="AR154" s="97">
        <f ca="1">SUMIF(Бренд!A:A,G154,Бренд!B:B)</f>
        <v>1</v>
      </c>
      <c r="AS154" s="97">
        <f ca="1">SUMIF(Страна!A:A,M154,Страна!B:B)</f>
        <v>1</v>
      </c>
      <c r="AT154" s="64" t="e">
        <f ca="1">IF(VLOOKUP(W154,Товары!A:B,2,FALSE)=A154,"Есть в 1С","ERR")</f>
        <v>#N/A</v>
      </c>
      <c r="AU154" s="65" t="e">
        <f ca="1">IF(VLOOKUP(A154,Товары!B:B,1,FALSE)=A154,"Есть в 1С","ERR")</f>
        <v>#N/A</v>
      </c>
      <c r="AV154" s="96" t="e">
        <f ca="1">VLOOKUP(W154,Товары!A:B,2,FALSE)</f>
        <v>#N/A</v>
      </c>
      <c r="AW154" s="94" t="e">
        <f ca="1">VLOOKUP(W154,Товары!A:B,1,FALSE)</f>
        <v>#N/A</v>
      </c>
    </row>
    <row r="155" spans="1:49" x14ac:dyDescent="0.25">
      <c r="A155" s="110" t="str">
        <f t="shared" ca="1" si="12"/>
        <v>80-941-80</v>
      </c>
      <c r="B155" s="107" t="str">
        <f ca="1">_xlfn.LET(_xlpm.CAPS,0,_xlpm.Style,TRIM(_xlfn.XLOOKUP($A155,Строчный!$A:$A,Строчный!B:B,"ERR",0)),IF(_xlpm.CAPS=0,_xlpm.Style,UPPER(_xlpm.Style)))</f>
        <v>AGUSTA</v>
      </c>
      <c r="C155" s="81" t="str">
        <f ca="1">TRIM(PROPER(_xlfn.XLOOKUP($A155,Строчный!$A:$A,Строчный!C:C,"ERR",0)))</f>
        <v>Бейсболки</v>
      </c>
      <c r="D155" s="81" t="str">
        <f ca="1">_xlfn.LET(_xlpm.DATA,TRIM(_xlfn.XLOOKUP($A155,Строчный!$A:$A,Строчный!D:D,"ERR",0)),UPPER(MID(_xlpm.DATA,1,1))&amp;LOWER(MID(_xlpm.DATA,2,LEN(_xlpm.DATA)-1)))</f>
        <v>Бейсболка</v>
      </c>
      <c r="E155" s="81" t="str">
        <f ca="1">PROPER(TRIM(_xlfn.XLOOKUP($A155,Строчный!$A:$A,Строчный!E:E,"ERR",0)))</f>
        <v>Herman</v>
      </c>
      <c r="F155" s="81" t="str">
        <f ca="1">LOWER(TRIM(_xlfn.XLOOKUP($A155,Строчный!$A:$A,Строчный!F:F,"ERR",0)))</f>
        <v>всесезон</v>
      </c>
      <c r="G155" s="81" t="str">
        <f ca="1">UPPER(TRIM(_xlfn.XLOOKUP($A155,Строчный!$A:$A,Строчный!G:G,"ERR",0)))</f>
        <v>HERMAN</v>
      </c>
      <c r="H155" s="81" t="str">
        <f ca="1">LOWER(TRIM(_xlfn.XLOOKUP($A155,Строчный!$A:$A,Строчный!H:H,"ERR",0)))</f>
        <v>grey</v>
      </c>
      <c r="I155" s="81" t="str">
        <f ca="1">LOWER(TRIM(_xlfn.XLOOKUP($A155,Строчный!$A:$A,Строчный!I:I,"ERR",0)))</f>
        <v>серый</v>
      </c>
      <c r="J155" s="81" t="str">
        <f ca="1">SUBSTITUTE(LOWER(TRIM(_xlfn.XLOOKUP($A155,Строчный!$A:$A,Строчный!J:J,"ERR",0))),"подклад","Подклад")</f>
        <v>100% хлопок</v>
      </c>
      <c r="K155" s="81" t="str">
        <f ca="1">LOWER(TRIM(_xlfn.XLOOKUP($A155,Строчный!$A:$A,Строчный!K:K,"ERR",0)))</f>
        <v>хлопковые</v>
      </c>
      <c r="L155" s="81" t="str">
        <f ca="1">PROPER(TRIM(_xlfn.XLOOKUP($A155,Строчный!$A:$A,Строчный!L:L,"ERR",0)))</f>
        <v>Унисекс</v>
      </c>
      <c r="M155" s="113" t="str">
        <f ca="1">PROPER(TRIM(_xlfn.XLOOKUP($A155,Строчный!$A:$A,Строчный!M:M,"ERR",0)))</f>
        <v>Китай</v>
      </c>
      <c r="N155" s="81" t="str">
        <f ca="1">UPPER(TRIM(_xlfn.XLOOKUP($A155,Строчный!$A:$A,Строчный!O:O,"ERR",0)))</f>
        <v/>
      </c>
      <c r="O155" s="102" t="str">
        <f ca="1">PROPER(TRIM(_xlfn.XLOOKUP($A155,Строчный!$A:$A,Строчный!P:P,"ERR",0)))</f>
        <v/>
      </c>
      <c r="P155" s="81" t="str">
        <f ca="1">PROPER(TRIM(_xlfn.XLOOKUP($A155,Строчный!$A:$A,Строчный!R:R,"ERR",0)))</f>
        <v/>
      </c>
      <c r="Q155" s="90">
        <f ca="1">VALUE(_xlfn.XLOOKUP($A155,Строчный!$A:$A,Строчный!N:N,"ERR",0))</f>
        <v>749.7</v>
      </c>
      <c r="R155" s="89" t="str">
        <f ca="1">_xlfn.XLOOKUP($G155,Фабрика!A:A,Фабрика!B:B,"ERR",0)</f>
        <v>Chapellerie Herman S.A.; Rue Jean Meunier, 6, 6922 Wellin, Belgium</v>
      </c>
      <c r="S155" s="80" t="str">
        <f ca="1">_xlfn.XLOOKUP(RIGHT(AA155,2),Размеры!D:D,Размеры!A:A,"ERR",0)</f>
        <v>57</v>
      </c>
      <c r="T155" s="80">
        <f ca="1">VALUE(_xlfn.XLOOKUP($AA155,Строчный!$S:$S,Строчный!U:U,"ERR",0))</f>
        <v>30</v>
      </c>
      <c r="U155" s="14" t="s">
        <v>265</v>
      </c>
      <c r="V155" s="101" t="str">
        <f t="shared" ca="1" si="13"/>
        <v>Бейсболка HERMAN арт. AGUSTA (серый)</v>
      </c>
      <c r="W155" s="100" t="str">
        <f t="shared" ca="1" si="14"/>
        <v>Бейсболка HERMAN арт. AGUSTA (серый) {grey}</v>
      </c>
      <c r="X155" s="18" t="str">
        <f t="shared" ca="1" si="15"/>
        <v>серый</v>
      </c>
      <c r="Y155" s="18" t="str">
        <f t="shared" ca="1" si="16"/>
        <v>серый</v>
      </c>
      <c r="Z155" s="117" t="str">
        <f ca="1">_xlfn.LET(_xlpm.FormColors,_xlfn.XLOOKUP(A155,Строчный!A:A,Строчный!Q:Q,"",0),IF(_xlpm.FormColors=0,IFERROR(MID(I155,FIND("-",I155)+1,LEN(I155)),IFERROR(MID(I155,1,FIND("/",I155)-2),I155)),_xlpm.FormColors))</f>
        <v>серый</v>
      </c>
      <c r="AA155" s="73" t="str">
        <f ca="1"/>
        <v>80-941-80-57</v>
      </c>
      <c r="AB155" s="75" t="str">
        <f ca="1">VLOOKUP(C155,Группа!A:B,2,FALSE)</f>
        <v>Бейсболка</v>
      </c>
      <c r="AC155" s="97" t="str">
        <f ca="1">IFERROR(VLOOKUP(S155,Размеры!A:C,3,FALSE),"")</f>
        <v>57 M</v>
      </c>
      <c r="AD155" s="97" t="str">
        <f ca="1">VLOOKUP(I155,ЦветПолный!A:B,2,FALSE)</f>
        <v>80</v>
      </c>
      <c r="AE155" s="97" t="str">
        <f ca="1">IFERROR(VLOOKUP(S155,Размеры!A:D,4,FALSE),"")</f>
        <v>57</v>
      </c>
      <c r="AF155" s="97">
        <f ca="1">IF(LEFT(IFERROR(VLOOKUP(LOOKUP(2,1/SEARCH(B155,Товары!A:A),Товары!A:A),Товары!A:B,2,0),""),6)=MID(AA155,1,6),1,0)</f>
        <v>0</v>
      </c>
      <c r="AH155" s="97">
        <f ca="1">SUMIF(Группа!A:A,C155,Группа!C:C)</f>
        <v>1</v>
      </c>
      <c r="AI155" s="97">
        <f ca="1">SUMIF(Группа!B:B,AB155,Группа!C:C)</f>
        <v>1</v>
      </c>
      <c r="AJ155" s="97">
        <f ca="1">SUMIF(Формы!A:A,D155,Формы!B:B)</f>
        <v>1</v>
      </c>
      <c r="AK155" s="97">
        <f ca="1">SUMIF(Материал!A:A,K155,Материал!B:B)</f>
        <v>1</v>
      </c>
      <c r="AL155" s="97">
        <f ca="1">SUMIF(Размеры!A:A,S155,Размеры!E:E)</f>
        <v>1</v>
      </c>
      <c r="AM155" s="97">
        <f ca="1">SUMIF(Сезон!A:A,F155,Сезон!B:B)</f>
        <v>1</v>
      </c>
      <c r="AN155" s="97">
        <f ca="1">SUMIF(Состав!A:A,J155,Состав!B:B)</f>
        <v>1</v>
      </c>
      <c r="AO155" s="97">
        <f ca="1">VLOOKUP(I155,ЦветПолный!A:C,3,0)</f>
        <v>1</v>
      </c>
      <c r="AP155" s="97">
        <f ca="1">SUMIF(Цвет!A:A,Z155,Цвет!B:B)</f>
        <v>1</v>
      </c>
      <c r="AQ155" s="97">
        <f ca="1">_xlfn.XLOOKUP(L155,Пол!A:A,Пол!B:B,0,0)</f>
        <v>1</v>
      </c>
      <c r="AR155" s="97">
        <f ca="1">SUMIF(Бренд!A:A,G155,Бренд!B:B)</f>
        <v>1</v>
      </c>
      <c r="AS155" s="97">
        <f ca="1">SUMIF(Страна!A:A,M155,Страна!B:B)</f>
        <v>1</v>
      </c>
      <c r="AT155" s="64" t="e">
        <f ca="1">IF(VLOOKUP(W155,Товары!A:B,2,FALSE)=A155,"Есть в 1С","ERR")</f>
        <v>#N/A</v>
      </c>
      <c r="AU155" s="65" t="e">
        <f ca="1">IF(VLOOKUP(A155,Товары!B:B,1,FALSE)=A155,"Есть в 1С","ERR")</f>
        <v>#N/A</v>
      </c>
      <c r="AV155" s="96" t="e">
        <f ca="1">VLOOKUP(W155,Товары!A:B,2,FALSE)</f>
        <v>#N/A</v>
      </c>
      <c r="AW155" s="94" t="e">
        <f ca="1">VLOOKUP(W155,Товары!A:B,1,FALSE)</f>
        <v>#N/A</v>
      </c>
    </row>
    <row r="156" spans="1:49" x14ac:dyDescent="0.25">
      <c r="A156" s="110" t="str">
        <f t="shared" ca="1" si="12"/>
        <v>80-941-19</v>
      </c>
      <c r="B156" s="107" t="str">
        <f ca="1">_xlfn.LET(_xlpm.CAPS,0,_xlpm.Style,TRIM(_xlfn.XLOOKUP($A156,Строчный!$A:$A,Строчный!B:B,"ERR",0)),IF(_xlpm.CAPS=0,_xlpm.Style,UPPER(_xlpm.Style)))</f>
        <v>KITE</v>
      </c>
      <c r="C156" s="81" t="str">
        <f ca="1">TRIM(PROPER(_xlfn.XLOOKUP($A156,Строчный!$A:$A,Строчный!C:C,"ERR",0)))</f>
        <v>Бейсболки</v>
      </c>
      <c r="D156" s="81" t="str">
        <f ca="1">_xlfn.LET(_xlpm.DATA,TRIM(_xlfn.XLOOKUP($A156,Строчный!$A:$A,Строчный!D:D,"ERR",0)),UPPER(MID(_xlpm.DATA,1,1))&amp;LOWER(MID(_xlpm.DATA,2,LEN(_xlpm.DATA)-1)))</f>
        <v>Бейсболка</v>
      </c>
      <c r="E156" s="81" t="str">
        <f ca="1">PROPER(TRIM(_xlfn.XLOOKUP($A156,Строчный!$A:$A,Строчный!E:E,"ERR",0)))</f>
        <v>Herman</v>
      </c>
      <c r="F156" s="81" t="str">
        <f ca="1">LOWER(TRIM(_xlfn.XLOOKUP($A156,Строчный!$A:$A,Строчный!F:F,"ERR",0)))</f>
        <v>летний</v>
      </c>
      <c r="G156" s="81" t="str">
        <f ca="1">UPPER(TRIM(_xlfn.XLOOKUP($A156,Строчный!$A:$A,Строчный!G:G,"ERR",0)))</f>
        <v>HERMAN</v>
      </c>
      <c r="H156" s="81" t="str">
        <f ca="1">LOWER(TRIM(_xlfn.XLOOKUP($A156,Строчный!$A:$A,Строчный!H:H,"ERR",0)))</f>
        <v>blue</v>
      </c>
      <c r="I156" s="81" t="str">
        <f ca="1">LOWER(TRIM(_xlfn.XLOOKUP($A156,Строчный!$A:$A,Строчный!I:I,"ERR",0)))</f>
        <v>голубой</v>
      </c>
      <c r="J156" s="81" t="str">
        <f ca="1">SUBSTITUTE(LOWER(TRIM(_xlfn.XLOOKUP($A156,Строчный!$A:$A,Строчный!J:J,"ERR",0))),"подклад","Подклад")</f>
        <v>100% хлопок</v>
      </c>
      <c r="K156" s="81" t="str">
        <f ca="1">LOWER(TRIM(_xlfn.XLOOKUP($A156,Строчный!$A:$A,Строчный!K:K,"ERR",0)))</f>
        <v>хлопковые</v>
      </c>
      <c r="L156" s="81" t="str">
        <f ca="1">PROPER(TRIM(_xlfn.XLOOKUP($A156,Строчный!$A:$A,Строчный!L:L,"ERR",0)))</f>
        <v>Унисекс</v>
      </c>
      <c r="M156" s="113" t="str">
        <f ca="1">PROPER(TRIM(_xlfn.XLOOKUP($A156,Строчный!$A:$A,Строчный!M:M,"ERR",0)))</f>
        <v>Китай</v>
      </c>
      <c r="N156" s="81" t="str">
        <f ca="1">UPPER(TRIM(_xlfn.XLOOKUP($A156,Строчный!$A:$A,Строчный!O:O,"ERR",0)))</f>
        <v/>
      </c>
      <c r="O156" s="102" t="str">
        <f ca="1">PROPER(TRIM(_xlfn.XLOOKUP($A156,Строчный!$A:$A,Строчный!P:P,"ERR",0)))</f>
        <v/>
      </c>
      <c r="P156" s="81" t="str">
        <f ca="1">PROPER(TRIM(_xlfn.XLOOKUP($A156,Строчный!$A:$A,Строчный!R:R,"ERR",0)))</f>
        <v/>
      </c>
      <c r="Q156" s="90">
        <f ca="1">VALUE(_xlfn.XLOOKUP($A156,Строчный!$A:$A,Строчный!N:N,"ERR",0))</f>
        <v>497.70000000000005</v>
      </c>
      <c r="R156" s="89" t="str">
        <f ca="1">_xlfn.XLOOKUP($G156,Фабрика!A:A,Фабрика!B:B,"ERR",0)</f>
        <v>Chapellerie Herman S.A.; Rue Jean Meunier, 6, 6922 Wellin, Belgium</v>
      </c>
      <c r="S156" s="80" t="str">
        <f ca="1">_xlfn.XLOOKUP(RIGHT(AA156,2),Размеры!D:D,Размеры!A:A,"ERR",0)</f>
        <v>59</v>
      </c>
      <c r="T156" s="80">
        <f ca="1">VALUE(_xlfn.XLOOKUP($AA156,Строчный!$S:$S,Строчный!U:U,"ERR",0))</f>
        <v>20</v>
      </c>
      <c r="U156" s="14" t="s">
        <v>265</v>
      </c>
      <c r="V156" s="101" t="str">
        <f t="shared" ca="1" si="13"/>
        <v>Бейсболка HERMAN арт. KITE (голубой)</v>
      </c>
      <c r="W156" s="100" t="str">
        <f t="shared" ca="1" si="14"/>
        <v>Бейсболка HERMAN арт. KITE (голубой) {blue}</v>
      </c>
      <c r="X156" s="18" t="str">
        <f t="shared" ca="1" si="15"/>
        <v>голубой</v>
      </c>
      <c r="Y156" s="18" t="str">
        <f t="shared" ca="1" si="16"/>
        <v>голубой</v>
      </c>
      <c r="Z156" s="117" t="str">
        <f ca="1">_xlfn.LET(_xlpm.FormColors,_xlfn.XLOOKUP(A156,Строчный!A:A,Строчный!Q:Q,"",0),IF(_xlpm.FormColors=0,IFERROR(MID(I156,FIND("-",I156)+1,LEN(I156)),IFERROR(MID(I156,1,FIND("/",I156)-2),I156)),_xlpm.FormColors))</f>
        <v>голубой</v>
      </c>
      <c r="AA156" s="73" t="str">
        <f ca="1"/>
        <v>80-941-19-59</v>
      </c>
      <c r="AB156" s="75" t="str">
        <f ca="1">VLOOKUP(C156,Группа!A:B,2,FALSE)</f>
        <v>Бейсболка</v>
      </c>
      <c r="AC156" s="97" t="str">
        <f ca="1">IFERROR(VLOOKUP(S156,Размеры!A:C,3,FALSE),"")</f>
        <v>59 L</v>
      </c>
      <c r="AD156" s="97" t="str">
        <f ca="1">VLOOKUP(I156,ЦветПолный!A:B,2,FALSE)</f>
        <v>19</v>
      </c>
      <c r="AE156" s="97" t="str">
        <f ca="1">IFERROR(VLOOKUP(S156,Размеры!A:D,4,FALSE),"")</f>
        <v>59</v>
      </c>
      <c r="AF156" s="97">
        <f ca="1">IF(LEFT(IFERROR(VLOOKUP(LOOKUP(2,1/SEARCH(B156,Товары!A:A),Товары!A:A),Товары!A:B,2,0),""),6)=MID(AA156,1,6),1,0)</f>
        <v>1</v>
      </c>
      <c r="AH156" s="97">
        <f ca="1">SUMIF(Группа!A:A,C156,Группа!C:C)</f>
        <v>1</v>
      </c>
      <c r="AI156" s="97">
        <f ca="1">SUMIF(Группа!B:B,AB156,Группа!C:C)</f>
        <v>1</v>
      </c>
      <c r="AJ156" s="97">
        <f ca="1">SUMIF(Формы!A:A,D156,Формы!B:B)</f>
        <v>1</v>
      </c>
      <c r="AK156" s="97">
        <f ca="1">SUMIF(Материал!A:A,K156,Материал!B:B)</f>
        <v>1</v>
      </c>
      <c r="AL156" s="97">
        <f ca="1">SUMIF(Размеры!A:A,S156,Размеры!E:E)</f>
        <v>1</v>
      </c>
      <c r="AM156" s="97">
        <f ca="1">SUMIF(Сезон!A:A,F156,Сезон!B:B)</f>
        <v>1</v>
      </c>
      <c r="AN156" s="97">
        <f ca="1">SUMIF(Состав!A:A,J156,Состав!B:B)</f>
        <v>1</v>
      </c>
      <c r="AO156" s="97">
        <f ca="1">VLOOKUP(I156,ЦветПолный!A:C,3,0)</f>
        <v>1</v>
      </c>
      <c r="AP156" s="97">
        <f ca="1">SUMIF(Цвет!A:A,Z156,Цвет!B:B)</f>
        <v>1</v>
      </c>
      <c r="AQ156" s="97">
        <f ca="1">_xlfn.XLOOKUP(L156,Пол!A:A,Пол!B:B,0,0)</f>
        <v>1</v>
      </c>
      <c r="AR156" s="97">
        <f ca="1">SUMIF(Бренд!A:A,G156,Бренд!B:B)</f>
        <v>1</v>
      </c>
      <c r="AS156" s="97">
        <f ca="1">SUMIF(Страна!A:A,M156,Страна!B:B)</f>
        <v>1</v>
      </c>
      <c r="AT156" s="64" t="str">
        <f ca="1">IF(VLOOKUP(W156,Товары!A:B,2,FALSE)=A156,"Есть в 1С","ERR")</f>
        <v>Есть в 1С</v>
      </c>
      <c r="AU156" s="65" t="str">
        <f ca="1">IF(VLOOKUP(A156,Товары!B:B,1,FALSE)=A156,"Есть в 1С","ERR")</f>
        <v>Есть в 1С</v>
      </c>
      <c r="AV156" s="96" t="str">
        <f ca="1">VLOOKUP(W156,Товары!A:B,2,FALSE)</f>
        <v>80-941-19</v>
      </c>
      <c r="AW156" s="94" t="str">
        <f ca="1">VLOOKUP(W156,Товары!A:B,1,FALSE)</f>
        <v>Бейсболка HERMAN арт. KITE (голубой) {blue}</v>
      </c>
    </row>
    <row r="157" spans="1:49" x14ac:dyDescent="0.25">
      <c r="A157" s="110" t="str">
        <f t="shared" ca="1" si="12"/>
        <v>80-941-09</v>
      </c>
      <c r="B157" s="107" t="str">
        <f ca="1">_xlfn.LET(_xlpm.CAPS,0,_xlpm.Style,TRIM(_xlfn.XLOOKUP($A157,Строчный!$A:$A,Строчный!B:B,"ERR",0)),IF(_xlpm.CAPS=0,_xlpm.Style,UPPER(_xlpm.Style)))</f>
        <v>AGUSTA</v>
      </c>
      <c r="C157" s="81" t="str">
        <f ca="1">TRIM(PROPER(_xlfn.XLOOKUP($A157,Строчный!$A:$A,Строчный!C:C,"ERR",0)))</f>
        <v>Бейсболки</v>
      </c>
      <c r="D157" s="81" t="str">
        <f ca="1">_xlfn.LET(_xlpm.DATA,TRIM(_xlfn.XLOOKUP($A157,Строчный!$A:$A,Строчный!D:D,"ERR",0)),UPPER(MID(_xlpm.DATA,1,1))&amp;LOWER(MID(_xlpm.DATA,2,LEN(_xlpm.DATA)-1)))</f>
        <v>Бейсболка</v>
      </c>
      <c r="E157" s="81" t="str">
        <f ca="1">PROPER(TRIM(_xlfn.XLOOKUP($A157,Строчный!$A:$A,Строчный!E:E,"ERR",0)))</f>
        <v>Herman</v>
      </c>
      <c r="F157" s="81" t="str">
        <f ca="1">LOWER(TRIM(_xlfn.XLOOKUP($A157,Строчный!$A:$A,Строчный!F:F,"ERR",0)))</f>
        <v>всесезон</v>
      </c>
      <c r="G157" s="81" t="str">
        <f ca="1">UPPER(TRIM(_xlfn.XLOOKUP($A157,Строчный!$A:$A,Строчный!G:G,"ERR",0)))</f>
        <v>HERMAN</v>
      </c>
      <c r="H157" s="81" t="str">
        <f ca="1">LOWER(TRIM(_xlfn.XLOOKUP($A157,Строчный!$A:$A,Строчный!H:H,"ERR",0)))</f>
        <v>black</v>
      </c>
      <c r="I157" s="81" t="str">
        <f ca="1">LOWER(TRIM(_xlfn.XLOOKUP($A157,Строчный!$A:$A,Строчный!I:I,"ERR",0)))</f>
        <v>черный</v>
      </c>
      <c r="J157" s="81" t="str">
        <f ca="1">SUBSTITUTE(LOWER(TRIM(_xlfn.XLOOKUP($A157,Строчный!$A:$A,Строчный!J:J,"ERR",0))),"подклад","Подклад")</f>
        <v>100% хлопок</v>
      </c>
      <c r="K157" s="81" t="str">
        <f ca="1">LOWER(TRIM(_xlfn.XLOOKUP($A157,Строчный!$A:$A,Строчный!K:K,"ERR",0)))</f>
        <v>хлопковые</v>
      </c>
      <c r="L157" s="81" t="str">
        <f ca="1">PROPER(TRIM(_xlfn.XLOOKUP($A157,Строчный!$A:$A,Строчный!L:L,"ERR",0)))</f>
        <v>Унисекс</v>
      </c>
      <c r="M157" s="113" t="str">
        <f ca="1">PROPER(TRIM(_xlfn.XLOOKUP($A157,Строчный!$A:$A,Строчный!M:M,"ERR",0)))</f>
        <v>Китай</v>
      </c>
      <c r="N157" s="81" t="str">
        <f ca="1">UPPER(TRIM(_xlfn.XLOOKUP($A157,Строчный!$A:$A,Строчный!O:O,"ERR",0)))</f>
        <v/>
      </c>
      <c r="O157" s="102" t="str">
        <f ca="1">PROPER(TRIM(_xlfn.XLOOKUP($A157,Строчный!$A:$A,Строчный!P:P,"ERR",0)))</f>
        <v/>
      </c>
      <c r="P157" s="81" t="str">
        <f ca="1">PROPER(TRIM(_xlfn.XLOOKUP($A157,Строчный!$A:$A,Строчный!R:R,"ERR",0)))</f>
        <v/>
      </c>
      <c r="Q157" s="90">
        <f ca="1">VALUE(_xlfn.XLOOKUP($A157,Строчный!$A:$A,Строчный!N:N,"ERR",0))</f>
        <v>749.7</v>
      </c>
      <c r="R157" s="89" t="str">
        <f ca="1">_xlfn.XLOOKUP($G157,Фабрика!A:A,Фабрика!B:B,"ERR",0)</f>
        <v>Chapellerie Herman S.A.; Rue Jean Meunier, 6, 6922 Wellin, Belgium</v>
      </c>
      <c r="S157" s="80" t="str">
        <f ca="1">_xlfn.XLOOKUP(RIGHT(AA157,2),Размеры!D:D,Размеры!A:A,"ERR",0)</f>
        <v>59</v>
      </c>
      <c r="T157" s="80">
        <f ca="1">VALUE(_xlfn.XLOOKUP($AA157,Строчный!$S:$S,Строчный!U:U,"ERR",0))</f>
        <v>30</v>
      </c>
      <c r="U157" s="14" t="s">
        <v>265</v>
      </c>
      <c r="V157" s="101" t="str">
        <f t="shared" ca="1" si="13"/>
        <v>Бейсболка HERMAN арт. AGUSTA (черный)</v>
      </c>
      <c r="W157" s="100" t="str">
        <f t="shared" ca="1" si="14"/>
        <v>Бейсболка HERMAN арт. AGUSTA (черный) {black}</v>
      </c>
      <c r="X157" s="18" t="str">
        <f t="shared" ca="1" si="15"/>
        <v>черный</v>
      </c>
      <c r="Y157" s="18" t="str">
        <f t="shared" ca="1" si="16"/>
        <v>черный</v>
      </c>
      <c r="Z157" s="117" t="str">
        <f ca="1">_xlfn.LET(_xlpm.FormColors,_xlfn.XLOOKUP(A157,Строчный!A:A,Строчный!Q:Q,"",0),IF(_xlpm.FormColors=0,IFERROR(MID(I157,FIND("-",I157)+1,LEN(I157)),IFERROR(MID(I157,1,FIND("/",I157)-2),I157)),_xlpm.FormColors))</f>
        <v>черный</v>
      </c>
      <c r="AA157" s="73" t="str">
        <f ca="1"/>
        <v>80-941-09-59</v>
      </c>
      <c r="AB157" s="75" t="str">
        <f ca="1">VLOOKUP(C157,Группа!A:B,2,FALSE)</f>
        <v>Бейсболка</v>
      </c>
      <c r="AC157" s="97" t="str">
        <f ca="1">IFERROR(VLOOKUP(S157,Размеры!A:C,3,FALSE),"")</f>
        <v>59 L</v>
      </c>
      <c r="AD157" s="97" t="str">
        <f ca="1">VLOOKUP(I157,ЦветПолный!A:B,2,FALSE)</f>
        <v>09</v>
      </c>
      <c r="AE157" s="97" t="str">
        <f ca="1">IFERROR(VLOOKUP(S157,Размеры!A:D,4,FALSE),"")</f>
        <v>59</v>
      </c>
      <c r="AF157" s="97">
        <f ca="1">IF(LEFT(IFERROR(VLOOKUP(LOOKUP(2,1/SEARCH(B157,Товары!A:A),Товары!A:A),Товары!A:B,2,0),""),6)=MID(AA157,1,6),1,0)</f>
        <v>0</v>
      </c>
      <c r="AH157" s="97">
        <f ca="1">SUMIF(Группа!A:A,C157,Группа!C:C)</f>
        <v>1</v>
      </c>
      <c r="AI157" s="97">
        <f ca="1">SUMIF(Группа!B:B,AB157,Группа!C:C)</f>
        <v>1</v>
      </c>
      <c r="AJ157" s="97">
        <f ca="1">SUMIF(Формы!A:A,D157,Формы!B:B)</f>
        <v>1</v>
      </c>
      <c r="AK157" s="97">
        <f ca="1">SUMIF(Материал!A:A,K157,Материал!B:B)</f>
        <v>1</v>
      </c>
      <c r="AL157" s="97">
        <f ca="1">SUMIF(Размеры!A:A,S157,Размеры!E:E)</f>
        <v>1</v>
      </c>
      <c r="AM157" s="97">
        <f ca="1">SUMIF(Сезон!A:A,F157,Сезон!B:B)</f>
        <v>1</v>
      </c>
      <c r="AN157" s="97">
        <f ca="1">SUMIF(Состав!A:A,J157,Состав!B:B)</f>
        <v>1</v>
      </c>
      <c r="AO157" s="97">
        <f ca="1">VLOOKUP(I157,ЦветПолный!A:C,3,0)</f>
        <v>1</v>
      </c>
      <c r="AP157" s="97">
        <f ca="1">SUMIF(Цвет!A:A,Z157,Цвет!B:B)</f>
        <v>1</v>
      </c>
      <c r="AQ157" s="97">
        <f ca="1">_xlfn.XLOOKUP(L157,Пол!A:A,Пол!B:B,0,0)</f>
        <v>1</v>
      </c>
      <c r="AR157" s="97">
        <f ca="1">SUMIF(Бренд!A:A,G157,Бренд!B:B)</f>
        <v>1</v>
      </c>
      <c r="AS157" s="97">
        <f ca="1">SUMIF(Страна!A:A,M157,Страна!B:B)</f>
        <v>1</v>
      </c>
      <c r="AT157" s="64" t="e">
        <f ca="1">IF(VLOOKUP(W157,Товары!A:B,2,FALSE)=A157,"Есть в 1С","ERR")</f>
        <v>#N/A</v>
      </c>
      <c r="AU157" s="65" t="e">
        <f ca="1">IF(VLOOKUP(A157,Товары!B:B,1,FALSE)=A157,"Есть в 1С","ERR")</f>
        <v>#N/A</v>
      </c>
      <c r="AV157" s="96" t="e">
        <f ca="1">VLOOKUP(W157,Товары!A:B,2,FALSE)</f>
        <v>#N/A</v>
      </c>
      <c r="AW157" s="94" t="e">
        <f ca="1">VLOOKUP(W157,Товары!A:B,1,FALSE)</f>
        <v>#N/A</v>
      </c>
    </row>
    <row r="158" spans="1:49" x14ac:dyDescent="0.25">
      <c r="A158" s="110" t="str">
        <f t="shared" ca="1" si="12"/>
        <v>80-941-09</v>
      </c>
      <c r="B158" s="107" t="str">
        <f ca="1">_xlfn.LET(_xlpm.CAPS,0,_xlpm.Style,TRIM(_xlfn.XLOOKUP($A158,Строчный!$A:$A,Строчный!B:B,"ERR",0)),IF(_xlpm.CAPS=0,_xlpm.Style,UPPER(_xlpm.Style)))</f>
        <v>AGUSTA</v>
      </c>
      <c r="C158" s="81" t="str">
        <f ca="1">TRIM(PROPER(_xlfn.XLOOKUP($A158,Строчный!$A:$A,Строчный!C:C,"ERR",0)))</f>
        <v>Бейсболки</v>
      </c>
      <c r="D158" s="81" t="str">
        <f ca="1">_xlfn.LET(_xlpm.DATA,TRIM(_xlfn.XLOOKUP($A158,Строчный!$A:$A,Строчный!D:D,"ERR",0)),UPPER(MID(_xlpm.DATA,1,1))&amp;LOWER(MID(_xlpm.DATA,2,LEN(_xlpm.DATA)-1)))</f>
        <v>Бейсболка</v>
      </c>
      <c r="E158" s="81" t="str">
        <f ca="1">PROPER(TRIM(_xlfn.XLOOKUP($A158,Строчный!$A:$A,Строчный!E:E,"ERR",0)))</f>
        <v>Herman</v>
      </c>
      <c r="F158" s="81" t="str">
        <f ca="1">LOWER(TRIM(_xlfn.XLOOKUP($A158,Строчный!$A:$A,Строчный!F:F,"ERR",0)))</f>
        <v>всесезон</v>
      </c>
      <c r="G158" s="81" t="str">
        <f ca="1">UPPER(TRIM(_xlfn.XLOOKUP($A158,Строчный!$A:$A,Строчный!G:G,"ERR",0)))</f>
        <v>HERMAN</v>
      </c>
      <c r="H158" s="81" t="str">
        <f ca="1">LOWER(TRIM(_xlfn.XLOOKUP($A158,Строчный!$A:$A,Строчный!H:H,"ERR",0)))</f>
        <v>black</v>
      </c>
      <c r="I158" s="81" t="str">
        <f ca="1">LOWER(TRIM(_xlfn.XLOOKUP($A158,Строчный!$A:$A,Строчный!I:I,"ERR",0)))</f>
        <v>черный</v>
      </c>
      <c r="J158" s="81" t="str">
        <f ca="1">SUBSTITUTE(LOWER(TRIM(_xlfn.XLOOKUP($A158,Строчный!$A:$A,Строчный!J:J,"ERR",0))),"подклад","Подклад")</f>
        <v>100% хлопок</v>
      </c>
      <c r="K158" s="81" t="str">
        <f ca="1">LOWER(TRIM(_xlfn.XLOOKUP($A158,Строчный!$A:$A,Строчный!K:K,"ERR",0)))</f>
        <v>хлопковые</v>
      </c>
      <c r="L158" s="81" t="str">
        <f ca="1">PROPER(TRIM(_xlfn.XLOOKUP($A158,Строчный!$A:$A,Строчный!L:L,"ERR",0)))</f>
        <v>Унисекс</v>
      </c>
      <c r="M158" s="113" t="str">
        <f ca="1">PROPER(TRIM(_xlfn.XLOOKUP($A158,Строчный!$A:$A,Строчный!M:M,"ERR",0)))</f>
        <v>Китай</v>
      </c>
      <c r="N158" s="81" t="str">
        <f ca="1">UPPER(TRIM(_xlfn.XLOOKUP($A158,Строчный!$A:$A,Строчный!O:O,"ERR",0)))</f>
        <v/>
      </c>
      <c r="O158" s="102" t="str">
        <f ca="1">PROPER(TRIM(_xlfn.XLOOKUP($A158,Строчный!$A:$A,Строчный!P:P,"ERR",0)))</f>
        <v/>
      </c>
      <c r="P158" s="81" t="str">
        <f ca="1">PROPER(TRIM(_xlfn.XLOOKUP($A158,Строчный!$A:$A,Строчный!R:R,"ERR",0)))</f>
        <v/>
      </c>
      <c r="Q158" s="90">
        <f ca="1">VALUE(_xlfn.XLOOKUP($A158,Строчный!$A:$A,Строчный!N:N,"ERR",0))</f>
        <v>749.7</v>
      </c>
      <c r="R158" s="89" t="str">
        <f ca="1">_xlfn.XLOOKUP($G158,Фабрика!A:A,Фабрика!B:B,"ERR",0)</f>
        <v>Chapellerie Herman S.A.; Rue Jean Meunier, 6, 6922 Wellin, Belgium</v>
      </c>
      <c r="S158" s="80" t="str">
        <f ca="1">_xlfn.XLOOKUP(RIGHT(AA158,2),Размеры!D:D,Размеры!A:A,"ERR",0)</f>
        <v>57</v>
      </c>
      <c r="T158" s="80">
        <f ca="1">VALUE(_xlfn.XLOOKUP($AA158,Строчный!$S:$S,Строчный!U:U,"ERR",0))</f>
        <v>30</v>
      </c>
      <c r="U158" s="14" t="s">
        <v>265</v>
      </c>
      <c r="V158" s="101" t="str">
        <f t="shared" ca="1" si="13"/>
        <v>Бейсболка HERMAN арт. AGUSTA (черный)</v>
      </c>
      <c r="W158" s="100" t="str">
        <f t="shared" ca="1" si="14"/>
        <v>Бейсболка HERMAN арт. AGUSTA (черный) {black}</v>
      </c>
      <c r="X158" s="18" t="str">
        <f t="shared" ca="1" si="15"/>
        <v>черный</v>
      </c>
      <c r="Y158" s="18" t="str">
        <f t="shared" ca="1" si="16"/>
        <v>черный</v>
      </c>
      <c r="Z158" s="117" t="str">
        <f ca="1">_xlfn.LET(_xlpm.FormColors,_xlfn.XLOOKUP(A158,Строчный!A:A,Строчный!Q:Q,"",0),IF(_xlpm.FormColors=0,IFERROR(MID(I158,FIND("-",I158)+1,LEN(I158)),IFERROR(MID(I158,1,FIND("/",I158)-2),I158)),_xlpm.FormColors))</f>
        <v>черный</v>
      </c>
      <c r="AA158" s="73" t="str">
        <f ca="1"/>
        <v>80-941-09-57</v>
      </c>
      <c r="AB158" s="75" t="str">
        <f ca="1">VLOOKUP(C158,Группа!A:B,2,FALSE)</f>
        <v>Бейсболка</v>
      </c>
      <c r="AC158" s="97" t="str">
        <f ca="1">IFERROR(VLOOKUP(S158,Размеры!A:C,3,FALSE),"")</f>
        <v>57 M</v>
      </c>
      <c r="AD158" s="97" t="str">
        <f ca="1">VLOOKUP(I158,ЦветПолный!A:B,2,FALSE)</f>
        <v>09</v>
      </c>
      <c r="AE158" s="97" t="str">
        <f ca="1">IFERROR(VLOOKUP(S158,Размеры!A:D,4,FALSE),"")</f>
        <v>57</v>
      </c>
      <c r="AF158" s="97">
        <f ca="1">IF(LEFT(IFERROR(VLOOKUP(LOOKUP(2,1/SEARCH(B158,Товары!A:A),Товары!A:A),Товары!A:B,2,0),""),6)=MID(AA158,1,6),1,0)</f>
        <v>0</v>
      </c>
      <c r="AH158" s="97">
        <f ca="1">SUMIF(Группа!A:A,C158,Группа!C:C)</f>
        <v>1</v>
      </c>
      <c r="AI158" s="97">
        <f ca="1">SUMIF(Группа!B:B,AB158,Группа!C:C)</f>
        <v>1</v>
      </c>
      <c r="AJ158" s="97">
        <f ca="1">SUMIF(Формы!A:A,D158,Формы!B:B)</f>
        <v>1</v>
      </c>
      <c r="AK158" s="97">
        <f ca="1">SUMIF(Материал!A:A,K158,Материал!B:B)</f>
        <v>1</v>
      </c>
      <c r="AL158" s="97">
        <f ca="1">SUMIF(Размеры!A:A,S158,Размеры!E:E)</f>
        <v>1</v>
      </c>
      <c r="AM158" s="97">
        <f ca="1">SUMIF(Сезон!A:A,F158,Сезон!B:B)</f>
        <v>1</v>
      </c>
      <c r="AN158" s="97">
        <f ca="1">SUMIF(Состав!A:A,J158,Состав!B:B)</f>
        <v>1</v>
      </c>
      <c r="AO158" s="97">
        <f ca="1">VLOOKUP(I158,ЦветПолный!A:C,3,0)</f>
        <v>1</v>
      </c>
      <c r="AP158" s="97">
        <f ca="1">SUMIF(Цвет!A:A,Z158,Цвет!B:B)</f>
        <v>1</v>
      </c>
      <c r="AQ158" s="97">
        <f ca="1">_xlfn.XLOOKUP(L158,Пол!A:A,Пол!B:B,0,0)</f>
        <v>1</v>
      </c>
      <c r="AR158" s="97">
        <f ca="1">SUMIF(Бренд!A:A,G158,Бренд!B:B)</f>
        <v>1</v>
      </c>
      <c r="AS158" s="97">
        <f ca="1">SUMIF(Страна!A:A,M158,Страна!B:B)</f>
        <v>1</v>
      </c>
      <c r="AT158" s="64" t="e">
        <f ca="1">IF(VLOOKUP(W158,Товары!A:B,2,FALSE)=A158,"Есть в 1С","ERR")</f>
        <v>#N/A</v>
      </c>
      <c r="AU158" s="65" t="e">
        <f ca="1">IF(VLOOKUP(A158,Товары!B:B,1,FALSE)=A158,"Есть в 1С","ERR")</f>
        <v>#N/A</v>
      </c>
      <c r="AV158" s="96" t="e">
        <f ca="1">VLOOKUP(W158,Товары!A:B,2,FALSE)</f>
        <v>#N/A</v>
      </c>
      <c r="AW158" s="94" t="e">
        <f ca="1">VLOOKUP(W158,Товары!A:B,1,FALSE)</f>
        <v>#N/A</v>
      </c>
    </row>
    <row r="159" spans="1:49" x14ac:dyDescent="0.25">
      <c r="A159" s="110" t="str">
        <f t="shared" ca="1" si="12"/>
        <v>80-933-06</v>
      </c>
      <c r="B159" s="107" t="str">
        <f ca="1">_xlfn.LET(_xlpm.CAPS,0,_xlpm.Style,TRIM(_xlfn.XLOOKUP($A159,Строчный!$A:$A,Строчный!B:B,"ERR",0)),IF(_xlpm.CAPS=0,_xlpm.Style,UPPER(_xlpm.Style)))</f>
        <v>MAC NELLA</v>
      </c>
      <c r="C159" s="81" t="str">
        <f ca="1">TRIM(PROPER(_xlfn.XLOOKUP($A159,Строчный!$A:$A,Строчный!C:C,"ERR",0)))</f>
        <v>Шляпы</v>
      </c>
      <c r="D159" s="81" t="str">
        <f ca="1">_xlfn.LET(_xlpm.DATA,TRIM(_xlfn.XLOOKUP($A159,Строчный!$A:$A,Строчный!D:D,"ERR",0)),UPPER(MID(_xlpm.DATA,1,1))&amp;LOWER(MID(_xlpm.DATA,2,LEN(_xlpm.DATA)-1)))</f>
        <v>Шляпа федора</v>
      </c>
      <c r="E159" s="81" t="str">
        <f ca="1">PROPER(TRIM(_xlfn.XLOOKUP($A159,Строчный!$A:$A,Строчный!E:E,"ERR",0)))</f>
        <v>Herman</v>
      </c>
      <c r="F159" s="81" t="str">
        <f ca="1">LOWER(TRIM(_xlfn.XLOOKUP($A159,Строчный!$A:$A,Строчный!F:F,"ERR",0)))</f>
        <v>всесезон</v>
      </c>
      <c r="G159" s="81" t="str">
        <f ca="1">UPPER(TRIM(_xlfn.XLOOKUP($A159,Строчный!$A:$A,Строчный!G:G,"ERR",0)))</f>
        <v>HERMAN</v>
      </c>
      <c r="H159" s="81" t="str">
        <f ca="1">LOWER(TRIM(_xlfn.XLOOKUP($A159,Строчный!$A:$A,Строчный!H:H,"ERR",0)))</f>
        <v>blue</v>
      </c>
      <c r="I159" s="81" t="str">
        <f ca="1">LOWER(TRIM(_xlfn.XLOOKUP($A159,Строчный!$A:$A,Строчный!I:I,"ERR",0)))</f>
        <v>синий</v>
      </c>
      <c r="J159" s="81" t="str">
        <f ca="1">SUBSTITUTE(LOWER(TRIM(_xlfn.XLOOKUP($A159,Строчный!$A:$A,Строчный!J:J,"ERR",0))),"подклад","Подклад")</f>
        <v>100% шерсть</v>
      </c>
      <c r="K159" s="81" t="str">
        <f ca="1">LOWER(TRIM(_xlfn.XLOOKUP($A159,Строчный!$A:$A,Строчный!K:K,"ERR",0)))</f>
        <v>фетровые</v>
      </c>
      <c r="L159" s="81" t="str">
        <f ca="1">PROPER(TRIM(_xlfn.XLOOKUP($A159,Строчный!$A:$A,Строчный!L:L,"ERR",0)))</f>
        <v>Женский</v>
      </c>
      <c r="M159" s="113" t="str">
        <f ca="1">PROPER(TRIM(_xlfn.XLOOKUP($A159,Строчный!$A:$A,Строчный!M:M,"ERR",0)))</f>
        <v>Китай</v>
      </c>
      <c r="N159" s="81" t="str">
        <f ca="1">UPPER(TRIM(_xlfn.XLOOKUP($A159,Строчный!$A:$A,Строчный!O:O,"ERR",0)))</f>
        <v/>
      </c>
      <c r="O159" s="102" t="str">
        <f ca="1">PROPER(TRIM(_xlfn.XLOOKUP($A159,Строчный!$A:$A,Строчный!P:P,"ERR",0)))</f>
        <v/>
      </c>
      <c r="P159" s="81" t="str">
        <f ca="1">PROPER(TRIM(_xlfn.XLOOKUP($A159,Строчный!$A:$A,Строчный!R:R,"ERR",0)))</f>
        <v/>
      </c>
      <c r="Q159" s="90">
        <f ca="1">VALUE(_xlfn.XLOOKUP($A159,Строчный!$A:$A,Строчный!N:N,"ERR",0))</f>
        <v>450</v>
      </c>
      <c r="R159" s="89" t="str">
        <f ca="1">_xlfn.XLOOKUP($G159,Фабрика!A:A,Фабрика!B:B,"ERR",0)</f>
        <v>Chapellerie Herman S.A.; Rue Jean Meunier, 6, 6922 Wellin, Belgium</v>
      </c>
      <c r="S159" s="80" t="str">
        <f ca="1">_xlfn.XLOOKUP(RIGHT(AA159,2),Размеры!D:D,Размеры!A:A,"ERR",0)</f>
        <v>57</v>
      </c>
      <c r="T159" s="80">
        <f ca="1">VALUE(_xlfn.XLOOKUP($AA159,Строчный!$S:$S,Строчный!U:U,"ERR",0))</f>
        <v>6</v>
      </c>
      <c r="U159" s="14" t="s">
        <v>265</v>
      </c>
      <c r="V159" s="101" t="str">
        <f t="shared" ca="1" si="13"/>
        <v>Шляпа HERMAN арт. MAC NELLA (синий)</v>
      </c>
      <c r="W159" s="100" t="str">
        <f t="shared" ca="1" si="14"/>
        <v>Шляпа HERMAN арт. MAC NELLA (синий) {blue}</v>
      </c>
      <c r="X159" s="18" t="str">
        <f t="shared" ca="1" si="15"/>
        <v>синий</v>
      </c>
      <c r="Y159" s="18" t="str">
        <f t="shared" ca="1" si="16"/>
        <v>синий</v>
      </c>
      <c r="Z159" s="117" t="str">
        <f ca="1">_xlfn.LET(_xlpm.FormColors,_xlfn.XLOOKUP(A159,Строчный!A:A,Строчный!Q:Q,"",0),IF(_xlpm.FormColors=0,IFERROR(MID(I159,FIND("-",I159)+1,LEN(I159)),IFERROR(MID(I159,1,FIND("/",I159)-2),I159)),_xlpm.FormColors))</f>
        <v>синий</v>
      </c>
      <c r="AA159" s="73" t="str">
        <f ca="1"/>
        <v>80-933-06-57</v>
      </c>
      <c r="AB159" s="75" t="str">
        <f ca="1">VLOOKUP(C159,Группа!A:B,2,FALSE)</f>
        <v>Шляпа</v>
      </c>
      <c r="AC159" s="97" t="str">
        <f ca="1">IFERROR(VLOOKUP(S159,Размеры!A:C,3,FALSE),"")</f>
        <v>57 M</v>
      </c>
      <c r="AD159" s="97" t="str">
        <f ca="1">VLOOKUP(I159,ЦветПолный!A:B,2,FALSE)</f>
        <v>06</v>
      </c>
      <c r="AE159" s="97" t="str">
        <f ca="1">IFERROR(VLOOKUP(S159,Размеры!A:D,4,FALSE),"")</f>
        <v>57</v>
      </c>
      <c r="AF159" s="97">
        <f ca="1">IF(LEFT(IFERROR(VLOOKUP(LOOKUP(2,1/SEARCH(B159,Товары!A:A),Товары!A:A),Товары!A:B,2,0),""),6)=MID(AA159,1,6),1,0)</f>
        <v>1</v>
      </c>
      <c r="AH159" s="97">
        <f ca="1">SUMIF(Группа!A:A,C159,Группа!C:C)</f>
        <v>1</v>
      </c>
      <c r="AI159" s="97">
        <f ca="1">SUMIF(Группа!B:B,AB159,Группа!C:C)</f>
        <v>1</v>
      </c>
      <c r="AJ159" s="97">
        <f ca="1">SUMIF(Формы!A:A,D159,Формы!B:B)</f>
        <v>1</v>
      </c>
      <c r="AK159" s="97">
        <f ca="1">SUMIF(Материал!A:A,K159,Материал!B:B)</f>
        <v>1</v>
      </c>
      <c r="AL159" s="97">
        <f ca="1">SUMIF(Размеры!A:A,S159,Размеры!E:E)</f>
        <v>1</v>
      </c>
      <c r="AM159" s="97">
        <f ca="1">SUMIF(Сезон!A:A,F159,Сезон!B:B)</f>
        <v>1</v>
      </c>
      <c r="AN159" s="97">
        <f ca="1">SUMIF(Состав!A:A,J159,Состав!B:B)</f>
        <v>1</v>
      </c>
      <c r="AO159" s="97">
        <f ca="1">VLOOKUP(I159,ЦветПолный!A:C,3,0)</f>
        <v>1</v>
      </c>
      <c r="AP159" s="97">
        <f ca="1">SUMIF(Цвет!A:A,Z159,Цвет!B:B)</f>
        <v>1</v>
      </c>
      <c r="AQ159" s="97">
        <f ca="1">_xlfn.XLOOKUP(L159,Пол!A:A,Пол!B:B,0,0)</f>
        <v>1</v>
      </c>
      <c r="AR159" s="97">
        <f ca="1">SUMIF(Бренд!A:A,G159,Бренд!B:B)</f>
        <v>1</v>
      </c>
      <c r="AS159" s="97">
        <f ca="1">SUMIF(Страна!A:A,M159,Страна!B:B)</f>
        <v>1</v>
      </c>
      <c r="AT159" s="64" t="str">
        <f ca="1">IF(VLOOKUP(W159,Товары!A:B,2,FALSE)=A159,"Есть в 1С","ERR")</f>
        <v>Есть в 1С</v>
      </c>
      <c r="AU159" s="65" t="str">
        <f ca="1">IF(VLOOKUP(A159,Товары!B:B,1,FALSE)=A159,"Есть в 1С","ERR")</f>
        <v>Есть в 1С</v>
      </c>
      <c r="AV159" s="96" t="str">
        <f ca="1">VLOOKUP(W159,Товары!A:B,2,FALSE)</f>
        <v>80-933-06</v>
      </c>
      <c r="AW159" s="94" t="str">
        <f ca="1">VLOOKUP(W159,Товары!A:B,1,FALSE)</f>
        <v>Шляпа HERMAN арт. MAC NELLA (синий) {blue}</v>
      </c>
    </row>
    <row r="160" spans="1:49" x14ac:dyDescent="0.25">
      <c r="A160" s="110" t="str">
        <f t="shared" ca="1" si="12"/>
        <v>80-933-06</v>
      </c>
      <c r="B160" s="107" t="str">
        <f ca="1">_xlfn.LET(_xlpm.CAPS,0,_xlpm.Style,TRIM(_xlfn.XLOOKUP($A160,Строчный!$A:$A,Строчный!B:B,"ERR",0)),IF(_xlpm.CAPS=0,_xlpm.Style,UPPER(_xlpm.Style)))</f>
        <v>MAC NELLA</v>
      </c>
      <c r="C160" s="81" t="str">
        <f ca="1">TRIM(PROPER(_xlfn.XLOOKUP($A160,Строчный!$A:$A,Строчный!C:C,"ERR",0)))</f>
        <v>Шляпы</v>
      </c>
      <c r="D160" s="81" t="str">
        <f ca="1">_xlfn.LET(_xlpm.DATA,TRIM(_xlfn.XLOOKUP($A160,Строчный!$A:$A,Строчный!D:D,"ERR",0)),UPPER(MID(_xlpm.DATA,1,1))&amp;LOWER(MID(_xlpm.DATA,2,LEN(_xlpm.DATA)-1)))</f>
        <v>Шляпа федора</v>
      </c>
      <c r="E160" s="81" t="str">
        <f ca="1">PROPER(TRIM(_xlfn.XLOOKUP($A160,Строчный!$A:$A,Строчный!E:E,"ERR",0)))</f>
        <v>Herman</v>
      </c>
      <c r="F160" s="81" t="str">
        <f ca="1">LOWER(TRIM(_xlfn.XLOOKUP($A160,Строчный!$A:$A,Строчный!F:F,"ERR",0)))</f>
        <v>всесезон</v>
      </c>
      <c r="G160" s="81" t="str">
        <f ca="1">UPPER(TRIM(_xlfn.XLOOKUP($A160,Строчный!$A:$A,Строчный!G:G,"ERR",0)))</f>
        <v>HERMAN</v>
      </c>
      <c r="H160" s="81" t="str">
        <f ca="1">LOWER(TRIM(_xlfn.XLOOKUP($A160,Строчный!$A:$A,Строчный!H:H,"ERR",0)))</f>
        <v>blue</v>
      </c>
      <c r="I160" s="81" t="str">
        <f ca="1">LOWER(TRIM(_xlfn.XLOOKUP($A160,Строчный!$A:$A,Строчный!I:I,"ERR",0)))</f>
        <v>синий</v>
      </c>
      <c r="J160" s="81" t="str">
        <f ca="1">SUBSTITUTE(LOWER(TRIM(_xlfn.XLOOKUP($A160,Строчный!$A:$A,Строчный!J:J,"ERR",0))),"подклад","Подклад")</f>
        <v>100% шерсть</v>
      </c>
      <c r="K160" s="81" t="str">
        <f ca="1">LOWER(TRIM(_xlfn.XLOOKUP($A160,Строчный!$A:$A,Строчный!K:K,"ERR",0)))</f>
        <v>фетровые</v>
      </c>
      <c r="L160" s="81" t="str">
        <f ca="1">PROPER(TRIM(_xlfn.XLOOKUP($A160,Строчный!$A:$A,Строчный!L:L,"ERR",0)))</f>
        <v>Женский</v>
      </c>
      <c r="M160" s="113" t="str">
        <f ca="1">PROPER(TRIM(_xlfn.XLOOKUP($A160,Строчный!$A:$A,Строчный!M:M,"ERR",0)))</f>
        <v>Китай</v>
      </c>
      <c r="N160" s="81" t="str">
        <f ca="1">UPPER(TRIM(_xlfn.XLOOKUP($A160,Строчный!$A:$A,Строчный!O:O,"ERR",0)))</f>
        <v/>
      </c>
      <c r="O160" s="102" t="str">
        <f ca="1">PROPER(TRIM(_xlfn.XLOOKUP($A160,Строчный!$A:$A,Строчный!P:P,"ERR",0)))</f>
        <v/>
      </c>
      <c r="P160" s="81" t="str">
        <f ca="1">PROPER(TRIM(_xlfn.XLOOKUP($A160,Строчный!$A:$A,Строчный!R:R,"ERR",0)))</f>
        <v/>
      </c>
      <c r="Q160" s="90">
        <f ca="1">VALUE(_xlfn.XLOOKUP($A160,Строчный!$A:$A,Строчный!N:N,"ERR",0))</f>
        <v>450</v>
      </c>
      <c r="R160" s="89" t="str">
        <f ca="1">_xlfn.XLOOKUP($G160,Фабрика!A:A,Фабрика!B:B,"ERR",0)</f>
        <v>Chapellerie Herman S.A.; Rue Jean Meunier, 6, 6922 Wellin, Belgium</v>
      </c>
      <c r="S160" s="80" t="str">
        <f ca="1">_xlfn.XLOOKUP(RIGHT(AA160,2),Размеры!D:D,Размеры!A:A,"ERR",0)</f>
        <v>55</v>
      </c>
      <c r="T160" s="80">
        <f ca="1">VALUE(_xlfn.XLOOKUP($AA160,Строчный!$S:$S,Строчный!U:U,"ERR",0))</f>
        <v>4</v>
      </c>
      <c r="U160" s="14" t="s">
        <v>265</v>
      </c>
      <c r="V160" s="101" t="str">
        <f t="shared" ca="1" si="13"/>
        <v>Шляпа HERMAN арт. MAC NELLA (синий)</v>
      </c>
      <c r="W160" s="100" t="str">
        <f t="shared" ca="1" si="14"/>
        <v>Шляпа HERMAN арт. MAC NELLA (синий) {blue}</v>
      </c>
      <c r="X160" s="18" t="str">
        <f t="shared" ca="1" si="15"/>
        <v>синий</v>
      </c>
      <c r="Y160" s="18" t="str">
        <f t="shared" ca="1" si="16"/>
        <v>синий</v>
      </c>
      <c r="Z160" s="117" t="str">
        <f ca="1">_xlfn.LET(_xlpm.FormColors,_xlfn.XLOOKUP(A160,Строчный!A:A,Строчный!Q:Q,"",0),IF(_xlpm.FormColors=0,IFERROR(MID(I160,FIND("-",I160)+1,LEN(I160)),IFERROR(MID(I160,1,FIND("/",I160)-2),I160)),_xlpm.FormColors))</f>
        <v>синий</v>
      </c>
      <c r="AA160" s="73" t="str">
        <f ca="1"/>
        <v>80-933-06-55</v>
      </c>
      <c r="AB160" s="75" t="str">
        <f ca="1">VLOOKUP(C160,Группа!A:B,2,FALSE)</f>
        <v>Шляпа</v>
      </c>
      <c r="AC160" s="97" t="str">
        <f ca="1">IFERROR(VLOOKUP(S160,Размеры!A:C,3,FALSE),"")</f>
        <v>55 S</v>
      </c>
      <c r="AD160" s="97" t="str">
        <f ca="1">VLOOKUP(I160,ЦветПолный!A:B,2,FALSE)</f>
        <v>06</v>
      </c>
      <c r="AE160" s="97" t="str">
        <f ca="1">IFERROR(VLOOKUP(S160,Размеры!A:D,4,FALSE),"")</f>
        <v>55</v>
      </c>
      <c r="AF160" s="97">
        <f ca="1">IF(LEFT(IFERROR(VLOOKUP(LOOKUP(2,1/SEARCH(B160,Товары!A:A),Товары!A:A),Товары!A:B,2,0),""),6)=MID(AA160,1,6),1,0)</f>
        <v>1</v>
      </c>
      <c r="AH160" s="97">
        <f ca="1">SUMIF(Группа!A:A,C160,Группа!C:C)</f>
        <v>1</v>
      </c>
      <c r="AI160" s="97">
        <f ca="1">SUMIF(Группа!B:B,AB160,Группа!C:C)</f>
        <v>1</v>
      </c>
      <c r="AJ160" s="97">
        <f ca="1">SUMIF(Формы!A:A,D160,Формы!B:B)</f>
        <v>1</v>
      </c>
      <c r="AK160" s="97">
        <f ca="1">SUMIF(Материал!A:A,K160,Материал!B:B)</f>
        <v>1</v>
      </c>
      <c r="AL160" s="97">
        <f ca="1">SUMIF(Размеры!A:A,S160,Размеры!E:E)</f>
        <v>1</v>
      </c>
      <c r="AM160" s="97">
        <f ca="1">SUMIF(Сезон!A:A,F160,Сезон!B:B)</f>
        <v>1</v>
      </c>
      <c r="AN160" s="97">
        <f ca="1">SUMIF(Состав!A:A,J160,Состав!B:B)</f>
        <v>1</v>
      </c>
      <c r="AO160" s="97">
        <f ca="1">VLOOKUP(I160,ЦветПолный!A:C,3,0)</f>
        <v>1</v>
      </c>
      <c r="AP160" s="97">
        <f ca="1">SUMIF(Цвет!A:A,Z160,Цвет!B:B)</f>
        <v>1</v>
      </c>
      <c r="AQ160" s="97">
        <f ca="1">_xlfn.XLOOKUP(L160,Пол!A:A,Пол!B:B,0,0)</f>
        <v>1</v>
      </c>
      <c r="AR160" s="97">
        <f ca="1">SUMIF(Бренд!A:A,G160,Бренд!B:B)</f>
        <v>1</v>
      </c>
      <c r="AS160" s="97">
        <f ca="1">SUMIF(Страна!A:A,M160,Страна!B:B)</f>
        <v>1</v>
      </c>
      <c r="AT160" s="64" t="str">
        <f ca="1">IF(VLOOKUP(W160,Товары!A:B,2,FALSE)=A160,"Есть в 1С","ERR")</f>
        <v>Есть в 1С</v>
      </c>
      <c r="AU160" s="65" t="str">
        <f ca="1">IF(VLOOKUP(A160,Товары!B:B,1,FALSE)=A160,"Есть в 1С","ERR")</f>
        <v>Есть в 1С</v>
      </c>
      <c r="AV160" s="96" t="str">
        <f ca="1">VLOOKUP(W160,Товары!A:B,2,FALSE)</f>
        <v>80-933-06</v>
      </c>
      <c r="AW160" s="94" t="str">
        <f ca="1">VLOOKUP(W160,Товары!A:B,1,FALSE)</f>
        <v>Шляпа HERMAN арт. MAC NELLA (синий) {blue}</v>
      </c>
    </row>
    <row r="161" spans="1:49" x14ac:dyDescent="0.25">
      <c r="A161" s="110" t="str">
        <f t="shared" ca="1" si="12"/>
        <v>80-929-09</v>
      </c>
      <c r="B161" s="107" t="str">
        <f ca="1">_xlfn.LET(_xlpm.CAPS,0,_xlpm.Style,TRIM(_xlfn.XLOOKUP($A161,Строчный!$A:$A,Строчный!B:B,"ERR",0)),IF(_xlpm.CAPS=0,_xlpm.Style,UPPER(_xlpm.Style)))</f>
        <v>DON VEGAS</v>
      </c>
      <c r="C161" s="81" t="str">
        <f ca="1">TRIM(PROPER(_xlfn.XLOOKUP($A161,Строчный!$A:$A,Строчный!C:C,"ERR",0)))</f>
        <v>Шляпы</v>
      </c>
      <c r="D161" s="81" t="str">
        <f ca="1">_xlfn.LET(_xlpm.DATA,TRIM(_xlfn.XLOOKUP($A161,Строчный!$A:$A,Строчный!D:D,"ERR",0)),UPPER(MID(_xlpm.DATA,1,1))&amp;LOWER(MID(_xlpm.DATA,2,LEN(_xlpm.DATA)-1)))</f>
        <v>Шляпа цилиндр</v>
      </c>
      <c r="E161" s="81" t="str">
        <f ca="1">PROPER(TRIM(_xlfn.XLOOKUP($A161,Строчный!$A:$A,Строчный!E:E,"ERR",0)))</f>
        <v>Herman</v>
      </c>
      <c r="F161" s="81" t="str">
        <f ca="1">LOWER(TRIM(_xlfn.XLOOKUP($A161,Строчный!$A:$A,Строчный!F:F,"ERR",0)))</f>
        <v>всесезон</v>
      </c>
      <c r="G161" s="81" t="str">
        <f ca="1">UPPER(TRIM(_xlfn.XLOOKUP($A161,Строчный!$A:$A,Строчный!G:G,"ERR",0)))</f>
        <v>HERMAN</v>
      </c>
      <c r="H161" s="81" t="str">
        <f ca="1">LOWER(TRIM(_xlfn.XLOOKUP($A161,Строчный!$A:$A,Строчный!H:H,"ERR",0)))</f>
        <v>black</v>
      </c>
      <c r="I161" s="81" t="str">
        <f ca="1">LOWER(TRIM(_xlfn.XLOOKUP($A161,Строчный!$A:$A,Строчный!I:I,"ERR",0)))</f>
        <v>черный</v>
      </c>
      <c r="J161" s="81" t="str">
        <f ca="1">SUBSTITUTE(LOWER(TRIM(_xlfn.XLOOKUP($A161,Строчный!$A:$A,Строчный!J:J,"ERR",0))),"подклад","Подклад")</f>
        <v>100% шерсть</v>
      </c>
      <c r="K161" s="81" t="str">
        <f ca="1">LOWER(TRIM(_xlfn.XLOOKUP($A161,Строчный!$A:$A,Строчный!K:K,"ERR",0)))</f>
        <v>фетровые</v>
      </c>
      <c r="L161" s="81" t="str">
        <f ca="1">PROPER(TRIM(_xlfn.XLOOKUP($A161,Строчный!$A:$A,Строчный!L:L,"ERR",0)))</f>
        <v>Мужской</v>
      </c>
      <c r="M161" s="113" t="str">
        <f ca="1">PROPER(TRIM(_xlfn.XLOOKUP($A161,Строчный!$A:$A,Строчный!M:M,"ERR",0)))</f>
        <v>Китай</v>
      </c>
      <c r="N161" s="81" t="str">
        <f ca="1">UPPER(TRIM(_xlfn.XLOOKUP($A161,Строчный!$A:$A,Строчный!O:O,"ERR",0)))</f>
        <v/>
      </c>
      <c r="O161" s="102" t="str">
        <f ca="1">PROPER(TRIM(_xlfn.XLOOKUP($A161,Строчный!$A:$A,Строчный!P:P,"ERR",0)))</f>
        <v/>
      </c>
      <c r="P161" s="81" t="str">
        <f ca="1">PROPER(TRIM(_xlfn.XLOOKUP($A161,Строчный!$A:$A,Строчный!R:R,"ERR",0)))</f>
        <v/>
      </c>
      <c r="Q161" s="90">
        <f ca="1">VALUE(_xlfn.XLOOKUP($A161,Строчный!$A:$A,Строчный!N:N,"ERR",0))</f>
        <v>1164.5999999999999</v>
      </c>
      <c r="R161" s="89" t="str">
        <f ca="1">_xlfn.XLOOKUP($G161,Фабрика!A:A,Фабрика!B:B,"ERR",0)</f>
        <v>Chapellerie Herman S.A.; Rue Jean Meunier, 6, 6922 Wellin, Belgium</v>
      </c>
      <c r="S161" s="80" t="str">
        <f ca="1">_xlfn.XLOOKUP(RIGHT(AA161,2),Размеры!D:D,Размеры!A:A,"ERR",0)</f>
        <v>59</v>
      </c>
      <c r="T161" s="80">
        <f ca="1">VALUE(_xlfn.XLOOKUP($AA161,Строчный!$S:$S,Строчный!U:U,"ERR",0))</f>
        <v>20</v>
      </c>
      <c r="U161" s="14" t="s">
        <v>265</v>
      </c>
      <c r="V161" s="101" t="str">
        <f t="shared" ca="1" si="13"/>
        <v>Шляпа HERMAN арт. DON VEGAS (черный)</v>
      </c>
      <c r="W161" s="100" t="str">
        <f t="shared" ca="1" si="14"/>
        <v>Шляпа HERMAN арт. DON VEGAS (черный) {black}</v>
      </c>
      <c r="X161" s="18" t="str">
        <f t="shared" ca="1" si="15"/>
        <v>черный</v>
      </c>
      <c r="Y161" s="18" t="str">
        <f t="shared" ca="1" si="16"/>
        <v>черный</v>
      </c>
      <c r="Z161" s="117" t="str">
        <f ca="1">_xlfn.LET(_xlpm.FormColors,_xlfn.XLOOKUP(A161,Строчный!A:A,Строчный!Q:Q,"",0),IF(_xlpm.FormColors=0,IFERROR(MID(I161,FIND("-",I161)+1,LEN(I161)),IFERROR(MID(I161,1,FIND("/",I161)-2),I161)),_xlpm.FormColors))</f>
        <v>черный</v>
      </c>
      <c r="AA161" s="73" t="str">
        <f ca="1"/>
        <v>80-929-09-59</v>
      </c>
      <c r="AB161" s="75" t="str">
        <f ca="1">VLOOKUP(C161,Группа!A:B,2,FALSE)</f>
        <v>Шляпа</v>
      </c>
      <c r="AC161" s="97" t="str">
        <f ca="1">IFERROR(VLOOKUP(S161,Размеры!A:C,3,FALSE),"")</f>
        <v>59 L</v>
      </c>
      <c r="AD161" s="97" t="str">
        <f ca="1">VLOOKUP(I161,ЦветПолный!A:B,2,FALSE)</f>
        <v>09</v>
      </c>
      <c r="AE161" s="97" t="str">
        <f ca="1">IFERROR(VLOOKUP(S161,Размеры!A:D,4,FALSE),"")</f>
        <v>59</v>
      </c>
      <c r="AF161" s="97">
        <f ca="1">IF(LEFT(IFERROR(VLOOKUP(LOOKUP(2,1/SEARCH(B161,Товары!A:A),Товары!A:A),Товары!A:B,2,0),""),6)=MID(AA161,1,6),1,0)</f>
        <v>1</v>
      </c>
      <c r="AH161" s="97">
        <f ca="1">SUMIF(Группа!A:A,C161,Группа!C:C)</f>
        <v>1</v>
      </c>
      <c r="AI161" s="97">
        <f ca="1">SUMIF(Группа!B:B,AB161,Группа!C:C)</f>
        <v>1</v>
      </c>
      <c r="AJ161" s="97">
        <f ca="1">SUMIF(Формы!A:A,D161,Формы!B:B)</f>
        <v>1</v>
      </c>
      <c r="AK161" s="97">
        <f ca="1">SUMIF(Материал!A:A,K161,Материал!B:B)</f>
        <v>1</v>
      </c>
      <c r="AL161" s="97">
        <f ca="1">SUMIF(Размеры!A:A,S161,Размеры!E:E)</f>
        <v>1</v>
      </c>
      <c r="AM161" s="97">
        <f ca="1">SUMIF(Сезон!A:A,F161,Сезон!B:B)</f>
        <v>1</v>
      </c>
      <c r="AN161" s="97">
        <f ca="1">SUMIF(Состав!A:A,J161,Состав!B:B)</f>
        <v>1</v>
      </c>
      <c r="AO161" s="97">
        <f ca="1">VLOOKUP(I161,ЦветПолный!A:C,3,0)</f>
        <v>1</v>
      </c>
      <c r="AP161" s="97">
        <f ca="1">SUMIF(Цвет!A:A,Z161,Цвет!B:B)</f>
        <v>1</v>
      </c>
      <c r="AQ161" s="97">
        <f ca="1">_xlfn.XLOOKUP(L161,Пол!A:A,Пол!B:B,0,0)</f>
        <v>1</v>
      </c>
      <c r="AR161" s="97">
        <f ca="1">SUMIF(Бренд!A:A,G161,Бренд!B:B)</f>
        <v>1</v>
      </c>
      <c r="AS161" s="97">
        <f ca="1">SUMIF(Страна!A:A,M161,Страна!B:B)</f>
        <v>1</v>
      </c>
      <c r="AT161" s="64" t="str">
        <f ca="1">IF(VLOOKUP(W161,Товары!A:B,2,FALSE)=A161,"Есть в 1С","ERR")</f>
        <v>Есть в 1С</v>
      </c>
      <c r="AU161" s="65" t="str">
        <f ca="1">IF(VLOOKUP(A161,Товары!B:B,1,FALSE)=A161,"Есть в 1С","ERR")</f>
        <v>Есть в 1С</v>
      </c>
      <c r="AV161" s="96" t="str">
        <f ca="1">VLOOKUP(W161,Товары!A:B,2,FALSE)</f>
        <v>80-929-09</v>
      </c>
      <c r="AW161" s="94" t="str">
        <f ca="1">VLOOKUP(W161,Товары!A:B,1,FALSE)</f>
        <v>Шляпа HERMAN арт. DON VEGAS (черный) {black}</v>
      </c>
    </row>
    <row r="162" spans="1:49" x14ac:dyDescent="0.25">
      <c r="A162" s="110" t="str">
        <f t="shared" ca="1" si="12"/>
        <v>80-929-09</v>
      </c>
      <c r="B162" s="107" t="str">
        <f ca="1">_xlfn.LET(_xlpm.CAPS,0,_xlpm.Style,TRIM(_xlfn.XLOOKUP($A162,Строчный!$A:$A,Строчный!B:B,"ERR",0)),IF(_xlpm.CAPS=0,_xlpm.Style,UPPER(_xlpm.Style)))</f>
        <v>DON VEGAS</v>
      </c>
      <c r="C162" s="81" t="str">
        <f ca="1">TRIM(PROPER(_xlfn.XLOOKUP($A162,Строчный!$A:$A,Строчный!C:C,"ERR",0)))</f>
        <v>Шляпы</v>
      </c>
      <c r="D162" s="81" t="str">
        <f ca="1">_xlfn.LET(_xlpm.DATA,TRIM(_xlfn.XLOOKUP($A162,Строчный!$A:$A,Строчный!D:D,"ERR",0)),UPPER(MID(_xlpm.DATA,1,1))&amp;LOWER(MID(_xlpm.DATA,2,LEN(_xlpm.DATA)-1)))</f>
        <v>Шляпа цилиндр</v>
      </c>
      <c r="E162" s="81" t="str">
        <f ca="1">PROPER(TRIM(_xlfn.XLOOKUP($A162,Строчный!$A:$A,Строчный!E:E,"ERR",0)))</f>
        <v>Herman</v>
      </c>
      <c r="F162" s="81" t="str">
        <f ca="1">LOWER(TRIM(_xlfn.XLOOKUP($A162,Строчный!$A:$A,Строчный!F:F,"ERR",0)))</f>
        <v>всесезон</v>
      </c>
      <c r="G162" s="81" t="str">
        <f ca="1">UPPER(TRIM(_xlfn.XLOOKUP($A162,Строчный!$A:$A,Строчный!G:G,"ERR",0)))</f>
        <v>HERMAN</v>
      </c>
      <c r="H162" s="81" t="str">
        <f ca="1">LOWER(TRIM(_xlfn.XLOOKUP($A162,Строчный!$A:$A,Строчный!H:H,"ERR",0)))</f>
        <v>black</v>
      </c>
      <c r="I162" s="81" t="str">
        <f ca="1">LOWER(TRIM(_xlfn.XLOOKUP($A162,Строчный!$A:$A,Строчный!I:I,"ERR",0)))</f>
        <v>черный</v>
      </c>
      <c r="J162" s="81" t="str">
        <f ca="1">SUBSTITUTE(LOWER(TRIM(_xlfn.XLOOKUP($A162,Строчный!$A:$A,Строчный!J:J,"ERR",0))),"подклад","Подклад")</f>
        <v>100% шерсть</v>
      </c>
      <c r="K162" s="81" t="str">
        <f ca="1">LOWER(TRIM(_xlfn.XLOOKUP($A162,Строчный!$A:$A,Строчный!K:K,"ERR",0)))</f>
        <v>фетровые</v>
      </c>
      <c r="L162" s="81" t="str">
        <f ca="1">PROPER(TRIM(_xlfn.XLOOKUP($A162,Строчный!$A:$A,Строчный!L:L,"ERR",0)))</f>
        <v>Мужской</v>
      </c>
      <c r="M162" s="113" t="str">
        <f ca="1">PROPER(TRIM(_xlfn.XLOOKUP($A162,Строчный!$A:$A,Строчный!M:M,"ERR",0)))</f>
        <v>Китай</v>
      </c>
      <c r="N162" s="81" t="str">
        <f ca="1">UPPER(TRIM(_xlfn.XLOOKUP($A162,Строчный!$A:$A,Строчный!O:O,"ERR",0)))</f>
        <v/>
      </c>
      <c r="O162" s="102" t="str">
        <f ca="1">PROPER(TRIM(_xlfn.XLOOKUP($A162,Строчный!$A:$A,Строчный!P:P,"ERR",0)))</f>
        <v/>
      </c>
      <c r="P162" s="81" t="str">
        <f ca="1">PROPER(TRIM(_xlfn.XLOOKUP($A162,Строчный!$A:$A,Строчный!R:R,"ERR",0)))</f>
        <v/>
      </c>
      <c r="Q162" s="90">
        <f ca="1">VALUE(_xlfn.XLOOKUP($A162,Строчный!$A:$A,Строчный!N:N,"ERR",0))</f>
        <v>1164.5999999999999</v>
      </c>
      <c r="R162" s="89" t="str">
        <f ca="1">_xlfn.XLOOKUP($G162,Фабрика!A:A,Фабрика!B:B,"ERR",0)</f>
        <v>Chapellerie Herman S.A.; Rue Jean Meunier, 6, 6922 Wellin, Belgium</v>
      </c>
      <c r="S162" s="80" t="str">
        <f ca="1">_xlfn.XLOOKUP(RIGHT(AA162,2),Размеры!D:D,Размеры!A:A,"ERR",0)</f>
        <v>57</v>
      </c>
      <c r="T162" s="80">
        <f ca="1">VALUE(_xlfn.XLOOKUP($AA162,Строчный!$S:$S,Строчный!U:U,"ERR",0))</f>
        <v>20</v>
      </c>
      <c r="U162" s="14" t="s">
        <v>265</v>
      </c>
      <c r="V162" s="101" t="str">
        <f t="shared" ca="1" si="13"/>
        <v>Шляпа HERMAN арт. DON VEGAS (черный)</v>
      </c>
      <c r="W162" s="100" t="str">
        <f t="shared" ca="1" si="14"/>
        <v>Шляпа HERMAN арт. DON VEGAS (черный) {black}</v>
      </c>
      <c r="X162" s="18" t="str">
        <f t="shared" ca="1" si="15"/>
        <v>черный</v>
      </c>
      <c r="Y162" s="18" t="str">
        <f t="shared" ca="1" si="16"/>
        <v>черный</v>
      </c>
      <c r="Z162" s="117" t="str">
        <f ca="1">_xlfn.LET(_xlpm.FormColors,_xlfn.XLOOKUP(A162,Строчный!A:A,Строчный!Q:Q,"",0),IF(_xlpm.FormColors=0,IFERROR(MID(I162,FIND("-",I162)+1,LEN(I162)),IFERROR(MID(I162,1,FIND("/",I162)-2),I162)),_xlpm.FormColors))</f>
        <v>черный</v>
      </c>
      <c r="AA162" s="73" t="str">
        <f ca="1"/>
        <v>80-929-09-57</v>
      </c>
      <c r="AB162" s="75" t="str">
        <f ca="1">VLOOKUP(C162,Группа!A:B,2,FALSE)</f>
        <v>Шляпа</v>
      </c>
      <c r="AC162" s="97" t="str">
        <f ca="1">IFERROR(VLOOKUP(S162,Размеры!A:C,3,FALSE),"")</f>
        <v>57 M</v>
      </c>
      <c r="AD162" s="97" t="str">
        <f ca="1">VLOOKUP(I162,ЦветПолный!A:B,2,FALSE)</f>
        <v>09</v>
      </c>
      <c r="AE162" s="97" t="str">
        <f ca="1">IFERROR(VLOOKUP(S162,Размеры!A:D,4,FALSE),"")</f>
        <v>57</v>
      </c>
      <c r="AF162" s="97">
        <f ca="1">IF(LEFT(IFERROR(VLOOKUP(LOOKUP(2,1/SEARCH(B162,Товары!A:A),Товары!A:A),Товары!A:B,2,0),""),6)=MID(AA162,1,6),1,0)</f>
        <v>1</v>
      </c>
      <c r="AH162" s="97">
        <f ca="1">SUMIF(Группа!A:A,C162,Группа!C:C)</f>
        <v>1</v>
      </c>
      <c r="AI162" s="97">
        <f ca="1">SUMIF(Группа!B:B,AB162,Группа!C:C)</f>
        <v>1</v>
      </c>
      <c r="AJ162" s="97">
        <f ca="1">SUMIF(Формы!A:A,D162,Формы!B:B)</f>
        <v>1</v>
      </c>
      <c r="AK162" s="97">
        <f ca="1">SUMIF(Материал!A:A,K162,Материал!B:B)</f>
        <v>1</v>
      </c>
      <c r="AL162" s="97">
        <f ca="1">SUMIF(Размеры!A:A,S162,Размеры!E:E)</f>
        <v>1</v>
      </c>
      <c r="AM162" s="97">
        <f ca="1">SUMIF(Сезон!A:A,F162,Сезон!B:B)</f>
        <v>1</v>
      </c>
      <c r="AN162" s="97">
        <f ca="1">SUMIF(Состав!A:A,J162,Состав!B:B)</f>
        <v>1</v>
      </c>
      <c r="AO162" s="97">
        <f ca="1">VLOOKUP(I162,ЦветПолный!A:C,3,0)</f>
        <v>1</v>
      </c>
      <c r="AP162" s="97">
        <f ca="1">SUMIF(Цвет!A:A,Z162,Цвет!B:B)</f>
        <v>1</v>
      </c>
      <c r="AQ162" s="97">
        <f ca="1">_xlfn.XLOOKUP(L162,Пол!A:A,Пол!B:B,0,0)</f>
        <v>1</v>
      </c>
      <c r="AR162" s="97">
        <f ca="1">SUMIF(Бренд!A:A,G162,Бренд!B:B)</f>
        <v>1</v>
      </c>
      <c r="AS162" s="97">
        <f ca="1">SUMIF(Страна!A:A,M162,Страна!B:B)</f>
        <v>1</v>
      </c>
      <c r="AT162" s="64" t="str">
        <f ca="1">IF(VLOOKUP(W162,Товары!A:B,2,FALSE)=A162,"Есть в 1С","ERR")</f>
        <v>Есть в 1С</v>
      </c>
      <c r="AU162" s="65" t="str">
        <f ca="1">IF(VLOOKUP(A162,Товары!B:B,1,FALSE)=A162,"Есть в 1С","ERR")</f>
        <v>Есть в 1С</v>
      </c>
      <c r="AV162" s="96" t="str">
        <f ca="1">VLOOKUP(W162,Товары!A:B,2,FALSE)</f>
        <v>80-929-09</v>
      </c>
      <c r="AW162" s="94" t="str">
        <f ca="1">VLOOKUP(W162,Товары!A:B,1,FALSE)</f>
        <v>Шляпа HERMAN арт. DON VEGAS (черный) {black}</v>
      </c>
    </row>
    <row r="163" spans="1:49" x14ac:dyDescent="0.25">
      <c r="A163" s="110" t="str">
        <f t="shared" ca="1" si="12"/>
        <v>80-865-16</v>
      </c>
      <c r="B163" s="107" t="str">
        <f ca="1">_xlfn.LET(_xlpm.CAPS,0,_xlpm.Style,TRIM(_xlfn.XLOOKUP($A163,Строчный!$A:$A,Строчный!B:B,"ERR",0)),IF(_xlpm.CAPS=0,_xlpm.Style,UPPER(_xlpm.Style)))</f>
        <v>BUCK 010</v>
      </c>
      <c r="C163" s="81" t="str">
        <f ca="1">TRIM(PROPER(_xlfn.XLOOKUP($A163,Строчный!$A:$A,Строчный!C:C,"ERR",0)))</f>
        <v>Шапки</v>
      </c>
      <c r="D163" s="81" t="str">
        <f ca="1">_xlfn.LET(_xlpm.DATA,TRIM(_xlfn.XLOOKUP($A163,Строчный!$A:$A,Строчный!D:D,"ERR",0)),UPPER(MID(_xlpm.DATA,1,1))&amp;LOWER(MID(_xlpm.DATA,2,LEN(_xlpm.DATA)-1)))</f>
        <v>Шапка ушанка</v>
      </c>
      <c r="E163" s="81" t="str">
        <f ca="1">PROPER(TRIM(_xlfn.XLOOKUP($A163,Строчный!$A:$A,Строчный!E:E,"ERR",0)))</f>
        <v>Herman</v>
      </c>
      <c r="F163" s="81" t="str">
        <f ca="1">LOWER(TRIM(_xlfn.XLOOKUP($A163,Строчный!$A:$A,Строчный!F:F,"ERR",0)))</f>
        <v>зимний</v>
      </c>
      <c r="G163" s="81" t="str">
        <f ca="1">UPPER(TRIM(_xlfn.XLOOKUP($A163,Строчный!$A:$A,Строчный!G:G,"ERR",0)))</f>
        <v>HERMAN</v>
      </c>
      <c r="H163" s="81" t="str">
        <f ca="1">LOWER(TRIM(_xlfn.XLOOKUP($A163,Строчный!$A:$A,Строчный!H:H,"ERR",0)))</f>
        <v>navy</v>
      </c>
      <c r="I163" s="81" t="str">
        <f ca="1">LOWER(TRIM(_xlfn.XLOOKUP($A163,Строчный!$A:$A,Строчный!I:I,"ERR",0)))</f>
        <v>темно-синий</v>
      </c>
      <c r="J163" s="81" t="str">
        <f ca="1">SUBSTITUTE(LOWER(TRIM(_xlfn.XLOOKUP($A163,Строчный!$A:$A,Строчный!J:J,"ERR",0))),"подклад","Подклад")</f>
        <v>100% полиэстер</v>
      </c>
      <c r="K163" s="81" t="str">
        <f ca="1">LOWER(TRIM(_xlfn.XLOOKUP($A163,Строчный!$A:$A,Строчный!K:K,"ERR",0)))</f>
        <v/>
      </c>
      <c r="L163" s="81" t="str">
        <f ca="1">PROPER(TRIM(_xlfn.XLOOKUP($A163,Строчный!$A:$A,Строчный!L:L,"ERR",0)))</f>
        <v>Унисекс</v>
      </c>
      <c r="M163" s="113" t="str">
        <f ca="1">PROPER(TRIM(_xlfn.XLOOKUP($A163,Строчный!$A:$A,Строчный!M:M,"ERR",0)))</f>
        <v>Китай</v>
      </c>
      <c r="N163" s="81" t="str">
        <f ca="1">UPPER(TRIM(_xlfn.XLOOKUP($A163,Строчный!$A:$A,Строчный!O:O,"ERR",0)))</f>
        <v/>
      </c>
      <c r="O163" s="102" t="str">
        <f ca="1">PROPER(TRIM(_xlfn.XLOOKUP($A163,Строчный!$A:$A,Строчный!P:P,"ERR",0)))</f>
        <v/>
      </c>
      <c r="P163" s="81" t="str">
        <f ca="1">PROPER(TRIM(_xlfn.XLOOKUP($A163,Строчный!$A:$A,Строчный!R:R,"ERR",0)))</f>
        <v/>
      </c>
      <c r="Q163" s="90">
        <f ca="1">VALUE(_xlfn.XLOOKUP($A163,Строчный!$A:$A,Строчный!N:N,"ERR",0))</f>
        <v>270</v>
      </c>
      <c r="R163" s="89" t="str">
        <f ca="1">_xlfn.XLOOKUP($G163,Фабрика!A:A,Фабрика!B:B,"ERR",0)</f>
        <v>Chapellerie Herman S.A.; Rue Jean Meunier, 6, 6922 Wellin, Belgium</v>
      </c>
      <c r="S163" s="80" t="str">
        <f ca="1">_xlfn.XLOOKUP(RIGHT(AA163,2),Размеры!D:D,Размеры!A:A,"ERR",0)</f>
        <v>61</v>
      </c>
      <c r="T163" s="80">
        <f ca="1">VALUE(_xlfn.XLOOKUP($AA163,Строчный!$S:$S,Строчный!U:U,"ERR",0))</f>
        <v>4</v>
      </c>
      <c r="U163" s="14" t="s">
        <v>265</v>
      </c>
      <c r="V163" s="101" t="str">
        <f t="shared" ca="1" si="13"/>
        <v>Шапка HERMAN арт. BUCK 010 (темно-синий)</v>
      </c>
      <c r="W163" s="100" t="str">
        <f t="shared" ca="1" si="14"/>
        <v>Шапка HERMAN арт. BUCK 010 (темно-синий) {navy}</v>
      </c>
      <c r="X163" s="18" t="str">
        <f t="shared" ca="1" si="15"/>
        <v>синий</v>
      </c>
      <c r="Y163" s="18" t="str">
        <f t="shared" ca="1" si="16"/>
        <v>синий</v>
      </c>
      <c r="Z163" s="117" t="str">
        <f ca="1">_xlfn.LET(_xlpm.FormColors,_xlfn.XLOOKUP(A163,Строчный!A:A,Строчный!Q:Q,"",0),IF(_xlpm.FormColors=0,IFERROR(MID(I163,FIND("-",I163)+1,LEN(I163)),IFERROR(MID(I163,1,FIND("/",I163)-2),I163)),_xlpm.FormColors))</f>
        <v>синий</v>
      </c>
      <c r="AA163" s="73" t="str">
        <f ca="1"/>
        <v>80-865-16-61</v>
      </c>
      <c r="AB163" s="75" t="str">
        <f ca="1">VLOOKUP(C163,Группа!A:B,2,FALSE)</f>
        <v>Шапка</v>
      </c>
      <c r="AC163" s="97" t="str">
        <f ca="1">IFERROR(VLOOKUP(S163,Размеры!A:C,3,FALSE),"")</f>
        <v>61 XL</v>
      </c>
      <c r="AD163" s="97" t="str">
        <f ca="1">VLOOKUP(I163,ЦветПолный!A:B,2,FALSE)</f>
        <v>16</v>
      </c>
      <c r="AE163" s="97" t="str">
        <f ca="1">IFERROR(VLOOKUP(S163,Размеры!A:D,4,FALSE),"")</f>
        <v>61</v>
      </c>
      <c r="AF163" s="97">
        <f ca="1">IF(LEFT(IFERROR(VLOOKUP(LOOKUP(2,1/SEARCH(B163,Товары!A:A),Товары!A:A),Товары!A:B,2,0),""),6)=MID(AA163,1,6),1,0)</f>
        <v>1</v>
      </c>
      <c r="AH163" s="97">
        <f ca="1">SUMIF(Группа!A:A,C163,Группа!C:C)</f>
        <v>1</v>
      </c>
      <c r="AI163" s="97">
        <f ca="1">SUMIF(Группа!B:B,AB163,Группа!C:C)</f>
        <v>1</v>
      </c>
      <c r="AJ163" s="97">
        <f ca="1">SUMIF(Формы!A:A,D163,Формы!B:B)</f>
        <v>1</v>
      </c>
      <c r="AK163" s="97">
        <f ca="1">SUMIF(Материал!A:A,K163,Материал!B:B)</f>
        <v>0</v>
      </c>
      <c r="AL163" s="97">
        <f ca="1">SUMIF(Размеры!A:A,S163,Размеры!E:E)</f>
        <v>1</v>
      </c>
      <c r="AM163" s="97">
        <f ca="1">SUMIF(Сезон!A:A,F163,Сезон!B:B)</f>
        <v>1</v>
      </c>
      <c r="AN163" s="97">
        <f ca="1">SUMIF(Состав!A:A,J163,Состав!B:B)</f>
        <v>1</v>
      </c>
      <c r="AO163" s="97">
        <f ca="1">VLOOKUP(I163,ЦветПолный!A:C,3,0)</f>
        <v>1</v>
      </c>
      <c r="AP163" s="97">
        <f ca="1">SUMIF(Цвет!A:A,Z163,Цвет!B:B)</f>
        <v>1</v>
      </c>
      <c r="AQ163" s="97">
        <f ca="1">_xlfn.XLOOKUP(L163,Пол!A:A,Пол!B:B,0,0)</f>
        <v>1</v>
      </c>
      <c r="AR163" s="97">
        <f ca="1">SUMIF(Бренд!A:A,G163,Бренд!B:B)</f>
        <v>1</v>
      </c>
      <c r="AS163" s="97">
        <f ca="1">SUMIF(Страна!A:A,M163,Страна!B:B)</f>
        <v>1</v>
      </c>
      <c r="AT163" s="64" t="str">
        <f ca="1">IF(VLOOKUP(W163,Товары!A:B,2,FALSE)=A163,"Есть в 1С","ERR")</f>
        <v>Есть в 1С</v>
      </c>
      <c r="AU163" s="65" t="str">
        <f ca="1">IF(VLOOKUP(A163,Товары!B:B,1,FALSE)=A163,"Есть в 1С","ERR")</f>
        <v>Есть в 1С</v>
      </c>
      <c r="AV163" s="96" t="str">
        <f ca="1">VLOOKUP(W163,Товары!A:B,2,FALSE)</f>
        <v>80-865-16</v>
      </c>
      <c r="AW163" s="94" t="str">
        <f ca="1">VLOOKUP(W163,Товары!A:B,1,FALSE)</f>
        <v>Шапка HERMAN арт. BUCK 010 (темно-синий) {navy}</v>
      </c>
    </row>
    <row r="164" spans="1:49" x14ac:dyDescent="0.25">
      <c r="A164" s="110" t="str">
        <f t="shared" ca="1" si="12"/>
        <v>80-865-16</v>
      </c>
      <c r="B164" s="107" t="str">
        <f ca="1">_xlfn.LET(_xlpm.CAPS,0,_xlpm.Style,TRIM(_xlfn.XLOOKUP($A164,Строчный!$A:$A,Строчный!B:B,"ERR",0)),IF(_xlpm.CAPS=0,_xlpm.Style,UPPER(_xlpm.Style)))</f>
        <v>BUCK 010</v>
      </c>
      <c r="C164" s="81" t="str">
        <f ca="1">TRIM(PROPER(_xlfn.XLOOKUP($A164,Строчный!$A:$A,Строчный!C:C,"ERR",0)))</f>
        <v>Шапки</v>
      </c>
      <c r="D164" s="81" t="str">
        <f ca="1">_xlfn.LET(_xlpm.DATA,TRIM(_xlfn.XLOOKUP($A164,Строчный!$A:$A,Строчный!D:D,"ERR",0)),UPPER(MID(_xlpm.DATA,1,1))&amp;LOWER(MID(_xlpm.DATA,2,LEN(_xlpm.DATA)-1)))</f>
        <v>Шапка ушанка</v>
      </c>
      <c r="E164" s="81" t="str">
        <f ca="1">PROPER(TRIM(_xlfn.XLOOKUP($A164,Строчный!$A:$A,Строчный!E:E,"ERR",0)))</f>
        <v>Herman</v>
      </c>
      <c r="F164" s="81" t="str">
        <f ca="1">LOWER(TRIM(_xlfn.XLOOKUP($A164,Строчный!$A:$A,Строчный!F:F,"ERR",0)))</f>
        <v>зимний</v>
      </c>
      <c r="G164" s="81" t="str">
        <f ca="1">UPPER(TRIM(_xlfn.XLOOKUP($A164,Строчный!$A:$A,Строчный!G:G,"ERR",0)))</f>
        <v>HERMAN</v>
      </c>
      <c r="H164" s="81" t="str">
        <f ca="1">LOWER(TRIM(_xlfn.XLOOKUP($A164,Строчный!$A:$A,Строчный!H:H,"ERR",0)))</f>
        <v>navy</v>
      </c>
      <c r="I164" s="81" t="str">
        <f ca="1">LOWER(TRIM(_xlfn.XLOOKUP($A164,Строчный!$A:$A,Строчный!I:I,"ERR",0)))</f>
        <v>темно-синий</v>
      </c>
      <c r="J164" s="81" t="str">
        <f ca="1">SUBSTITUTE(LOWER(TRIM(_xlfn.XLOOKUP($A164,Строчный!$A:$A,Строчный!J:J,"ERR",0))),"подклад","Подклад")</f>
        <v>100% полиэстер</v>
      </c>
      <c r="K164" s="81" t="str">
        <f ca="1">LOWER(TRIM(_xlfn.XLOOKUP($A164,Строчный!$A:$A,Строчный!K:K,"ERR",0)))</f>
        <v/>
      </c>
      <c r="L164" s="81" t="str">
        <f ca="1">PROPER(TRIM(_xlfn.XLOOKUP($A164,Строчный!$A:$A,Строчный!L:L,"ERR",0)))</f>
        <v>Унисекс</v>
      </c>
      <c r="M164" s="113" t="str">
        <f ca="1">PROPER(TRIM(_xlfn.XLOOKUP($A164,Строчный!$A:$A,Строчный!M:M,"ERR",0)))</f>
        <v>Китай</v>
      </c>
      <c r="N164" s="81" t="str">
        <f ca="1">UPPER(TRIM(_xlfn.XLOOKUP($A164,Строчный!$A:$A,Строчный!O:O,"ERR",0)))</f>
        <v/>
      </c>
      <c r="O164" s="102" t="str">
        <f ca="1">PROPER(TRIM(_xlfn.XLOOKUP($A164,Строчный!$A:$A,Строчный!P:P,"ERR",0)))</f>
        <v/>
      </c>
      <c r="P164" s="81" t="str">
        <f ca="1">PROPER(TRIM(_xlfn.XLOOKUP($A164,Строчный!$A:$A,Строчный!R:R,"ERR",0)))</f>
        <v/>
      </c>
      <c r="Q164" s="90">
        <f ca="1">VALUE(_xlfn.XLOOKUP($A164,Строчный!$A:$A,Строчный!N:N,"ERR",0))</f>
        <v>270</v>
      </c>
      <c r="R164" s="89" t="str">
        <f ca="1">_xlfn.XLOOKUP($G164,Фабрика!A:A,Фабрика!B:B,"ERR",0)</f>
        <v>Chapellerie Herman S.A.; Rue Jean Meunier, 6, 6922 Wellin, Belgium</v>
      </c>
      <c r="S164" s="80" t="str">
        <f ca="1">_xlfn.XLOOKUP(RIGHT(AA164,2),Размеры!D:D,Размеры!A:A,"ERR",0)</f>
        <v>59</v>
      </c>
      <c r="T164" s="80">
        <f ca="1">VALUE(_xlfn.XLOOKUP($AA164,Строчный!$S:$S,Строчный!U:U,"ERR",0))</f>
        <v>4</v>
      </c>
      <c r="U164" s="14" t="s">
        <v>265</v>
      </c>
      <c r="V164" s="101" t="str">
        <f t="shared" ca="1" si="13"/>
        <v>Шапка HERMAN арт. BUCK 010 (темно-синий)</v>
      </c>
      <c r="W164" s="100" t="str">
        <f t="shared" ca="1" si="14"/>
        <v>Шапка HERMAN арт. BUCK 010 (темно-синий) {navy}</v>
      </c>
      <c r="X164" s="18" t="str">
        <f t="shared" ca="1" si="15"/>
        <v>синий</v>
      </c>
      <c r="Y164" s="18" t="str">
        <f t="shared" ca="1" si="16"/>
        <v>синий</v>
      </c>
      <c r="Z164" s="117" t="str">
        <f ca="1">_xlfn.LET(_xlpm.FormColors,_xlfn.XLOOKUP(A164,Строчный!A:A,Строчный!Q:Q,"",0),IF(_xlpm.FormColors=0,IFERROR(MID(I164,FIND("-",I164)+1,LEN(I164)),IFERROR(MID(I164,1,FIND("/",I164)-2),I164)),_xlpm.FormColors))</f>
        <v>синий</v>
      </c>
      <c r="AA164" s="73" t="str">
        <f ca="1"/>
        <v>80-865-16-59</v>
      </c>
      <c r="AB164" s="75" t="str">
        <f ca="1">VLOOKUP(C164,Группа!A:B,2,FALSE)</f>
        <v>Шапка</v>
      </c>
      <c r="AC164" s="97" t="str">
        <f ca="1">IFERROR(VLOOKUP(S164,Размеры!A:C,3,FALSE),"")</f>
        <v>59 L</v>
      </c>
      <c r="AD164" s="97" t="str">
        <f ca="1">VLOOKUP(I164,ЦветПолный!A:B,2,FALSE)</f>
        <v>16</v>
      </c>
      <c r="AE164" s="97" t="str">
        <f ca="1">IFERROR(VLOOKUP(S164,Размеры!A:D,4,FALSE),"")</f>
        <v>59</v>
      </c>
      <c r="AF164" s="97">
        <f ca="1">IF(LEFT(IFERROR(VLOOKUP(LOOKUP(2,1/SEARCH(B164,Товары!A:A),Товары!A:A),Товары!A:B,2,0),""),6)=MID(AA164,1,6),1,0)</f>
        <v>1</v>
      </c>
      <c r="AH164" s="97">
        <f ca="1">SUMIF(Группа!A:A,C164,Группа!C:C)</f>
        <v>1</v>
      </c>
      <c r="AI164" s="97">
        <f ca="1">SUMIF(Группа!B:B,AB164,Группа!C:C)</f>
        <v>1</v>
      </c>
      <c r="AJ164" s="97">
        <f ca="1">SUMIF(Формы!A:A,D164,Формы!B:B)</f>
        <v>1</v>
      </c>
      <c r="AK164" s="97">
        <f ca="1">SUMIF(Материал!A:A,K164,Материал!B:B)</f>
        <v>0</v>
      </c>
      <c r="AL164" s="97">
        <f ca="1">SUMIF(Размеры!A:A,S164,Размеры!E:E)</f>
        <v>1</v>
      </c>
      <c r="AM164" s="97">
        <f ca="1">SUMIF(Сезон!A:A,F164,Сезон!B:B)</f>
        <v>1</v>
      </c>
      <c r="AN164" s="97">
        <f ca="1">SUMIF(Состав!A:A,J164,Состав!B:B)</f>
        <v>1</v>
      </c>
      <c r="AO164" s="97">
        <f ca="1">VLOOKUP(I164,ЦветПолный!A:C,3,0)</f>
        <v>1</v>
      </c>
      <c r="AP164" s="97">
        <f ca="1">SUMIF(Цвет!A:A,Z164,Цвет!B:B)</f>
        <v>1</v>
      </c>
      <c r="AQ164" s="97">
        <f ca="1">_xlfn.XLOOKUP(L164,Пол!A:A,Пол!B:B,0,0)</f>
        <v>1</v>
      </c>
      <c r="AR164" s="97">
        <f ca="1">SUMIF(Бренд!A:A,G164,Бренд!B:B)</f>
        <v>1</v>
      </c>
      <c r="AS164" s="97">
        <f ca="1">SUMIF(Страна!A:A,M164,Страна!B:B)</f>
        <v>1</v>
      </c>
      <c r="AT164" s="64" t="str">
        <f ca="1">IF(VLOOKUP(W164,Товары!A:B,2,FALSE)=A164,"Есть в 1С","ERR")</f>
        <v>Есть в 1С</v>
      </c>
      <c r="AU164" s="65" t="str">
        <f ca="1">IF(VLOOKUP(A164,Товары!B:B,1,FALSE)=A164,"Есть в 1С","ERR")</f>
        <v>Есть в 1С</v>
      </c>
      <c r="AV164" s="96" t="str">
        <f ca="1">VLOOKUP(W164,Товары!A:B,2,FALSE)</f>
        <v>80-865-16</v>
      </c>
      <c r="AW164" s="94" t="str">
        <f ca="1">VLOOKUP(W164,Товары!A:B,1,FALSE)</f>
        <v>Шапка HERMAN арт. BUCK 010 (темно-синий) {navy}</v>
      </c>
    </row>
    <row r="165" spans="1:49" x14ac:dyDescent="0.25">
      <c r="A165" s="110" t="str">
        <f t="shared" ca="1" si="12"/>
        <v>80-865-16</v>
      </c>
      <c r="B165" s="107" t="str">
        <f ca="1">_xlfn.LET(_xlpm.CAPS,0,_xlpm.Style,TRIM(_xlfn.XLOOKUP($A165,Строчный!$A:$A,Строчный!B:B,"ERR",0)),IF(_xlpm.CAPS=0,_xlpm.Style,UPPER(_xlpm.Style)))</f>
        <v>BUCK 010</v>
      </c>
      <c r="C165" s="81" t="str">
        <f ca="1">TRIM(PROPER(_xlfn.XLOOKUP($A165,Строчный!$A:$A,Строчный!C:C,"ERR",0)))</f>
        <v>Шапки</v>
      </c>
      <c r="D165" s="81" t="str">
        <f ca="1">_xlfn.LET(_xlpm.DATA,TRIM(_xlfn.XLOOKUP($A165,Строчный!$A:$A,Строчный!D:D,"ERR",0)),UPPER(MID(_xlpm.DATA,1,1))&amp;LOWER(MID(_xlpm.DATA,2,LEN(_xlpm.DATA)-1)))</f>
        <v>Шапка ушанка</v>
      </c>
      <c r="E165" s="81" t="str">
        <f ca="1">PROPER(TRIM(_xlfn.XLOOKUP($A165,Строчный!$A:$A,Строчный!E:E,"ERR",0)))</f>
        <v>Herman</v>
      </c>
      <c r="F165" s="81" t="str">
        <f ca="1">LOWER(TRIM(_xlfn.XLOOKUP($A165,Строчный!$A:$A,Строчный!F:F,"ERR",0)))</f>
        <v>зимний</v>
      </c>
      <c r="G165" s="81" t="str">
        <f ca="1">UPPER(TRIM(_xlfn.XLOOKUP($A165,Строчный!$A:$A,Строчный!G:G,"ERR",0)))</f>
        <v>HERMAN</v>
      </c>
      <c r="H165" s="81" t="str">
        <f ca="1">LOWER(TRIM(_xlfn.XLOOKUP($A165,Строчный!$A:$A,Строчный!H:H,"ERR",0)))</f>
        <v>navy</v>
      </c>
      <c r="I165" s="81" t="str">
        <f ca="1">LOWER(TRIM(_xlfn.XLOOKUP($A165,Строчный!$A:$A,Строчный!I:I,"ERR",0)))</f>
        <v>темно-синий</v>
      </c>
      <c r="J165" s="81" t="str">
        <f ca="1">SUBSTITUTE(LOWER(TRIM(_xlfn.XLOOKUP($A165,Строчный!$A:$A,Строчный!J:J,"ERR",0))),"подклад","Подклад")</f>
        <v>100% полиэстер</v>
      </c>
      <c r="K165" s="81" t="str">
        <f ca="1">LOWER(TRIM(_xlfn.XLOOKUP($A165,Строчный!$A:$A,Строчный!K:K,"ERR",0)))</f>
        <v/>
      </c>
      <c r="L165" s="81" t="str">
        <f ca="1">PROPER(TRIM(_xlfn.XLOOKUP($A165,Строчный!$A:$A,Строчный!L:L,"ERR",0)))</f>
        <v>Унисекс</v>
      </c>
      <c r="M165" s="113" t="str">
        <f ca="1">PROPER(TRIM(_xlfn.XLOOKUP($A165,Строчный!$A:$A,Строчный!M:M,"ERR",0)))</f>
        <v>Китай</v>
      </c>
      <c r="N165" s="81" t="str">
        <f ca="1">UPPER(TRIM(_xlfn.XLOOKUP($A165,Строчный!$A:$A,Строчный!O:O,"ERR",0)))</f>
        <v/>
      </c>
      <c r="O165" s="102" t="str">
        <f ca="1">PROPER(TRIM(_xlfn.XLOOKUP($A165,Строчный!$A:$A,Строчный!P:P,"ERR",0)))</f>
        <v/>
      </c>
      <c r="P165" s="81" t="str">
        <f ca="1">PROPER(TRIM(_xlfn.XLOOKUP($A165,Строчный!$A:$A,Строчный!R:R,"ERR",0)))</f>
        <v/>
      </c>
      <c r="Q165" s="90">
        <f ca="1">VALUE(_xlfn.XLOOKUP($A165,Строчный!$A:$A,Строчный!N:N,"ERR",0))</f>
        <v>270</v>
      </c>
      <c r="R165" s="89" t="str">
        <f ca="1">_xlfn.XLOOKUP($G165,Фабрика!A:A,Фабрика!B:B,"ERR",0)</f>
        <v>Chapellerie Herman S.A.; Rue Jean Meunier, 6, 6922 Wellin, Belgium</v>
      </c>
      <c r="S165" s="80" t="str">
        <f ca="1">_xlfn.XLOOKUP(RIGHT(AA165,2),Размеры!D:D,Размеры!A:A,"ERR",0)</f>
        <v>57</v>
      </c>
      <c r="T165" s="80">
        <f ca="1">VALUE(_xlfn.XLOOKUP($AA165,Строчный!$S:$S,Строчный!U:U,"ERR",0))</f>
        <v>6</v>
      </c>
      <c r="U165" s="14" t="s">
        <v>265</v>
      </c>
      <c r="V165" s="101" t="str">
        <f t="shared" ca="1" si="13"/>
        <v>Шапка HERMAN арт. BUCK 010 (темно-синий)</v>
      </c>
      <c r="W165" s="100" t="str">
        <f t="shared" ca="1" si="14"/>
        <v>Шапка HERMAN арт. BUCK 010 (темно-синий) {navy}</v>
      </c>
      <c r="X165" s="18" t="str">
        <f t="shared" ca="1" si="15"/>
        <v>синий</v>
      </c>
      <c r="Y165" s="18" t="str">
        <f t="shared" ca="1" si="16"/>
        <v>синий</v>
      </c>
      <c r="Z165" s="117" t="str">
        <f ca="1">_xlfn.LET(_xlpm.FormColors,_xlfn.XLOOKUP(A165,Строчный!A:A,Строчный!Q:Q,"",0),IF(_xlpm.FormColors=0,IFERROR(MID(I165,FIND("-",I165)+1,LEN(I165)),IFERROR(MID(I165,1,FIND("/",I165)-2),I165)),_xlpm.FormColors))</f>
        <v>синий</v>
      </c>
      <c r="AA165" s="73" t="str">
        <f ca="1"/>
        <v>80-865-16-57</v>
      </c>
      <c r="AB165" s="75" t="str">
        <f ca="1">VLOOKUP(C165,Группа!A:B,2,FALSE)</f>
        <v>Шапка</v>
      </c>
      <c r="AC165" s="97" t="str">
        <f ca="1">IFERROR(VLOOKUP(S165,Размеры!A:C,3,FALSE),"")</f>
        <v>57 M</v>
      </c>
      <c r="AD165" s="97" t="str">
        <f ca="1">VLOOKUP(I165,ЦветПолный!A:B,2,FALSE)</f>
        <v>16</v>
      </c>
      <c r="AE165" s="97" t="str">
        <f ca="1">IFERROR(VLOOKUP(S165,Размеры!A:D,4,FALSE),"")</f>
        <v>57</v>
      </c>
      <c r="AF165" s="97">
        <f ca="1">IF(LEFT(IFERROR(VLOOKUP(LOOKUP(2,1/SEARCH(B165,Товары!A:A),Товары!A:A),Товары!A:B,2,0),""),6)=MID(AA165,1,6),1,0)</f>
        <v>1</v>
      </c>
      <c r="AH165" s="97">
        <f ca="1">SUMIF(Группа!A:A,C165,Группа!C:C)</f>
        <v>1</v>
      </c>
      <c r="AI165" s="97">
        <f ca="1">SUMIF(Группа!B:B,AB165,Группа!C:C)</f>
        <v>1</v>
      </c>
      <c r="AJ165" s="97">
        <f ca="1">SUMIF(Формы!A:A,D165,Формы!B:B)</f>
        <v>1</v>
      </c>
      <c r="AK165" s="97">
        <f ca="1">SUMIF(Материал!A:A,K165,Материал!B:B)</f>
        <v>0</v>
      </c>
      <c r="AL165" s="97">
        <f ca="1">SUMIF(Размеры!A:A,S165,Размеры!E:E)</f>
        <v>1</v>
      </c>
      <c r="AM165" s="97">
        <f ca="1">SUMIF(Сезон!A:A,F165,Сезон!B:B)</f>
        <v>1</v>
      </c>
      <c r="AN165" s="97">
        <f ca="1">SUMIF(Состав!A:A,J165,Состав!B:B)</f>
        <v>1</v>
      </c>
      <c r="AO165" s="97">
        <f ca="1">VLOOKUP(I165,ЦветПолный!A:C,3,0)</f>
        <v>1</v>
      </c>
      <c r="AP165" s="97">
        <f ca="1">SUMIF(Цвет!A:A,Z165,Цвет!B:B)</f>
        <v>1</v>
      </c>
      <c r="AQ165" s="97">
        <f ca="1">_xlfn.XLOOKUP(L165,Пол!A:A,Пол!B:B,0,0)</f>
        <v>1</v>
      </c>
      <c r="AR165" s="97">
        <f ca="1">SUMIF(Бренд!A:A,G165,Бренд!B:B)</f>
        <v>1</v>
      </c>
      <c r="AS165" s="97">
        <f ca="1">SUMIF(Страна!A:A,M165,Страна!B:B)</f>
        <v>1</v>
      </c>
      <c r="AT165" s="64" t="str">
        <f ca="1">IF(VLOOKUP(W165,Товары!A:B,2,FALSE)=A165,"Есть в 1С","ERR")</f>
        <v>Есть в 1С</v>
      </c>
      <c r="AU165" s="65" t="str">
        <f ca="1">IF(VLOOKUP(A165,Товары!B:B,1,FALSE)=A165,"Есть в 1С","ERR")</f>
        <v>Есть в 1С</v>
      </c>
      <c r="AV165" s="96" t="str">
        <f ca="1">VLOOKUP(W165,Товары!A:B,2,FALSE)</f>
        <v>80-865-16</v>
      </c>
      <c r="AW165" s="94" t="str">
        <f ca="1">VLOOKUP(W165,Товары!A:B,1,FALSE)</f>
        <v>Шапка HERMAN арт. BUCK 010 (темно-синий) {navy}</v>
      </c>
    </row>
    <row r="166" spans="1:49" x14ac:dyDescent="0.25">
      <c r="A166" s="110" t="str">
        <f t="shared" ca="1" si="12"/>
        <v>80-865-16</v>
      </c>
      <c r="B166" s="107" t="str">
        <f ca="1">_xlfn.LET(_xlpm.CAPS,0,_xlpm.Style,TRIM(_xlfn.XLOOKUP($A166,Строчный!$A:$A,Строчный!B:B,"ERR",0)),IF(_xlpm.CAPS=0,_xlpm.Style,UPPER(_xlpm.Style)))</f>
        <v>BUCK 010</v>
      </c>
      <c r="C166" s="81" t="str">
        <f ca="1">TRIM(PROPER(_xlfn.XLOOKUP($A166,Строчный!$A:$A,Строчный!C:C,"ERR",0)))</f>
        <v>Шапки</v>
      </c>
      <c r="D166" s="81" t="str">
        <f ca="1">_xlfn.LET(_xlpm.DATA,TRIM(_xlfn.XLOOKUP($A166,Строчный!$A:$A,Строчный!D:D,"ERR",0)),UPPER(MID(_xlpm.DATA,1,1))&amp;LOWER(MID(_xlpm.DATA,2,LEN(_xlpm.DATA)-1)))</f>
        <v>Шапка ушанка</v>
      </c>
      <c r="E166" s="81" t="str">
        <f ca="1">PROPER(TRIM(_xlfn.XLOOKUP($A166,Строчный!$A:$A,Строчный!E:E,"ERR",0)))</f>
        <v>Herman</v>
      </c>
      <c r="F166" s="81" t="str">
        <f ca="1">LOWER(TRIM(_xlfn.XLOOKUP($A166,Строчный!$A:$A,Строчный!F:F,"ERR",0)))</f>
        <v>зимний</v>
      </c>
      <c r="G166" s="81" t="str">
        <f ca="1">UPPER(TRIM(_xlfn.XLOOKUP($A166,Строчный!$A:$A,Строчный!G:G,"ERR",0)))</f>
        <v>HERMAN</v>
      </c>
      <c r="H166" s="81" t="str">
        <f ca="1">LOWER(TRIM(_xlfn.XLOOKUP($A166,Строчный!$A:$A,Строчный!H:H,"ERR",0)))</f>
        <v>navy</v>
      </c>
      <c r="I166" s="81" t="str">
        <f ca="1">LOWER(TRIM(_xlfn.XLOOKUP($A166,Строчный!$A:$A,Строчный!I:I,"ERR",0)))</f>
        <v>темно-синий</v>
      </c>
      <c r="J166" s="81" t="str">
        <f ca="1">SUBSTITUTE(LOWER(TRIM(_xlfn.XLOOKUP($A166,Строчный!$A:$A,Строчный!J:J,"ERR",0))),"подклад","Подклад")</f>
        <v>100% полиэстер</v>
      </c>
      <c r="K166" s="81" t="str">
        <f ca="1">LOWER(TRIM(_xlfn.XLOOKUP($A166,Строчный!$A:$A,Строчный!K:K,"ERR",0)))</f>
        <v/>
      </c>
      <c r="L166" s="81" t="str">
        <f ca="1">PROPER(TRIM(_xlfn.XLOOKUP($A166,Строчный!$A:$A,Строчный!L:L,"ERR",0)))</f>
        <v>Унисекс</v>
      </c>
      <c r="M166" s="113" t="str">
        <f ca="1">PROPER(TRIM(_xlfn.XLOOKUP($A166,Строчный!$A:$A,Строчный!M:M,"ERR",0)))</f>
        <v>Китай</v>
      </c>
      <c r="N166" s="81" t="str">
        <f ca="1">UPPER(TRIM(_xlfn.XLOOKUP($A166,Строчный!$A:$A,Строчный!O:O,"ERR",0)))</f>
        <v/>
      </c>
      <c r="O166" s="102" t="str">
        <f ca="1">PROPER(TRIM(_xlfn.XLOOKUP($A166,Строчный!$A:$A,Строчный!P:P,"ERR",0)))</f>
        <v/>
      </c>
      <c r="P166" s="81" t="str">
        <f ca="1">PROPER(TRIM(_xlfn.XLOOKUP($A166,Строчный!$A:$A,Строчный!R:R,"ERR",0)))</f>
        <v/>
      </c>
      <c r="Q166" s="90">
        <f ca="1">VALUE(_xlfn.XLOOKUP($A166,Строчный!$A:$A,Строчный!N:N,"ERR",0))</f>
        <v>270</v>
      </c>
      <c r="R166" s="89" t="str">
        <f ca="1">_xlfn.XLOOKUP($G166,Фабрика!A:A,Фабрика!B:B,"ERR",0)</f>
        <v>Chapellerie Herman S.A.; Rue Jean Meunier, 6, 6922 Wellin, Belgium</v>
      </c>
      <c r="S166" s="80" t="str">
        <f ca="1">_xlfn.XLOOKUP(RIGHT(AA166,2),Размеры!D:D,Размеры!A:A,"ERR",0)</f>
        <v>55</v>
      </c>
      <c r="T166" s="80">
        <f ca="1">VALUE(_xlfn.XLOOKUP($AA166,Строчный!$S:$S,Строчный!U:U,"ERR",0))</f>
        <v>4</v>
      </c>
      <c r="U166" s="14" t="s">
        <v>265</v>
      </c>
      <c r="V166" s="101" t="str">
        <f t="shared" ca="1" si="13"/>
        <v>Шапка HERMAN арт. BUCK 010 (темно-синий)</v>
      </c>
      <c r="W166" s="100" t="str">
        <f t="shared" ca="1" si="14"/>
        <v>Шапка HERMAN арт. BUCK 010 (темно-синий) {navy}</v>
      </c>
      <c r="X166" s="18" t="str">
        <f t="shared" ca="1" si="15"/>
        <v>синий</v>
      </c>
      <c r="Y166" s="18" t="str">
        <f t="shared" ca="1" si="16"/>
        <v>синий</v>
      </c>
      <c r="Z166" s="117" t="str">
        <f ca="1">_xlfn.LET(_xlpm.FormColors,_xlfn.XLOOKUP(A166,Строчный!A:A,Строчный!Q:Q,"",0),IF(_xlpm.FormColors=0,IFERROR(MID(I166,FIND("-",I166)+1,LEN(I166)),IFERROR(MID(I166,1,FIND("/",I166)-2),I166)),_xlpm.FormColors))</f>
        <v>синий</v>
      </c>
      <c r="AA166" s="73" t="str">
        <f ca="1"/>
        <v>80-865-16-55</v>
      </c>
      <c r="AB166" s="75" t="str">
        <f ca="1">VLOOKUP(C166,Группа!A:B,2,FALSE)</f>
        <v>Шапка</v>
      </c>
      <c r="AC166" s="97" t="str">
        <f ca="1">IFERROR(VLOOKUP(S166,Размеры!A:C,3,FALSE),"")</f>
        <v>55 S</v>
      </c>
      <c r="AD166" s="97" t="str">
        <f ca="1">VLOOKUP(I166,ЦветПолный!A:B,2,FALSE)</f>
        <v>16</v>
      </c>
      <c r="AE166" s="97" t="str">
        <f ca="1">IFERROR(VLOOKUP(S166,Размеры!A:D,4,FALSE),"")</f>
        <v>55</v>
      </c>
      <c r="AF166" s="97">
        <f ca="1">IF(LEFT(IFERROR(VLOOKUP(LOOKUP(2,1/SEARCH(B166,Товары!A:A),Товары!A:A),Товары!A:B,2,0),""),6)=MID(AA166,1,6),1,0)</f>
        <v>1</v>
      </c>
      <c r="AH166" s="97">
        <f ca="1">SUMIF(Группа!A:A,C166,Группа!C:C)</f>
        <v>1</v>
      </c>
      <c r="AI166" s="97">
        <f ca="1">SUMIF(Группа!B:B,AB166,Группа!C:C)</f>
        <v>1</v>
      </c>
      <c r="AJ166" s="97">
        <f ca="1">SUMIF(Формы!A:A,D166,Формы!B:B)</f>
        <v>1</v>
      </c>
      <c r="AK166" s="97">
        <f ca="1">SUMIF(Материал!A:A,K166,Материал!B:B)</f>
        <v>0</v>
      </c>
      <c r="AL166" s="97">
        <f ca="1">SUMIF(Размеры!A:A,S166,Размеры!E:E)</f>
        <v>1</v>
      </c>
      <c r="AM166" s="97">
        <f ca="1">SUMIF(Сезон!A:A,F166,Сезон!B:B)</f>
        <v>1</v>
      </c>
      <c r="AN166" s="97">
        <f ca="1">SUMIF(Состав!A:A,J166,Состав!B:B)</f>
        <v>1</v>
      </c>
      <c r="AO166" s="97">
        <f ca="1">VLOOKUP(I166,ЦветПолный!A:C,3,0)</f>
        <v>1</v>
      </c>
      <c r="AP166" s="97">
        <f ca="1">SUMIF(Цвет!A:A,Z166,Цвет!B:B)</f>
        <v>1</v>
      </c>
      <c r="AQ166" s="97">
        <f ca="1">_xlfn.XLOOKUP(L166,Пол!A:A,Пол!B:B,0,0)</f>
        <v>1</v>
      </c>
      <c r="AR166" s="97">
        <f ca="1">SUMIF(Бренд!A:A,G166,Бренд!B:B)</f>
        <v>1</v>
      </c>
      <c r="AS166" s="97">
        <f ca="1">SUMIF(Страна!A:A,M166,Страна!B:B)</f>
        <v>1</v>
      </c>
      <c r="AT166" s="64" t="str">
        <f ca="1">IF(VLOOKUP(W166,Товары!A:B,2,FALSE)=A166,"Есть в 1С","ERR")</f>
        <v>Есть в 1С</v>
      </c>
      <c r="AU166" s="65" t="str">
        <f ca="1">IF(VLOOKUP(A166,Товары!B:B,1,FALSE)=A166,"Есть в 1С","ERR")</f>
        <v>Есть в 1С</v>
      </c>
      <c r="AV166" s="96" t="str">
        <f ca="1">VLOOKUP(W166,Товары!A:B,2,FALSE)</f>
        <v>80-865-16</v>
      </c>
      <c r="AW166" s="94" t="str">
        <f ca="1">VLOOKUP(W166,Товары!A:B,1,FALSE)</f>
        <v>Шапка HERMAN арт. BUCK 010 (темно-синий) {navy}</v>
      </c>
    </row>
    <row r="167" spans="1:49" x14ac:dyDescent="0.25">
      <c r="A167" s="110" t="str">
        <f t="shared" ca="1" si="12"/>
        <v>80-865-11</v>
      </c>
      <c r="B167" s="107" t="str">
        <f ca="1">_xlfn.LET(_xlpm.CAPS,0,_xlpm.Style,TRIM(_xlfn.XLOOKUP($A167,Строчный!$A:$A,Строчный!B:B,"ERR",0)),IF(_xlpm.CAPS=0,_xlpm.Style,UPPER(_xlpm.Style)))</f>
        <v>BUCK 010</v>
      </c>
      <c r="C167" s="81" t="str">
        <f ca="1">TRIM(PROPER(_xlfn.XLOOKUP($A167,Строчный!$A:$A,Строчный!C:C,"ERR",0)))</f>
        <v>Шапки</v>
      </c>
      <c r="D167" s="81" t="str">
        <f ca="1">_xlfn.LET(_xlpm.DATA,TRIM(_xlfn.XLOOKUP($A167,Строчный!$A:$A,Строчный!D:D,"ERR",0)),UPPER(MID(_xlpm.DATA,1,1))&amp;LOWER(MID(_xlpm.DATA,2,LEN(_xlpm.DATA)-1)))</f>
        <v>Шапка ушанка</v>
      </c>
      <c r="E167" s="81" t="str">
        <f ca="1">PROPER(TRIM(_xlfn.XLOOKUP($A167,Строчный!$A:$A,Строчный!E:E,"ERR",0)))</f>
        <v>Herman</v>
      </c>
      <c r="F167" s="81" t="str">
        <f ca="1">LOWER(TRIM(_xlfn.XLOOKUP($A167,Строчный!$A:$A,Строчный!F:F,"ERR",0)))</f>
        <v>зимний</v>
      </c>
      <c r="G167" s="81" t="str">
        <f ca="1">UPPER(TRIM(_xlfn.XLOOKUP($A167,Строчный!$A:$A,Строчный!G:G,"ERR",0)))</f>
        <v>HERMAN</v>
      </c>
      <c r="H167" s="81" t="str">
        <f ca="1">LOWER(TRIM(_xlfn.XLOOKUP($A167,Строчный!$A:$A,Строчный!H:H,"ERR",0)))</f>
        <v>green</v>
      </c>
      <c r="I167" s="81" t="str">
        <f ca="1">LOWER(TRIM(_xlfn.XLOOKUP($A167,Строчный!$A:$A,Строчный!I:I,"ERR",0)))</f>
        <v>зеленый</v>
      </c>
      <c r="J167" s="81" t="str">
        <f ca="1">SUBSTITUTE(LOWER(TRIM(_xlfn.XLOOKUP($A167,Строчный!$A:$A,Строчный!J:J,"ERR",0))),"подклад","Подклад")</f>
        <v>100% полиэстер</v>
      </c>
      <c r="K167" s="81" t="str">
        <f ca="1">LOWER(TRIM(_xlfn.XLOOKUP($A167,Строчный!$A:$A,Строчный!K:K,"ERR",0)))</f>
        <v/>
      </c>
      <c r="L167" s="81" t="str">
        <f ca="1">PROPER(TRIM(_xlfn.XLOOKUP($A167,Строчный!$A:$A,Строчный!L:L,"ERR",0)))</f>
        <v>Унисекс</v>
      </c>
      <c r="M167" s="113" t="str">
        <f ca="1">PROPER(TRIM(_xlfn.XLOOKUP($A167,Строчный!$A:$A,Строчный!M:M,"ERR",0)))</f>
        <v>Китай</v>
      </c>
      <c r="N167" s="81" t="str">
        <f ca="1">UPPER(TRIM(_xlfn.XLOOKUP($A167,Строчный!$A:$A,Строчный!O:O,"ERR",0)))</f>
        <v/>
      </c>
      <c r="O167" s="102" t="str">
        <f ca="1">PROPER(TRIM(_xlfn.XLOOKUP($A167,Строчный!$A:$A,Строчный!P:P,"ERR",0)))</f>
        <v/>
      </c>
      <c r="P167" s="81" t="str">
        <f ca="1">PROPER(TRIM(_xlfn.XLOOKUP($A167,Строчный!$A:$A,Строчный!R:R,"ERR",0)))</f>
        <v/>
      </c>
      <c r="Q167" s="90">
        <f ca="1">VALUE(_xlfn.XLOOKUP($A167,Строчный!$A:$A,Строчный!N:N,"ERR",0))</f>
        <v>270</v>
      </c>
      <c r="R167" s="89" t="str">
        <f ca="1">_xlfn.XLOOKUP($G167,Фабрика!A:A,Фабрика!B:B,"ERR",0)</f>
        <v>Chapellerie Herman S.A.; Rue Jean Meunier, 6, 6922 Wellin, Belgium</v>
      </c>
      <c r="S167" s="80" t="str">
        <f ca="1">_xlfn.XLOOKUP(RIGHT(AA167,2),Размеры!D:D,Размеры!A:A,"ERR",0)</f>
        <v>61</v>
      </c>
      <c r="T167" s="80">
        <f ca="1">VALUE(_xlfn.XLOOKUP($AA167,Строчный!$S:$S,Строчный!U:U,"ERR",0))</f>
        <v>3</v>
      </c>
      <c r="U167" s="14" t="s">
        <v>265</v>
      </c>
      <c r="V167" s="101" t="str">
        <f t="shared" ca="1" si="13"/>
        <v>Шапка HERMAN арт. BUCK 010 (зеленый)</v>
      </c>
      <c r="W167" s="100" t="str">
        <f t="shared" ca="1" si="14"/>
        <v>Шапка HERMAN арт. BUCK 010 (зеленый) {green}</v>
      </c>
      <c r="X167" s="18" t="str">
        <f t="shared" ca="1" si="15"/>
        <v>зеленый</v>
      </c>
      <c r="Y167" s="18" t="str">
        <f t="shared" ca="1" si="16"/>
        <v>зеленый</v>
      </c>
      <c r="Z167" s="117" t="str">
        <f ca="1">_xlfn.LET(_xlpm.FormColors,_xlfn.XLOOKUP(A167,Строчный!A:A,Строчный!Q:Q,"",0),IF(_xlpm.FormColors=0,IFERROR(MID(I167,FIND("-",I167)+1,LEN(I167)),IFERROR(MID(I167,1,FIND("/",I167)-2),I167)),_xlpm.FormColors))</f>
        <v>зеленый</v>
      </c>
      <c r="AA167" s="73" t="str">
        <f ca="1"/>
        <v>80-865-11-61</v>
      </c>
      <c r="AB167" s="75" t="str">
        <f ca="1">VLOOKUP(C167,Группа!A:B,2,FALSE)</f>
        <v>Шапка</v>
      </c>
      <c r="AC167" s="97" t="str">
        <f ca="1">IFERROR(VLOOKUP(S167,Размеры!A:C,3,FALSE),"")</f>
        <v>61 XL</v>
      </c>
      <c r="AD167" s="97" t="str">
        <f ca="1">VLOOKUP(I167,ЦветПолный!A:B,2,FALSE)</f>
        <v>11</v>
      </c>
      <c r="AE167" s="97" t="str">
        <f ca="1">IFERROR(VLOOKUP(S167,Размеры!A:D,4,FALSE),"")</f>
        <v>61</v>
      </c>
      <c r="AF167" s="97">
        <f ca="1">IF(LEFT(IFERROR(VLOOKUP(LOOKUP(2,1/SEARCH(B167,Товары!A:A),Товары!A:A),Товары!A:B,2,0),""),6)=MID(AA167,1,6),1,0)</f>
        <v>1</v>
      </c>
      <c r="AH167" s="97">
        <f ca="1">SUMIF(Группа!A:A,C167,Группа!C:C)</f>
        <v>1</v>
      </c>
      <c r="AI167" s="97">
        <f ca="1">SUMIF(Группа!B:B,AB167,Группа!C:C)</f>
        <v>1</v>
      </c>
      <c r="AJ167" s="97">
        <f ca="1">SUMIF(Формы!A:A,D167,Формы!B:B)</f>
        <v>1</v>
      </c>
      <c r="AK167" s="97">
        <f ca="1">SUMIF(Материал!A:A,K167,Материал!B:B)</f>
        <v>0</v>
      </c>
      <c r="AL167" s="97">
        <f ca="1">SUMIF(Размеры!A:A,S167,Размеры!E:E)</f>
        <v>1</v>
      </c>
      <c r="AM167" s="97">
        <f ca="1">SUMIF(Сезон!A:A,F167,Сезон!B:B)</f>
        <v>1</v>
      </c>
      <c r="AN167" s="97">
        <f ca="1">SUMIF(Состав!A:A,J167,Состав!B:B)</f>
        <v>1</v>
      </c>
      <c r="AO167" s="97">
        <f ca="1">VLOOKUP(I167,ЦветПолный!A:C,3,0)</f>
        <v>1</v>
      </c>
      <c r="AP167" s="97">
        <f ca="1">SUMIF(Цвет!A:A,Z167,Цвет!B:B)</f>
        <v>1</v>
      </c>
      <c r="AQ167" s="97">
        <f ca="1">_xlfn.XLOOKUP(L167,Пол!A:A,Пол!B:B,0,0)</f>
        <v>1</v>
      </c>
      <c r="AR167" s="97">
        <f ca="1">SUMIF(Бренд!A:A,G167,Бренд!B:B)</f>
        <v>1</v>
      </c>
      <c r="AS167" s="97">
        <f ca="1">SUMIF(Страна!A:A,M167,Страна!B:B)</f>
        <v>1</v>
      </c>
      <c r="AT167" s="64" t="str">
        <f ca="1">IF(VLOOKUP(W167,Товары!A:B,2,FALSE)=A167,"Есть в 1С","ERR")</f>
        <v>Есть в 1С</v>
      </c>
      <c r="AU167" s="65" t="str">
        <f ca="1">IF(VLOOKUP(A167,Товары!B:B,1,FALSE)=A167,"Есть в 1С","ERR")</f>
        <v>Есть в 1С</v>
      </c>
      <c r="AV167" s="96" t="str">
        <f ca="1">VLOOKUP(W167,Товары!A:B,2,FALSE)</f>
        <v>80-865-11</v>
      </c>
      <c r="AW167" s="94" t="str">
        <f ca="1">VLOOKUP(W167,Товары!A:B,1,FALSE)</f>
        <v>Шапка HERMAN арт. BUCK 010 (зеленый) {green}</v>
      </c>
    </row>
    <row r="168" spans="1:49" x14ac:dyDescent="0.25">
      <c r="A168" s="110" t="str">
        <f t="shared" ca="1" si="12"/>
        <v>80-865-11</v>
      </c>
      <c r="B168" s="107" t="str">
        <f ca="1">_xlfn.LET(_xlpm.CAPS,0,_xlpm.Style,TRIM(_xlfn.XLOOKUP($A168,Строчный!$A:$A,Строчный!B:B,"ERR",0)),IF(_xlpm.CAPS=0,_xlpm.Style,UPPER(_xlpm.Style)))</f>
        <v>BUCK 010</v>
      </c>
      <c r="C168" s="81" t="str">
        <f ca="1">TRIM(PROPER(_xlfn.XLOOKUP($A168,Строчный!$A:$A,Строчный!C:C,"ERR",0)))</f>
        <v>Шапки</v>
      </c>
      <c r="D168" s="81" t="str">
        <f ca="1">_xlfn.LET(_xlpm.DATA,TRIM(_xlfn.XLOOKUP($A168,Строчный!$A:$A,Строчный!D:D,"ERR",0)),UPPER(MID(_xlpm.DATA,1,1))&amp;LOWER(MID(_xlpm.DATA,2,LEN(_xlpm.DATA)-1)))</f>
        <v>Шапка ушанка</v>
      </c>
      <c r="E168" s="81" t="str">
        <f ca="1">PROPER(TRIM(_xlfn.XLOOKUP($A168,Строчный!$A:$A,Строчный!E:E,"ERR",0)))</f>
        <v>Herman</v>
      </c>
      <c r="F168" s="81" t="str">
        <f ca="1">LOWER(TRIM(_xlfn.XLOOKUP($A168,Строчный!$A:$A,Строчный!F:F,"ERR",0)))</f>
        <v>зимний</v>
      </c>
      <c r="G168" s="81" t="str">
        <f ca="1">UPPER(TRIM(_xlfn.XLOOKUP($A168,Строчный!$A:$A,Строчный!G:G,"ERR",0)))</f>
        <v>HERMAN</v>
      </c>
      <c r="H168" s="81" t="str">
        <f ca="1">LOWER(TRIM(_xlfn.XLOOKUP($A168,Строчный!$A:$A,Строчный!H:H,"ERR",0)))</f>
        <v>green</v>
      </c>
      <c r="I168" s="81" t="str">
        <f ca="1">LOWER(TRIM(_xlfn.XLOOKUP($A168,Строчный!$A:$A,Строчный!I:I,"ERR",0)))</f>
        <v>зеленый</v>
      </c>
      <c r="J168" s="81" t="str">
        <f ca="1">SUBSTITUTE(LOWER(TRIM(_xlfn.XLOOKUP($A168,Строчный!$A:$A,Строчный!J:J,"ERR",0))),"подклад","Подклад")</f>
        <v>100% полиэстер</v>
      </c>
      <c r="K168" s="81" t="str">
        <f ca="1">LOWER(TRIM(_xlfn.XLOOKUP($A168,Строчный!$A:$A,Строчный!K:K,"ERR",0)))</f>
        <v/>
      </c>
      <c r="L168" s="81" t="str">
        <f ca="1">PROPER(TRIM(_xlfn.XLOOKUP($A168,Строчный!$A:$A,Строчный!L:L,"ERR",0)))</f>
        <v>Унисекс</v>
      </c>
      <c r="M168" s="113" t="str">
        <f ca="1">PROPER(TRIM(_xlfn.XLOOKUP($A168,Строчный!$A:$A,Строчный!M:M,"ERR",0)))</f>
        <v>Китай</v>
      </c>
      <c r="N168" s="81" t="str">
        <f ca="1">UPPER(TRIM(_xlfn.XLOOKUP($A168,Строчный!$A:$A,Строчный!O:O,"ERR",0)))</f>
        <v/>
      </c>
      <c r="O168" s="102" t="str">
        <f ca="1">PROPER(TRIM(_xlfn.XLOOKUP($A168,Строчный!$A:$A,Строчный!P:P,"ERR",0)))</f>
        <v/>
      </c>
      <c r="P168" s="81" t="str">
        <f ca="1">PROPER(TRIM(_xlfn.XLOOKUP($A168,Строчный!$A:$A,Строчный!R:R,"ERR",0)))</f>
        <v/>
      </c>
      <c r="Q168" s="90">
        <f ca="1">VALUE(_xlfn.XLOOKUP($A168,Строчный!$A:$A,Строчный!N:N,"ERR",0))</f>
        <v>270</v>
      </c>
      <c r="R168" s="89" t="str">
        <f ca="1">_xlfn.XLOOKUP($G168,Фабрика!A:A,Фабрика!B:B,"ERR",0)</f>
        <v>Chapellerie Herman S.A.; Rue Jean Meunier, 6, 6922 Wellin, Belgium</v>
      </c>
      <c r="S168" s="80" t="str">
        <f ca="1">_xlfn.XLOOKUP(RIGHT(AA168,2),Размеры!D:D,Размеры!A:A,"ERR",0)</f>
        <v>59</v>
      </c>
      <c r="T168" s="80">
        <f ca="1">VALUE(_xlfn.XLOOKUP($AA168,Строчный!$S:$S,Строчный!U:U,"ERR",0))</f>
        <v>1</v>
      </c>
      <c r="U168" s="14" t="s">
        <v>265</v>
      </c>
      <c r="V168" s="101" t="str">
        <f t="shared" ca="1" si="13"/>
        <v>Шапка HERMAN арт. BUCK 010 (зеленый)</v>
      </c>
      <c r="W168" s="100" t="str">
        <f t="shared" ca="1" si="14"/>
        <v>Шапка HERMAN арт. BUCK 010 (зеленый) {green}</v>
      </c>
      <c r="X168" s="18" t="str">
        <f t="shared" ca="1" si="15"/>
        <v>зеленый</v>
      </c>
      <c r="Y168" s="18" t="str">
        <f t="shared" ca="1" si="16"/>
        <v>зеленый</v>
      </c>
      <c r="Z168" s="117" t="str">
        <f ca="1">_xlfn.LET(_xlpm.FormColors,_xlfn.XLOOKUP(A168,Строчный!A:A,Строчный!Q:Q,"",0),IF(_xlpm.FormColors=0,IFERROR(MID(I168,FIND("-",I168)+1,LEN(I168)),IFERROR(MID(I168,1,FIND("/",I168)-2),I168)),_xlpm.FormColors))</f>
        <v>зеленый</v>
      </c>
      <c r="AA168" s="73" t="str">
        <f ca="1"/>
        <v>80-865-11-59</v>
      </c>
      <c r="AB168" s="75" t="str">
        <f ca="1">VLOOKUP(C168,Группа!A:B,2,FALSE)</f>
        <v>Шапка</v>
      </c>
      <c r="AC168" s="97" t="str">
        <f ca="1">IFERROR(VLOOKUP(S168,Размеры!A:C,3,FALSE),"")</f>
        <v>59 L</v>
      </c>
      <c r="AD168" s="97" t="str">
        <f ca="1">VLOOKUP(I168,ЦветПолный!A:B,2,FALSE)</f>
        <v>11</v>
      </c>
      <c r="AE168" s="97" t="str">
        <f ca="1">IFERROR(VLOOKUP(S168,Размеры!A:D,4,FALSE),"")</f>
        <v>59</v>
      </c>
      <c r="AF168" s="97">
        <f ca="1">IF(LEFT(IFERROR(VLOOKUP(LOOKUP(2,1/SEARCH(B168,Товары!A:A),Товары!A:A),Товары!A:B,2,0),""),6)=MID(AA168,1,6),1,0)</f>
        <v>1</v>
      </c>
      <c r="AH168" s="97">
        <f ca="1">SUMIF(Группа!A:A,C168,Группа!C:C)</f>
        <v>1</v>
      </c>
      <c r="AI168" s="97">
        <f ca="1">SUMIF(Группа!B:B,AB168,Группа!C:C)</f>
        <v>1</v>
      </c>
      <c r="AJ168" s="97">
        <f ca="1">SUMIF(Формы!A:A,D168,Формы!B:B)</f>
        <v>1</v>
      </c>
      <c r="AK168" s="97">
        <f ca="1">SUMIF(Материал!A:A,K168,Материал!B:B)</f>
        <v>0</v>
      </c>
      <c r="AL168" s="97">
        <f ca="1">SUMIF(Размеры!A:A,S168,Размеры!E:E)</f>
        <v>1</v>
      </c>
      <c r="AM168" s="97">
        <f ca="1">SUMIF(Сезон!A:A,F168,Сезон!B:B)</f>
        <v>1</v>
      </c>
      <c r="AN168" s="97">
        <f ca="1">SUMIF(Состав!A:A,J168,Состав!B:B)</f>
        <v>1</v>
      </c>
      <c r="AO168" s="97">
        <f ca="1">VLOOKUP(I168,ЦветПолный!A:C,3,0)</f>
        <v>1</v>
      </c>
      <c r="AP168" s="97">
        <f ca="1">SUMIF(Цвет!A:A,Z168,Цвет!B:B)</f>
        <v>1</v>
      </c>
      <c r="AQ168" s="97">
        <f ca="1">_xlfn.XLOOKUP(L168,Пол!A:A,Пол!B:B,0,0)</f>
        <v>1</v>
      </c>
      <c r="AR168" s="97">
        <f ca="1">SUMIF(Бренд!A:A,G168,Бренд!B:B)</f>
        <v>1</v>
      </c>
      <c r="AS168" s="97">
        <f ca="1">SUMIF(Страна!A:A,M168,Страна!B:B)</f>
        <v>1</v>
      </c>
      <c r="AT168" s="64" t="str">
        <f ca="1">IF(VLOOKUP(W168,Товары!A:B,2,FALSE)=A168,"Есть в 1С","ERR")</f>
        <v>Есть в 1С</v>
      </c>
      <c r="AU168" s="65" t="str">
        <f ca="1">IF(VLOOKUP(A168,Товары!B:B,1,FALSE)=A168,"Есть в 1С","ERR")</f>
        <v>Есть в 1С</v>
      </c>
      <c r="AV168" s="96" t="str">
        <f ca="1">VLOOKUP(W168,Товары!A:B,2,FALSE)</f>
        <v>80-865-11</v>
      </c>
      <c r="AW168" s="94" t="str">
        <f ca="1">VLOOKUP(W168,Товары!A:B,1,FALSE)</f>
        <v>Шапка HERMAN арт. BUCK 010 (зеленый) {green}</v>
      </c>
    </row>
    <row r="169" spans="1:49" x14ac:dyDescent="0.25">
      <c r="A169" s="110" t="str">
        <f t="shared" ca="1" si="12"/>
        <v>80-865-11</v>
      </c>
      <c r="B169" s="107" t="str">
        <f ca="1">_xlfn.LET(_xlpm.CAPS,0,_xlpm.Style,TRIM(_xlfn.XLOOKUP($A169,Строчный!$A:$A,Строчный!B:B,"ERR",0)),IF(_xlpm.CAPS=0,_xlpm.Style,UPPER(_xlpm.Style)))</f>
        <v>BUCK 010</v>
      </c>
      <c r="C169" s="81" t="str">
        <f ca="1">TRIM(PROPER(_xlfn.XLOOKUP($A169,Строчный!$A:$A,Строчный!C:C,"ERR",0)))</f>
        <v>Шапки</v>
      </c>
      <c r="D169" s="81" t="str">
        <f ca="1">_xlfn.LET(_xlpm.DATA,TRIM(_xlfn.XLOOKUP($A169,Строчный!$A:$A,Строчный!D:D,"ERR",0)),UPPER(MID(_xlpm.DATA,1,1))&amp;LOWER(MID(_xlpm.DATA,2,LEN(_xlpm.DATA)-1)))</f>
        <v>Шапка ушанка</v>
      </c>
      <c r="E169" s="81" t="str">
        <f ca="1">PROPER(TRIM(_xlfn.XLOOKUP($A169,Строчный!$A:$A,Строчный!E:E,"ERR",0)))</f>
        <v>Herman</v>
      </c>
      <c r="F169" s="81" t="str">
        <f ca="1">LOWER(TRIM(_xlfn.XLOOKUP($A169,Строчный!$A:$A,Строчный!F:F,"ERR",0)))</f>
        <v>зимний</v>
      </c>
      <c r="G169" s="81" t="str">
        <f ca="1">UPPER(TRIM(_xlfn.XLOOKUP($A169,Строчный!$A:$A,Строчный!G:G,"ERR",0)))</f>
        <v>HERMAN</v>
      </c>
      <c r="H169" s="81" t="str">
        <f ca="1">LOWER(TRIM(_xlfn.XLOOKUP($A169,Строчный!$A:$A,Строчный!H:H,"ERR",0)))</f>
        <v>green</v>
      </c>
      <c r="I169" s="81" t="str">
        <f ca="1">LOWER(TRIM(_xlfn.XLOOKUP($A169,Строчный!$A:$A,Строчный!I:I,"ERR",0)))</f>
        <v>зеленый</v>
      </c>
      <c r="J169" s="81" t="str">
        <f ca="1">SUBSTITUTE(LOWER(TRIM(_xlfn.XLOOKUP($A169,Строчный!$A:$A,Строчный!J:J,"ERR",0))),"подклад","Подклад")</f>
        <v>100% полиэстер</v>
      </c>
      <c r="K169" s="81" t="str">
        <f ca="1">LOWER(TRIM(_xlfn.XLOOKUP($A169,Строчный!$A:$A,Строчный!K:K,"ERR",0)))</f>
        <v/>
      </c>
      <c r="L169" s="81" t="str">
        <f ca="1">PROPER(TRIM(_xlfn.XLOOKUP($A169,Строчный!$A:$A,Строчный!L:L,"ERR",0)))</f>
        <v>Унисекс</v>
      </c>
      <c r="M169" s="113" t="str">
        <f ca="1">PROPER(TRIM(_xlfn.XLOOKUP($A169,Строчный!$A:$A,Строчный!M:M,"ERR",0)))</f>
        <v>Китай</v>
      </c>
      <c r="N169" s="81" t="str">
        <f ca="1">UPPER(TRIM(_xlfn.XLOOKUP($A169,Строчный!$A:$A,Строчный!O:O,"ERR",0)))</f>
        <v/>
      </c>
      <c r="O169" s="102" t="str">
        <f ca="1">PROPER(TRIM(_xlfn.XLOOKUP($A169,Строчный!$A:$A,Строчный!P:P,"ERR",0)))</f>
        <v/>
      </c>
      <c r="P169" s="81" t="str">
        <f ca="1">PROPER(TRIM(_xlfn.XLOOKUP($A169,Строчный!$A:$A,Строчный!R:R,"ERR",0)))</f>
        <v/>
      </c>
      <c r="Q169" s="90">
        <f ca="1">VALUE(_xlfn.XLOOKUP($A169,Строчный!$A:$A,Строчный!N:N,"ERR",0))</f>
        <v>270</v>
      </c>
      <c r="R169" s="89" t="str">
        <f ca="1">_xlfn.XLOOKUP($G169,Фабрика!A:A,Фабрика!B:B,"ERR",0)</f>
        <v>Chapellerie Herman S.A.; Rue Jean Meunier, 6, 6922 Wellin, Belgium</v>
      </c>
      <c r="S169" s="80" t="str">
        <f ca="1">_xlfn.XLOOKUP(RIGHT(AA169,2),Размеры!D:D,Размеры!A:A,"ERR",0)</f>
        <v>57</v>
      </c>
      <c r="T169" s="80">
        <f ca="1">VALUE(_xlfn.XLOOKUP($AA169,Строчный!$S:$S,Строчный!U:U,"ERR",0))</f>
        <v>2</v>
      </c>
      <c r="U169" s="14" t="s">
        <v>265</v>
      </c>
      <c r="V169" s="101" t="str">
        <f t="shared" ca="1" si="13"/>
        <v>Шапка HERMAN арт. BUCK 010 (зеленый)</v>
      </c>
      <c r="W169" s="100" t="str">
        <f t="shared" ca="1" si="14"/>
        <v>Шапка HERMAN арт. BUCK 010 (зеленый) {green}</v>
      </c>
      <c r="X169" s="18" t="str">
        <f t="shared" ca="1" si="15"/>
        <v>зеленый</v>
      </c>
      <c r="Y169" s="18" t="str">
        <f t="shared" ca="1" si="16"/>
        <v>зеленый</v>
      </c>
      <c r="Z169" s="117" t="str">
        <f ca="1">_xlfn.LET(_xlpm.FormColors,_xlfn.XLOOKUP(A169,Строчный!A:A,Строчный!Q:Q,"",0),IF(_xlpm.FormColors=0,IFERROR(MID(I169,FIND("-",I169)+1,LEN(I169)),IFERROR(MID(I169,1,FIND("/",I169)-2),I169)),_xlpm.FormColors))</f>
        <v>зеленый</v>
      </c>
      <c r="AA169" s="73" t="str">
        <f ca="1"/>
        <v>80-865-11-57</v>
      </c>
      <c r="AB169" s="75" t="str">
        <f ca="1">VLOOKUP(C169,Группа!A:B,2,FALSE)</f>
        <v>Шапка</v>
      </c>
      <c r="AC169" s="97" t="str">
        <f ca="1">IFERROR(VLOOKUP(S169,Размеры!A:C,3,FALSE),"")</f>
        <v>57 M</v>
      </c>
      <c r="AD169" s="97" t="str">
        <f ca="1">VLOOKUP(I169,ЦветПолный!A:B,2,FALSE)</f>
        <v>11</v>
      </c>
      <c r="AE169" s="97" t="str">
        <f ca="1">IFERROR(VLOOKUP(S169,Размеры!A:D,4,FALSE),"")</f>
        <v>57</v>
      </c>
      <c r="AF169" s="97">
        <f ca="1">IF(LEFT(IFERROR(VLOOKUP(LOOKUP(2,1/SEARCH(B169,Товары!A:A),Товары!A:A),Товары!A:B,2,0),""),6)=MID(AA169,1,6),1,0)</f>
        <v>1</v>
      </c>
      <c r="AH169" s="97">
        <f ca="1">SUMIF(Группа!A:A,C169,Группа!C:C)</f>
        <v>1</v>
      </c>
      <c r="AI169" s="97">
        <f ca="1">SUMIF(Группа!B:B,AB169,Группа!C:C)</f>
        <v>1</v>
      </c>
      <c r="AJ169" s="97">
        <f ca="1">SUMIF(Формы!A:A,D169,Формы!B:B)</f>
        <v>1</v>
      </c>
      <c r="AK169" s="97">
        <f ca="1">SUMIF(Материал!A:A,K169,Материал!B:B)</f>
        <v>0</v>
      </c>
      <c r="AL169" s="97">
        <f ca="1">SUMIF(Размеры!A:A,S169,Размеры!E:E)</f>
        <v>1</v>
      </c>
      <c r="AM169" s="97">
        <f ca="1">SUMIF(Сезон!A:A,F169,Сезон!B:B)</f>
        <v>1</v>
      </c>
      <c r="AN169" s="97">
        <f ca="1">SUMIF(Состав!A:A,J169,Состав!B:B)</f>
        <v>1</v>
      </c>
      <c r="AO169" s="97">
        <f ca="1">VLOOKUP(I169,ЦветПолный!A:C,3,0)</f>
        <v>1</v>
      </c>
      <c r="AP169" s="97">
        <f ca="1">SUMIF(Цвет!A:A,Z169,Цвет!B:B)</f>
        <v>1</v>
      </c>
      <c r="AQ169" s="97">
        <f ca="1">_xlfn.XLOOKUP(L169,Пол!A:A,Пол!B:B,0,0)</f>
        <v>1</v>
      </c>
      <c r="AR169" s="97">
        <f ca="1">SUMIF(Бренд!A:A,G169,Бренд!B:B)</f>
        <v>1</v>
      </c>
      <c r="AS169" s="97">
        <f ca="1">SUMIF(Страна!A:A,M169,Страна!B:B)</f>
        <v>1</v>
      </c>
      <c r="AT169" s="64" t="str">
        <f ca="1">IF(VLOOKUP(W169,Товары!A:B,2,FALSE)=A169,"Есть в 1С","ERR")</f>
        <v>Есть в 1С</v>
      </c>
      <c r="AU169" s="65" t="str">
        <f ca="1">IF(VLOOKUP(A169,Товары!B:B,1,FALSE)=A169,"Есть в 1С","ERR")</f>
        <v>Есть в 1С</v>
      </c>
      <c r="AV169" s="96" t="str">
        <f ca="1">VLOOKUP(W169,Товары!A:B,2,FALSE)</f>
        <v>80-865-11</v>
      </c>
      <c r="AW169" s="94" t="str">
        <f ca="1">VLOOKUP(W169,Товары!A:B,1,FALSE)</f>
        <v>Шапка HERMAN арт. BUCK 010 (зеленый) {green}</v>
      </c>
    </row>
    <row r="170" spans="1:49" x14ac:dyDescent="0.25">
      <c r="A170" s="110" t="str">
        <f t="shared" ca="1" si="12"/>
        <v>80-864-13</v>
      </c>
      <c r="B170" s="107" t="str">
        <f ca="1">_xlfn.LET(_xlpm.CAPS,0,_xlpm.Style,TRIM(_xlfn.XLOOKUP($A170,Строчный!$A:$A,Строчный!B:B,"ERR",0)),IF(_xlpm.CAPS=0,_xlpm.Style,UPPER(_xlpm.Style)))</f>
        <v>BUCK 007</v>
      </c>
      <c r="C170" s="81" t="str">
        <f ca="1">TRIM(PROPER(_xlfn.XLOOKUP($A170,Строчный!$A:$A,Строчный!C:C,"ERR",0)))</f>
        <v>Шапки</v>
      </c>
      <c r="D170" s="81" t="str">
        <f ca="1">_xlfn.LET(_xlpm.DATA,TRIM(_xlfn.XLOOKUP($A170,Строчный!$A:$A,Строчный!D:D,"ERR",0)),UPPER(MID(_xlpm.DATA,1,1))&amp;LOWER(MID(_xlpm.DATA,2,LEN(_xlpm.DATA)-1)))</f>
        <v>Шапка ушанка</v>
      </c>
      <c r="E170" s="81" t="str">
        <f ca="1">PROPER(TRIM(_xlfn.XLOOKUP($A170,Строчный!$A:$A,Строчный!E:E,"ERR",0)))</f>
        <v>Herman</v>
      </c>
      <c r="F170" s="81" t="str">
        <f ca="1">LOWER(TRIM(_xlfn.XLOOKUP($A170,Строчный!$A:$A,Строчный!F:F,"ERR",0)))</f>
        <v>зимний</v>
      </c>
      <c r="G170" s="81" t="str">
        <f ca="1">UPPER(TRIM(_xlfn.XLOOKUP($A170,Строчный!$A:$A,Строчный!G:G,"ERR",0)))</f>
        <v>HERMAN</v>
      </c>
      <c r="H170" s="81" t="str">
        <f ca="1">LOWER(TRIM(_xlfn.XLOOKUP($A170,Строчный!$A:$A,Строчный!H:H,"ERR",0)))</f>
        <v>orange</v>
      </c>
      <c r="I170" s="81" t="str">
        <f ca="1">LOWER(TRIM(_xlfn.XLOOKUP($A170,Строчный!$A:$A,Строчный!I:I,"ERR",0)))</f>
        <v>оранжевый</v>
      </c>
      <c r="J170" s="81" t="str">
        <f ca="1">SUBSTITUTE(LOWER(TRIM(_xlfn.XLOOKUP($A170,Строчный!$A:$A,Строчный!J:J,"ERR",0))),"подклад","Подклад")</f>
        <v>50% хлопок - 50% полиэстер</v>
      </c>
      <c r="K170" s="81" t="str">
        <f ca="1">LOWER(TRIM(_xlfn.XLOOKUP($A170,Строчный!$A:$A,Строчный!K:K,"ERR",0)))</f>
        <v>хлопковые</v>
      </c>
      <c r="L170" s="81" t="str">
        <f ca="1">PROPER(TRIM(_xlfn.XLOOKUP($A170,Строчный!$A:$A,Строчный!L:L,"ERR",0)))</f>
        <v>Унисекс</v>
      </c>
      <c r="M170" s="113" t="str">
        <f ca="1">PROPER(TRIM(_xlfn.XLOOKUP($A170,Строчный!$A:$A,Строчный!M:M,"ERR",0)))</f>
        <v>Китай</v>
      </c>
      <c r="N170" s="81" t="str">
        <f ca="1">UPPER(TRIM(_xlfn.XLOOKUP($A170,Строчный!$A:$A,Строчный!O:O,"ERR",0)))</f>
        <v/>
      </c>
      <c r="O170" s="102" t="str">
        <f ca="1">PROPER(TRIM(_xlfn.XLOOKUP($A170,Строчный!$A:$A,Строчный!P:P,"ERR",0)))</f>
        <v/>
      </c>
      <c r="P170" s="81" t="str">
        <f ca="1">PROPER(TRIM(_xlfn.XLOOKUP($A170,Строчный!$A:$A,Строчный!R:R,"ERR",0)))</f>
        <v/>
      </c>
      <c r="Q170" s="90">
        <f ca="1">VALUE(_xlfn.XLOOKUP($A170,Строчный!$A:$A,Строчный!N:N,"ERR",0))</f>
        <v>270</v>
      </c>
      <c r="R170" s="89" t="str">
        <f ca="1">_xlfn.XLOOKUP($G170,Фабрика!A:A,Фабрика!B:B,"ERR",0)</f>
        <v>Chapellerie Herman S.A.; Rue Jean Meunier, 6, 6922 Wellin, Belgium</v>
      </c>
      <c r="S170" s="80" t="str">
        <f ca="1">_xlfn.XLOOKUP(RIGHT(AA170,2),Размеры!D:D,Размеры!A:A,"ERR",0)</f>
        <v>61</v>
      </c>
      <c r="T170" s="80">
        <f ca="1">VALUE(_xlfn.XLOOKUP($AA170,Строчный!$S:$S,Строчный!U:U,"ERR",0))</f>
        <v>4</v>
      </c>
      <c r="U170" s="14" t="s">
        <v>265</v>
      </c>
      <c r="V170" s="101" t="str">
        <f t="shared" ca="1" si="13"/>
        <v>Шапка HERMAN арт. BUCK 007 (оранжевый)</v>
      </c>
      <c r="W170" s="100" t="str">
        <f t="shared" ca="1" si="14"/>
        <v>Шапка HERMAN арт. BUCK 007 (оранжевый) {orange}</v>
      </c>
      <c r="X170" s="18" t="str">
        <f t="shared" ca="1" si="15"/>
        <v>оранжевый</v>
      </c>
      <c r="Y170" s="18" t="str">
        <f t="shared" ca="1" si="16"/>
        <v>оранжевый</v>
      </c>
      <c r="Z170" s="117" t="str">
        <f ca="1">_xlfn.LET(_xlpm.FormColors,_xlfn.XLOOKUP(A170,Строчный!A:A,Строчный!Q:Q,"",0),IF(_xlpm.FormColors=0,IFERROR(MID(I170,FIND("-",I170)+1,LEN(I170)),IFERROR(MID(I170,1,FIND("/",I170)-2),I170)),_xlpm.FormColors))</f>
        <v>оранжевый</v>
      </c>
      <c r="AA170" s="73" t="str">
        <f ca="1"/>
        <v>80-864-13-61</v>
      </c>
      <c r="AB170" s="75" t="str">
        <f ca="1">VLOOKUP(C170,Группа!A:B,2,FALSE)</f>
        <v>Шапка</v>
      </c>
      <c r="AC170" s="97" t="str">
        <f ca="1">IFERROR(VLOOKUP(S170,Размеры!A:C,3,FALSE),"")</f>
        <v>61 XL</v>
      </c>
      <c r="AD170" s="97" t="str">
        <f ca="1">VLOOKUP(I170,ЦветПолный!A:B,2,FALSE)</f>
        <v>13</v>
      </c>
      <c r="AE170" s="97" t="str">
        <f ca="1">IFERROR(VLOOKUP(S170,Размеры!A:D,4,FALSE),"")</f>
        <v>61</v>
      </c>
      <c r="AF170" s="97">
        <f ca="1">IF(LEFT(IFERROR(VLOOKUP(LOOKUP(2,1/SEARCH(B170,Товары!A:A),Товары!A:A),Товары!A:B,2,0),""),6)=MID(AA170,1,6),1,0)</f>
        <v>1</v>
      </c>
      <c r="AH170" s="97">
        <f ca="1">SUMIF(Группа!A:A,C170,Группа!C:C)</f>
        <v>1</v>
      </c>
      <c r="AI170" s="97">
        <f ca="1">SUMIF(Группа!B:B,AB170,Группа!C:C)</f>
        <v>1</v>
      </c>
      <c r="AJ170" s="97">
        <f ca="1">SUMIF(Формы!A:A,D170,Формы!B:B)</f>
        <v>1</v>
      </c>
      <c r="AK170" s="97">
        <f ca="1">SUMIF(Материал!A:A,K170,Материал!B:B)</f>
        <v>1</v>
      </c>
      <c r="AL170" s="97">
        <f ca="1">SUMIF(Размеры!A:A,S170,Размеры!E:E)</f>
        <v>1</v>
      </c>
      <c r="AM170" s="97">
        <f ca="1">SUMIF(Сезон!A:A,F170,Сезон!B:B)</f>
        <v>1</v>
      </c>
      <c r="AN170" s="97">
        <f ca="1">SUMIF(Состав!A:A,J170,Состав!B:B)</f>
        <v>1</v>
      </c>
      <c r="AO170" s="97">
        <f ca="1">VLOOKUP(I170,ЦветПолный!A:C,3,0)</f>
        <v>1</v>
      </c>
      <c r="AP170" s="97">
        <f ca="1">SUMIF(Цвет!A:A,Z170,Цвет!B:B)</f>
        <v>1</v>
      </c>
      <c r="AQ170" s="97">
        <f ca="1">_xlfn.XLOOKUP(L170,Пол!A:A,Пол!B:B,0,0)</f>
        <v>1</v>
      </c>
      <c r="AR170" s="97">
        <f ca="1">SUMIF(Бренд!A:A,G170,Бренд!B:B)</f>
        <v>1</v>
      </c>
      <c r="AS170" s="97">
        <f ca="1">SUMIF(Страна!A:A,M170,Страна!B:B)</f>
        <v>1</v>
      </c>
      <c r="AT170" s="64" t="str">
        <f ca="1">IF(VLOOKUP(W170,Товары!A:B,2,FALSE)=A170,"Есть в 1С","ERR")</f>
        <v>Есть в 1С</v>
      </c>
      <c r="AU170" s="65" t="str">
        <f ca="1">IF(VLOOKUP(A170,Товары!B:B,1,FALSE)=A170,"Есть в 1С","ERR")</f>
        <v>Есть в 1С</v>
      </c>
      <c r="AV170" s="96" t="str">
        <f ca="1">VLOOKUP(W170,Товары!A:B,2,FALSE)</f>
        <v>80-864-13</v>
      </c>
      <c r="AW170" s="94" t="str">
        <f ca="1">VLOOKUP(W170,Товары!A:B,1,FALSE)</f>
        <v>Шапка HERMAN арт. BUCK 007 (оранжевый) {orange}</v>
      </c>
    </row>
    <row r="171" spans="1:49" x14ac:dyDescent="0.25">
      <c r="A171" s="110" t="str">
        <f t="shared" ca="1" si="12"/>
        <v>80-864-13</v>
      </c>
      <c r="B171" s="107" t="str">
        <f ca="1">_xlfn.LET(_xlpm.CAPS,0,_xlpm.Style,TRIM(_xlfn.XLOOKUP($A171,Строчный!$A:$A,Строчный!B:B,"ERR",0)),IF(_xlpm.CAPS=0,_xlpm.Style,UPPER(_xlpm.Style)))</f>
        <v>BUCK 007</v>
      </c>
      <c r="C171" s="81" t="str">
        <f ca="1">TRIM(PROPER(_xlfn.XLOOKUP($A171,Строчный!$A:$A,Строчный!C:C,"ERR",0)))</f>
        <v>Шапки</v>
      </c>
      <c r="D171" s="81" t="str">
        <f ca="1">_xlfn.LET(_xlpm.DATA,TRIM(_xlfn.XLOOKUP($A171,Строчный!$A:$A,Строчный!D:D,"ERR",0)),UPPER(MID(_xlpm.DATA,1,1))&amp;LOWER(MID(_xlpm.DATA,2,LEN(_xlpm.DATA)-1)))</f>
        <v>Шапка ушанка</v>
      </c>
      <c r="E171" s="81" t="str">
        <f ca="1">PROPER(TRIM(_xlfn.XLOOKUP($A171,Строчный!$A:$A,Строчный!E:E,"ERR",0)))</f>
        <v>Herman</v>
      </c>
      <c r="F171" s="81" t="str">
        <f ca="1">LOWER(TRIM(_xlfn.XLOOKUP($A171,Строчный!$A:$A,Строчный!F:F,"ERR",0)))</f>
        <v>зимний</v>
      </c>
      <c r="G171" s="81" t="str">
        <f ca="1">UPPER(TRIM(_xlfn.XLOOKUP($A171,Строчный!$A:$A,Строчный!G:G,"ERR",0)))</f>
        <v>HERMAN</v>
      </c>
      <c r="H171" s="81" t="str">
        <f ca="1">LOWER(TRIM(_xlfn.XLOOKUP($A171,Строчный!$A:$A,Строчный!H:H,"ERR",0)))</f>
        <v>orange</v>
      </c>
      <c r="I171" s="81" t="str">
        <f ca="1">LOWER(TRIM(_xlfn.XLOOKUP($A171,Строчный!$A:$A,Строчный!I:I,"ERR",0)))</f>
        <v>оранжевый</v>
      </c>
      <c r="J171" s="81" t="str">
        <f ca="1">SUBSTITUTE(LOWER(TRIM(_xlfn.XLOOKUP($A171,Строчный!$A:$A,Строчный!J:J,"ERR",0))),"подклад","Подклад")</f>
        <v>50% хлопок - 50% полиэстер</v>
      </c>
      <c r="K171" s="81" t="str">
        <f ca="1">LOWER(TRIM(_xlfn.XLOOKUP($A171,Строчный!$A:$A,Строчный!K:K,"ERR",0)))</f>
        <v>хлопковые</v>
      </c>
      <c r="L171" s="81" t="str">
        <f ca="1">PROPER(TRIM(_xlfn.XLOOKUP($A171,Строчный!$A:$A,Строчный!L:L,"ERR",0)))</f>
        <v>Унисекс</v>
      </c>
      <c r="M171" s="113" t="str">
        <f ca="1">PROPER(TRIM(_xlfn.XLOOKUP($A171,Строчный!$A:$A,Строчный!M:M,"ERR",0)))</f>
        <v>Китай</v>
      </c>
      <c r="N171" s="81" t="str">
        <f ca="1">UPPER(TRIM(_xlfn.XLOOKUP($A171,Строчный!$A:$A,Строчный!O:O,"ERR",0)))</f>
        <v/>
      </c>
      <c r="O171" s="102" t="str">
        <f ca="1">PROPER(TRIM(_xlfn.XLOOKUP($A171,Строчный!$A:$A,Строчный!P:P,"ERR",0)))</f>
        <v/>
      </c>
      <c r="P171" s="81" t="str">
        <f ca="1">PROPER(TRIM(_xlfn.XLOOKUP($A171,Строчный!$A:$A,Строчный!R:R,"ERR",0)))</f>
        <v/>
      </c>
      <c r="Q171" s="90">
        <f ca="1">VALUE(_xlfn.XLOOKUP($A171,Строчный!$A:$A,Строчный!N:N,"ERR",0))</f>
        <v>270</v>
      </c>
      <c r="R171" s="89" t="str">
        <f ca="1">_xlfn.XLOOKUP($G171,Фабрика!A:A,Фабрика!B:B,"ERR",0)</f>
        <v>Chapellerie Herman S.A.; Rue Jean Meunier, 6, 6922 Wellin, Belgium</v>
      </c>
      <c r="S171" s="80" t="str">
        <f ca="1">_xlfn.XLOOKUP(RIGHT(AA171,2),Размеры!D:D,Размеры!A:A,"ERR",0)</f>
        <v>59</v>
      </c>
      <c r="T171" s="80">
        <f ca="1">VALUE(_xlfn.XLOOKUP($AA171,Строчный!$S:$S,Строчный!U:U,"ERR",0))</f>
        <v>7</v>
      </c>
      <c r="U171" s="14" t="s">
        <v>265</v>
      </c>
      <c r="V171" s="101" t="str">
        <f t="shared" ca="1" si="13"/>
        <v>Шапка HERMAN арт. BUCK 007 (оранжевый)</v>
      </c>
      <c r="W171" s="100" t="str">
        <f t="shared" ca="1" si="14"/>
        <v>Шапка HERMAN арт. BUCK 007 (оранжевый) {orange}</v>
      </c>
      <c r="X171" s="18" t="str">
        <f t="shared" ca="1" si="15"/>
        <v>оранжевый</v>
      </c>
      <c r="Y171" s="18" t="str">
        <f t="shared" ca="1" si="16"/>
        <v>оранжевый</v>
      </c>
      <c r="Z171" s="117" t="str">
        <f ca="1">_xlfn.LET(_xlpm.FormColors,_xlfn.XLOOKUP(A171,Строчный!A:A,Строчный!Q:Q,"",0),IF(_xlpm.FormColors=0,IFERROR(MID(I171,FIND("-",I171)+1,LEN(I171)),IFERROR(MID(I171,1,FIND("/",I171)-2),I171)),_xlpm.FormColors))</f>
        <v>оранжевый</v>
      </c>
      <c r="AA171" s="73" t="str">
        <f ca="1"/>
        <v>80-864-13-59</v>
      </c>
      <c r="AB171" s="75" t="str">
        <f ca="1">VLOOKUP(C171,Группа!A:B,2,FALSE)</f>
        <v>Шапка</v>
      </c>
      <c r="AC171" s="97" t="str">
        <f ca="1">IFERROR(VLOOKUP(S171,Размеры!A:C,3,FALSE),"")</f>
        <v>59 L</v>
      </c>
      <c r="AD171" s="97" t="str">
        <f ca="1">VLOOKUP(I171,ЦветПолный!A:B,2,FALSE)</f>
        <v>13</v>
      </c>
      <c r="AE171" s="97" t="str">
        <f ca="1">IFERROR(VLOOKUP(S171,Размеры!A:D,4,FALSE),"")</f>
        <v>59</v>
      </c>
      <c r="AF171" s="97">
        <f ca="1">IF(LEFT(IFERROR(VLOOKUP(LOOKUP(2,1/SEARCH(B171,Товары!A:A),Товары!A:A),Товары!A:B,2,0),""),6)=MID(AA171,1,6),1,0)</f>
        <v>1</v>
      </c>
      <c r="AH171" s="97">
        <f ca="1">SUMIF(Группа!A:A,C171,Группа!C:C)</f>
        <v>1</v>
      </c>
      <c r="AI171" s="97">
        <f ca="1">SUMIF(Группа!B:B,AB171,Группа!C:C)</f>
        <v>1</v>
      </c>
      <c r="AJ171" s="97">
        <f ca="1">SUMIF(Формы!A:A,D171,Формы!B:B)</f>
        <v>1</v>
      </c>
      <c r="AK171" s="97">
        <f ca="1">SUMIF(Материал!A:A,K171,Материал!B:B)</f>
        <v>1</v>
      </c>
      <c r="AL171" s="97">
        <f ca="1">SUMIF(Размеры!A:A,S171,Размеры!E:E)</f>
        <v>1</v>
      </c>
      <c r="AM171" s="97">
        <f ca="1">SUMIF(Сезон!A:A,F171,Сезон!B:B)</f>
        <v>1</v>
      </c>
      <c r="AN171" s="97">
        <f ca="1">SUMIF(Состав!A:A,J171,Состав!B:B)</f>
        <v>1</v>
      </c>
      <c r="AO171" s="97">
        <f ca="1">VLOOKUP(I171,ЦветПолный!A:C,3,0)</f>
        <v>1</v>
      </c>
      <c r="AP171" s="97">
        <f ca="1">SUMIF(Цвет!A:A,Z171,Цвет!B:B)</f>
        <v>1</v>
      </c>
      <c r="AQ171" s="97">
        <f ca="1">_xlfn.XLOOKUP(L171,Пол!A:A,Пол!B:B,0,0)</f>
        <v>1</v>
      </c>
      <c r="AR171" s="97">
        <f ca="1">SUMIF(Бренд!A:A,G171,Бренд!B:B)</f>
        <v>1</v>
      </c>
      <c r="AS171" s="97">
        <f ca="1">SUMIF(Страна!A:A,M171,Страна!B:B)</f>
        <v>1</v>
      </c>
      <c r="AT171" s="64" t="str">
        <f ca="1">IF(VLOOKUP(W171,Товары!A:B,2,FALSE)=A171,"Есть в 1С","ERR")</f>
        <v>Есть в 1С</v>
      </c>
      <c r="AU171" s="65" t="str">
        <f ca="1">IF(VLOOKUP(A171,Товары!B:B,1,FALSE)=A171,"Есть в 1С","ERR")</f>
        <v>Есть в 1С</v>
      </c>
      <c r="AV171" s="96" t="str">
        <f ca="1">VLOOKUP(W171,Товары!A:B,2,FALSE)</f>
        <v>80-864-13</v>
      </c>
      <c r="AW171" s="94" t="str">
        <f ca="1">VLOOKUP(W171,Товары!A:B,1,FALSE)</f>
        <v>Шапка HERMAN арт. BUCK 007 (оранжевый) {orange}</v>
      </c>
    </row>
    <row r="172" spans="1:49" x14ac:dyDescent="0.25">
      <c r="A172" s="110" t="str">
        <f t="shared" ca="1" si="12"/>
        <v>80-864-13</v>
      </c>
      <c r="B172" s="107" t="str">
        <f ca="1">_xlfn.LET(_xlpm.CAPS,0,_xlpm.Style,TRIM(_xlfn.XLOOKUP($A172,Строчный!$A:$A,Строчный!B:B,"ERR",0)),IF(_xlpm.CAPS=0,_xlpm.Style,UPPER(_xlpm.Style)))</f>
        <v>BUCK 007</v>
      </c>
      <c r="C172" s="81" t="str">
        <f ca="1">TRIM(PROPER(_xlfn.XLOOKUP($A172,Строчный!$A:$A,Строчный!C:C,"ERR",0)))</f>
        <v>Шапки</v>
      </c>
      <c r="D172" s="81" t="str">
        <f ca="1">_xlfn.LET(_xlpm.DATA,TRIM(_xlfn.XLOOKUP($A172,Строчный!$A:$A,Строчный!D:D,"ERR",0)),UPPER(MID(_xlpm.DATA,1,1))&amp;LOWER(MID(_xlpm.DATA,2,LEN(_xlpm.DATA)-1)))</f>
        <v>Шапка ушанка</v>
      </c>
      <c r="E172" s="81" t="str">
        <f ca="1">PROPER(TRIM(_xlfn.XLOOKUP($A172,Строчный!$A:$A,Строчный!E:E,"ERR",0)))</f>
        <v>Herman</v>
      </c>
      <c r="F172" s="81" t="str">
        <f ca="1">LOWER(TRIM(_xlfn.XLOOKUP($A172,Строчный!$A:$A,Строчный!F:F,"ERR",0)))</f>
        <v>зимний</v>
      </c>
      <c r="G172" s="81" t="str">
        <f ca="1">UPPER(TRIM(_xlfn.XLOOKUP($A172,Строчный!$A:$A,Строчный!G:G,"ERR",0)))</f>
        <v>HERMAN</v>
      </c>
      <c r="H172" s="81" t="str">
        <f ca="1">LOWER(TRIM(_xlfn.XLOOKUP($A172,Строчный!$A:$A,Строчный!H:H,"ERR",0)))</f>
        <v>orange</v>
      </c>
      <c r="I172" s="81" t="str">
        <f ca="1">LOWER(TRIM(_xlfn.XLOOKUP($A172,Строчный!$A:$A,Строчный!I:I,"ERR",0)))</f>
        <v>оранжевый</v>
      </c>
      <c r="J172" s="81" t="str">
        <f ca="1">SUBSTITUTE(LOWER(TRIM(_xlfn.XLOOKUP($A172,Строчный!$A:$A,Строчный!J:J,"ERR",0))),"подклад","Подклад")</f>
        <v>50% хлопок - 50% полиэстер</v>
      </c>
      <c r="K172" s="81" t="str">
        <f ca="1">LOWER(TRIM(_xlfn.XLOOKUP($A172,Строчный!$A:$A,Строчный!K:K,"ERR",0)))</f>
        <v>хлопковые</v>
      </c>
      <c r="L172" s="81" t="str">
        <f ca="1">PROPER(TRIM(_xlfn.XLOOKUP($A172,Строчный!$A:$A,Строчный!L:L,"ERR",0)))</f>
        <v>Унисекс</v>
      </c>
      <c r="M172" s="113" t="str">
        <f ca="1">PROPER(TRIM(_xlfn.XLOOKUP($A172,Строчный!$A:$A,Строчный!M:M,"ERR",0)))</f>
        <v>Китай</v>
      </c>
      <c r="N172" s="81" t="str">
        <f ca="1">UPPER(TRIM(_xlfn.XLOOKUP($A172,Строчный!$A:$A,Строчный!O:O,"ERR",0)))</f>
        <v/>
      </c>
      <c r="O172" s="102" t="str">
        <f ca="1">PROPER(TRIM(_xlfn.XLOOKUP($A172,Строчный!$A:$A,Строчный!P:P,"ERR",0)))</f>
        <v/>
      </c>
      <c r="P172" s="81" t="str">
        <f ca="1">PROPER(TRIM(_xlfn.XLOOKUP($A172,Строчный!$A:$A,Строчный!R:R,"ERR",0)))</f>
        <v/>
      </c>
      <c r="Q172" s="90">
        <f ca="1">VALUE(_xlfn.XLOOKUP($A172,Строчный!$A:$A,Строчный!N:N,"ERR",0))</f>
        <v>270</v>
      </c>
      <c r="R172" s="89" t="str">
        <f ca="1">_xlfn.XLOOKUP($G172,Фабрика!A:A,Фабрика!B:B,"ERR",0)</f>
        <v>Chapellerie Herman S.A.; Rue Jean Meunier, 6, 6922 Wellin, Belgium</v>
      </c>
      <c r="S172" s="80" t="str">
        <f ca="1">_xlfn.XLOOKUP(RIGHT(AA172,2),Размеры!D:D,Размеры!A:A,"ERR",0)</f>
        <v>57</v>
      </c>
      <c r="T172" s="80">
        <f ca="1">VALUE(_xlfn.XLOOKUP($AA172,Строчный!$S:$S,Строчный!U:U,"ERR",0))</f>
        <v>7</v>
      </c>
      <c r="U172" s="14" t="s">
        <v>265</v>
      </c>
      <c r="V172" s="101" t="str">
        <f t="shared" ca="1" si="13"/>
        <v>Шапка HERMAN арт. BUCK 007 (оранжевый)</v>
      </c>
      <c r="W172" s="100" t="str">
        <f t="shared" ca="1" si="14"/>
        <v>Шапка HERMAN арт. BUCK 007 (оранжевый) {orange}</v>
      </c>
      <c r="X172" s="18" t="str">
        <f t="shared" ca="1" si="15"/>
        <v>оранжевый</v>
      </c>
      <c r="Y172" s="18" t="str">
        <f t="shared" ca="1" si="16"/>
        <v>оранжевый</v>
      </c>
      <c r="Z172" s="117" t="str">
        <f ca="1">_xlfn.LET(_xlpm.FormColors,_xlfn.XLOOKUP(A172,Строчный!A:A,Строчный!Q:Q,"",0),IF(_xlpm.FormColors=0,IFERROR(MID(I172,FIND("-",I172)+1,LEN(I172)),IFERROR(MID(I172,1,FIND("/",I172)-2),I172)),_xlpm.FormColors))</f>
        <v>оранжевый</v>
      </c>
      <c r="AA172" s="73" t="str">
        <f ca="1"/>
        <v>80-864-13-57</v>
      </c>
      <c r="AB172" s="75" t="str">
        <f ca="1">VLOOKUP(C172,Группа!A:B,2,FALSE)</f>
        <v>Шапка</v>
      </c>
      <c r="AC172" s="97" t="str">
        <f ca="1">IFERROR(VLOOKUP(S172,Размеры!A:C,3,FALSE),"")</f>
        <v>57 M</v>
      </c>
      <c r="AD172" s="97" t="str">
        <f ca="1">VLOOKUP(I172,ЦветПолный!A:B,2,FALSE)</f>
        <v>13</v>
      </c>
      <c r="AE172" s="97" t="str">
        <f ca="1">IFERROR(VLOOKUP(S172,Размеры!A:D,4,FALSE),"")</f>
        <v>57</v>
      </c>
      <c r="AF172" s="97">
        <f ca="1">IF(LEFT(IFERROR(VLOOKUP(LOOKUP(2,1/SEARCH(B172,Товары!A:A),Товары!A:A),Товары!A:B,2,0),""),6)=MID(AA172,1,6),1,0)</f>
        <v>1</v>
      </c>
      <c r="AH172" s="97">
        <f ca="1">SUMIF(Группа!A:A,C172,Группа!C:C)</f>
        <v>1</v>
      </c>
      <c r="AI172" s="97">
        <f ca="1">SUMIF(Группа!B:B,AB172,Группа!C:C)</f>
        <v>1</v>
      </c>
      <c r="AJ172" s="97">
        <f ca="1">SUMIF(Формы!A:A,D172,Формы!B:B)</f>
        <v>1</v>
      </c>
      <c r="AK172" s="97">
        <f ca="1">SUMIF(Материал!A:A,K172,Материал!B:B)</f>
        <v>1</v>
      </c>
      <c r="AL172" s="97">
        <f ca="1">SUMIF(Размеры!A:A,S172,Размеры!E:E)</f>
        <v>1</v>
      </c>
      <c r="AM172" s="97">
        <f ca="1">SUMIF(Сезон!A:A,F172,Сезон!B:B)</f>
        <v>1</v>
      </c>
      <c r="AN172" s="97">
        <f ca="1">SUMIF(Состав!A:A,J172,Состав!B:B)</f>
        <v>1</v>
      </c>
      <c r="AO172" s="97">
        <f ca="1">VLOOKUP(I172,ЦветПолный!A:C,3,0)</f>
        <v>1</v>
      </c>
      <c r="AP172" s="97">
        <f ca="1">SUMIF(Цвет!A:A,Z172,Цвет!B:B)</f>
        <v>1</v>
      </c>
      <c r="AQ172" s="97">
        <f ca="1">_xlfn.XLOOKUP(L172,Пол!A:A,Пол!B:B,0,0)</f>
        <v>1</v>
      </c>
      <c r="AR172" s="97">
        <f ca="1">SUMIF(Бренд!A:A,G172,Бренд!B:B)</f>
        <v>1</v>
      </c>
      <c r="AS172" s="97">
        <f ca="1">SUMIF(Страна!A:A,M172,Страна!B:B)</f>
        <v>1</v>
      </c>
      <c r="AT172" s="64" t="str">
        <f ca="1">IF(VLOOKUP(W172,Товары!A:B,2,FALSE)=A172,"Есть в 1С","ERR")</f>
        <v>Есть в 1С</v>
      </c>
      <c r="AU172" s="65" t="str">
        <f ca="1">IF(VLOOKUP(A172,Товары!B:B,1,FALSE)=A172,"Есть в 1С","ERR")</f>
        <v>Есть в 1С</v>
      </c>
      <c r="AV172" s="96" t="str">
        <f ca="1">VLOOKUP(W172,Товары!A:B,2,FALSE)</f>
        <v>80-864-13</v>
      </c>
      <c r="AW172" s="94" t="str">
        <f ca="1">VLOOKUP(W172,Товары!A:B,1,FALSE)</f>
        <v>Шапка HERMAN арт. BUCK 007 (оранжевый) {orange}</v>
      </c>
    </row>
    <row r="173" spans="1:49" x14ac:dyDescent="0.25">
      <c r="A173" s="110" t="str">
        <f t="shared" ca="1" si="12"/>
        <v>80-863-34</v>
      </c>
      <c r="B173" s="107" t="str">
        <f ca="1">_xlfn.LET(_xlpm.CAPS,0,_xlpm.Style,TRIM(_xlfn.XLOOKUP($A173,Строчный!$A:$A,Строчный!B:B,"ERR",0)),IF(_xlpm.CAPS=0,_xlpm.Style,UPPER(_xlpm.Style)))</f>
        <v>BUCK 006</v>
      </c>
      <c r="C173" s="81" t="str">
        <f ca="1">TRIM(PROPER(_xlfn.XLOOKUP($A173,Строчный!$A:$A,Строчный!C:C,"ERR",0)))</f>
        <v>Шапки</v>
      </c>
      <c r="D173" s="81" t="str">
        <f ca="1">_xlfn.LET(_xlpm.DATA,TRIM(_xlfn.XLOOKUP($A173,Строчный!$A:$A,Строчный!D:D,"ERR",0)),UPPER(MID(_xlpm.DATA,1,1))&amp;LOWER(MID(_xlpm.DATA,2,LEN(_xlpm.DATA)-1)))</f>
        <v>Шапка ушанка</v>
      </c>
      <c r="E173" s="81" t="str">
        <f ca="1">PROPER(TRIM(_xlfn.XLOOKUP($A173,Строчный!$A:$A,Строчный!E:E,"ERR",0)))</f>
        <v>Herman</v>
      </c>
      <c r="F173" s="81" t="str">
        <f ca="1">LOWER(TRIM(_xlfn.XLOOKUP($A173,Строчный!$A:$A,Строчный!F:F,"ERR",0)))</f>
        <v>зимний</v>
      </c>
      <c r="G173" s="81" t="str">
        <f ca="1">UPPER(TRIM(_xlfn.XLOOKUP($A173,Строчный!$A:$A,Строчный!G:G,"ERR",0)))</f>
        <v>HERMAN</v>
      </c>
      <c r="H173" s="81" t="str">
        <f ca="1">LOWER(TRIM(_xlfn.XLOOKUP($A173,Строчный!$A:$A,Строчный!H:H,"ERR",0)))</f>
        <v>pink</v>
      </c>
      <c r="I173" s="81" t="str">
        <f ca="1">LOWER(TRIM(_xlfn.XLOOKUP($A173,Строчный!$A:$A,Строчный!I:I,"ERR",0)))</f>
        <v>розовый</v>
      </c>
      <c r="J173" s="81" t="str">
        <f ca="1">SUBSTITUTE(LOWER(TRIM(_xlfn.XLOOKUP($A173,Строчный!$A:$A,Строчный!J:J,"ERR",0))),"подклад","Подклад")</f>
        <v>100% полиэстер</v>
      </c>
      <c r="K173" s="81" t="str">
        <f ca="1">LOWER(TRIM(_xlfn.XLOOKUP($A173,Строчный!$A:$A,Строчный!K:K,"ERR",0)))</f>
        <v/>
      </c>
      <c r="L173" s="81" t="str">
        <f ca="1">PROPER(TRIM(_xlfn.XLOOKUP($A173,Строчный!$A:$A,Строчный!L:L,"ERR",0)))</f>
        <v>Женский</v>
      </c>
      <c r="M173" s="113" t="str">
        <f ca="1">PROPER(TRIM(_xlfn.XLOOKUP($A173,Строчный!$A:$A,Строчный!M:M,"ERR",0)))</f>
        <v>Китай</v>
      </c>
      <c r="N173" s="81" t="str">
        <f ca="1">UPPER(TRIM(_xlfn.XLOOKUP($A173,Строчный!$A:$A,Строчный!O:O,"ERR",0)))</f>
        <v/>
      </c>
      <c r="O173" s="102" t="str">
        <f ca="1">PROPER(TRIM(_xlfn.XLOOKUP($A173,Строчный!$A:$A,Строчный!P:P,"ERR",0)))</f>
        <v/>
      </c>
      <c r="P173" s="81" t="str">
        <f ca="1">PROPER(TRIM(_xlfn.XLOOKUP($A173,Строчный!$A:$A,Строчный!R:R,"ERR",0)))</f>
        <v/>
      </c>
      <c r="Q173" s="90">
        <f ca="1">VALUE(_xlfn.XLOOKUP($A173,Строчный!$A:$A,Строчный!N:N,"ERR",0))</f>
        <v>270</v>
      </c>
      <c r="R173" s="89" t="str">
        <f ca="1">_xlfn.XLOOKUP($G173,Фабрика!A:A,Фабрика!B:B,"ERR",0)</f>
        <v>Chapellerie Herman S.A.; Rue Jean Meunier, 6, 6922 Wellin, Belgium</v>
      </c>
      <c r="S173" s="80" t="str">
        <f ca="1">_xlfn.XLOOKUP(RIGHT(AA173,2),Размеры!D:D,Размеры!A:A,"ERR",0)</f>
        <v>59</v>
      </c>
      <c r="T173" s="80">
        <f ca="1">VALUE(_xlfn.XLOOKUP($AA173,Строчный!$S:$S,Строчный!U:U,"ERR",0))</f>
        <v>5</v>
      </c>
      <c r="U173" s="14" t="s">
        <v>265</v>
      </c>
      <c r="V173" s="101" t="str">
        <f t="shared" ca="1" si="13"/>
        <v>Шапка HERMAN арт. BUCK 006 (розовый)</v>
      </c>
      <c r="W173" s="100" t="str">
        <f t="shared" ca="1" si="14"/>
        <v>Шапка HERMAN арт. BUCK 006 (розовый) {pink}</v>
      </c>
      <c r="X173" s="18" t="str">
        <f t="shared" ca="1" si="15"/>
        <v>розовый</v>
      </c>
      <c r="Y173" s="18" t="str">
        <f t="shared" ca="1" si="16"/>
        <v>розовый</v>
      </c>
      <c r="Z173" s="117" t="str">
        <f ca="1">_xlfn.LET(_xlpm.FormColors,_xlfn.XLOOKUP(A173,Строчный!A:A,Строчный!Q:Q,"",0),IF(_xlpm.FormColors=0,IFERROR(MID(I173,FIND("-",I173)+1,LEN(I173)),IFERROR(MID(I173,1,FIND("/",I173)-2),I173)),_xlpm.FormColors))</f>
        <v>розовый</v>
      </c>
      <c r="AA173" s="73" t="str">
        <f ca="1"/>
        <v>80-863-34-59</v>
      </c>
      <c r="AB173" s="75" t="str">
        <f ca="1">VLOOKUP(C173,Группа!A:B,2,FALSE)</f>
        <v>Шапка</v>
      </c>
      <c r="AC173" s="97" t="str">
        <f ca="1">IFERROR(VLOOKUP(S173,Размеры!A:C,3,FALSE),"")</f>
        <v>59 L</v>
      </c>
      <c r="AD173" s="97" t="str">
        <f ca="1">VLOOKUP(I173,ЦветПолный!A:B,2,FALSE)</f>
        <v>34</v>
      </c>
      <c r="AE173" s="97" t="str">
        <f ca="1">IFERROR(VLOOKUP(S173,Размеры!A:D,4,FALSE),"")</f>
        <v>59</v>
      </c>
      <c r="AF173" s="97">
        <f ca="1">IF(LEFT(IFERROR(VLOOKUP(LOOKUP(2,1/SEARCH(B173,Товары!A:A),Товары!A:A),Товары!A:B,2,0),""),6)=MID(AA173,1,6),1,0)</f>
        <v>1</v>
      </c>
      <c r="AH173" s="97">
        <f ca="1">SUMIF(Группа!A:A,C173,Группа!C:C)</f>
        <v>1</v>
      </c>
      <c r="AI173" s="97">
        <f ca="1">SUMIF(Группа!B:B,AB173,Группа!C:C)</f>
        <v>1</v>
      </c>
      <c r="AJ173" s="97">
        <f ca="1">SUMIF(Формы!A:A,D173,Формы!B:B)</f>
        <v>1</v>
      </c>
      <c r="AK173" s="97">
        <f ca="1">SUMIF(Материал!A:A,K173,Материал!B:B)</f>
        <v>0</v>
      </c>
      <c r="AL173" s="97">
        <f ca="1">SUMIF(Размеры!A:A,S173,Размеры!E:E)</f>
        <v>1</v>
      </c>
      <c r="AM173" s="97">
        <f ca="1">SUMIF(Сезон!A:A,F173,Сезон!B:B)</f>
        <v>1</v>
      </c>
      <c r="AN173" s="97">
        <f ca="1">SUMIF(Состав!A:A,J173,Состав!B:B)</f>
        <v>1</v>
      </c>
      <c r="AO173" s="97">
        <f ca="1">VLOOKUP(I173,ЦветПолный!A:C,3,0)</f>
        <v>1</v>
      </c>
      <c r="AP173" s="97">
        <f ca="1">SUMIF(Цвет!A:A,Z173,Цвет!B:B)</f>
        <v>1</v>
      </c>
      <c r="AQ173" s="97">
        <f ca="1">_xlfn.XLOOKUP(L173,Пол!A:A,Пол!B:B,0,0)</f>
        <v>1</v>
      </c>
      <c r="AR173" s="97">
        <f ca="1">SUMIF(Бренд!A:A,G173,Бренд!B:B)</f>
        <v>1</v>
      </c>
      <c r="AS173" s="97">
        <f ca="1">SUMIF(Страна!A:A,M173,Страна!B:B)</f>
        <v>1</v>
      </c>
      <c r="AT173" s="64" t="e">
        <f ca="1">IF(VLOOKUP(W173,Товары!A:B,2,FALSE)=A173,"Есть в 1С","ERR")</f>
        <v>#N/A</v>
      </c>
      <c r="AU173" s="65" t="e">
        <f ca="1">IF(VLOOKUP(A173,Товары!B:B,1,FALSE)=A173,"Есть в 1С","ERR")</f>
        <v>#N/A</v>
      </c>
      <c r="AV173" s="96" t="e">
        <f ca="1">VLOOKUP(W173,Товары!A:B,2,FALSE)</f>
        <v>#N/A</v>
      </c>
      <c r="AW173" s="94" t="e">
        <f ca="1">VLOOKUP(W173,Товары!A:B,1,FALSE)</f>
        <v>#N/A</v>
      </c>
    </row>
    <row r="174" spans="1:49" x14ac:dyDescent="0.25">
      <c r="A174" s="110" t="str">
        <f t="shared" ca="1" si="12"/>
        <v>80-863-34</v>
      </c>
      <c r="B174" s="107" t="str">
        <f ca="1">_xlfn.LET(_xlpm.CAPS,0,_xlpm.Style,TRIM(_xlfn.XLOOKUP($A174,Строчный!$A:$A,Строчный!B:B,"ERR",0)),IF(_xlpm.CAPS=0,_xlpm.Style,UPPER(_xlpm.Style)))</f>
        <v>BUCK 006</v>
      </c>
      <c r="C174" s="81" t="str">
        <f ca="1">TRIM(PROPER(_xlfn.XLOOKUP($A174,Строчный!$A:$A,Строчный!C:C,"ERR",0)))</f>
        <v>Шапки</v>
      </c>
      <c r="D174" s="81" t="str">
        <f ca="1">_xlfn.LET(_xlpm.DATA,TRIM(_xlfn.XLOOKUP($A174,Строчный!$A:$A,Строчный!D:D,"ERR",0)),UPPER(MID(_xlpm.DATA,1,1))&amp;LOWER(MID(_xlpm.DATA,2,LEN(_xlpm.DATA)-1)))</f>
        <v>Шапка ушанка</v>
      </c>
      <c r="E174" s="81" t="str">
        <f ca="1">PROPER(TRIM(_xlfn.XLOOKUP($A174,Строчный!$A:$A,Строчный!E:E,"ERR",0)))</f>
        <v>Herman</v>
      </c>
      <c r="F174" s="81" t="str">
        <f ca="1">LOWER(TRIM(_xlfn.XLOOKUP($A174,Строчный!$A:$A,Строчный!F:F,"ERR",0)))</f>
        <v>зимний</v>
      </c>
      <c r="G174" s="81" t="str">
        <f ca="1">UPPER(TRIM(_xlfn.XLOOKUP($A174,Строчный!$A:$A,Строчный!G:G,"ERR",0)))</f>
        <v>HERMAN</v>
      </c>
      <c r="H174" s="81" t="str">
        <f ca="1">LOWER(TRIM(_xlfn.XLOOKUP($A174,Строчный!$A:$A,Строчный!H:H,"ERR",0)))</f>
        <v>pink</v>
      </c>
      <c r="I174" s="81" t="str">
        <f ca="1">LOWER(TRIM(_xlfn.XLOOKUP($A174,Строчный!$A:$A,Строчный!I:I,"ERR",0)))</f>
        <v>розовый</v>
      </c>
      <c r="J174" s="81" t="str">
        <f ca="1">SUBSTITUTE(LOWER(TRIM(_xlfn.XLOOKUP($A174,Строчный!$A:$A,Строчный!J:J,"ERR",0))),"подклад","Подклад")</f>
        <v>100% полиэстер</v>
      </c>
      <c r="K174" s="81" t="str">
        <f ca="1">LOWER(TRIM(_xlfn.XLOOKUP($A174,Строчный!$A:$A,Строчный!K:K,"ERR",0)))</f>
        <v/>
      </c>
      <c r="L174" s="81" t="str">
        <f ca="1">PROPER(TRIM(_xlfn.XLOOKUP($A174,Строчный!$A:$A,Строчный!L:L,"ERR",0)))</f>
        <v>Женский</v>
      </c>
      <c r="M174" s="113" t="str">
        <f ca="1">PROPER(TRIM(_xlfn.XLOOKUP($A174,Строчный!$A:$A,Строчный!M:M,"ERR",0)))</f>
        <v>Китай</v>
      </c>
      <c r="N174" s="81" t="str">
        <f ca="1">UPPER(TRIM(_xlfn.XLOOKUP($A174,Строчный!$A:$A,Строчный!O:O,"ERR",0)))</f>
        <v/>
      </c>
      <c r="O174" s="102" t="str">
        <f ca="1">PROPER(TRIM(_xlfn.XLOOKUP($A174,Строчный!$A:$A,Строчный!P:P,"ERR",0)))</f>
        <v/>
      </c>
      <c r="P174" s="81" t="str">
        <f ca="1">PROPER(TRIM(_xlfn.XLOOKUP($A174,Строчный!$A:$A,Строчный!R:R,"ERR",0)))</f>
        <v/>
      </c>
      <c r="Q174" s="90">
        <f ca="1">VALUE(_xlfn.XLOOKUP($A174,Строчный!$A:$A,Строчный!N:N,"ERR",0))</f>
        <v>270</v>
      </c>
      <c r="R174" s="89" t="str">
        <f ca="1">_xlfn.XLOOKUP($G174,Фабрика!A:A,Фабрика!B:B,"ERR",0)</f>
        <v>Chapellerie Herman S.A.; Rue Jean Meunier, 6, 6922 Wellin, Belgium</v>
      </c>
      <c r="S174" s="80" t="str">
        <f ca="1">_xlfn.XLOOKUP(RIGHT(AA174,2),Размеры!D:D,Размеры!A:A,"ERR",0)</f>
        <v>57</v>
      </c>
      <c r="T174" s="80">
        <f ca="1">VALUE(_xlfn.XLOOKUP($AA174,Строчный!$S:$S,Строчный!U:U,"ERR",0))</f>
        <v>14</v>
      </c>
      <c r="U174" s="14" t="s">
        <v>265</v>
      </c>
      <c r="V174" s="101" t="str">
        <f t="shared" ca="1" si="13"/>
        <v>Шапка HERMAN арт. BUCK 006 (розовый)</v>
      </c>
      <c r="W174" s="100" t="str">
        <f t="shared" ca="1" si="14"/>
        <v>Шапка HERMAN арт. BUCK 006 (розовый) {pink}</v>
      </c>
      <c r="X174" s="18" t="str">
        <f t="shared" ca="1" si="15"/>
        <v>розовый</v>
      </c>
      <c r="Y174" s="18" t="str">
        <f t="shared" ca="1" si="16"/>
        <v>розовый</v>
      </c>
      <c r="Z174" s="117" t="str">
        <f ca="1">_xlfn.LET(_xlpm.FormColors,_xlfn.XLOOKUP(A174,Строчный!A:A,Строчный!Q:Q,"",0),IF(_xlpm.FormColors=0,IFERROR(MID(I174,FIND("-",I174)+1,LEN(I174)),IFERROR(MID(I174,1,FIND("/",I174)-2),I174)),_xlpm.FormColors))</f>
        <v>розовый</v>
      </c>
      <c r="AA174" s="73" t="str">
        <f ca="1"/>
        <v>80-863-34-57</v>
      </c>
      <c r="AB174" s="75" t="str">
        <f ca="1">VLOOKUP(C174,Группа!A:B,2,FALSE)</f>
        <v>Шапка</v>
      </c>
      <c r="AC174" s="97" t="str">
        <f ca="1">IFERROR(VLOOKUP(S174,Размеры!A:C,3,FALSE),"")</f>
        <v>57 M</v>
      </c>
      <c r="AD174" s="97" t="str">
        <f ca="1">VLOOKUP(I174,ЦветПолный!A:B,2,FALSE)</f>
        <v>34</v>
      </c>
      <c r="AE174" s="97" t="str">
        <f ca="1">IFERROR(VLOOKUP(S174,Размеры!A:D,4,FALSE),"")</f>
        <v>57</v>
      </c>
      <c r="AF174" s="97">
        <f ca="1">IF(LEFT(IFERROR(VLOOKUP(LOOKUP(2,1/SEARCH(B174,Товары!A:A),Товары!A:A),Товары!A:B,2,0),""),6)=MID(AA174,1,6),1,0)</f>
        <v>1</v>
      </c>
      <c r="AH174" s="97">
        <f ca="1">SUMIF(Группа!A:A,C174,Группа!C:C)</f>
        <v>1</v>
      </c>
      <c r="AI174" s="97">
        <f ca="1">SUMIF(Группа!B:B,AB174,Группа!C:C)</f>
        <v>1</v>
      </c>
      <c r="AJ174" s="97">
        <f ca="1">SUMIF(Формы!A:A,D174,Формы!B:B)</f>
        <v>1</v>
      </c>
      <c r="AK174" s="97">
        <f ca="1">SUMIF(Материал!A:A,K174,Материал!B:B)</f>
        <v>0</v>
      </c>
      <c r="AL174" s="97">
        <f ca="1">SUMIF(Размеры!A:A,S174,Размеры!E:E)</f>
        <v>1</v>
      </c>
      <c r="AM174" s="97">
        <f ca="1">SUMIF(Сезон!A:A,F174,Сезон!B:B)</f>
        <v>1</v>
      </c>
      <c r="AN174" s="97">
        <f ca="1">SUMIF(Состав!A:A,J174,Состав!B:B)</f>
        <v>1</v>
      </c>
      <c r="AO174" s="97">
        <f ca="1">VLOOKUP(I174,ЦветПолный!A:C,3,0)</f>
        <v>1</v>
      </c>
      <c r="AP174" s="97">
        <f ca="1">SUMIF(Цвет!A:A,Z174,Цвет!B:B)</f>
        <v>1</v>
      </c>
      <c r="AQ174" s="97">
        <f ca="1">_xlfn.XLOOKUP(L174,Пол!A:A,Пол!B:B,0,0)</f>
        <v>1</v>
      </c>
      <c r="AR174" s="97">
        <f ca="1">SUMIF(Бренд!A:A,G174,Бренд!B:B)</f>
        <v>1</v>
      </c>
      <c r="AS174" s="97">
        <f ca="1">SUMIF(Страна!A:A,M174,Страна!B:B)</f>
        <v>1</v>
      </c>
      <c r="AT174" s="64" t="e">
        <f ca="1">IF(VLOOKUP(W174,Товары!A:B,2,FALSE)=A174,"Есть в 1С","ERR")</f>
        <v>#N/A</v>
      </c>
      <c r="AU174" s="65" t="e">
        <f ca="1">IF(VLOOKUP(A174,Товары!B:B,1,FALSE)=A174,"Есть в 1С","ERR")</f>
        <v>#N/A</v>
      </c>
      <c r="AV174" s="96" t="e">
        <f ca="1">VLOOKUP(W174,Товары!A:B,2,FALSE)</f>
        <v>#N/A</v>
      </c>
      <c r="AW174" s="94" t="e">
        <f ca="1">VLOOKUP(W174,Товары!A:B,1,FALSE)</f>
        <v>#N/A</v>
      </c>
    </row>
    <row r="175" spans="1:49" x14ac:dyDescent="0.25">
      <c r="A175" s="110" t="str">
        <f t="shared" ca="1" si="12"/>
        <v>80-863-34</v>
      </c>
      <c r="B175" s="107" t="str">
        <f ca="1">_xlfn.LET(_xlpm.CAPS,0,_xlpm.Style,TRIM(_xlfn.XLOOKUP($A175,Строчный!$A:$A,Строчный!B:B,"ERR",0)),IF(_xlpm.CAPS=0,_xlpm.Style,UPPER(_xlpm.Style)))</f>
        <v>BUCK 006</v>
      </c>
      <c r="C175" s="81" t="str">
        <f ca="1">TRIM(PROPER(_xlfn.XLOOKUP($A175,Строчный!$A:$A,Строчный!C:C,"ERR",0)))</f>
        <v>Шапки</v>
      </c>
      <c r="D175" s="81" t="str">
        <f ca="1">_xlfn.LET(_xlpm.DATA,TRIM(_xlfn.XLOOKUP($A175,Строчный!$A:$A,Строчный!D:D,"ERR",0)),UPPER(MID(_xlpm.DATA,1,1))&amp;LOWER(MID(_xlpm.DATA,2,LEN(_xlpm.DATA)-1)))</f>
        <v>Шапка ушанка</v>
      </c>
      <c r="E175" s="81" t="str">
        <f ca="1">PROPER(TRIM(_xlfn.XLOOKUP($A175,Строчный!$A:$A,Строчный!E:E,"ERR",0)))</f>
        <v>Herman</v>
      </c>
      <c r="F175" s="81" t="str">
        <f ca="1">LOWER(TRIM(_xlfn.XLOOKUP($A175,Строчный!$A:$A,Строчный!F:F,"ERR",0)))</f>
        <v>зимний</v>
      </c>
      <c r="G175" s="81" t="str">
        <f ca="1">UPPER(TRIM(_xlfn.XLOOKUP($A175,Строчный!$A:$A,Строчный!G:G,"ERR",0)))</f>
        <v>HERMAN</v>
      </c>
      <c r="H175" s="81" t="str">
        <f ca="1">LOWER(TRIM(_xlfn.XLOOKUP($A175,Строчный!$A:$A,Строчный!H:H,"ERR",0)))</f>
        <v>pink</v>
      </c>
      <c r="I175" s="81" t="str">
        <f ca="1">LOWER(TRIM(_xlfn.XLOOKUP($A175,Строчный!$A:$A,Строчный!I:I,"ERR",0)))</f>
        <v>розовый</v>
      </c>
      <c r="J175" s="81" t="str">
        <f ca="1">SUBSTITUTE(LOWER(TRIM(_xlfn.XLOOKUP($A175,Строчный!$A:$A,Строчный!J:J,"ERR",0))),"подклад","Подклад")</f>
        <v>100% полиэстер</v>
      </c>
      <c r="K175" s="81" t="str">
        <f ca="1">LOWER(TRIM(_xlfn.XLOOKUP($A175,Строчный!$A:$A,Строчный!K:K,"ERR",0)))</f>
        <v/>
      </c>
      <c r="L175" s="81" t="str">
        <f ca="1">PROPER(TRIM(_xlfn.XLOOKUP($A175,Строчный!$A:$A,Строчный!L:L,"ERR",0)))</f>
        <v>Женский</v>
      </c>
      <c r="M175" s="113" t="str">
        <f ca="1">PROPER(TRIM(_xlfn.XLOOKUP($A175,Строчный!$A:$A,Строчный!M:M,"ERR",0)))</f>
        <v>Китай</v>
      </c>
      <c r="N175" s="81" t="str">
        <f ca="1">UPPER(TRIM(_xlfn.XLOOKUP($A175,Строчный!$A:$A,Строчный!O:O,"ERR",0)))</f>
        <v/>
      </c>
      <c r="O175" s="102" t="str">
        <f ca="1">PROPER(TRIM(_xlfn.XLOOKUP($A175,Строчный!$A:$A,Строчный!P:P,"ERR",0)))</f>
        <v/>
      </c>
      <c r="P175" s="81" t="str">
        <f ca="1">PROPER(TRIM(_xlfn.XLOOKUP($A175,Строчный!$A:$A,Строчный!R:R,"ERR",0)))</f>
        <v/>
      </c>
      <c r="Q175" s="90">
        <f ca="1">VALUE(_xlfn.XLOOKUP($A175,Строчный!$A:$A,Строчный!N:N,"ERR",0))</f>
        <v>270</v>
      </c>
      <c r="R175" s="89" t="str">
        <f ca="1">_xlfn.XLOOKUP($G175,Фабрика!A:A,Фабрика!B:B,"ERR",0)</f>
        <v>Chapellerie Herman S.A.; Rue Jean Meunier, 6, 6922 Wellin, Belgium</v>
      </c>
      <c r="S175" s="80" t="str">
        <f ca="1">_xlfn.XLOOKUP(RIGHT(AA175,2),Размеры!D:D,Размеры!A:A,"ERR",0)</f>
        <v>55</v>
      </c>
      <c r="T175" s="80">
        <f ca="1">VALUE(_xlfn.XLOOKUP($AA175,Строчный!$S:$S,Строчный!U:U,"ERR",0))</f>
        <v>6</v>
      </c>
      <c r="U175" s="14" t="s">
        <v>265</v>
      </c>
      <c r="V175" s="101" t="str">
        <f t="shared" ca="1" si="13"/>
        <v>Шапка HERMAN арт. BUCK 006 (розовый)</v>
      </c>
      <c r="W175" s="100" t="str">
        <f t="shared" ca="1" si="14"/>
        <v>Шапка HERMAN арт. BUCK 006 (розовый) {pink}</v>
      </c>
      <c r="X175" s="18" t="str">
        <f t="shared" ca="1" si="15"/>
        <v>розовый</v>
      </c>
      <c r="Y175" s="18" t="str">
        <f t="shared" ca="1" si="16"/>
        <v>розовый</v>
      </c>
      <c r="Z175" s="117" t="str">
        <f ca="1">_xlfn.LET(_xlpm.FormColors,_xlfn.XLOOKUP(A175,Строчный!A:A,Строчный!Q:Q,"",0),IF(_xlpm.FormColors=0,IFERROR(MID(I175,FIND("-",I175)+1,LEN(I175)),IFERROR(MID(I175,1,FIND("/",I175)-2),I175)),_xlpm.FormColors))</f>
        <v>розовый</v>
      </c>
      <c r="AA175" s="73" t="str">
        <f ca="1"/>
        <v>80-863-34-55</v>
      </c>
      <c r="AB175" s="75" t="str">
        <f ca="1">VLOOKUP(C175,Группа!A:B,2,FALSE)</f>
        <v>Шапка</v>
      </c>
      <c r="AC175" s="97" t="str">
        <f ca="1">IFERROR(VLOOKUP(S175,Размеры!A:C,3,FALSE),"")</f>
        <v>55 S</v>
      </c>
      <c r="AD175" s="97" t="str">
        <f ca="1">VLOOKUP(I175,ЦветПолный!A:B,2,FALSE)</f>
        <v>34</v>
      </c>
      <c r="AE175" s="97" t="str">
        <f ca="1">IFERROR(VLOOKUP(S175,Размеры!A:D,4,FALSE),"")</f>
        <v>55</v>
      </c>
      <c r="AF175" s="97">
        <f ca="1">IF(LEFT(IFERROR(VLOOKUP(LOOKUP(2,1/SEARCH(B175,Товары!A:A),Товары!A:A),Товары!A:B,2,0),""),6)=MID(AA175,1,6),1,0)</f>
        <v>1</v>
      </c>
      <c r="AH175" s="97">
        <f ca="1">SUMIF(Группа!A:A,C175,Группа!C:C)</f>
        <v>1</v>
      </c>
      <c r="AI175" s="97">
        <f ca="1">SUMIF(Группа!B:B,AB175,Группа!C:C)</f>
        <v>1</v>
      </c>
      <c r="AJ175" s="97">
        <f ca="1">SUMIF(Формы!A:A,D175,Формы!B:B)</f>
        <v>1</v>
      </c>
      <c r="AK175" s="97">
        <f ca="1">SUMIF(Материал!A:A,K175,Материал!B:B)</f>
        <v>0</v>
      </c>
      <c r="AL175" s="97">
        <f ca="1">SUMIF(Размеры!A:A,S175,Размеры!E:E)</f>
        <v>1</v>
      </c>
      <c r="AM175" s="97">
        <f ca="1">SUMIF(Сезон!A:A,F175,Сезон!B:B)</f>
        <v>1</v>
      </c>
      <c r="AN175" s="97">
        <f ca="1">SUMIF(Состав!A:A,J175,Состав!B:B)</f>
        <v>1</v>
      </c>
      <c r="AO175" s="97">
        <f ca="1">VLOOKUP(I175,ЦветПолный!A:C,3,0)</f>
        <v>1</v>
      </c>
      <c r="AP175" s="97">
        <f ca="1">SUMIF(Цвет!A:A,Z175,Цвет!B:B)</f>
        <v>1</v>
      </c>
      <c r="AQ175" s="97">
        <f ca="1">_xlfn.XLOOKUP(L175,Пол!A:A,Пол!B:B,0,0)</f>
        <v>1</v>
      </c>
      <c r="AR175" s="97">
        <f ca="1">SUMIF(Бренд!A:A,G175,Бренд!B:B)</f>
        <v>1</v>
      </c>
      <c r="AS175" s="97">
        <f ca="1">SUMIF(Страна!A:A,M175,Страна!B:B)</f>
        <v>1</v>
      </c>
      <c r="AT175" s="64" t="e">
        <f ca="1">IF(VLOOKUP(W175,Товары!A:B,2,FALSE)=A175,"Есть в 1С","ERR")</f>
        <v>#N/A</v>
      </c>
      <c r="AU175" s="65" t="e">
        <f ca="1">IF(VLOOKUP(A175,Товары!B:B,1,FALSE)=A175,"Есть в 1С","ERR")</f>
        <v>#N/A</v>
      </c>
      <c r="AV175" s="96" t="e">
        <f ca="1">VLOOKUP(W175,Товары!A:B,2,FALSE)</f>
        <v>#N/A</v>
      </c>
      <c r="AW175" s="94" t="e">
        <f ca="1">VLOOKUP(W175,Товары!A:B,1,FALSE)</f>
        <v>#N/A</v>
      </c>
    </row>
    <row r="176" spans="1:49" x14ac:dyDescent="0.25">
      <c r="A176" s="110" t="str">
        <f t="shared" ca="1" si="12"/>
        <v>80-863-16</v>
      </c>
      <c r="B176" s="107" t="str">
        <f ca="1">_xlfn.LET(_xlpm.CAPS,0,_xlpm.Style,TRIM(_xlfn.XLOOKUP($A176,Строчный!$A:$A,Строчный!B:B,"ERR",0)),IF(_xlpm.CAPS=0,_xlpm.Style,UPPER(_xlpm.Style)))</f>
        <v>BUCK 006</v>
      </c>
      <c r="C176" s="81" t="str">
        <f ca="1">TRIM(PROPER(_xlfn.XLOOKUP($A176,Строчный!$A:$A,Строчный!C:C,"ERR",0)))</f>
        <v>Шапки</v>
      </c>
      <c r="D176" s="81" t="str">
        <f ca="1">_xlfn.LET(_xlpm.DATA,TRIM(_xlfn.XLOOKUP($A176,Строчный!$A:$A,Строчный!D:D,"ERR",0)),UPPER(MID(_xlpm.DATA,1,1))&amp;LOWER(MID(_xlpm.DATA,2,LEN(_xlpm.DATA)-1)))</f>
        <v>Шапка ушанка</v>
      </c>
      <c r="E176" s="81" t="str">
        <f ca="1">PROPER(TRIM(_xlfn.XLOOKUP($A176,Строчный!$A:$A,Строчный!E:E,"ERR",0)))</f>
        <v>Herman</v>
      </c>
      <c r="F176" s="81" t="str">
        <f ca="1">LOWER(TRIM(_xlfn.XLOOKUP($A176,Строчный!$A:$A,Строчный!F:F,"ERR",0)))</f>
        <v>зимний</v>
      </c>
      <c r="G176" s="81" t="str">
        <f ca="1">UPPER(TRIM(_xlfn.XLOOKUP($A176,Строчный!$A:$A,Строчный!G:G,"ERR",0)))</f>
        <v>HERMAN</v>
      </c>
      <c r="H176" s="81" t="str">
        <f ca="1">LOWER(TRIM(_xlfn.XLOOKUP($A176,Строчный!$A:$A,Строчный!H:H,"ERR",0)))</f>
        <v>navy</v>
      </c>
      <c r="I176" s="81" t="str">
        <f ca="1">LOWER(TRIM(_xlfn.XLOOKUP($A176,Строчный!$A:$A,Строчный!I:I,"ERR",0)))</f>
        <v>темно-синий</v>
      </c>
      <c r="J176" s="81" t="str">
        <f ca="1">SUBSTITUTE(LOWER(TRIM(_xlfn.XLOOKUP($A176,Строчный!$A:$A,Строчный!J:J,"ERR",0))),"подклад","Подклад")</f>
        <v>100% полиэстер</v>
      </c>
      <c r="K176" s="81" t="str">
        <f ca="1">LOWER(TRIM(_xlfn.XLOOKUP($A176,Строчный!$A:$A,Строчный!K:K,"ERR",0)))</f>
        <v/>
      </c>
      <c r="L176" s="81" t="str">
        <f ca="1">PROPER(TRIM(_xlfn.XLOOKUP($A176,Строчный!$A:$A,Строчный!L:L,"ERR",0)))</f>
        <v>Женский</v>
      </c>
      <c r="M176" s="113" t="str">
        <f ca="1">PROPER(TRIM(_xlfn.XLOOKUP($A176,Строчный!$A:$A,Строчный!M:M,"ERR",0)))</f>
        <v>Китай</v>
      </c>
      <c r="N176" s="81" t="str">
        <f ca="1">UPPER(TRIM(_xlfn.XLOOKUP($A176,Строчный!$A:$A,Строчный!O:O,"ERR",0)))</f>
        <v/>
      </c>
      <c r="O176" s="102" t="str">
        <f ca="1">PROPER(TRIM(_xlfn.XLOOKUP($A176,Строчный!$A:$A,Строчный!P:P,"ERR",0)))</f>
        <v/>
      </c>
      <c r="P176" s="81" t="str">
        <f ca="1">PROPER(TRIM(_xlfn.XLOOKUP($A176,Строчный!$A:$A,Строчный!R:R,"ERR",0)))</f>
        <v/>
      </c>
      <c r="Q176" s="90">
        <f ca="1">VALUE(_xlfn.XLOOKUP($A176,Строчный!$A:$A,Строчный!N:N,"ERR",0))</f>
        <v>270</v>
      </c>
      <c r="R176" s="89" t="str">
        <f ca="1">_xlfn.XLOOKUP($G176,Фабрика!A:A,Фабрика!B:B,"ERR",0)</f>
        <v>Chapellerie Herman S.A.; Rue Jean Meunier, 6, 6922 Wellin, Belgium</v>
      </c>
      <c r="S176" s="80" t="str">
        <f ca="1">_xlfn.XLOOKUP(RIGHT(AA176,2),Размеры!D:D,Размеры!A:A,"ERR",0)</f>
        <v>61</v>
      </c>
      <c r="T176" s="80">
        <f ca="1">VALUE(_xlfn.XLOOKUP($AA176,Строчный!$S:$S,Строчный!U:U,"ERR",0))</f>
        <v>1</v>
      </c>
      <c r="U176" s="14" t="s">
        <v>265</v>
      </c>
      <c r="V176" s="101" t="str">
        <f t="shared" ca="1" si="13"/>
        <v>Шапка HERMAN арт. BUCK 006 (темно-синий)</v>
      </c>
      <c r="W176" s="100" t="str">
        <f t="shared" ca="1" si="14"/>
        <v>Шапка HERMAN арт. BUCK 006 (темно-синий) {navy}</v>
      </c>
      <c r="X176" s="18" t="str">
        <f t="shared" ca="1" si="15"/>
        <v>синий</v>
      </c>
      <c r="Y176" s="18" t="str">
        <f t="shared" ca="1" si="16"/>
        <v>синий</v>
      </c>
      <c r="Z176" s="117" t="str">
        <f ca="1">_xlfn.LET(_xlpm.FormColors,_xlfn.XLOOKUP(A176,Строчный!A:A,Строчный!Q:Q,"",0),IF(_xlpm.FormColors=0,IFERROR(MID(I176,FIND("-",I176)+1,LEN(I176)),IFERROR(MID(I176,1,FIND("/",I176)-2),I176)),_xlpm.FormColors))</f>
        <v>синий</v>
      </c>
      <c r="AA176" s="73" t="str">
        <f ca="1"/>
        <v>80-863-16-61</v>
      </c>
      <c r="AB176" s="75" t="str">
        <f ca="1">VLOOKUP(C176,Группа!A:B,2,FALSE)</f>
        <v>Шапка</v>
      </c>
      <c r="AC176" s="97" t="str">
        <f ca="1">IFERROR(VLOOKUP(S176,Размеры!A:C,3,FALSE),"")</f>
        <v>61 XL</v>
      </c>
      <c r="AD176" s="97" t="str">
        <f ca="1">VLOOKUP(I176,ЦветПолный!A:B,2,FALSE)</f>
        <v>16</v>
      </c>
      <c r="AE176" s="97" t="str">
        <f ca="1">IFERROR(VLOOKUP(S176,Размеры!A:D,4,FALSE),"")</f>
        <v>61</v>
      </c>
      <c r="AF176" s="97">
        <f ca="1">IF(LEFT(IFERROR(VLOOKUP(LOOKUP(2,1/SEARCH(B176,Товары!A:A),Товары!A:A),Товары!A:B,2,0),""),6)=MID(AA176,1,6),1,0)</f>
        <v>1</v>
      </c>
      <c r="AH176" s="97">
        <f ca="1">SUMIF(Группа!A:A,C176,Группа!C:C)</f>
        <v>1</v>
      </c>
      <c r="AI176" s="97">
        <f ca="1">SUMIF(Группа!B:B,AB176,Группа!C:C)</f>
        <v>1</v>
      </c>
      <c r="AJ176" s="97">
        <f ca="1">SUMIF(Формы!A:A,D176,Формы!B:B)</f>
        <v>1</v>
      </c>
      <c r="AK176" s="97">
        <f ca="1">SUMIF(Материал!A:A,K176,Материал!B:B)</f>
        <v>0</v>
      </c>
      <c r="AL176" s="97">
        <f ca="1">SUMIF(Размеры!A:A,S176,Размеры!E:E)</f>
        <v>1</v>
      </c>
      <c r="AM176" s="97">
        <f ca="1">SUMIF(Сезон!A:A,F176,Сезон!B:B)</f>
        <v>1</v>
      </c>
      <c r="AN176" s="97">
        <f ca="1">SUMIF(Состав!A:A,J176,Состав!B:B)</f>
        <v>1</v>
      </c>
      <c r="AO176" s="97">
        <f ca="1">VLOOKUP(I176,ЦветПолный!A:C,3,0)</f>
        <v>1</v>
      </c>
      <c r="AP176" s="97">
        <f ca="1">SUMIF(Цвет!A:A,Z176,Цвет!B:B)</f>
        <v>1</v>
      </c>
      <c r="AQ176" s="97">
        <f ca="1">_xlfn.XLOOKUP(L176,Пол!A:A,Пол!B:B,0,0)</f>
        <v>1</v>
      </c>
      <c r="AR176" s="97">
        <f ca="1">SUMIF(Бренд!A:A,G176,Бренд!B:B)</f>
        <v>1</v>
      </c>
      <c r="AS176" s="97">
        <f ca="1">SUMIF(Страна!A:A,M176,Страна!B:B)</f>
        <v>1</v>
      </c>
      <c r="AT176" s="64" t="e">
        <f ca="1">IF(VLOOKUP(W176,Товары!A:B,2,FALSE)=A176,"Есть в 1С","ERR")</f>
        <v>#N/A</v>
      </c>
      <c r="AU176" s="65" t="e">
        <f ca="1">IF(VLOOKUP(A176,Товары!B:B,1,FALSE)=A176,"Есть в 1С","ERR")</f>
        <v>#N/A</v>
      </c>
      <c r="AV176" s="96" t="e">
        <f ca="1">VLOOKUP(W176,Товары!A:B,2,FALSE)</f>
        <v>#N/A</v>
      </c>
      <c r="AW176" s="94" t="e">
        <f ca="1">VLOOKUP(W176,Товары!A:B,1,FALSE)</f>
        <v>#N/A</v>
      </c>
    </row>
    <row r="177" spans="1:49" x14ac:dyDescent="0.25">
      <c r="A177" s="110" t="str">
        <f t="shared" ca="1" si="12"/>
        <v>80-863-16</v>
      </c>
      <c r="B177" s="107" t="str">
        <f ca="1">_xlfn.LET(_xlpm.CAPS,0,_xlpm.Style,TRIM(_xlfn.XLOOKUP($A177,Строчный!$A:$A,Строчный!B:B,"ERR",0)),IF(_xlpm.CAPS=0,_xlpm.Style,UPPER(_xlpm.Style)))</f>
        <v>BUCK 006</v>
      </c>
      <c r="C177" s="81" t="str">
        <f ca="1">TRIM(PROPER(_xlfn.XLOOKUP($A177,Строчный!$A:$A,Строчный!C:C,"ERR",0)))</f>
        <v>Шапки</v>
      </c>
      <c r="D177" s="81" t="str">
        <f ca="1">_xlfn.LET(_xlpm.DATA,TRIM(_xlfn.XLOOKUP($A177,Строчный!$A:$A,Строчный!D:D,"ERR",0)),UPPER(MID(_xlpm.DATA,1,1))&amp;LOWER(MID(_xlpm.DATA,2,LEN(_xlpm.DATA)-1)))</f>
        <v>Шапка ушанка</v>
      </c>
      <c r="E177" s="81" t="str">
        <f ca="1">PROPER(TRIM(_xlfn.XLOOKUP($A177,Строчный!$A:$A,Строчный!E:E,"ERR",0)))</f>
        <v>Herman</v>
      </c>
      <c r="F177" s="81" t="str">
        <f ca="1">LOWER(TRIM(_xlfn.XLOOKUP($A177,Строчный!$A:$A,Строчный!F:F,"ERR",0)))</f>
        <v>зимний</v>
      </c>
      <c r="G177" s="81" t="str">
        <f ca="1">UPPER(TRIM(_xlfn.XLOOKUP($A177,Строчный!$A:$A,Строчный!G:G,"ERR",0)))</f>
        <v>HERMAN</v>
      </c>
      <c r="H177" s="81" t="str">
        <f ca="1">LOWER(TRIM(_xlfn.XLOOKUP($A177,Строчный!$A:$A,Строчный!H:H,"ERR",0)))</f>
        <v>navy</v>
      </c>
      <c r="I177" s="81" t="str">
        <f ca="1">LOWER(TRIM(_xlfn.XLOOKUP($A177,Строчный!$A:$A,Строчный!I:I,"ERR",0)))</f>
        <v>темно-синий</v>
      </c>
      <c r="J177" s="81" t="str">
        <f ca="1">SUBSTITUTE(LOWER(TRIM(_xlfn.XLOOKUP($A177,Строчный!$A:$A,Строчный!J:J,"ERR",0))),"подклад","Подклад")</f>
        <v>100% полиэстер</v>
      </c>
      <c r="K177" s="81" t="str">
        <f ca="1">LOWER(TRIM(_xlfn.XLOOKUP($A177,Строчный!$A:$A,Строчный!K:K,"ERR",0)))</f>
        <v/>
      </c>
      <c r="L177" s="81" t="str">
        <f ca="1">PROPER(TRIM(_xlfn.XLOOKUP($A177,Строчный!$A:$A,Строчный!L:L,"ERR",0)))</f>
        <v>Женский</v>
      </c>
      <c r="M177" s="113" t="str">
        <f ca="1">PROPER(TRIM(_xlfn.XLOOKUP($A177,Строчный!$A:$A,Строчный!M:M,"ERR",0)))</f>
        <v>Китай</v>
      </c>
      <c r="N177" s="81" t="str">
        <f ca="1">UPPER(TRIM(_xlfn.XLOOKUP($A177,Строчный!$A:$A,Строчный!O:O,"ERR",0)))</f>
        <v/>
      </c>
      <c r="O177" s="102" t="str">
        <f ca="1">PROPER(TRIM(_xlfn.XLOOKUP($A177,Строчный!$A:$A,Строчный!P:P,"ERR",0)))</f>
        <v/>
      </c>
      <c r="P177" s="81" t="str">
        <f ca="1">PROPER(TRIM(_xlfn.XLOOKUP($A177,Строчный!$A:$A,Строчный!R:R,"ERR",0)))</f>
        <v/>
      </c>
      <c r="Q177" s="90">
        <f ca="1">VALUE(_xlfn.XLOOKUP($A177,Строчный!$A:$A,Строчный!N:N,"ERR",0))</f>
        <v>270</v>
      </c>
      <c r="R177" s="89" t="str">
        <f ca="1">_xlfn.XLOOKUP($G177,Фабрика!A:A,Фабрика!B:B,"ERR",0)</f>
        <v>Chapellerie Herman S.A.; Rue Jean Meunier, 6, 6922 Wellin, Belgium</v>
      </c>
      <c r="S177" s="80" t="str">
        <f ca="1">_xlfn.XLOOKUP(RIGHT(AA177,2),Размеры!D:D,Размеры!A:A,"ERR",0)</f>
        <v>59</v>
      </c>
      <c r="T177" s="80">
        <f ca="1">VALUE(_xlfn.XLOOKUP($AA177,Строчный!$S:$S,Строчный!U:U,"ERR",0))</f>
        <v>1</v>
      </c>
      <c r="U177" s="14" t="s">
        <v>265</v>
      </c>
      <c r="V177" s="101" t="str">
        <f t="shared" ca="1" si="13"/>
        <v>Шапка HERMAN арт. BUCK 006 (темно-синий)</v>
      </c>
      <c r="W177" s="100" t="str">
        <f t="shared" ca="1" si="14"/>
        <v>Шапка HERMAN арт. BUCK 006 (темно-синий) {navy}</v>
      </c>
      <c r="X177" s="18" t="str">
        <f t="shared" ca="1" si="15"/>
        <v>синий</v>
      </c>
      <c r="Y177" s="18" t="str">
        <f t="shared" ca="1" si="16"/>
        <v>синий</v>
      </c>
      <c r="Z177" s="117" t="str">
        <f ca="1">_xlfn.LET(_xlpm.FormColors,_xlfn.XLOOKUP(A177,Строчный!A:A,Строчный!Q:Q,"",0),IF(_xlpm.FormColors=0,IFERROR(MID(I177,FIND("-",I177)+1,LEN(I177)),IFERROR(MID(I177,1,FIND("/",I177)-2),I177)),_xlpm.FormColors))</f>
        <v>синий</v>
      </c>
      <c r="AA177" s="73" t="str">
        <f ca="1"/>
        <v>80-863-16-59</v>
      </c>
      <c r="AB177" s="75" t="str">
        <f ca="1">VLOOKUP(C177,Группа!A:B,2,FALSE)</f>
        <v>Шапка</v>
      </c>
      <c r="AC177" s="97" t="str">
        <f ca="1">IFERROR(VLOOKUP(S177,Размеры!A:C,3,FALSE),"")</f>
        <v>59 L</v>
      </c>
      <c r="AD177" s="97" t="str">
        <f ca="1">VLOOKUP(I177,ЦветПолный!A:B,2,FALSE)</f>
        <v>16</v>
      </c>
      <c r="AE177" s="97" t="str">
        <f ca="1">IFERROR(VLOOKUP(S177,Размеры!A:D,4,FALSE),"")</f>
        <v>59</v>
      </c>
      <c r="AF177" s="97">
        <f ca="1">IF(LEFT(IFERROR(VLOOKUP(LOOKUP(2,1/SEARCH(B177,Товары!A:A),Товары!A:A),Товары!A:B,2,0),""),6)=MID(AA177,1,6),1,0)</f>
        <v>1</v>
      </c>
      <c r="AH177" s="97">
        <f ca="1">SUMIF(Группа!A:A,C177,Группа!C:C)</f>
        <v>1</v>
      </c>
      <c r="AI177" s="97">
        <f ca="1">SUMIF(Группа!B:B,AB177,Группа!C:C)</f>
        <v>1</v>
      </c>
      <c r="AJ177" s="97">
        <f ca="1">SUMIF(Формы!A:A,D177,Формы!B:B)</f>
        <v>1</v>
      </c>
      <c r="AK177" s="97">
        <f ca="1">SUMIF(Материал!A:A,K177,Материал!B:B)</f>
        <v>0</v>
      </c>
      <c r="AL177" s="97">
        <f ca="1">SUMIF(Размеры!A:A,S177,Размеры!E:E)</f>
        <v>1</v>
      </c>
      <c r="AM177" s="97">
        <f ca="1">SUMIF(Сезон!A:A,F177,Сезон!B:B)</f>
        <v>1</v>
      </c>
      <c r="AN177" s="97">
        <f ca="1">SUMIF(Состав!A:A,J177,Состав!B:B)</f>
        <v>1</v>
      </c>
      <c r="AO177" s="97">
        <f ca="1">VLOOKUP(I177,ЦветПолный!A:C,3,0)</f>
        <v>1</v>
      </c>
      <c r="AP177" s="97">
        <f ca="1">SUMIF(Цвет!A:A,Z177,Цвет!B:B)</f>
        <v>1</v>
      </c>
      <c r="AQ177" s="97">
        <f ca="1">_xlfn.XLOOKUP(L177,Пол!A:A,Пол!B:B,0,0)</f>
        <v>1</v>
      </c>
      <c r="AR177" s="97">
        <f ca="1">SUMIF(Бренд!A:A,G177,Бренд!B:B)</f>
        <v>1</v>
      </c>
      <c r="AS177" s="97">
        <f ca="1">SUMIF(Страна!A:A,M177,Страна!B:B)</f>
        <v>1</v>
      </c>
      <c r="AT177" s="64" t="e">
        <f ca="1">IF(VLOOKUP(W177,Товары!A:B,2,FALSE)=A177,"Есть в 1С","ERR")</f>
        <v>#N/A</v>
      </c>
      <c r="AU177" s="65" t="e">
        <f ca="1">IF(VLOOKUP(A177,Товары!B:B,1,FALSE)=A177,"Есть в 1С","ERR")</f>
        <v>#N/A</v>
      </c>
      <c r="AV177" s="96" t="e">
        <f ca="1">VLOOKUP(W177,Товары!A:B,2,FALSE)</f>
        <v>#N/A</v>
      </c>
      <c r="AW177" s="94" t="e">
        <f ca="1">VLOOKUP(W177,Товары!A:B,1,FALSE)</f>
        <v>#N/A</v>
      </c>
    </row>
    <row r="178" spans="1:49" x14ac:dyDescent="0.25">
      <c r="A178" s="110" t="str">
        <f t="shared" ca="1" si="12"/>
        <v>80-863-16</v>
      </c>
      <c r="B178" s="107" t="str">
        <f ca="1">_xlfn.LET(_xlpm.CAPS,0,_xlpm.Style,TRIM(_xlfn.XLOOKUP($A178,Строчный!$A:$A,Строчный!B:B,"ERR",0)),IF(_xlpm.CAPS=0,_xlpm.Style,UPPER(_xlpm.Style)))</f>
        <v>BUCK 006</v>
      </c>
      <c r="C178" s="81" t="str">
        <f ca="1">TRIM(PROPER(_xlfn.XLOOKUP($A178,Строчный!$A:$A,Строчный!C:C,"ERR",0)))</f>
        <v>Шапки</v>
      </c>
      <c r="D178" s="81" t="str">
        <f ca="1">_xlfn.LET(_xlpm.DATA,TRIM(_xlfn.XLOOKUP($A178,Строчный!$A:$A,Строчный!D:D,"ERR",0)),UPPER(MID(_xlpm.DATA,1,1))&amp;LOWER(MID(_xlpm.DATA,2,LEN(_xlpm.DATA)-1)))</f>
        <v>Шапка ушанка</v>
      </c>
      <c r="E178" s="81" t="str">
        <f ca="1">PROPER(TRIM(_xlfn.XLOOKUP($A178,Строчный!$A:$A,Строчный!E:E,"ERR",0)))</f>
        <v>Herman</v>
      </c>
      <c r="F178" s="81" t="str">
        <f ca="1">LOWER(TRIM(_xlfn.XLOOKUP($A178,Строчный!$A:$A,Строчный!F:F,"ERR",0)))</f>
        <v>зимний</v>
      </c>
      <c r="G178" s="81" t="str">
        <f ca="1">UPPER(TRIM(_xlfn.XLOOKUP($A178,Строчный!$A:$A,Строчный!G:G,"ERR",0)))</f>
        <v>HERMAN</v>
      </c>
      <c r="H178" s="81" t="str">
        <f ca="1">LOWER(TRIM(_xlfn.XLOOKUP($A178,Строчный!$A:$A,Строчный!H:H,"ERR",0)))</f>
        <v>navy</v>
      </c>
      <c r="I178" s="81" t="str">
        <f ca="1">LOWER(TRIM(_xlfn.XLOOKUP($A178,Строчный!$A:$A,Строчный!I:I,"ERR",0)))</f>
        <v>темно-синий</v>
      </c>
      <c r="J178" s="81" t="str">
        <f ca="1">SUBSTITUTE(LOWER(TRIM(_xlfn.XLOOKUP($A178,Строчный!$A:$A,Строчный!J:J,"ERR",0))),"подклад","Подклад")</f>
        <v>100% полиэстер</v>
      </c>
      <c r="K178" s="81" t="str">
        <f ca="1">LOWER(TRIM(_xlfn.XLOOKUP($A178,Строчный!$A:$A,Строчный!K:K,"ERR",0)))</f>
        <v/>
      </c>
      <c r="L178" s="81" t="str">
        <f ca="1">PROPER(TRIM(_xlfn.XLOOKUP($A178,Строчный!$A:$A,Строчный!L:L,"ERR",0)))</f>
        <v>Женский</v>
      </c>
      <c r="M178" s="113" t="str">
        <f ca="1">PROPER(TRIM(_xlfn.XLOOKUP($A178,Строчный!$A:$A,Строчный!M:M,"ERR",0)))</f>
        <v>Китай</v>
      </c>
      <c r="N178" s="81" t="str">
        <f ca="1">UPPER(TRIM(_xlfn.XLOOKUP($A178,Строчный!$A:$A,Строчный!O:O,"ERR",0)))</f>
        <v/>
      </c>
      <c r="O178" s="102" t="str">
        <f ca="1">PROPER(TRIM(_xlfn.XLOOKUP($A178,Строчный!$A:$A,Строчный!P:P,"ERR",0)))</f>
        <v/>
      </c>
      <c r="P178" s="81" t="str">
        <f ca="1">PROPER(TRIM(_xlfn.XLOOKUP($A178,Строчный!$A:$A,Строчный!R:R,"ERR",0)))</f>
        <v/>
      </c>
      <c r="Q178" s="90">
        <f ca="1">VALUE(_xlfn.XLOOKUP($A178,Строчный!$A:$A,Строчный!N:N,"ERR",0))</f>
        <v>270</v>
      </c>
      <c r="R178" s="89" t="str">
        <f ca="1">_xlfn.XLOOKUP($G178,Фабрика!A:A,Фабрика!B:B,"ERR",0)</f>
        <v>Chapellerie Herman S.A.; Rue Jean Meunier, 6, 6922 Wellin, Belgium</v>
      </c>
      <c r="S178" s="80" t="str">
        <f ca="1">_xlfn.XLOOKUP(RIGHT(AA178,2),Размеры!D:D,Размеры!A:A,"ERR",0)</f>
        <v>57</v>
      </c>
      <c r="T178" s="80">
        <f ca="1">VALUE(_xlfn.XLOOKUP($AA178,Строчный!$S:$S,Строчный!U:U,"ERR",0))</f>
        <v>2</v>
      </c>
      <c r="U178" s="14" t="s">
        <v>265</v>
      </c>
      <c r="V178" s="101" t="str">
        <f t="shared" ca="1" si="13"/>
        <v>Шапка HERMAN арт. BUCK 006 (темно-синий)</v>
      </c>
      <c r="W178" s="100" t="str">
        <f t="shared" ca="1" si="14"/>
        <v>Шапка HERMAN арт. BUCK 006 (темно-синий) {navy}</v>
      </c>
      <c r="X178" s="18" t="str">
        <f t="shared" ca="1" si="15"/>
        <v>синий</v>
      </c>
      <c r="Y178" s="18" t="str">
        <f t="shared" ca="1" si="16"/>
        <v>синий</v>
      </c>
      <c r="Z178" s="117" t="str">
        <f ca="1">_xlfn.LET(_xlpm.FormColors,_xlfn.XLOOKUP(A178,Строчный!A:A,Строчный!Q:Q,"",0),IF(_xlpm.FormColors=0,IFERROR(MID(I178,FIND("-",I178)+1,LEN(I178)),IFERROR(MID(I178,1,FIND("/",I178)-2),I178)),_xlpm.FormColors))</f>
        <v>синий</v>
      </c>
      <c r="AA178" s="73" t="str">
        <f ca="1"/>
        <v>80-863-16-57</v>
      </c>
      <c r="AB178" s="75" t="str">
        <f ca="1">VLOOKUP(C178,Группа!A:B,2,FALSE)</f>
        <v>Шапка</v>
      </c>
      <c r="AC178" s="97" t="str">
        <f ca="1">IFERROR(VLOOKUP(S178,Размеры!A:C,3,FALSE),"")</f>
        <v>57 M</v>
      </c>
      <c r="AD178" s="97" t="str">
        <f ca="1">VLOOKUP(I178,ЦветПолный!A:B,2,FALSE)</f>
        <v>16</v>
      </c>
      <c r="AE178" s="97" t="str">
        <f ca="1">IFERROR(VLOOKUP(S178,Размеры!A:D,4,FALSE),"")</f>
        <v>57</v>
      </c>
      <c r="AF178" s="97">
        <f ca="1">IF(LEFT(IFERROR(VLOOKUP(LOOKUP(2,1/SEARCH(B178,Товары!A:A),Товары!A:A),Товары!A:B,2,0),""),6)=MID(AA178,1,6),1,0)</f>
        <v>1</v>
      </c>
      <c r="AH178" s="97">
        <f ca="1">SUMIF(Группа!A:A,C178,Группа!C:C)</f>
        <v>1</v>
      </c>
      <c r="AI178" s="97">
        <f ca="1">SUMIF(Группа!B:B,AB178,Группа!C:C)</f>
        <v>1</v>
      </c>
      <c r="AJ178" s="97">
        <f ca="1">SUMIF(Формы!A:A,D178,Формы!B:B)</f>
        <v>1</v>
      </c>
      <c r="AK178" s="97">
        <f ca="1">SUMIF(Материал!A:A,K178,Материал!B:B)</f>
        <v>0</v>
      </c>
      <c r="AL178" s="97">
        <f ca="1">SUMIF(Размеры!A:A,S178,Размеры!E:E)</f>
        <v>1</v>
      </c>
      <c r="AM178" s="97">
        <f ca="1">SUMIF(Сезон!A:A,F178,Сезон!B:B)</f>
        <v>1</v>
      </c>
      <c r="AN178" s="97">
        <f ca="1">SUMIF(Состав!A:A,J178,Состав!B:B)</f>
        <v>1</v>
      </c>
      <c r="AO178" s="97">
        <f ca="1">VLOOKUP(I178,ЦветПолный!A:C,3,0)</f>
        <v>1</v>
      </c>
      <c r="AP178" s="97">
        <f ca="1">SUMIF(Цвет!A:A,Z178,Цвет!B:B)</f>
        <v>1</v>
      </c>
      <c r="AQ178" s="97">
        <f ca="1">_xlfn.XLOOKUP(L178,Пол!A:A,Пол!B:B,0,0)</f>
        <v>1</v>
      </c>
      <c r="AR178" s="97">
        <f ca="1">SUMIF(Бренд!A:A,G178,Бренд!B:B)</f>
        <v>1</v>
      </c>
      <c r="AS178" s="97">
        <f ca="1">SUMIF(Страна!A:A,M178,Страна!B:B)</f>
        <v>1</v>
      </c>
      <c r="AT178" s="64" t="e">
        <f ca="1">IF(VLOOKUP(W178,Товары!A:B,2,FALSE)=A178,"Есть в 1С","ERR")</f>
        <v>#N/A</v>
      </c>
      <c r="AU178" s="65" t="e">
        <f ca="1">IF(VLOOKUP(A178,Товары!B:B,1,FALSE)=A178,"Есть в 1С","ERR")</f>
        <v>#N/A</v>
      </c>
      <c r="AV178" s="96" t="e">
        <f ca="1">VLOOKUP(W178,Товары!A:B,2,FALSE)</f>
        <v>#N/A</v>
      </c>
      <c r="AW178" s="94" t="e">
        <f ca="1">VLOOKUP(W178,Товары!A:B,1,FALSE)</f>
        <v>#N/A</v>
      </c>
    </row>
    <row r="179" spans="1:49" x14ac:dyDescent="0.25">
      <c r="A179" s="110" t="str">
        <f t="shared" ca="1" si="12"/>
        <v>80-863-16</v>
      </c>
      <c r="B179" s="107" t="str">
        <f ca="1">_xlfn.LET(_xlpm.CAPS,0,_xlpm.Style,TRIM(_xlfn.XLOOKUP($A179,Строчный!$A:$A,Строчный!B:B,"ERR",0)),IF(_xlpm.CAPS=0,_xlpm.Style,UPPER(_xlpm.Style)))</f>
        <v>BUCK 006</v>
      </c>
      <c r="C179" s="81" t="str">
        <f ca="1">TRIM(PROPER(_xlfn.XLOOKUP($A179,Строчный!$A:$A,Строчный!C:C,"ERR",0)))</f>
        <v>Шапки</v>
      </c>
      <c r="D179" s="81" t="str">
        <f ca="1">_xlfn.LET(_xlpm.DATA,TRIM(_xlfn.XLOOKUP($A179,Строчный!$A:$A,Строчный!D:D,"ERR",0)),UPPER(MID(_xlpm.DATA,1,1))&amp;LOWER(MID(_xlpm.DATA,2,LEN(_xlpm.DATA)-1)))</f>
        <v>Шапка ушанка</v>
      </c>
      <c r="E179" s="81" t="str">
        <f ca="1">PROPER(TRIM(_xlfn.XLOOKUP($A179,Строчный!$A:$A,Строчный!E:E,"ERR",0)))</f>
        <v>Herman</v>
      </c>
      <c r="F179" s="81" t="str">
        <f ca="1">LOWER(TRIM(_xlfn.XLOOKUP($A179,Строчный!$A:$A,Строчный!F:F,"ERR",0)))</f>
        <v>зимний</v>
      </c>
      <c r="G179" s="81" t="str">
        <f ca="1">UPPER(TRIM(_xlfn.XLOOKUP($A179,Строчный!$A:$A,Строчный!G:G,"ERR",0)))</f>
        <v>HERMAN</v>
      </c>
      <c r="H179" s="81" t="str">
        <f ca="1">LOWER(TRIM(_xlfn.XLOOKUP($A179,Строчный!$A:$A,Строчный!H:H,"ERR",0)))</f>
        <v>navy</v>
      </c>
      <c r="I179" s="81" t="str">
        <f ca="1">LOWER(TRIM(_xlfn.XLOOKUP($A179,Строчный!$A:$A,Строчный!I:I,"ERR",0)))</f>
        <v>темно-синий</v>
      </c>
      <c r="J179" s="81" t="str">
        <f ca="1">SUBSTITUTE(LOWER(TRIM(_xlfn.XLOOKUP($A179,Строчный!$A:$A,Строчный!J:J,"ERR",0))),"подклад","Подклад")</f>
        <v>100% полиэстер</v>
      </c>
      <c r="K179" s="81" t="str">
        <f ca="1">LOWER(TRIM(_xlfn.XLOOKUP($A179,Строчный!$A:$A,Строчный!K:K,"ERR",0)))</f>
        <v/>
      </c>
      <c r="L179" s="81" t="str">
        <f ca="1">PROPER(TRIM(_xlfn.XLOOKUP($A179,Строчный!$A:$A,Строчный!L:L,"ERR",0)))</f>
        <v>Женский</v>
      </c>
      <c r="M179" s="113" t="str">
        <f ca="1">PROPER(TRIM(_xlfn.XLOOKUP($A179,Строчный!$A:$A,Строчный!M:M,"ERR",0)))</f>
        <v>Китай</v>
      </c>
      <c r="N179" s="81" t="str">
        <f ca="1">UPPER(TRIM(_xlfn.XLOOKUP($A179,Строчный!$A:$A,Строчный!O:O,"ERR",0)))</f>
        <v/>
      </c>
      <c r="O179" s="102" t="str">
        <f ca="1">PROPER(TRIM(_xlfn.XLOOKUP($A179,Строчный!$A:$A,Строчный!P:P,"ERR",0)))</f>
        <v/>
      </c>
      <c r="P179" s="81" t="str">
        <f ca="1">PROPER(TRIM(_xlfn.XLOOKUP($A179,Строчный!$A:$A,Строчный!R:R,"ERR",0)))</f>
        <v/>
      </c>
      <c r="Q179" s="90">
        <f ca="1">VALUE(_xlfn.XLOOKUP($A179,Строчный!$A:$A,Строчный!N:N,"ERR",0))</f>
        <v>270</v>
      </c>
      <c r="R179" s="89" t="str">
        <f ca="1">_xlfn.XLOOKUP($G179,Фабрика!A:A,Фабрика!B:B,"ERR",0)</f>
        <v>Chapellerie Herman S.A.; Rue Jean Meunier, 6, 6922 Wellin, Belgium</v>
      </c>
      <c r="S179" s="80" t="str">
        <f ca="1">_xlfn.XLOOKUP(RIGHT(AA179,2),Размеры!D:D,Размеры!A:A,"ERR",0)</f>
        <v>55</v>
      </c>
      <c r="T179" s="80">
        <f ca="1">VALUE(_xlfn.XLOOKUP($AA179,Строчный!$S:$S,Строчный!U:U,"ERR",0))</f>
        <v>1</v>
      </c>
      <c r="U179" s="14" t="s">
        <v>265</v>
      </c>
      <c r="V179" s="101" t="str">
        <f t="shared" ca="1" si="13"/>
        <v>Шапка HERMAN арт. BUCK 006 (темно-синий)</v>
      </c>
      <c r="W179" s="100" t="str">
        <f t="shared" ca="1" si="14"/>
        <v>Шапка HERMAN арт. BUCK 006 (темно-синий) {navy}</v>
      </c>
      <c r="X179" s="18" t="str">
        <f t="shared" ca="1" si="15"/>
        <v>синий</v>
      </c>
      <c r="Y179" s="18" t="str">
        <f t="shared" ca="1" si="16"/>
        <v>синий</v>
      </c>
      <c r="Z179" s="117" t="str">
        <f ca="1">_xlfn.LET(_xlpm.FormColors,_xlfn.XLOOKUP(A179,Строчный!A:A,Строчный!Q:Q,"",0),IF(_xlpm.FormColors=0,IFERROR(MID(I179,FIND("-",I179)+1,LEN(I179)),IFERROR(MID(I179,1,FIND("/",I179)-2),I179)),_xlpm.FormColors))</f>
        <v>синий</v>
      </c>
      <c r="AA179" s="73" t="str">
        <f ca="1"/>
        <v>80-863-16-55</v>
      </c>
      <c r="AB179" s="75" t="str">
        <f ca="1">VLOOKUP(C179,Группа!A:B,2,FALSE)</f>
        <v>Шапка</v>
      </c>
      <c r="AC179" s="97" t="str">
        <f ca="1">IFERROR(VLOOKUP(S179,Размеры!A:C,3,FALSE),"")</f>
        <v>55 S</v>
      </c>
      <c r="AD179" s="97" t="str">
        <f ca="1">VLOOKUP(I179,ЦветПолный!A:B,2,FALSE)</f>
        <v>16</v>
      </c>
      <c r="AE179" s="97" t="str">
        <f ca="1">IFERROR(VLOOKUP(S179,Размеры!A:D,4,FALSE),"")</f>
        <v>55</v>
      </c>
      <c r="AF179" s="97">
        <f ca="1">IF(LEFT(IFERROR(VLOOKUP(LOOKUP(2,1/SEARCH(B179,Товары!A:A),Товары!A:A),Товары!A:B,2,0),""),6)=MID(AA179,1,6),1,0)</f>
        <v>1</v>
      </c>
      <c r="AH179" s="97">
        <f ca="1">SUMIF(Группа!A:A,C179,Группа!C:C)</f>
        <v>1</v>
      </c>
      <c r="AI179" s="97">
        <f ca="1">SUMIF(Группа!B:B,AB179,Группа!C:C)</f>
        <v>1</v>
      </c>
      <c r="AJ179" s="97">
        <f ca="1">SUMIF(Формы!A:A,D179,Формы!B:B)</f>
        <v>1</v>
      </c>
      <c r="AK179" s="97">
        <f ca="1">SUMIF(Материал!A:A,K179,Материал!B:B)</f>
        <v>0</v>
      </c>
      <c r="AL179" s="97">
        <f ca="1">SUMIF(Размеры!A:A,S179,Размеры!E:E)</f>
        <v>1</v>
      </c>
      <c r="AM179" s="97">
        <f ca="1">SUMIF(Сезон!A:A,F179,Сезон!B:B)</f>
        <v>1</v>
      </c>
      <c r="AN179" s="97">
        <f ca="1">SUMIF(Состав!A:A,J179,Состав!B:B)</f>
        <v>1</v>
      </c>
      <c r="AO179" s="97">
        <f ca="1">VLOOKUP(I179,ЦветПолный!A:C,3,0)</f>
        <v>1</v>
      </c>
      <c r="AP179" s="97">
        <f ca="1">SUMIF(Цвет!A:A,Z179,Цвет!B:B)</f>
        <v>1</v>
      </c>
      <c r="AQ179" s="97">
        <f ca="1">_xlfn.XLOOKUP(L179,Пол!A:A,Пол!B:B,0,0)</f>
        <v>1</v>
      </c>
      <c r="AR179" s="97">
        <f ca="1">SUMIF(Бренд!A:A,G179,Бренд!B:B)</f>
        <v>1</v>
      </c>
      <c r="AS179" s="97">
        <f ca="1">SUMIF(Страна!A:A,M179,Страна!B:B)</f>
        <v>1</v>
      </c>
      <c r="AT179" s="64" t="e">
        <f ca="1">IF(VLOOKUP(W179,Товары!A:B,2,FALSE)=A179,"Есть в 1С","ERR")</f>
        <v>#N/A</v>
      </c>
      <c r="AU179" s="65" t="e">
        <f ca="1">IF(VLOOKUP(A179,Товары!B:B,1,FALSE)=A179,"Есть в 1С","ERR")</f>
        <v>#N/A</v>
      </c>
      <c r="AV179" s="96" t="e">
        <f ca="1">VLOOKUP(W179,Товары!A:B,2,FALSE)</f>
        <v>#N/A</v>
      </c>
      <c r="AW179" s="94" t="e">
        <f ca="1">VLOOKUP(W179,Товары!A:B,1,FALSE)</f>
        <v>#N/A</v>
      </c>
    </row>
    <row r="180" spans="1:49" x14ac:dyDescent="0.25">
      <c r="A180" s="110" t="str">
        <f t="shared" ca="1" si="12"/>
        <v>80-863-02</v>
      </c>
      <c r="B180" s="107" t="str">
        <f ca="1">_xlfn.LET(_xlpm.CAPS,0,_xlpm.Style,TRIM(_xlfn.XLOOKUP($A180,Строчный!$A:$A,Строчный!B:B,"ERR",0)),IF(_xlpm.CAPS=0,_xlpm.Style,UPPER(_xlpm.Style)))</f>
        <v>BUCK 006</v>
      </c>
      <c r="C180" s="81" t="str">
        <f ca="1">TRIM(PROPER(_xlfn.XLOOKUP($A180,Строчный!$A:$A,Строчный!C:C,"ERR",0)))</f>
        <v>Шапки</v>
      </c>
      <c r="D180" s="81" t="str">
        <f ca="1">_xlfn.LET(_xlpm.DATA,TRIM(_xlfn.XLOOKUP($A180,Строчный!$A:$A,Строчный!D:D,"ERR",0)),UPPER(MID(_xlpm.DATA,1,1))&amp;LOWER(MID(_xlpm.DATA,2,LEN(_xlpm.DATA)-1)))</f>
        <v>Шапка ушанка</v>
      </c>
      <c r="E180" s="81" t="str">
        <f ca="1">PROPER(TRIM(_xlfn.XLOOKUP($A180,Строчный!$A:$A,Строчный!E:E,"ERR",0)))</f>
        <v>Herman</v>
      </c>
      <c r="F180" s="81" t="str">
        <f ca="1">LOWER(TRIM(_xlfn.XLOOKUP($A180,Строчный!$A:$A,Строчный!F:F,"ERR",0)))</f>
        <v>зимний</v>
      </c>
      <c r="G180" s="81" t="str">
        <f ca="1">UPPER(TRIM(_xlfn.XLOOKUP($A180,Строчный!$A:$A,Строчный!G:G,"ERR",0)))</f>
        <v>HERMAN</v>
      </c>
      <c r="H180" s="81" t="str">
        <f ca="1">LOWER(TRIM(_xlfn.XLOOKUP($A180,Строчный!$A:$A,Строчный!H:H,"ERR",0)))</f>
        <v>beige</v>
      </c>
      <c r="I180" s="81" t="str">
        <f ca="1">LOWER(TRIM(_xlfn.XLOOKUP($A180,Строчный!$A:$A,Строчный!I:I,"ERR",0)))</f>
        <v>бежевый</v>
      </c>
      <c r="J180" s="81" t="str">
        <f ca="1">SUBSTITUTE(LOWER(TRIM(_xlfn.XLOOKUP($A180,Строчный!$A:$A,Строчный!J:J,"ERR",0))),"подклад","Подклад")</f>
        <v>100% полиэстер</v>
      </c>
      <c r="K180" s="81" t="str">
        <f ca="1">LOWER(TRIM(_xlfn.XLOOKUP($A180,Строчный!$A:$A,Строчный!K:K,"ERR",0)))</f>
        <v/>
      </c>
      <c r="L180" s="81" t="str">
        <f ca="1">PROPER(TRIM(_xlfn.XLOOKUP($A180,Строчный!$A:$A,Строчный!L:L,"ERR",0)))</f>
        <v>Унисекс</v>
      </c>
      <c r="M180" s="113" t="str">
        <f ca="1">PROPER(TRIM(_xlfn.XLOOKUP($A180,Строчный!$A:$A,Строчный!M:M,"ERR",0)))</f>
        <v>Китай</v>
      </c>
      <c r="N180" s="81" t="str">
        <f ca="1">UPPER(TRIM(_xlfn.XLOOKUP($A180,Строчный!$A:$A,Строчный!O:O,"ERR",0)))</f>
        <v/>
      </c>
      <c r="O180" s="102" t="str">
        <f ca="1">PROPER(TRIM(_xlfn.XLOOKUP($A180,Строчный!$A:$A,Строчный!P:P,"ERR",0)))</f>
        <v/>
      </c>
      <c r="P180" s="81" t="str">
        <f ca="1">PROPER(TRIM(_xlfn.XLOOKUP($A180,Строчный!$A:$A,Строчный!R:R,"ERR",0)))</f>
        <v/>
      </c>
      <c r="Q180" s="90">
        <f ca="1">VALUE(_xlfn.XLOOKUP($A180,Строчный!$A:$A,Строчный!N:N,"ERR",0))</f>
        <v>270</v>
      </c>
      <c r="R180" s="89" t="str">
        <f ca="1">_xlfn.XLOOKUP($G180,Фабрика!A:A,Фабрика!B:B,"ERR",0)</f>
        <v>Chapellerie Herman S.A.; Rue Jean Meunier, 6, 6922 Wellin, Belgium</v>
      </c>
      <c r="S180" s="80" t="str">
        <f ca="1">_xlfn.XLOOKUP(RIGHT(AA180,2),Размеры!D:D,Размеры!A:A,"ERR",0)</f>
        <v>59</v>
      </c>
      <c r="T180" s="80">
        <f ca="1">VALUE(_xlfn.XLOOKUP($AA180,Строчный!$S:$S,Строчный!U:U,"ERR",0))</f>
        <v>1</v>
      </c>
      <c r="U180" s="14" t="s">
        <v>265</v>
      </c>
      <c r="V180" s="101" t="str">
        <f t="shared" ca="1" si="13"/>
        <v>Шапка HERMAN арт. BUCK 006 (бежевый)</v>
      </c>
      <c r="W180" s="100" t="str">
        <f t="shared" ca="1" si="14"/>
        <v>Шапка HERMAN арт. BUCK 006 (бежевый) {beige}</v>
      </c>
      <c r="X180" s="18" t="str">
        <f t="shared" ca="1" si="15"/>
        <v>бежевый</v>
      </c>
      <c r="Y180" s="18" t="str">
        <f t="shared" ca="1" si="16"/>
        <v>бежевый</v>
      </c>
      <c r="Z180" s="117" t="str">
        <f ca="1">_xlfn.LET(_xlpm.FormColors,_xlfn.XLOOKUP(A180,Строчный!A:A,Строчный!Q:Q,"",0),IF(_xlpm.FormColors=0,IFERROR(MID(I180,FIND("-",I180)+1,LEN(I180)),IFERROR(MID(I180,1,FIND("/",I180)-2),I180)),_xlpm.FormColors))</f>
        <v>бежевый</v>
      </c>
      <c r="AA180" s="73" t="str">
        <f ca="1"/>
        <v>80-863-02-59</v>
      </c>
      <c r="AB180" s="75" t="str">
        <f ca="1">VLOOKUP(C180,Группа!A:B,2,FALSE)</f>
        <v>Шапка</v>
      </c>
      <c r="AC180" s="97" t="str">
        <f ca="1">IFERROR(VLOOKUP(S180,Размеры!A:C,3,FALSE),"")</f>
        <v>59 L</v>
      </c>
      <c r="AD180" s="97" t="str">
        <f ca="1">VLOOKUP(I180,ЦветПолный!A:B,2,FALSE)</f>
        <v>02</v>
      </c>
      <c r="AE180" s="97" t="str">
        <f ca="1">IFERROR(VLOOKUP(S180,Размеры!A:D,4,FALSE),"")</f>
        <v>59</v>
      </c>
      <c r="AF180" s="97">
        <f ca="1">IF(LEFT(IFERROR(VLOOKUP(LOOKUP(2,1/SEARCH(B180,Товары!A:A),Товары!A:A),Товары!A:B,2,0),""),6)=MID(AA180,1,6),1,0)</f>
        <v>1</v>
      </c>
      <c r="AH180" s="97">
        <f ca="1">SUMIF(Группа!A:A,C180,Группа!C:C)</f>
        <v>1</v>
      </c>
      <c r="AI180" s="97">
        <f ca="1">SUMIF(Группа!B:B,AB180,Группа!C:C)</f>
        <v>1</v>
      </c>
      <c r="AJ180" s="97">
        <f ca="1">SUMIF(Формы!A:A,D180,Формы!B:B)</f>
        <v>1</v>
      </c>
      <c r="AK180" s="97">
        <f ca="1">SUMIF(Материал!A:A,K180,Материал!B:B)</f>
        <v>0</v>
      </c>
      <c r="AL180" s="97">
        <f ca="1">SUMIF(Размеры!A:A,S180,Размеры!E:E)</f>
        <v>1</v>
      </c>
      <c r="AM180" s="97">
        <f ca="1">SUMIF(Сезон!A:A,F180,Сезон!B:B)</f>
        <v>1</v>
      </c>
      <c r="AN180" s="97">
        <f ca="1">SUMIF(Состав!A:A,J180,Состав!B:B)</f>
        <v>1</v>
      </c>
      <c r="AO180" s="97">
        <f ca="1">VLOOKUP(I180,ЦветПолный!A:C,3,0)</f>
        <v>1</v>
      </c>
      <c r="AP180" s="97">
        <f ca="1">SUMIF(Цвет!A:A,Z180,Цвет!B:B)</f>
        <v>1</v>
      </c>
      <c r="AQ180" s="97">
        <f ca="1">_xlfn.XLOOKUP(L180,Пол!A:A,Пол!B:B,0,0)</f>
        <v>1</v>
      </c>
      <c r="AR180" s="97">
        <f ca="1">SUMIF(Бренд!A:A,G180,Бренд!B:B)</f>
        <v>1</v>
      </c>
      <c r="AS180" s="97">
        <f ca="1">SUMIF(Страна!A:A,M180,Страна!B:B)</f>
        <v>1</v>
      </c>
      <c r="AT180" s="64" t="str">
        <f ca="1">IF(VLOOKUP(W180,Товары!A:B,2,FALSE)=A180,"Есть в 1С","ERR")</f>
        <v>Есть в 1С</v>
      </c>
      <c r="AU180" s="65" t="str">
        <f ca="1">IF(VLOOKUP(A180,Товары!B:B,1,FALSE)=A180,"Есть в 1С","ERR")</f>
        <v>Есть в 1С</v>
      </c>
      <c r="AV180" s="96" t="str">
        <f ca="1">VLOOKUP(W180,Товары!A:B,2,FALSE)</f>
        <v>80-863-02</v>
      </c>
      <c r="AW180" s="94" t="str">
        <f ca="1">VLOOKUP(W180,Товары!A:B,1,FALSE)</f>
        <v>Шапка HERMAN арт. BUCK 006 (бежевый) {beige}</v>
      </c>
    </row>
    <row r="181" spans="1:49" x14ac:dyDescent="0.25">
      <c r="A181" s="110" t="str">
        <f t="shared" ca="1" si="12"/>
        <v>80-863-02</v>
      </c>
      <c r="B181" s="107" t="str">
        <f ca="1">_xlfn.LET(_xlpm.CAPS,0,_xlpm.Style,TRIM(_xlfn.XLOOKUP($A181,Строчный!$A:$A,Строчный!B:B,"ERR",0)),IF(_xlpm.CAPS=0,_xlpm.Style,UPPER(_xlpm.Style)))</f>
        <v>BUCK 006</v>
      </c>
      <c r="C181" s="81" t="str">
        <f ca="1">TRIM(PROPER(_xlfn.XLOOKUP($A181,Строчный!$A:$A,Строчный!C:C,"ERR",0)))</f>
        <v>Шапки</v>
      </c>
      <c r="D181" s="81" t="str">
        <f ca="1">_xlfn.LET(_xlpm.DATA,TRIM(_xlfn.XLOOKUP($A181,Строчный!$A:$A,Строчный!D:D,"ERR",0)),UPPER(MID(_xlpm.DATA,1,1))&amp;LOWER(MID(_xlpm.DATA,2,LEN(_xlpm.DATA)-1)))</f>
        <v>Шапка ушанка</v>
      </c>
      <c r="E181" s="81" t="str">
        <f ca="1">PROPER(TRIM(_xlfn.XLOOKUP($A181,Строчный!$A:$A,Строчный!E:E,"ERR",0)))</f>
        <v>Herman</v>
      </c>
      <c r="F181" s="81" t="str">
        <f ca="1">LOWER(TRIM(_xlfn.XLOOKUP($A181,Строчный!$A:$A,Строчный!F:F,"ERR",0)))</f>
        <v>зимний</v>
      </c>
      <c r="G181" s="81" t="str">
        <f ca="1">UPPER(TRIM(_xlfn.XLOOKUP($A181,Строчный!$A:$A,Строчный!G:G,"ERR",0)))</f>
        <v>HERMAN</v>
      </c>
      <c r="H181" s="81" t="str">
        <f ca="1">LOWER(TRIM(_xlfn.XLOOKUP($A181,Строчный!$A:$A,Строчный!H:H,"ERR",0)))</f>
        <v>beige</v>
      </c>
      <c r="I181" s="81" t="str">
        <f ca="1">LOWER(TRIM(_xlfn.XLOOKUP($A181,Строчный!$A:$A,Строчный!I:I,"ERR",0)))</f>
        <v>бежевый</v>
      </c>
      <c r="J181" s="81" t="str">
        <f ca="1">SUBSTITUTE(LOWER(TRIM(_xlfn.XLOOKUP($A181,Строчный!$A:$A,Строчный!J:J,"ERR",0))),"подклад","Подклад")</f>
        <v>100% полиэстер</v>
      </c>
      <c r="K181" s="81" t="str">
        <f ca="1">LOWER(TRIM(_xlfn.XLOOKUP($A181,Строчный!$A:$A,Строчный!K:K,"ERR",0)))</f>
        <v/>
      </c>
      <c r="L181" s="81" t="str">
        <f ca="1">PROPER(TRIM(_xlfn.XLOOKUP($A181,Строчный!$A:$A,Строчный!L:L,"ERR",0)))</f>
        <v>Унисекс</v>
      </c>
      <c r="M181" s="113" t="str">
        <f ca="1">PROPER(TRIM(_xlfn.XLOOKUP($A181,Строчный!$A:$A,Строчный!M:M,"ERR",0)))</f>
        <v>Китай</v>
      </c>
      <c r="N181" s="81" t="str">
        <f ca="1">UPPER(TRIM(_xlfn.XLOOKUP($A181,Строчный!$A:$A,Строчный!O:O,"ERR",0)))</f>
        <v/>
      </c>
      <c r="O181" s="102" t="str">
        <f ca="1">PROPER(TRIM(_xlfn.XLOOKUP($A181,Строчный!$A:$A,Строчный!P:P,"ERR",0)))</f>
        <v/>
      </c>
      <c r="P181" s="81" t="str">
        <f ca="1">PROPER(TRIM(_xlfn.XLOOKUP($A181,Строчный!$A:$A,Строчный!R:R,"ERR",0)))</f>
        <v/>
      </c>
      <c r="Q181" s="90">
        <f ca="1">VALUE(_xlfn.XLOOKUP($A181,Строчный!$A:$A,Строчный!N:N,"ERR",0))</f>
        <v>270</v>
      </c>
      <c r="R181" s="89" t="str">
        <f ca="1">_xlfn.XLOOKUP($G181,Фабрика!A:A,Фабрика!B:B,"ERR",0)</f>
        <v>Chapellerie Herman S.A.; Rue Jean Meunier, 6, 6922 Wellin, Belgium</v>
      </c>
      <c r="S181" s="80" t="str">
        <f ca="1">_xlfn.XLOOKUP(RIGHT(AA181,2),Размеры!D:D,Размеры!A:A,"ERR",0)</f>
        <v>57</v>
      </c>
      <c r="T181" s="80">
        <f ca="1">VALUE(_xlfn.XLOOKUP($AA181,Строчный!$S:$S,Строчный!U:U,"ERR",0))</f>
        <v>1</v>
      </c>
      <c r="U181" s="14" t="s">
        <v>265</v>
      </c>
      <c r="V181" s="101" t="str">
        <f t="shared" ca="1" si="13"/>
        <v>Шапка HERMAN арт. BUCK 006 (бежевый)</v>
      </c>
      <c r="W181" s="100" t="str">
        <f t="shared" ca="1" si="14"/>
        <v>Шапка HERMAN арт. BUCK 006 (бежевый) {beige}</v>
      </c>
      <c r="X181" s="18" t="str">
        <f t="shared" ca="1" si="15"/>
        <v>бежевый</v>
      </c>
      <c r="Y181" s="18" t="str">
        <f t="shared" ca="1" si="16"/>
        <v>бежевый</v>
      </c>
      <c r="Z181" s="117" t="str">
        <f ca="1">_xlfn.LET(_xlpm.FormColors,_xlfn.XLOOKUP(A181,Строчный!A:A,Строчный!Q:Q,"",0),IF(_xlpm.FormColors=0,IFERROR(MID(I181,FIND("-",I181)+1,LEN(I181)),IFERROR(MID(I181,1,FIND("/",I181)-2),I181)),_xlpm.FormColors))</f>
        <v>бежевый</v>
      </c>
      <c r="AA181" s="73" t="str">
        <f ca="1"/>
        <v>80-863-02-57</v>
      </c>
      <c r="AB181" s="75" t="str">
        <f ca="1">VLOOKUP(C181,Группа!A:B,2,FALSE)</f>
        <v>Шапка</v>
      </c>
      <c r="AC181" s="97" t="str">
        <f ca="1">IFERROR(VLOOKUP(S181,Размеры!A:C,3,FALSE),"")</f>
        <v>57 M</v>
      </c>
      <c r="AD181" s="97" t="str">
        <f ca="1">VLOOKUP(I181,ЦветПолный!A:B,2,FALSE)</f>
        <v>02</v>
      </c>
      <c r="AE181" s="97" t="str">
        <f ca="1">IFERROR(VLOOKUP(S181,Размеры!A:D,4,FALSE),"")</f>
        <v>57</v>
      </c>
      <c r="AF181" s="97">
        <f ca="1">IF(LEFT(IFERROR(VLOOKUP(LOOKUP(2,1/SEARCH(B181,Товары!A:A),Товары!A:A),Товары!A:B,2,0),""),6)=MID(AA181,1,6),1,0)</f>
        <v>1</v>
      </c>
      <c r="AH181" s="97">
        <f ca="1">SUMIF(Группа!A:A,C181,Группа!C:C)</f>
        <v>1</v>
      </c>
      <c r="AI181" s="97">
        <f ca="1">SUMIF(Группа!B:B,AB181,Группа!C:C)</f>
        <v>1</v>
      </c>
      <c r="AJ181" s="97">
        <f ca="1">SUMIF(Формы!A:A,D181,Формы!B:B)</f>
        <v>1</v>
      </c>
      <c r="AK181" s="97">
        <f ca="1">SUMIF(Материал!A:A,K181,Материал!B:B)</f>
        <v>0</v>
      </c>
      <c r="AL181" s="97">
        <f ca="1">SUMIF(Размеры!A:A,S181,Размеры!E:E)</f>
        <v>1</v>
      </c>
      <c r="AM181" s="97">
        <f ca="1">SUMIF(Сезон!A:A,F181,Сезон!B:B)</f>
        <v>1</v>
      </c>
      <c r="AN181" s="97">
        <f ca="1">SUMIF(Состав!A:A,J181,Состав!B:B)</f>
        <v>1</v>
      </c>
      <c r="AO181" s="97">
        <f ca="1">VLOOKUP(I181,ЦветПолный!A:C,3,0)</f>
        <v>1</v>
      </c>
      <c r="AP181" s="97">
        <f ca="1">SUMIF(Цвет!A:A,Z181,Цвет!B:B)</f>
        <v>1</v>
      </c>
      <c r="AQ181" s="97">
        <f ca="1">_xlfn.XLOOKUP(L181,Пол!A:A,Пол!B:B,0,0)</f>
        <v>1</v>
      </c>
      <c r="AR181" s="97">
        <f ca="1">SUMIF(Бренд!A:A,G181,Бренд!B:B)</f>
        <v>1</v>
      </c>
      <c r="AS181" s="97">
        <f ca="1">SUMIF(Страна!A:A,M181,Страна!B:B)</f>
        <v>1</v>
      </c>
      <c r="AT181" s="64" t="str">
        <f ca="1">IF(VLOOKUP(W181,Товары!A:B,2,FALSE)=A181,"Есть в 1С","ERR")</f>
        <v>Есть в 1С</v>
      </c>
      <c r="AU181" s="65" t="str">
        <f ca="1">IF(VLOOKUP(A181,Товары!B:B,1,FALSE)=A181,"Есть в 1С","ERR")</f>
        <v>Есть в 1С</v>
      </c>
      <c r="AV181" s="96" t="str">
        <f ca="1">VLOOKUP(W181,Товары!A:B,2,FALSE)</f>
        <v>80-863-02</v>
      </c>
      <c r="AW181" s="94" t="str">
        <f ca="1">VLOOKUP(W181,Товары!A:B,1,FALSE)</f>
        <v>Шапка HERMAN арт. BUCK 006 (бежевый) {beige}</v>
      </c>
    </row>
    <row r="182" spans="1:49" x14ac:dyDescent="0.25">
      <c r="A182" s="110" t="str">
        <f t="shared" ca="1" si="12"/>
        <v>80-863-02</v>
      </c>
      <c r="B182" s="107" t="str">
        <f ca="1">_xlfn.LET(_xlpm.CAPS,0,_xlpm.Style,TRIM(_xlfn.XLOOKUP($A182,Строчный!$A:$A,Строчный!B:B,"ERR",0)),IF(_xlpm.CAPS=0,_xlpm.Style,UPPER(_xlpm.Style)))</f>
        <v>BUCK 006</v>
      </c>
      <c r="C182" s="81" t="str">
        <f ca="1">TRIM(PROPER(_xlfn.XLOOKUP($A182,Строчный!$A:$A,Строчный!C:C,"ERR",0)))</f>
        <v>Шапки</v>
      </c>
      <c r="D182" s="81" t="str">
        <f ca="1">_xlfn.LET(_xlpm.DATA,TRIM(_xlfn.XLOOKUP($A182,Строчный!$A:$A,Строчный!D:D,"ERR",0)),UPPER(MID(_xlpm.DATA,1,1))&amp;LOWER(MID(_xlpm.DATA,2,LEN(_xlpm.DATA)-1)))</f>
        <v>Шапка ушанка</v>
      </c>
      <c r="E182" s="81" t="str">
        <f ca="1">PROPER(TRIM(_xlfn.XLOOKUP($A182,Строчный!$A:$A,Строчный!E:E,"ERR",0)))</f>
        <v>Herman</v>
      </c>
      <c r="F182" s="81" t="str">
        <f ca="1">LOWER(TRIM(_xlfn.XLOOKUP($A182,Строчный!$A:$A,Строчный!F:F,"ERR",0)))</f>
        <v>зимний</v>
      </c>
      <c r="G182" s="81" t="str">
        <f ca="1">UPPER(TRIM(_xlfn.XLOOKUP($A182,Строчный!$A:$A,Строчный!G:G,"ERR",0)))</f>
        <v>HERMAN</v>
      </c>
      <c r="H182" s="81" t="str">
        <f ca="1">LOWER(TRIM(_xlfn.XLOOKUP($A182,Строчный!$A:$A,Строчный!H:H,"ERR",0)))</f>
        <v>beige</v>
      </c>
      <c r="I182" s="81" t="str">
        <f ca="1">LOWER(TRIM(_xlfn.XLOOKUP($A182,Строчный!$A:$A,Строчный!I:I,"ERR",0)))</f>
        <v>бежевый</v>
      </c>
      <c r="J182" s="81" t="str">
        <f ca="1">SUBSTITUTE(LOWER(TRIM(_xlfn.XLOOKUP($A182,Строчный!$A:$A,Строчный!J:J,"ERR",0))),"подклад","Подклад")</f>
        <v>100% полиэстер</v>
      </c>
      <c r="K182" s="81" t="str">
        <f ca="1">LOWER(TRIM(_xlfn.XLOOKUP($A182,Строчный!$A:$A,Строчный!K:K,"ERR",0)))</f>
        <v/>
      </c>
      <c r="L182" s="81" t="str">
        <f ca="1">PROPER(TRIM(_xlfn.XLOOKUP($A182,Строчный!$A:$A,Строчный!L:L,"ERR",0)))</f>
        <v>Унисекс</v>
      </c>
      <c r="M182" s="113" t="str">
        <f ca="1">PROPER(TRIM(_xlfn.XLOOKUP($A182,Строчный!$A:$A,Строчный!M:M,"ERR",0)))</f>
        <v>Китай</v>
      </c>
      <c r="N182" s="81" t="str">
        <f ca="1">UPPER(TRIM(_xlfn.XLOOKUP($A182,Строчный!$A:$A,Строчный!O:O,"ERR",0)))</f>
        <v/>
      </c>
      <c r="O182" s="102" t="str">
        <f ca="1">PROPER(TRIM(_xlfn.XLOOKUP($A182,Строчный!$A:$A,Строчный!P:P,"ERR",0)))</f>
        <v/>
      </c>
      <c r="P182" s="81" t="str">
        <f ca="1">PROPER(TRIM(_xlfn.XLOOKUP($A182,Строчный!$A:$A,Строчный!R:R,"ERR",0)))</f>
        <v/>
      </c>
      <c r="Q182" s="90">
        <f ca="1">VALUE(_xlfn.XLOOKUP($A182,Строчный!$A:$A,Строчный!N:N,"ERR",0))</f>
        <v>270</v>
      </c>
      <c r="R182" s="89" t="str">
        <f ca="1">_xlfn.XLOOKUP($G182,Фабрика!A:A,Фабрика!B:B,"ERR",0)</f>
        <v>Chapellerie Herman S.A.; Rue Jean Meunier, 6, 6922 Wellin, Belgium</v>
      </c>
      <c r="S182" s="80" t="str">
        <f ca="1">_xlfn.XLOOKUP(RIGHT(AA182,2),Размеры!D:D,Размеры!A:A,"ERR",0)</f>
        <v>55</v>
      </c>
      <c r="T182" s="80">
        <f ca="1">VALUE(_xlfn.XLOOKUP($AA182,Строчный!$S:$S,Строчный!U:U,"ERR",0))</f>
        <v>6</v>
      </c>
      <c r="U182" s="14" t="s">
        <v>265</v>
      </c>
      <c r="V182" s="101" t="str">
        <f t="shared" ca="1" si="13"/>
        <v>Шапка HERMAN арт. BUCK 006 (бежевый)</v>
      </c>
      <c r="W182" s="100" t="str">
        <f t="shared" ca="1" si="14"/>
        <v>Шапка HERMAN арт. BUCK 006 (бежевый) {beige}</v>
      </c>
      <c r="X182" s="18" t="str">
        <f t="shared" ca="1" si="15"/>
        <v>бежевый</v>
      </c>
      <c r="Y182" s="18" t="str">
        <f t="shared" ca="1" si="16"/>
        <v>бежевый</v>
      </c>
      <c r="Z182" s="117" t="str">
        <f ca="1">_xlfn.LET(_xlpm.FormColors,_xlfn.XLOOKUP(A182,Строчный!A:A,Строчный!Q:Q,"",0),IF(_xlpm.FormColors=0,IFERROR(MID(I182,FIND("-",I182)+1,LEN(I182)),IFERROR(MID(I182,1,FIND("/",I182)-2),I182)),_xlpm.FormColors))</f>
        <v>бежевый</v>
      </c>
      <c r="AA182" s="73" t="str">
        <f ca="1"/>
        <v>80-863-02-55</v>
      </c>
      <c r="AB182" s="75" t="str">
        <f ca="1">VLOOKUP(C182,Группа!A:B,2,FALSE)</f>
        <v>Шапка</v>
      </c>
      <c r="AC182" s="97" t="str">
        <f ca="1">IFERROR(VLOOKUP(S182,Размеры!A:C,3,FALSE),"")</f>
        <v>55 S</v>
      </c>
      <c r="AD182" s="97" t="str">
        <f ca="1">VLOOKUP(I182,ЦветПолный!A:B,2,FALSE)</f>
        <v>02</v>
      </c>
      <c r="AE182" s="97" t="str">
        <f ca="1">IFERROR(VLOOKUP(S182,Размеры!A:D,4,FALSE),"")</f>
        <v>55</v>
      </c>
      <c r="AF182" s="97">
        <f ca="1">IF(LEFT(IFERROR(VLOOKUP(LOOKUP(2,1/SEARCH(B182,Товары!A:A),Товары!A:A),Товары!A:B,2,0),""),6)=MID(AA182,1,6),1,0)</f>
        <v>1</v>
      </c>
      <c r="AH182" s="97">
        <f ca="1">SUMIF(Группа!A:A,C182,Группа!C:C)</f>
        <v>1</v>
      </c>
      <c r="AI182" s="97">
        <f ca="1">SUMIF(Группа!B:B,AB182,Группа!C:C)</f>
        <v>1</v>
      </c>
      <c r="AJ182" s="97">
        <f ca="1">SUMIF(Формы!A:A,D182,Формы!B:B)</f>
        <v>1</v>
      </c>
      <c r="AK182" s="97">
        <f ca="1">SUMIF(Материал!A:A,K182,Материал!B:B)</f>
        <v>0</v>
      </c>
      <c r="AL182" s="97">
        <f ca="1">SUMIF(Размеры!A:A,S182,Размеры!E:E)</f>
        <v>1</v>
      </c>
      <c r="AM182" s="97">
        <f ca="1">SUMIF(Сезон!A:A,F182,Сезон!B:B)</f>
        <v>1</v>
      </c>
      <c r="AN182" s="97">
        <f ca="1">SUMIF(Состав!A:A,J182,Состав!B:B)</f>
        <v>1</v>
      </c>
      <c r="AO182" s="97">
        <f ca="1">VLOOKUP(I182,ЦветПолный!A:C,3,0)</f>
        <v>1</v>
      </c>
      <c r="AP182" s="97">
        <f ca="1">SUMIF(Цвет!A:A,Z182,Цвет!B:B)</f>
        <v>1</v>
      </c>
      <c r="AQ182" s="97">
        <f ca="1">_xlfn.XLOOKUP(L182,Пол!A:A,Пол!B:B,0,0)</f>
        <v>1</v>
      </c>
      <c r="AR182" s="97">
        <f ca="1">SUMIF(Бренд!A:A,G182,Бренд!B:B)</f>
        <v>1</v>
      </c>
      <c r="AS182" s="97">
        <f ca="1">SUMIF(Страна!A:A,M182,Страна!B:B)</f>
        <v>1</v>
      </c>
      <c r="AT182" s="64" t="str">
        <f ca="1">IF(VLOOKUP(W182,Товары!A:B,2,FALSE)=A182,"Есть в 1С","ERR")</f>
        <v>Есть в 1С</v>
      </c>
      <c r="AU182" s="65" t="str">
        <f ca="1">IF(VLOOKUP(A182,Товары!B:B,1,FALSE)=A182,"Есть в 1С","ERR")</f>
        <v>Есть в 1С</v>
      </c>
      <c r="AV182" s="96" t="str">
        <f ca="1">VLOOKUP(W182,Товары!A:B,2,FALSE)</f>
        <v>80-863-02</v>
      </c>
      <c r="AW182" s="94" t="str">
        <f ca="1">VLOOKUP(W182,Товары!A:B,1,FALSE)</f>
        <v>Шапка HERMAN арт. BUCK 006 (бежевый) {beige}</v>
      </c>
    </row>
    <row r="183" spans="1:49" x14ac:dyDescent="0.25">
      <c r="A183" s="110" t="str">
        <f t="shared" ca="1" si="12"/>
        <v>80-862-14</v>
      </c>
      <c r="B183" s="107" t="str">
        <f ca="1">_xlfn.LET(_xlpm.CAPS,0,_xlpm.Style,TRIM(_xlfn.XLOOKUP($A183,Строчный!$A:$A,Строчный!B:B,"ERR",0)),IF(_xlpm.CAPS=0,_xlpm.Style,UPPER(_xlpm.Style)))</f>
        <v>BUCK 001</v>
      </c>
      <c r="C183" s="81" t="str">
        <f ca="1">TRIM(PROPER(_xlfn.XLOOKUP($A183,Строчный!$A:$A,Строчный!C:C,"ERR",0)))</f>
        <v>Шапки</v>
      </c>
      <c r="D183" s="81" t="str">
        <f ca="1">_xlfn.LET(_xlpm.DATA,TRIM(_xlfn.XLOOKUP($A183,Строчный!$A:$A,Строчный!D:D,"ERR",0)),UPPER(MID(_xlpm.DATA,1,1))&amp;LOWER(MID(_xlpm.DATA,2,LEN(_xlpm.DATA)-1)))</f>
        <v>Шапка ушанка</v>
      </c>
      <c r="E183" s="81" t="str">
        <f ca="1">PROPER(TRIM(_xlfn.XLOOKUP($A183,Строчный!$A:$A,Строчный!E:E,"ERR",0)))</f>
        <v>Herman</v>
      </c>
      <c r="F183" s="81" t="str">
        <f ca="1">LOWER(TRIM(_xlfn.XLOOKUP($A183,Строчный!$A:$A,Строчный!F:F,"ERR",0)))</f>
        <v>зимний</v>
      </c>
      <c r="G183" s="81" t="str">
        <f ca="1">UPPER(TRIM(_xlfn.XLOOKUP($A183,Строчный!$A:$A,Строчный!G:G,"ERR",0)))</f>
        <v>HERMAN</v>
      </c>
      <c r="H183" s="81" t="str">
        <f ca="1">LOWER(TRIM(_xlfn.XLOOKUP($A183,Строчный!$A:$A,Строчный!H:H,"ERR",0)))</f>
        <v>brown</v>
      </c>
      <c r="I183" s="81" t="str">
        <f ca="1">LOWER(TRIM(_xlfn.XLOOKUP($A183,Строчный!$A:$A,Строчный!I:I,"ERR",0)))</f>
        <v>коричневый</v>
      </c>
      <c r="J183" s="81" t="str">
        <f ca="1">SUBSTITUTE(LOWER(TRIM(_xlfn.XLOOKUP($A183,Строчный!$A:$A,Строчный!J:J,"ERR",0))),"подклад","Подклад")</f>
        <v>100% полиэстер</v>
      </c>
      <c r="K183" s="81" t="str">
        <f ca="1">LOWER(TRIM(_xlfn.XLOOKUP($A183,Строчный!$A:$A,Строчный!K:K,"ERR",0)))</f>
        <v/>
      </c>
      <c r="L183" s="81" t="str">
        <f ca="1">PROPER(TRIM(_xlfn.XLOOKUP($A183,Строчный!$A:$A,Строчный!L:L,"ERR",0)))</f>
        <v>Мужской</v>
      </c>
      <c r="M183" s="113" t="str">
        <f ca="1">PROPER(TRIM(_xlfn.XLOOKUP($A183,Строчный!$A:$A,Строчный!M:M,"ERR",0)))</f>
        <v>Китай</v>
      </c>
      <c r="N183" s="81" t="str">
        <f ca="1">UPPER(TRIM(_xlfn.XLOOKUP($A183,Строчный!$A:$A,Строчный!O:O,"ERR",0)))</f>
        <v/>
      </c>
      <c r="O183" s="102" t="str">
        <f ca="1">PROPER(TRIM(_xlfn.XLOOKUP($A183,Строчный!$A:$A,Строчный!P:P,"ERR",0)))</f>
        <v/>
      </c>
      <c r="P183" s="81" t="str">
        <f ca="1">PROPER(TRIM(_xlfn.XLOOKUP($A183,Строчный!$A:$A,Строчный!R:R,"ERR",0)))</f>
        <v/>
      </c>
      <c r="Q183" s="90">
        <f ca="1">VALUE(_xlfn.XLOOKUP($A183,Строчный!$A:$A,Строчный!N:N,"ERR",0))</f>
        <v>872.09999999999991</v>
      </c>
      <c r="R183" s="89" t="str">
        <f ca="1">_xlfn.XLOOKUP($G183,Фабрика!A:A,Фабрика!B:B,"ERR",0)</f>
        <v>Chapellerie Herman S.A.; Rue Jean Meunier, 6, 6922 Wellin, Belgium</v>
      </c>
      <c r="S183" s="80" t="str">
        <f ca="1">_xlfn.XLOOKUP(RIGHT(AA183,2),Размеры!D:D,Размеры!A:A,"ERR",0)</f>
        <v>61</v>
      </c>
      <c r="T183" s="80">
        <f ca="1">VALUE(_xlfn.XLOOKUP($AA183,Строчный!$S:$S,Строчный!U:U,"ERR",0))</f>
        <v>16</v>
      </c>
      <c r="U183" s="14" t="s">
        <v>265</v>
      </c>
      <c r="V183" s="101" t="str">
        <f t="shared" ca="1" si="13"/>
        <v>Шапка HERMAN арт. BUCK 001 (коричневый)</v>
      </c>
      <c r="W183" s="100" t="str">
        <f t="shared" ca="1" si="14"/>
        <v>Шапка HERMAN арт. BUCK 001 (коричневый) {brown}</v>
      </c>
      <c r="X183" s="18" t="str">
        <f t="shared" ca="1" si="15"/>
        <v>коричневый</v>
      </c>
      <c r="Y183" s="18" t="str">
        <f t="shared" ca="1" si="16"/>
        <v>коричневый</v>
      </c>
      <c r="Z183" s="117" t="str">
        <f ca="1">_xlfn.LET(_xlpm.FormColors,_xlfn.XLOOKUP(A183,Строчный!A:A,Строчный!Q:Q,"",0),IF(_xlpm.FormColors=0,IFERROR(MID(I183,FIND("-",I183)+1,LEN(I183)),IFERROR(MID(I183,1,FIND("/",I183)-2),I183)),_xlpm.FormColors))</f>
        <v>коричневый</v>
      </c>
      <c r="AA183" s="73" t="str">
        <f ca="1"/>
        <v>80-862-14-61</v>
      </c>
      <c r="AB183" s="75" t="str">
        <f ca="1">VLOOKUP(C183,Группа!A:B,2,FALSE)</f>
        <v>Шапка</v>
      </c>
      <c r="AC183" s="97" t="str">
        <f ca="1">IFERROR(VLOOKUP(S183,Размеры!A:C,3,FALSE),"")</f>
        <v>61 XL</v>
      </c>
      <c r="AD183" s="97" t="str">
        <f ca="1">VLOOKUP(I183,ЦветПолный!A:B,2,FALSE)</f>
        <v>14</v>
      </c>
      <c r="AE183" s="97" t="str">
        <f ca="1">IFERROR(VLOOKUP(S183,Размеры!A:D,4,FALSE),"")</f>
        <v>61</v>
      </c>
      <c r="AF183" s="97">
        <f ca="1">IF(LEFT(IFERROR(VLOOKUP(LOOKUP(2,1/SEARCH(B183,Товары!A:A),Товары!A:A),Товары!A:B,2,0),""),6)=MID(AA183,1,6),1,0)</f>
        <v>1</v>
      </c>
      <c r="AH183" s="97">
        <f ca="1">SUMIF(Группа!A:A,C183,Группа!C:C)</f>
        <v>1</v>
      </c>
      <c r="AI183" s="97">
        <f ca="1">SUMIF(Группа!B:B,AB183,Группа!C:C)</f>
        <v>1</v>
      </c>
      <c r="AJ183" s="97">
        <f ca="1">SUMIF(Формы!A:A,D183,Формы!B:B)</f>
        <v>1</v>
      </c>
      <c r="AK183" s="97">
        <f ca="1">SUMIF(Материал!A:A,K183,Материал!B:B)</f>
        <v>0</v>
      </c>
      <c r="AL183" s="97">
        <f ca="1">SUMIF(Размеры!A:A,S183,Размеры!E:E)</f>
        <v>1</v>
      </c>
      <c r="AM183" s="97">
        <f ca="1">SUMIF(Сезон!A:A,F183,Сезон!B:B)</f>
        <v>1</v>
      </c>
      <c r="AN183" s="97">
        <f ca="1">SUMIF(Состав!A:A,J183,Состав!B:B)</f>
        <v>1</v>
      </c>
      <c r="AO183" s="97">
        <f ca="1">VLOOKUP(I183,ЦветПолный!A:C,3,0)</f>
        <v>1</v>
      </c>
      <c r="AP183" s="97">
        <f ca="1">SUMIF(Цвет!A:A,Z183,Цвет!B:B)</f>
        <v>1</v>
      </c>
      <c r="AQ183" s="97">
        <f ca="1">_xlfn.XLOOKUP(L183,Пол!A:A,Пол!B:B,0,0)</f>
        <v>1</v>
      </c>
      <c r="AR183" s="97">
        <f ca="1">SUMIF(Бренд!A:A,G183,Бренд!B:B)</f>
        <v>1</v>
      </c>
      <c r="AS183" s="97">
        <f ca="1">SUMIF(Страна!A:A,M183,Страна!B:B)</f>
        <v>1</v>
      </c>
      <c r="AT183" s="64" t="str">
        <f ca="1">IF(VLOOKUP(W183,Товары!A:B,2,FALSE)=A183,"Есть в 1С","ERR")</f>
        <v>Есть в 1С</v>
      </c>
      <c r="AU183" s="65" t="str">
        <f ca="1">IF(VLOOKUP(A183,Товары!B:B,1,FALSE)=A183,"Есть в 1С","ERR")</f>
        <v>Есть в 1С</v>
      </c>
      <c r="AV183" s="96" t="str">
        <f ca="1">VLOOKUP(W183,Товары!A:B,2,FALSE)</f>
        <v>80-862-14</v>
      </c>
      <c r="AW183" s="94" t="str">
        <f ca="1">VLOOKUP(W183,Товары!A:B,1,FALSE)</f>
        <v>Шапка HERMAN арт. BUCK 001 (коричневый) {brown}</v>
      </c>
    </row>
    <row r="184" spans="1:49" x14ac:dyDescent="0.25">
      <c r="A184" s="110" t="str">
        <f t="shared" ca="1" si="12"/>
        <v>80-862-14</v>
      </c>
      <c r="B184" s="107" t="str">
        <f ca="1">_xlfn.LET(_xlpm.CAPS,0,_xlpm.Style,TRIM(_xlfn.XLOOKUP($A184,Строчный!$A:$A,Строчный!B:B,"ERR",0)),IF(_xlpm.CAPS=0,_xlpm.Style,UPPER(_xlpm.Style)))</f>
        <v>BUCK 001</v>
      </c>
      <c r="C184" s="81" t="str">
        <f ca="1">TRIM(PROPER(_xlfn.XLOOKUP($A184,Строчный!$A:$A,Строчный!C:C,"ERR",0)))</f>
        <v>Шапки</v>
      </c>
      <c r="D184" s="81" t="str">
        <f ca="1">_xlfn.LET(_xlpm.DATA,TRIM(_xlfn.XLOOKUP($A184,Строчный!$A:$A,Строчный!D:D,"ERR",0)),UPPER(MID(_xlpm.DATA,1,1))&amp;LOWER(MID(_xlpm.DATA,2,LEN(_xlpm.DATA)-1)))</f>
        <v>Шапка ушанка</v>
      </c>
      <c r="E184" s="81" t="str">
        <f ca="1">PROPER(TRIM(_xlfn.XLOOKUP($A184,Строчный!$A:$A,Строчный!E:E,"ERR",0)))</f>
        <v>Herman</v>
      </c>
      <c r="F184" s="81" t="str">
        <f ca="1">LOWER(TRIM(_xlfn.XLOOKUP($A184,Строчный!$A:$A,Строчный!F:F,"ERR",0)))</f>
        <v>зимний</v>
      </c>
      <c r="G184" s="81" t="str">
        <f ca="1">UPPER(TRIM(_xlfn.XLOOKUP($A184,Строчный!$A:$A,Строчный!G:G,"ERR",0)))</f>
        <v>HERMAN</v>
      </c>
      <c r="H184" s="81" t="str">
        <f ca="1">LOWER(TRIM(_xlfn.XLOOKUP($A184,Строчный!$A:$A,Строчный!H:H,"ERR",0)))</f>
        <v>brown</v>
      </c>
      <c r="I184" s="81" t="str">
        <f ca="1">LOWER(TRIM(_xlfn.XLOOKUP($A184,Строчный!$A:$A,Строчный!I:I,"ERR",0)))</f>
        <v>коричневый</v>
      </c>
      <c r="J184" s="81" t="str">
        <f ca="1">SUBSTITUTE(LOWER(TRIM(_xlfn.XLOOKUP($A184,Строчный!$A:$A,Строчный!J:J,"ERR",0))),"подклад","Подклад")</f>
        <v>100% полиэстер</v>
      </c>
      <c r="K184" s="81" t="str">
        <f ca="1">LOWER(TRIM(_xlfn.XLOOKUP($A184,Строчный!$A:$A,Строчный!K:K,"ERR",0)))</f>
        <v/>
      </c>
      <c r="L184" s="81" t="str">
        <f ca="1">PROPER(TRIM(_xlfn.XLOOKUP($A184,Строчный!$A:$A,Строчный!L:L,"ERR",0)))</f>
        <v>Мужской</v>
      </c>
      <c r="M184" s="113" t="str">
        <f ca="1">PROPER(TRIM(_xlfn.XLOOKUP($A184,Строчный!$A:$A,Строчный!M:M,"ERR",0)))</f>
        <v>Китай</v>
      </c>
      <c r="N184" s="81" t="str">
        <f ca="1">UPPER(TRIM(_xlfn.XLOOKUP($A184,Строчный!$A:$A,Строчный!O:O,"ERR",0)))</f>
        <v/>
      </c>
      <c r="O184" s="102" t="str">
        <f ca="1">PROPER(TRIM(_xlfn.XLOOKUP($A184,Строчный!$A:$A,Строчный!P:P,"ERR",0)))</f>
        <v/>
      </c>
      <c r="P184" s="81" t="str">
        <f ca="1">PROPER(TRIM(_xlfn.XLOOKUP($A184,Строчный!$A:$A,Строчный!R:R,"ERR",0)))</f>
        <v/>
      </c>
      <c r="Q184" s="90">
        <f ca="1">VALUE(_xlfn.XLOOKUP($A184,Строчный!$A:$A,Строчный!N:N,"ERR",0))</f>
        <v>872.09999999999991</v>
      </c>
      <c r="R184" s="89" t="str">
        <f ca="1">_xlfn.XLOOKUP($G184,Фабрика!A:A,Фабрика!B:B,"ERR",0)</f>
        <v>Chapellerie Herman S.A.; Rue Jean Meunier, 6, 6922 Wellin, Belgium</v>
      </c>
      <c r="S184" s="80" t="str">
        <f ca="1">_xlfn.XLOOKUP(RIGHT(AA184,2),Размеры!D:D,Размеры!A:A,"ERR",0)</f>
        <v>59</v>
      </c>
      <c r="T184" s="80">
        <f ca="1">VALUE(_xlfn.XLOOKUP($AA184,Строчный!$S:$S,Строчный!U:U,"ERR",0))</f>
        <v>24</v>
      </c>
      <c r="U184" s="14" t="s">
        <v>265</v>
      </c>
      <c r="V184" s="101" t="str">
        <f t="shared" ca="1" si="13"/>
        <v>Шапка HERMAN арт. BUCK 001 (коричневый)</v>
      </c>
      <c r="W184" s="100" t="str">
        <f t="shared" ca="1" si="14"/>
        <v>Шапка HERMAN арт. BUCK 001 (коричневый) {brown}</v>
      </c>
      <c r="X184" s="18" t="str">
        <f t="shared" ca="1" si="15"/>
        <v>коричневый</v>
      </c>
      <c r="Y184" s="18" t="str">
        <f t="shared" ca="1" si="16"/>
        <v>коричневый</v>
      </c>
      <c r="Z184" s="117" t="str">
        <f ca="1">_xlfn.LET(_xlpm.FormColors,_xlfn.XLOOKUP(A184,Строчный!A:A,Строчный!Q:Q,"",0),IF(_xlpm.FormColors=0,IFERROR(MID(I184,FIND("-",I184)+1,LEN(I184)),IFERROR(MID(I184,1,FIND("/",I184)-2),I184)),_xlpm.FormColors))</f>
        <v>коричневый</v>
      </c>
      <c r="AA184" s="73" t="str">
        <f ca="1"/>
        <v>80-862-14-59</v>
      </c>
      <c r="AB184" s="75" t="str">
        <f ca="1">VLOOKUP(C184,Группа!A:B,2,FALSE)</f>
        <v>Шапка</v>
      </c>
      <c r="AC184" s="97" t="str">
        <f ca="1">IFERROR(VLOOKUP(S184,Размеры!A:C,3,FALSE),"")</f>
        <v>59 L</v>
      </c>
      <c r="AD184" s="97" t="str">
        <f ca="1">VLOOKUP(I184,ЦветПолный!A:B,2,FALSE)</f>
        <v>14</v>
      </c>
      <c r="AE184" s="97" t="str">
        <f ca="1">IFERROR(VLOOKUP(S184,Размеры!A:D,4,FALSE),"")</f>
        <v>59</v>
      </c>
      <c r="AF184" s="97">
        <f ca="1">IF(LEFT(IFERROR(VLOOKUP(LOOKUP(2,1/SEARCH(B184,Товары!A:A),Товары!A:A),Товары!A:B,2,0),""),6)=MID(AA184,1,6),1,0)</f>
        <v>1</v>
      </c>
      <c r="AH184" s="97">
        <f ca="1">SUMIF(Группа!A:A,C184,Группа!C:C)</f>
        <v>1</v>
      </c>
      <c r="AI184" s="97">
        <f ca="1">SUMIF(Группа!B:B,AB184,Группа!C:C)</f>
        <v>1</v>
      </c>
      <c r="AJ184" s="97">
        <f ca="1">SUMIF(Формы!A:A,D184,Формы!B:B)</f>
        <v>1</v>
      </c>
      <c r="AK184" s="97">
        <f ca="1">SUMIF(Материал!A:A,K184,Материал!B:B)</f>
        <v>0</v>
      </c>
      <c r="AL184" s="97">
        <f ca="1">SUMIF(Размеры!A:A,S184,Размеры!E:E)</f>
        <v>1</v>
      </c>
      <c r="AM184" s="97">
        <f ca="1">SUMIF(Сезон!A:A,F184,Сезон!B:B)</f>
        <v>1</v>
      </c>
      <c r="AN184" s="97">
        <f ca="1">SUMIF(Состав!A:A,J184,Состав!B:B)</f>
        <v>1</v>
      </c>
      <c r="AO184" s="97">
        <f ca="1">VLOOKUP(I184,ЦветПолный!A:C,3,0)</f>
        <v>1</v>
      </c>
      <c r="AP184" s="97">
        <f ca="1">SUMIF(Цвет!A:A,Z184,Цвет!B:B)</f>
        <v>1</v>
      </c>
      <c r="AQ184" s="97">
        <f ca="1">_xlfn.XLOOKUP(L184,Пол!A:A,Пол!B:B,0,0)</f>
        <v>1</v>
      </c>
      <c r="AR184" s="97">
        <f ca="1">SUMIF(Бренд!A:A,G184,Бренд!B:B)</f>
        <v>1</v>
      </c>
      <c r="AS184" s="97">
        <f ca="1">SUMIF(Страна!A:A,M184,Страна!B:B)</f>
        <v>1</v>
      </c>
      <c r="AT184" s="64" t="str">
        <f ca="1">IF(VLOOKUP(W184,Товары!A:B,2,FALSE)=A184,"Есть в 1С","ERR")</f>
        <v>Есть в 1С</v>
      </c>
      <c r="AU184" s="65" t="str">
        <f ca="1">IF(VLOOKUP(A184,Товары!B:B,1,FALSE)=A184,"Есть в 1С","ERR")</f>
        <v>Есть в 1С</v>
      </c>
      <c r="AV184" s="96" t="str">
        <f ca="1">VLOOKUP(W184,Товары!A:B,2,FALSE)</f>
        <v>80-862-14</v>
      </c>
      <c r="AW184" s="94" t="str">
        <f ca="1">VLOOKUP(W184,Товары!A:B,1,FALSE)</f>
        <v>Шапка HERMAN арт. BUCK 001 (коричневый) {brown}</v>
      </c>
    </row>
    <row r="185" spans="1:49" x14ac:dyDescent="0.25">
      <c r="A185" s="110" t="str">
        <f t="shared" ca="1" si="12"/>
        <v>80-862-14</v>
      </c>
      <c r="B185" s="107" t="str">
        <f ca="1">_xlfn.LET(_xlpm.CAPS,0,_xlpm.Style,TRIM(_xlfn.XLOOKUP($A185,Строчный!$A:$A,Строчный!B:B,"ERR",0)),IF(_xlpm.CAPS=0,_xlpm.Style,UPPER(_xlpm.Style)))</f>
        <v>BUCK 001</v>
      </c>
      <c r="C185" s="81" t="str">
        <f ca="1">TRIM(PROPER(_xlfn.XLOOKUP($A185,Строчный!$A:$A,Строчный!C:C,"ERR",0)))</f>
        <v>Шапки</v>
      </c>
      <c r="D185" s="81" t="str">
        <f ca="1">_xlfn.LET(_xlpm.DATA,TRIM(_xlfn.XLOOKUP($A185,Строчный!$A:$A,Строчный!D:D,"ERR",0)),UPPER(MID(_xlpm.DATA,1,1))&amp;LOWER(MID(_xlpm.DATA,2,LEN(_xlpm.DATA)-1)))</f>
        <v>Шапка ушанка</v>
      </c>
      <c r="E185" s="81" t="str">
        <f ca="1">PROPER(TRIM(_xlfn.XLOOKUP($A185,Строчный!$A:$A,Строчный!E:E,"ERR",0)))</f>
        <v>Herman</v>
      </c>
      <c r="F185" s="81" t="str">
        <f ca="1">LOWER(TRIM(_xlfn.XLOOKUP($A185,Строчный!$A:$A,Строчный!F:F,"ERR",0)))</f>
        <v>зимний</v>
      </c>
      <c r="G185" s="81" t="str">
        <f ca="1">UPPER(TRIM(_xlfn.XLOOKUP($A185,Строчный!$A:$A,Строчный!G:G,"ERR",0)))</f>
        <v>HERMAN</v>
      </c>
      <c r="H185" s="81" t="str">
        <f ca="1">LOWER(TRIM(_xlfn.XLOOKUP($A185,Строчный!$A:$A,Строчный!H:H,"ERR",0)))</f>
        <v>brown</v>
      </c>
      <c r="I185" s="81" t="str">
        <f ca="1">LOWER(TRIM(_xlfn.XLOOKUP($A185,Строчный!$A:$A,Строчный!I:I,"ERR",0)))</f>
        <v>коричневый</v>
      </c>
      <c r="J185" s="81" t="str">
        <f ca="1">SUBSTITUTE(LOWER(TRIM(_xlfn.XLOOKUP($A185,Строчный!$A:$A,Строчный!J:J,"ERR",0))),"подклад","Подклад")</f>
        <v>100% полиэстер</v>
      </c>
      <c r="K185" s="81" t="str">
        <f ca="1">LOWER(TRIM(_xlfn.XLOOKUP($A185,Строчный!$A:$A,Строчный!K:K,"ERR",0)))</f>
        <v/>
      </c>
      <c r="L185" s="81" t="str">
        <f ca="1">PROPER(TRIM(_xlfn.XLOOKUP($A185,Строчный!$A:$A,Строчный!L:L,"ERR",0)))</f>
        <v>Мужской</v>
      </c>
      <c r="M185" s="113" t="str">
        <f ca="1">PROPER(TRIM(_xlfn.XLOOKUP($A185,Строчный!$A:$A,Строчный!M:M,"ERR",0)))</f>
        <v>Китай</v>
      </c>
      <c r="N185" s="81" t="str">
        <f ca="1">UPPER(TRIM(_xlfn.XLOOKUP($A185,Строчный!$A:$A,Строчный!O:O,"ERR",0)))</f>
        <v/>
      </c>
      <c r="O185" s="102" t="str">
        <f ca="1">PROPER(TRIM(_xlfn.XLOOKUP($A185,Строчный!$A:$A,Строчный!P:P,"ERR",0)))</f>
        <v/>
      </c>
      <c r="P185" s="81" t="str">
        <f ca="1">PROPER(TRIM(_xlfn.XLOOKUP($A185,Строчный!$A:$A,Строчный!R:R,"ERR",0)))</f>
        <v/>
      </c>
      <c r="Q185" s="90">
        <f ca="1">VALUE(_xlfn.XLOOKUP($A185,Строчный!$A:$A,Строчный!N:N,"ERR",0))</f>
        <v>872.09999999999991</v>
      </c>
      <c r="R185" s="89" t="str">
        <f ca="1">_xlfn.XLOOKUP($G185,Фабрика!A:A,Фабрика!B:B,"ERR",0)</f>
        <v>Chapellerie Herman S.A.; Rue Jean Meunier, 6, 6922 Wellin, Belgium</v>
      </c>
      <c r="S185" s="80" t="str">
        <f ca="1">_xlfn.XLOOKUP(RIGHT(AA185,2),Размеры!D:D,Размеры!A:A,"ERR",0)</f>
        <v>57</v>
      </c>
      <c r="T185" s="80">
        <f ca="1">VALUE(_xlfn.XLOOKUP($AA185,Строчный!$S:$S,Строчный!U:U,"ERR",0))</f>
        <v>16</v>
      </c>
      <c r="U185" s="14" t="s">
        <v>265</v>
      </c>
      <c r="V185" s="101" t="str">
        <f t="shared" ca="1" si="13"/>
        <v>Шапка HERMAN арт. BUCK 001 (коричневый)</v>
      </c>
      <c r="W185" s="100" t="str">
        <f t="shared" ca="1" si="14"/>
        <v>Шапка HERMAN арт. BUCK 001 (коричневый) {brown}</v>
      </c>
      <c r="X185" s="18" t="str">
        <f t="shared" ca="1" si="15"/>
        <v>коричневый</v>
      </c>
      <c r="Y185" s="18" t="str">
        <f t="shared" ca="1" si="16"/>
        <v>коричневый</v>
      </c>
      <c r="Z185" s="117" t="str">
        <f ca="1">_xlfn.LET(_xlpm.FormColors,_xlfn.XLOOKUP(A185,Строчный!A:A,Строчный!Q:Q,"",0),IF(_xlpm.FormColors=0,IFERROR(MID(I185,FIND("-",I185)+1,LEN(I185)),IFERROR(MID(I185,1,FIND("/",I185)-2),I185)),_xlpm.FormColors))</f>
        <v>коричневый</v>
      </c>
      <c r="AA185" s="73" t="str">
        <f ca="1"/>
        <v>80-862-14-57</v>
      </c>
      <c r="AB185" s="75" t="str">
        <f ca="1">VLOOKUP(C185,Группа!A:B,2,FALSE)</f>
        <v>Шапка</v>
      </c>
      <c r="AC185" s="97" t="str">
        <f ca="1">IFERROR(VLOOKUP(S185,Размеры!A:C,3,FALSE),"")</f>
        <v>57 M</v>
      </c>
      <c r="AD185" s="97" t="str">
        <f ca="1">VLOOKUP(I185,ЦветПолный!A:B,2,FALSE)</f>
        <v>14</v>
      </c>
      <c r="AE185" s="97" t="str">
        <f ca="1">IFERROR(VLOOKUP(S185,Размеры!A:D,4,FALSE),"")</f>
        <v>57</v>
      </c>
      <c r="AF185" s="97">
        <f ca="1">IF(LEFT(IFERROR(VLOOKUP(LOOKUP(2,1/SEARCH(B185,Товары!A:A),Товары!A:A),Товары!A:B,2,0),""),6)=MID(AA185,1,6),1,0)</f>
        <v>1</v>
      </c>
      <c r="AH185" s="97">
        <f ca="1">SUMIF(Группа!A:A,C185,Группа!C:C)</f>
        <v>1</v>
      </c>
      <c r="AI185" s="97">
        <f ca="1">SUMIF(Группа!B:B,AB185,Группа!C:C)</f>
        <v>1</v>
      </c>
      <c r="AJ185" s="97">
        <f ca="1">SUMIF(Формы!A:A,D185,Формы!B:B)</f>
        <v>1</v>
      </c>
      <c r="AK185" s="97">
        <f ca="1">SUMIF(Материал!A:A,K185,Материал!B:B)</f>
        <v>0</v>
      </c>
      <c r="AL185" s="97">
        <f ca="1">SUMIF(Размеры!A:A,S185,Размеры!E:E)</f>
        <v>1</v>
      </c>
      <c r="AM185" s="97">
        <f ca="1">SUMIF(Сезон!A:A,F185,Сезон!B:B)</f>
        <v>1</v>
      </c>
      <c r="AN185" s="97">
        <f ca="1">SUMIF(Состав!A:A,J185,Состав!B:B)</f>
        <v>1</v>
      </c>
      <c r="AO185" s="97">
        <f ca="1">VLOOKUP(I185,ЦветПолный!A:C,3,0)</f>
        <v>1</v>
      </c>
      <c r="AP185" s="97">
        <f ca="1">SUMIF(Цвет!A:A,Z185,Цвет!B:B)</f>
        <v>1</v>
      </c>
      <c r="AQ185" s="97">
        <f ca="1">_xlfn.XLOOKUP(L185,Пол!A:A,Пол!B:B,0,0)</f>
        <v>1</v>
      </c>
      <c r="AR185" s="97">
        <f ca="1">SUMIF(Бренд!A:A,G185,Бренд!B:B)</f>
        <v>1</v>
      </c>
      <c r="AS185" s="97">
        <f ca="1">SUMIF(Страна!A:A,M185,Страна!B:B)</f>
        <v>1</v>
      </c>
      <c r="AT185" s="64" t="str">
        <f ca="1">IF(VLOOKUP(W185,Товары!A:B,2,FALSE)=A185,"Есть в 1С","ERR")</f>
        <v>Есть в 1С</v>
      </c>
      <c r="AU185" s="65" t="str">
        <f ca="1">IF(VLOOKUP(A185,Товары!B:B,1,FALSE)=A185,"Есть в 1С","ERR")</f>
        <v>Есть в 1С</v>
      </c>
      <c r="AV185" s="96" t="str">
        <f ca="1">VLOOKUP(W185,Товары!A:B,2,FALSE)</f>
        <v>80-862-14</v>
      </c>
      <c r="AW185" s="94" t="str">
        <f ca="1">VLOOKUP(W185,Товары!A:B,1,FALSE)</f>
        <v>Шапка HERMAN арт. BUCK 001 (коричневый) {brown}</v>
      </c>
    </row>
    <row r="186" spans="1:49" x14ac:dyDescent="0.25">
      <c r="A186" s="110" t="str">
        <f t="shared" ca="1" si="12"/>
        <v>80-862-14</v>
      </c>
      <c r="B186" s="107" t="str">
        <f ca="1">_xlfn.LET(_xlpm.CAPS,0,_xlpm.Style,TRIM(_xlfn.XLOOKUP($A186,Строчный!$A:$A,Строчный!B:B,"ERR",0)),IF(_xlpm.CAPS=0,_xlpm.Style,UPPER(_xlpm.Style)))</f>
        <v>BUCK 001</v>
      </c>
      <c r="C186" s="81" t="str">
        <f ca="1">TRIM(PROPER(_xlfn.XLOOKUP($A186,Строчный!$A:$A,Строчный!C:C,"ERR",0)))</f>
        <v>Шапки</v>
      </c>
      <c r="D186" s="81" t="str">
        <f ca="1">_xlfn.LET(_xlpm.DATA,TRIM(_xlfn.XLOOKUP($A186,Строчный!$A:$A,Строчный!D:D,"ERR",0)),UPPER(MID(_xlpm.DATA,1,1))&amp;LOWER(MID(_xlpm.DATA,2,LEN(_xlpm.DATA)-1)))</f>
        <v>Шапка ушанка</v>
      </c>
      <c r="E186" s="81" t="str">
        <f ca="1">PROPER(TRIM(_xlfn.XLOOKUP($A186,Строчный!$A:$A,Строчный!E:E,"ERR",0)))</f>
        <v>Herman</v>
      </c>
      <c r="F186" s="81" t="str">
        <f ca="1">LOWER(TRIM(_xlfn.XLOOKUP($A186,Строчный!$A:$A,Строчный!F:F,"ERR",0)))</f>
        <v>зимний</v>
      </c>
      <c r="G186" s="81" t="str">
        <f ca="1">UPPER(TRIM(_xlfn.XLOOKUP($A186,Строчный!$A:$A,Строчный!G:G,"ERR",0)))</f>
        <v>HERMAN</v>
      </c>
      <c r="H186" s="81" t="str">
        <f ca="1">LOWER(TRIM(_xlfn.XLOOKUP($A186,Строчный!$A:$A,Строчный!H:H,"ERR",0)))</f>
        <v>brown</v>
      </c>
      <c r="I186" s="81" t="str">
        <f ca="1">LOWER(TRIM(_xlfn.XLOOKUP($A186,Строчный!$A:$A,Строчный!I:I,"ERR",0)))</f>
        <v>коричневый</v>
      </c>
      <c r="J186" s="81" t="str">
        <f ca="1">SUBSTITUTE(LOWER(TRIM(_xlfn.XLOOKUP($A186,Строчный!$A:$A,Строчный!J:J,"ERR",0))),"подклад","Подклад")</f>
        <v>100% полиэстер</v>
      </c>
      <c r="K186" s="81" t="str">
        <f ca="1">LOWER(TRIM(_xlfn.XLOOKUP($A186,Строчный!$A:$A,Строчный!K:K,"ERR",0)))</f>
        <v/>
      </c>
      <c r="L186" s="81" t="str">
        <f ca="1">PROPER(TRIM(_xlfn.XLOOKUP($A186,Строчный!$A:$A,Строчный!L:L,"ERR",0)))</f>
        <v>Мужской</v>
      </c>
      <c r="M186" s="113" t="str">
        <f ca="1">PROPER(TRIM(_xlfn.XLOOKUP($A186,Строчный!$A:$A,Строчный!M:M,"ERR",0)))</f>
        <v>Китай</v>
      </c>
      <c r="N186" s="81" t="str">
        <f ca="1">UPPER(TRIM(_xlfn.XLOOKUP($A186,Строчный!$A:$A,Строчный!O:O,"ERR",0)))</f>
        <v/>
      </c>
      <c r="O186" s="102" t="str">
        <f ca="1">PROPER(TRIM(_xlfn.XLOOKUP($A186,Строчный!$A:$A,Строчный!P:P,"ERR",0)))</f>
        <v/>
      </c>
      <c r="P186" s="81" t="str">
        <f ca="1">PROPER(TRIM(_xlfn.XLOOKUP($A186,Строчный!$A:$A,Строчный!R:R,"ERR",0)))</f>
        <v/>
      </c>
      <c r="Q186" s="90">
        <f ca="1">VALUE(_xlfn.XLOOKUP($A186,Строчный!$A:$A,Строчный!N:N,"ERR",0))</f>
        <v>872.09999999999991</v>
      </c>
      <c r="R186" s="89" t="str">
        <f ca="1">_xlfn.XLOOKUP($G186,Фабрика!A:A,Фабрика!B:B,"ERR",0)</f>
        <v>Chapellerie Herman S.A.; Rue Jean Meunier, 6, 6922 Wellin, Belgium</v>
      </c>
      <c r="S186" s="80" t="str">
        <f ca="1">_xlfn.XLOOKUP(RIGHT(AA186,2),Размеры!D:D,Размеры!A:A,"ERR",0)</f>
        <v>55</v>
      </c>
      <c r="T186" s="80">
        <f ca="1">VALUE(_xlfn.XLOOKUP($AA186,Строчный!$S:$S,Строчный!U:U,"ERR",0))</f>
        <v>2</v>
      </c>
      <c r="U186" s="14" t="s">
        <v>265</v>
      </c>
      <c r="V186" s="101" t="str">
        <f t="shared" ca="1" si="13"/>
        <v>Шапка HERMAN арт. BUCK 001 (коричневый)</v>
      </c>
      <c r="W186" s="100" t="str">
        <f t="shared" ca="1" si="14"/>
        <v>Шапка HERMAN арт. BUCK 001 (коричневый) {brown}</v>
      </c>
      <c r="X186" s="18" t="str">
        <f t="shared" ca="1" si="15"/>
        <v>коричневый</v>
      </c>
      <c r="Y186" s="18" t="str">
        <f t="shared" ca="1" si="16"/>
        <v>коричневый</v>
      </c>
      <c r="Z186" s="117" t="str">
        <f ca="1">_xlfn.LET(_xlpm.FormColors,_xlfn.XLOOKUP(A186,Строчный!A:A,Строчный!Q:Q,"",0),IF(_xlpm.FormColors=0,IFERROR(MID(I186,FIND("-",I186)+1,LEN(I186)),IFERROR(MID(I186,1,FIND("/",I186)-2),I186)),_xlpm.FormColors))</f>
        <v>коричневый</v>
      </c>
      <c r="AA186" s="73" t="str">
        <f ca="1"/>
        <v>80-862-14-55</v>
      </c>
      <c r="AB186" s="75" t="str">
        <f ca="1">VLOOKUP(C186,Группа!A:B,2,FALSE)</f>
        <v>Шапка</v>
      </c>
      <c r="AC186" s="97" t="str">
        <f ca="1">IFERROR(VLOOKUP(S186,Размеры!A:C,3,FALSE),"")</f>
        <v>55 S</v>
      </c>
      <c r="AD186" s="97" t="str">
        <f ca="1">VLOOKUP(I186,ЦветПолный!A:B,2,FALSE)</f>
        <v>14</v>
      </c>
      <c r="AE186" s="97" t="str">
        <f ca="1">IFERROR(VLOOKUP(S186,Размеры!A:D,4,FALSE),"")</f>
        <v>55</v>
      </c>
      <c r="AF186" s="97">
        <f ca="1">IF(LEFT(IFERROR(VLOOKUP(LOOKUP(2,1/SEARCH(B186,Товары!A:A),Товары!A:A),Товары!A:B,2,0),""),6)=MID(AA186,1,6),1,0)</f>
        <v>1</v>
      </c>
      <c r="AH186" s="97">
        <f ca="1">SUMIF(Группа!A:A,C186,Группа!C:C)</f>
        <v>1</v>
      </c>
      <c r="AI186" s="97">
        <f ca="1">SUMIF(Группа!B:B,AB186,Группа!C:C)</f>
        <v>1</v>
      </c>
      <c r="AJ186" s="97">
        <f ca="1">SUMIF(Формы!A:A,D186,Формы!B:B)</f>
        <v>1</v>
      </c>
      <c r="AK186" s="97">
        <f ca="1">SUMIF(Материал!A:A,K186,Материал!B:B)</f>
        <v>0</v>
      </c>
      <c r="AL186" s="97">
        <f ca="1">SUMIF(Размеры!A:A,S186,Размеры!E:E)</f>
        <v>1</v>
      </c>
      <c r="AM186" s="97">
        <f ca="1">SUMIF(Сезон!A:A,F186,Сезон!B:B)</f>
        <v>1</v>
      </c>
      <c r="AN186" s="97">
        <f ca="1">SUMIF(Состав!A:A,J186,Состав!B:B)</f>
        <v>1</v>
      </c>
      <c r="AO186" s="97">
        <f ca="1">VLOOKUP(I186,ЦветПолный!A:C,3,0)</f>
        <v>1</v>
      </c>
      <c r="AP186" s="97">
        <f ca="1">SUMIF(Цвет!A:A,Z186,Цвет!B:B)</f>
        <v>1</v>
      </c>
      <c r="AQ186" s="97">
        <f ca="1">_xlfn.XLOOKUP(L186,Пол!A:A,Пол!B:B,0,0)</f>
        <v>1</v>
      </c>
      <c r="AR186" s="97">
        <f ca="1">SUMIF(Бренд!A:A,G186,Бренд!B:B)</f>
        <v>1</v>
      </c>
      <c r="AS186" s="97">
        <f ca="1">SUMIF(Страна!A:A,M186,Страна!B:B)</f>
        <v>1</v>
      </c>
      <c r="AT186" s="64" t="str">
        <f ca="1">IF(VLOOKUP(W186,Товары!A:B,2,FALSE)=A186,"Есть в 1С","ERR")</f>
        <v>Есть в 1С</v>
      </c>
      <c r="AU186" s="65" t="str">
        <f ca="1">IF(VLOOKUP(A186,Товары!B:B,1,FALSE)=A186,"Есть в 1С","ERR")</f>
        <v>Есть в 1С</v>
      </c>
      <c r="AV186" s="96" t="str">
        <f ca="1">VLOOKUP(W186,Товары!A:B,2,FALSE)</f>
        <v>80-862-14</v>
      </c>
      <c r="AW186" s="94" t="str">
        <f ca="1">VLOOKUP(W186,Товары!A:B,1,FALSE)</f>
        <v>Шапка HERMAN арт. BUCK 001 (коричневый) {brown}</v>
      </c>
    </row>
    <row r="187" spans="1:49" x14ac:dyDescent="0.25">
      <c r="A187" s="110" t="str">
        <f t="shared" ca="1" si="12"/>
        <v>80-824-16</v>
      </c>
      <c r="B187" s="107" t="str">
        <f ca="1">_xlfn.LET(_xlpm.CAPS,0,_xlpm.Style,TRIM(_xlfn.XLOOKUP($A187,Строчный!$A:$A,Строчный!B:B,"ERR",0)),IF(_xlpm.CAPS=0,_xlpm.Style,UPPER(_xlpm.Style)))</f>
        <v>HORSE</v>
      </c>
      <c r="C187" s="81" t="str">
        <f ca="1">TRIM(PROPER(_xlfn.XLOOKUP($A187,Строчный!$A:$A,Строчный!C:C,"ERR",0)))</f>
        <v>Кепки</v>
      </c>
      <c r="D187" s="81" t="str">
        <f ca="1">_xlfn.LET(_xlpm.DATA,TRIM(_xlfn.XLOOKUP($A187,Строчный!$A:$A,Строчный!D:D,"ERR",0)),UPPER(MID(_xlpm.DATA,1,1))&amp;LOWER(MID(_xlpm.DATA,2,LEN(_xlpm.DATA)-1)))</f>
        <v>Кепка картуз</v>
      </c>
      <c r="E187" s="81" t="str">
        <f ca="1">PROPER(TRIM(_xlfn.XLOOKUP($A187,Строчный!$A:$A,Строчный!E:E,"ERR",0)))</f>
        <v>Herman</v>
      </c>
      <c r="F187" s="81" t="str">
        <f ca="1">LOWER(TRIM(_xlfn.XLOOKUP($A187,Строчный!$A:$A,Строчный!F:F,"ERR",0)))</f>
        <v>всесезон</v>
      </c>
      <c r="G187" s="81" t="str">
        <f ca="1">UPPER(TRIM(_xlfn.XLOOKUP($A187,Строчный!$A:$A,Строчный!G:G,"ERR",0)))</f>
        <v>HERMAN</v>
      </c>
      <c r="H187" s="81" t="str">
        <f ca="1">LOWER(TRIM(_xlfn.XLOOKUP($A187,Строчный!$A:$A,Строчный!H:H,"ERR",0)))</f>
        <v>blue</v>
      </c>
      <c r="I187" s="81" t="str">
        <f ca="1">LOWER(TRIM(_xlfn.XLOOKUP($A187,Строчный!$A:$A,Строчный!I:I,"ERR",0)))</f>
        <v>темно-синий</v>
      </c>
      <c r="J187" s="81" t="str">
        <f ca="1">SUBSTITUTE(LOWER(TRIM(_xlfn.XLOOKUP($A187,Строчный!$A:$A,Строчный!J:J,"ERR",0))),"подклад","Подклад")</f>
        <v>90% шерсть - 10% кашемир</v>
      </c>
      <c r="K187" s="81" t="str">
        <f ca="1">LOWER(TRIM(_xlfn.XLOOKUP($A187,Строчный!$A:$A,Строчный!K:K,"ERR",0)))</f>
        <v>шерстяные</v>
      </c>
      <c r="L187" s="81" t="str">
        <f ca="1">PROPER(TRIM(_xlfn.XLOOKUP($A187,Строчный!$A:$A,Строчный!L:L,"ERR",0)))</f>
        <v>Унисекс</v>
      </c>
      <c r="M187" s="113" t="str">
        <f ca="1">PROPER(TRIM(_xlfn.XLOOKUP($A187,Строчный!$A:$A,Строчный!M:M,"ERR",0)))</f>
        <v>Италия</v>
      </c>
      <c r="N187" s="81" t="str">
        <f ca="1">UPPER(TRIM(_xlfn.XLOOKUP($A187,Строчный!$A:$A,Строчный!O:O,"ERR",0)))</f>
        <v/>
      </c>
      <c r="O187" s="102" t="str">
        <f ca="1">PROPER(TRIM(_xlfn.XLOOKUP($A187,Строчный!$A:$A,Строчный!P:P,"ERR",0)))</f>
        <v/>
      </c>
      <c r="P187" s="81" t="str">
        <f ca="1">PROPER(TRIM(_xlfn.XLOOKUP($A187,Строчный!$A:$A,Строчный!R:R,"ERR",0)))</f>
        <v/>
      </c>
      <c r="Q187" s="90">
        <f ca="1">VALUE(_xlfn.XLOOKUP($A187,Строчный!$A:$A,Строчный!N:N,"ERR",0))</f>
        <v>360</v>
      </c>
      <c r="R187" s="89" t="str">
        <f ca="1">_xlfn.XLOOKUP($G187,Фабрика!A:A,Фабрика!B:B,"ERR",0)</f>
        <v>Chapellerie Herman S.A.; Rue Jean Meunier, 6, 6922 Wellin, Belgium</v>
      </c>
      <c r="S187" s="80" t="str">
        <f ca="1">_xlfn.XLOOKUP(RIGHT(AA187,2),Размеры!D:D,Размеры!A:A,"ERR",0)</f>
        <v>61</v>
      </c>
      <c r="T187" s="80">
        <f ca="1">VALUE(_xlfn.XLOOKUP($AA187,Строчный!$S:$S,Строчный!U:U,"ERR",0))</f>
        <v>3</v>
      </c>
      <c r="U187" s="14" t="s">
        <v>265</v>
      </c>
      <c r="V187" s="101" t="str">
        <f t="shared" ca="1" si="13"/>
        <v>Кепка HERMAN арт. HORSE (темно-синий)</v>
      </c>
      <c r="W187" s="100" t="str">
        <f t="shared" ca="1" si="14"/>
        <v>Кепка HERMAN арт. HORSE (темно-синий) {blue}</v>
      </c>
      <c r="X187" s="18" t="str">
        <f t="shared" ca="1" si="15"/>
        <v>синий</v>
      </c>
      <c r="Y187" s="18" t="str">
        <f t="shared" ca="1" si="16"/>
        <v>синий</v>
      </c>
      <c r="Z187" s="117" t="str">
        <f ca="1">_xlfn.LET(_xlpm.FormColors,_xlfn.XLOOKUP(A187,Строчный!A:A,Строчный!Q:Q,"",0),IF(_xlpm.FormColors=0,IFERROR(MID(I187,FIND("-",I187)+1,LEN(I187)),IFERROR(MID(I187,1,FIND("/",I187)-2),I187)),_xlpm.FormColors))</f>
        <v>синий</v>
      </c>
      <c r="AA187" s="73" t="str">
        <f ca="1"/>
        <v>80-824-16-61</v>
      </c>
      <c r="AB187" s="75" t="str">
        <f ca="1">VLOOKUP(C187,Группа!A:B,2,FALSE)</f>
        <v>Кепка</v>
      </c>
      <c r="AC187" s="97" t="str">
        <f ca="1">IFERROR(VLOOKUP(S187,Размеры!A:C,3,FALSE),"")</f>
        <v>61 XL</v>
      </c>
      <c r="AD187" s="97" t="str">
        <f ca="1">VLOOKUP(I187,ЦветПолный!A:B,2,FALSE)</f>
        <v>16</v>
      </c>
      <c r="AE187" s="97" t="str">
        <f ca="1">IFERROR(VLOOKUP(S187,Размеры!A:D,4,FALSE),"")</f>
        <v>61</v>
      </c>
      <c r="AF187" s="97">
        <f ca="1">IF(LEFT(IFERROR(VLOOKUP(LOOKUP(2,1/SEARCH(B187,Товары!A:A),Товары!A:A),Товары!A:B,2,0),""),6)=MID(AA187,1,6),1,0)</f>
        <v>0</v>
      </c>
      <c r="AH187" s="97">
        <f ca="1">SUMIF(Группа!A:A,C187,Группа!C:C)</f>
        <v>1</v>
      </c>
      <c r="AI187" s="97">
        <f ca="1">SUMIF(Группа!B:B,AB187,Группа!C:C)</f>
        <v>1</v>
      </c>
      <c r="AJ187" s="97">
        <f ca="1">SUMIF(Формы!A:A,D187,Формы!B:B)</f>
        <v>1</v>
      </c>
      <c r="AK187" s="97">
        <f ca="1">SUMIF(Материал!A:A,K187,Материал!B:B)</f>
        <v>1</v>
      </c>
      <c r="AL187" s="97">
        <f ca="1">SUMIF(Размеры!A:A,S187,Размеры!E:E)</f>
        <v>1</v>
      </c>
      <c r="AM187" s="97">
        <f ca="1">SUMIF(Сезон!A:A,F187,Сезон!B:B)</f>
        <v>1</v>
      </c>
      <c r="AN187" s="97">
        <f ca="1">SUMIF(Состав!A:A,J187,Состав!B:B)</f>
        <v>1</v>
      </c>
      <c r="AO187" s="97">
        <f ca="1">VLOOKUP(I187,ЦветПолный!A:C,3,0)</f>
        <v>1</v>
      </c>
      <c r="AP187" s="97">
        <f ca="1">SUMIF(Цвет!A:A,Z187,Цвет!B:B)</f>
        <v>1</v>
      </c>
      <c r="AQ187" s="97">
        <f ca="1">_xlfn.XLOOKUP(L187,Пол!A:A,Пол!B:B,0,0)</f>
        <v>1</v>
      </c>
      <c r="AR187" s="97">
        <f ca="1">SUMIF(Бренд!A:A,G187,Бренд!B:B)</f>
        <v>1</v>
      </c>
      <c r="AS187" s="97">
        <f ca="1">SUMIF(Страна!A:A,M187,Страна!B:B)</f>
        <v>1</v>
      </c>
      <c r="AT187" s="64" t="e">
        <f ca="1">IF(VLOOKUP(W187,Товары!A:B,2,FALSE)=A187,"Есть в 1С","ERR")</f>
        <v>#N/A</v>
      </c>
      <c r="AU187" s="65" t="e">
        <f ca="1">IF(VLOOKUP(A187,Товары!B:B,1,FALSE)=A187,"Есть в 1С","ERR")</f>
        <v>#N/A</v>
      </c>
      <c r="AV187" s="96" t="e">
        <f ca="1">VLOOKUP(W187,Товары!A:B,2,FALSE)</f>
        <v>#N/A</v>
      </c>
      <c r="AW187" s="94" t="e">
        <f ca="1">VLOOKUP(W187,Товары!A:B,1,FALSE)</f>
        <v>#N/A</v>
      </c>
    </row>
    <row r="188" spans="1:49" x14ac:dyDescent="0.25">
      <c r="A188" s="110" t="str">
        <f t="shared" ca="1" si="12"/>
        <v>80-824-16</v>
      </c>
      <c r="B188" s="107" t="str">
        <f ca="1">_xlfn.LET(_xlpm.CAPS,0,_xlpm.Style,TRIM(_xlfn.XLOOKUP($A188,Строчный!$A:$A,Строчный!B:B,"ERR",0)),IF(_xlpm.CAPS=0,_xlpm.Style,UPPER(_xlpm.Style)))</f>
        <v>HORSE</v>
      </c>
      <c r="C188" s="81" t="str">
        <f ca="1">TRIM(PROPER(_xlfn.XLOOKUP($A188,Строчный!$A:$A,Строчный!C:C,"ERR",0)))</f>
        <v>Кепки</v>
      </c>
      <c r="D188" s="81" t="str">
        <f ca="1">_xlfn.LET(_xlpm.DATA,TRIM(_xlfn.XLOOKUP($A188,Строчный!$A:$A,Строчный!D:D,"ERR",0)),UPPER(MID(_xlpm.DATA,1,1))&amp;LOWER(MID(_xlpm.DATA,2,LEN(_xlpm.DATA)-1)))</f>
        <v>Кепка картуз</v>
      </c>
      <c r="E188" s="81" t="str">
        <f ca="1">PROPER(TRIM(_xlfn.XLOOKUP($A188,Строчный!$A:$A,Строчный!E:E,"ERR",0)))</f>
        <v>Herman</v>
      </c>
      <c r="F188" s="81" t="str">
        <f ca="1">LOWER(TRIM(_xlfn.XLOOKUP($A188,Строчный!$A:$A,Строчный!F:F,"ERR",0)))</f>
        <v>всесезон</v>
      </c>
      <c r="G188" s="81" t="str">
        <f ca="1">UPPER(TRIM(_xlfn.XLOOKUP($A188,Строчный!$A:$A,Строчный!G:G,"ERR",0)))</f>
        <v>HERMAN</v>
      </c>
      <c r="H188" s="81" t="str">
        <f ca="1">LOWER(TRIM(_xlfn.XLOOKUP($A188,Строчный!$A:$A,Строчный!H:H,"ERR",0)))</f>
        <v>blue</v>
      </c>
      <c r="I188" s="81" t="str">
        <f ca="1">LOWER(TRIM(_xlfn.XLOOKUP($A188,Строчный!$A:$A,Строчный!I:I,"ERR",0)))</f>
        <v>темно-синий</v>
      </c>
      <c r="J188" s="81" t="str">
        <f ca="1">SUBSTITUTE(LOWER(TRIM(_xlfn.XLOOKUP($A188,Строчный!$A:$A,Строчный!J:J,"ERR",0))),"подклад","Подклад")</f>
        <v>90% шерсть - 10% кашемир</v>
      </c>
      <c r="K188" s="81" t="str">
        <f ca="1">LOWER(TRIM(_xlfn.XLOOKUP($A188,Строчный!$A:$A,Строчный!K:K,"ERR",0)))</f>
        <v>шерстяные</v>
      </c>
      <c r="L188" s="81" t="str">
        <f ca="1">PROPER(TRIM(_xlfn.XLOOKUP($A188,Строчный!$A:$A,Строчный!L:L,"ERR",0)))</f>
        <v>Унисекс</v>
      </c>
      <c r="M188" s="113" t="str">
        <f ca="1">PROPER(TRIM(_xlfn.XLOOKUP($A188,Строчный!$A:$A,Строчный!M:M,"ERR",0)))</f>
        <v>Италия</v>
      </c>
      <c r="N188" s="81" t="str">
        <f ca="1">UPPER(TRIM(_xlfn.XLOOKUP($A188,Строчный!$A:$A,Строчный!O:O,"ERR",0)))</f>
        <v/>
      </c>
      <c r="O188" s="102" t="str">
        <f ca="1">PROPER(TRIM(_xlfn.XLOOKUP($A188,Строчный!$A:$A,Строчный!P:P,"ERR",0)))</f>
        <v/>
      </c>
      <c r="P188" s="81" t="str">
        <f ca="1">PROPER(TRIM(_xlfn.XLOOKUP($A188,Строчный!$A:$A,Строчный!R:R,"ERR",0)))</f>
        <v/>
      </c>
      <c r="Q188" s="90">
        <f ca="1">VALUE(_xlfn.XLOOKUP($A188,Строчный!$A:$A,Строчный!N:N,"ERR",0))</f>
        <v>360</v>
      </c>
      <c r="R188" s="89" t="str">
        <f ca="1">_xlfn.XLOOKUP($G188,Фабрика!A:A,Фабрика!B:B,"ERR",0)</f>
        <v>Chapellerie Herman S.A.; Rue Jean Meunier, 6, 6922 Wellin, Belgium</v>
      </c>
      <c r="S188" s="80" t="str">
        <f ca="1">_xlfn.XLOOKUP(RIGHT(AA188,2),Размеры!D:D,Размеры!A:A,"ERR",0)</f>
        <v>60</v>
      </c>
      <c r="T188" s="80">
        <f ca="1">VALUE(_xlfn.XLOOKUP($AA188,Строчный!$S:$S,Строчный!U:U,"ERR",0))</f>
        <v>1</v>
      </c>
      <c r="U188" s="14" t="s">
        <v>265</v>
      </c>
      <c r="V188" s="101" t="str">
        <f t="shared" ca="1" si="13"/>
        <v>Кепка HERMAN арт. HORSE (темно-синий)</v>
      </c>
      <c r="W188" s="100" t="str">
        <f t="shared" ca="1" si="14"/>
        <v>Кепка HERMAN арт. HORSE (темно-синий) {blue}</v>
      </c>
      <c r="X188" s="18" t="str">
        <f t="shared" ca="1" si="15"/>
        <v>синий</v>
      </c>
      <c r="Y188" s="18" t="str">
        <f t="shared" ca="1" si="16"/>
        <v>синий</v>
      </c>
      <c r="Z188" s="117" t="str">
        <f ca="1">_xlfn.LET(_xlpm.FormColors,_xlfn.XLOOKUP(A188,Строчный!A:A,Строчный!Q:Q,"",0),IF(_xlpm.FormColors=0,IFERROR(MID(I188,FIND("-",I188)+1,LEN(I188)),IFERROR(MID(I188,1,FIND("/",I188)-2),I188)),_xlpm.FormColors))</f>
        <v>синий</v>
      </c>
      <c r="AA188" s="73" t="str">
        <f ca="1"/>
        <v>80-824-16-60</v>
      </c>
      <c r="AB188" s="75" t="str">
        <f ca="1">VLOOKUP(C188,Группа!A:B,2,FALSE)</f>
        <v>Кепка</v>
      </c>
      <c r="AC188" s="97" t="str">
        <f ca="1">IFERROR(VLOOKUP(S188,Размеры!A:C,3,FALSE),"")</f>
        <v>60 L/XL</v>
      </c>
      <c r="AD188" s="97" t="str">
        <f ca="1">VLOOKUP(I188,ЦветПолный!A:B,2,FALSE)</f>
        <v>16</v>
      </c>
      <c r="AE188" s="97" t="str">
        <f ca="1">IFERROR(VLOOKUP(S188,Размеры!A:D,4,FALSE),"")</f>
        <v>60</v>
      </c>
      <c r="AF188" s="97">
        <f ca="1">IF(LEFT(IFERROR(VLOOKUP(LOOKUP(2,1/SEARCH(B188,Товары!A:A),Товары!A:A),Товары!A:B,2,0),""),6)=MID(AA188,1,6),1,0)</f>
        <v>0</v>
      </c>
      <c r="AH188" s="97">
        <f ca="1">SUMIF(Группа!A:A,C188,Группа!C:C)</f>
        <v>1</v>
      </c>
      <c r="AI188" s="97">
        <f ca="1">SUMIF(Группа!B:B,AB188,Группа!C:C)</f>
        <v>1</v>
      </c>
      <c r="AJ188" s="97">
        <f ca="1">SUMIF(Формы!A:A,D188,Формы!B:B)</f>
        <v>1</v>
      </c>
      <c r="AK188" s="97">
        <f ca="1">SUMIF(Материал!A:A,K188,Материал!B:B)</f>
        <v>1</v>
      </c>
      <c r="AL188" s="97">
        <f ca="1">SUMIF(Размеры!A:A,S188,Размеры!E:E)</f>
        <v>1</v>
      </c>
      <c r="AM188" s="97">
        <f ca="1">SUMIF(Сезон!A:A,F188,Сезон!B:B)</f>
        <v>1</v>
      </c>
      <c r="AN188" s="97">
        <f ca="1">SUMIF(Состав!A:A,J188,Состав!B:B)</f>
        <v>1</v>
      </c>
      <c r="AO188" s="97">
        <f ca="1">VLOOKUP(I188,ЦветПолный!A:C,3,0)</f>
        <v>1</v>
      </c>
      <c r="AP188" s="97">
        <f ca="1">SUMIF(Цвет!A:A,Z188,Цвет!B:B)</f>
        <v>1</v>
      </c>
      <c r="AQ188" s="97">
        <f ca="1">_xlfn.XLOOKUP(L188,Пол!A:A,Пол!B:B,0,0)</f>
        <v>1</v>
      </c>
      <c r="AR188" s="97">
        <f ca="1">SUMIF(Бренд!A:A,G188,Бренд!B:B)</f>
        <v>1</v>
      </c>
      <c r="AS188" s="97">
        <f ca="1">SUMIF(Страна!A:A,M188,Страна!B:B)</f>
        <v>1</v>
      </c>
      <c r="AT188" s="64" t="e">
        <f ca="1">IF(VLOOKUP(W188,Товары!A:B,2,FALSE)=A188,"Есть в 1С","ERR")</f>
        <v>#N/A</v>
      </c>
      <c r="AU188" s="65" t="e">
        <f ca="1">IF(VLOOKUP(A188,Товары!B:B,1,FALSE)=A188,"Есть в 1С","ERR")</f>
        <v>#N/A</v>
      </c>
      <c r="AV188" s="96" t="e">
        <f ca="1">VLOOKUP(W188,Товары!A:B,2,FALSE)</f>
        <v>#N/A</v>
      </c>
      <c r="AW188" s="94" t="e">
        <f ca="1">VLOOKUP(W188,Товары!A:B,1,FALSE)</f>
        <v>#N/A</v>
      </c>
    </row>
    <row r="189" spans="1:49" x14ac:dyDescent="0.25">
      <c r="A189" s="110" t="str">
        <f t="shared" ca="1" si="12"/>
        <v>80-824-16</v>
      </c>
      <c r="B189" s="107" t="str">
        <f ca="1">_xlfn.LET(_xlpm.CAPS,0,_xlpm.Style,TRIM(_xlfn.XLOOKUP($A189,Строчный!$A:$A,Строчный!B:B,"ERR",0)),IF(_xlpm.CAPS=0,_xlpm.Style,UPPER(_xlpm.Style)))</f>
        <v>HORSE</v>
      </c>
      <c r="C189" s="81" t="str">
        <f ca="1">TRIM(PROPER(_xlfn.XLOOKUP($A189,Строчный!$A:$A,Строчный!C:C,"ERR",0)))</f>
        <v>Кепки</v>
      </c>
      <c r="D189" s="81" t="str">
        <f ca="1">_xlfn.LET(_xlpm.DATA,TRIM(_xlfn.XLOOKUP($A189,Строчный!$A:$A,Строчный!D:D,"ERR",0)),UPPER(MID(_xlpm.DATA,1,1))&amp;LOWER(MID(_xlpm.DATA,2,LEN(_xlpm.DATA)-1)))</f>
        <v>Кепка картуз</v>
      </c>
      <c r="E189" s="81" t="str">
        <f ca="1">PROPER(TRIM(_xlfn.XLOOKUP($A189,Строчный!$A:$A,Строчный!E:E,"ERR",0)))</f>
        <v>Herman</v>
      </c>
      <c r="F189" s="81" t="str">
        <f ca="1">LOWER(TRIM(_xlfn.XLOOKUP($A189,Строчный!$A:$A,Строчный!F:F,"ERR",0)))</f>
        <v>всесезон</v>
      </c>
      <c r="G189" s="81" t="str">
        <f ca="1">UPPER(TRIM(_xlfn.XLOOKUP($A189,Строчный!$A:$A,Строчный!G:G,"ERR",0)))</f>
        <v>HERMAN</v>
      </c>
      <c r="H189" s="81" t="str">
        <f ca="1">LOWER(TRIM(_xlfn.XLOOKUP($A189,Строчный!$A:$A,Строчный!H:H,"ERR",0)))</f>
        <v>blue</v>
      </c>
      <c r="I189" s="81" t="str">
        <f ca="1">LOWER(TRIM(_xlfn.XLOOKUP($A189,Строчный!$A:$A,Строчный!I:I,"ERR",0)))</f>
        <v>темно-синий</v>
      </c>
      <c r="J189" s="81" t="str">
        <f ca="1">SUBSTITUTE(LOWER(TRIM(_xlfn.XLOOKUP($A189,Строчный!$A:$A,Строчный!J:J,"ERR",0))),"подклад","Подклад")</f>
        <v>90% шерсть - 10% кашемир</v>
      </c>
      <c r="K189" s="81" t="str">
        <f ca="1">LOWER(TRIM(_xlfn.XLOOKUP($A189,Строчный!$A:$A,Строчный!K:K,"ERR",0)))</f>
        <v>шерстяные</v>
      </c>
      <c r="L189" s="81" t="str">
        <f ca="1">PROPER(TRIM(_xlfn.XLOOKUP($A189,Строчный!$A:$A,Строчный!L:L,"ERR",0)))</f>
        <v>Унисекс</v>
      </c>
      <c r="M189" s="113" t="str">
        <f ca="1">PROPER(TRIM(_xlfn.XLOOKUP($A189,Строчный!$A:$A,Строчный!M:M,"ERR",0)))</f>
        <v>Италия</v>
      </c>
      <c r="N189" s="81" t="str">
        <f ca="1">UPPER(TRIM(_xlfn.XLOOKUP($A189,Строчный!$A:$A,Строчный!O:O,"ERR",0)))</f>
        <v/>
      </c>
      <c r="O189" s="102" t="str">
        <f ca="1">PROPER(TRIM(_xlfn.XLOOKUP($A189,Строчный!$A:$A,Строчный!P:P,"ERR",0)))</f>
        <v/>
      </c>
      <c r="P189" s="81" t="str">
        <f ca="1">PROPER(TRIM(_xlfn.XLOOKUP($A189,Строчный!$A:$A,Строчный!R:R,"ERR",0)))</f>
        <v/>
      </c>
      <c r="Q189" s="90">
        <f ca="1">VALUE(_xlfn.XLOOKUP($A189,Строчный!$A:$A,Строчный!N:N,"ERR",0))</f>
        <v>360</v>
      </c>
      <c r="R189" s="89" t="str">
        <f ca="1">_xlfn.XLOOKUP($G189,Фабрика!A:A,Фабрика!B:B,"ERR",0)</f>
        <v>Chapellerie Herman S.A.; Rue Jean Meunier, 6, 6922 Wellin, Belgium</v>
      </c>
      <c r="S189" s="80" t="str">
        <f ca="1">_xlfn.XLOOKUP(RIGHT(AA189,2),Размеры!D:D,Размеры!A:A,"ERR",0)</f>
        <v>59</v>
      </c>
      <c r="T189" s="80">
        <f ca="1">VALUE(_xlfn.XLOOKUP($AA189,Строчный!$S:$S,Строчный!U:U,"ERR",0))</f>
        <v>2</v>
      </c>
      <c r="U189" s="14" t="s">
        <v>265</v>
      </c>
      <c r="V189" s="101" t="str">
        <f t="shared" ca="1" si="13"/>
        <v>Кепка HERMAN арт. HORSE (темно-синий)</v>
      </c>
      <c r="W189" s="100" t="str">
        <f t="shared" ca="1" si="14"/>
        <v>Кепка HERMAN арт. HORSE (темно-синий) {blue}</v>
      </c>
      <c r="X189" s="18" t="str">
        <f t="shared" ca="1" si="15"/>
        <v>синий</v>
      </c>
      <c r="Y189" s="18" t="str">
        <f t="shared" ca="1" si="16"/>
        <v>синий</v>
      </c>
      <c r="Z189" s="117" t="str">
        <f ca="1">_xlfn.LET(_xlpm.FormColors,_xlfn.XLOOKUP(A189,Строчный!A:A,Строчный!Q:Q,"",0),IF(_xlpm.FormColors=0,IFERROR(MID(I189,FIND("-",I189)+1,LEN(I189)),IFERROR(MID(I189,1,FIND("/",I189)-2),I189)),_xlpm.FormColors))</f>
        <v>синий</v>
      </c>
      <c r="AA189" s="73" t="str">
        <f ca="1"/>
        <v>80-824-16-59</v>
      </c>
      <c r="AB189" s="75" t="str">
        <f ca="1">VLOOKUP(C189,Группа!A:B,2,FALSE)</f>
        <v>Кепка</v>
      </c>
      <c r="AC189" s="97" t="str">
        <f ca="1">IFERROR(VLOOKUP(S189,Размеры!A:C,3,FALSE),"")</f>
        <v>59 L</v>
      </c>
      <c r="AD189" s="97" t="str">
        <f ca="1">VLOOKUP(I189,ЦветПолный!A:B,2,FALSE)</f>
        <v>16</v>
      </c>
      <c r="AE189" s="97" t="str">
        <f ca="1">IFERROR(VLOOKUP(S189,Размеры!A:D,4,FALSE),"")</f>
        <v>59</v>
      </c>
      <c r="AF189" s="97">
        <f ca="1">IF(LEFT(IFERROR(VLOOKUP(LOOKUP(2,1/SEARCH(B189,Товары!A:A),Товары!A:A),Товары!A:B,2,0),""),6)=MID(AA189,1,6),1,0)</f>
        <v>0</v>
      </c>
      <c r="AH189" s="97">
        <f ca="1">SUMIF(Группа!A:A,C189,Группа!C:C)</f>
        <v>1</v>
      </c>
      <c r="AI189" s="97">
        <f ca="1">SUMIF(Группа!B:B,AB189,Группа!C:C)</f>
        <v>1</v>
      </c>
      <c r="AJ189" s="97">
        <f ca="1">SUMIF(Формы!A:A,D189,Формы!B:B)</f>
        <v>1</v>
      </c>
      <c r="AK189" s="97">
        <f ca="1">SUMIF(Материал!A:A,K189,Материал!B:B)</f>
        <v>1</v>
      </c>
      <c r="AL189" s="97">
        <f ca="1">SUMIF(Размеры!A:A,S189,Размеры!E:E)</f>
        <v>1</v>
      </c>
      <c r="AM189" s="97">
        <f ca="1">SUMIF(Сезон!A:A,F189,Сезон!B:B)</f>
        <v>1</v>
      </c>
      <c r="AN189" s="97">
        <f ca="1">SUMIF(Состав!A:A,J189,Состав!B:B)</f>
        <v>1</v>
      </c>
      <c r="AO189" s="97">
        <f ca="1">VLOOKUP(I189,ЦветПолный!A:C,3,0)</f>
        <v>1</v>
      </c>
      <c r="AP189" s="97">
        <f ca="1">SUMIF(Цвет!A:A,Z189,Цвет!B:B)</f>
        <v>1</v>
      </c>
      <c r="AQ189" s="97">
        <f ca="1">_xlfn.XLOOKUP(L189,Пол!A:A,Пол!B:B,0,0)</f>
        <v>1</v>
      </c>
      <c r="AR189" s="97">
        <f ca="1">SUMIF(Бренд!A:A,G189,Бренд!B:B)</f>
        <v>1</v>
      </c>
      <c r="AS189" s="97">
        <f ca="1">SUMIF(Страна!A:A,M189,Страна!B:B)</f>
        <v>1</v>
      </c>
      <c r="AT189" s="64" t="e">
        <f ca="1">IF(VLOOKUP(W189,Товары!A:B,2,FALSE)=A189,"Есть в 1С","ERR")</f>
        <v>#N/A</v>
      </c>
      <c r="AU189" s="65" t="e">
        <f ca="1">IF(VLOOKUP(A189,Товары!B:B,1,FALSE)=A189,"Есть в 1С","ERR")</f>
        <v>#N/A</v>
      </c>
      <c r="AV189" s="96" t="e">
        <f ca="1">VLOOKUP(W189,Товары!A:B,2,FALSE)</f>
        <v>#N/A</v>
      </c>
      <c r="AW189" s="94" t="e">
        <f ca="1">VLOOKUP(W189,Товары!A:B,1,FALSE)</f>
        <v>#N/A</v>
      </c>
    </row>
    <row r="190" spans="1:49" x14ac:dyDescent="0.25">
      <c r="A190" s="110" t="str">
        <f t="shared" ca="1" si="12"/>
        <v>80-820-16</v>
      </c>
      <c r="B190" s="107" t="str">
        <f ca="1">_xlfn.LET(_xlpm.CAPS,0,_xlpm.Style,TRIM(_xlfn.XLOOKUP($A190,Строчный!$A:$A,Строчный!B:B,"ERR",0)),IF(_xlpm.CAPS=0,_xlpm.Style,UPPER(_xlpm.Style)))</f>
        <v>GLAZIC</v>
      </c>
      <c r="C190" s="81" t="str">
        <f ca="1">TRIM(PROPER(_xlfn.XLOOKUP($A190,Строчный!$A:$A,Строчный!C:C,"ERR",0)))</f>
        <v>Кепки</v>
      </c>
      <c r="D190" s="81" t="str">
        <f ca="1">_xlfn.LET(_xlpm.DATA,TRIM(_xlfn.XLOOKUP($A190,Строчный!$A:$A,Строчный!D:D,"ERR",0)),UPPER(MID(_xlpm.DATA,1,1))&amp;LOWER(MID(_xlpm.DATA,2,LEN(_xlpm.DATA)-1)))</f>
        <v>Кепка картуз</v>
      </c>
      <c r="E190" s="81" t="str">
        <f ca="1">PROPER(TRIM(_xlfn.XLOOKUP($A190,Строчный!$A:$A,Строчный!E:E,"ERR",0)))</f>
        <v>Herman</v>
      </c>
      <c r="F190" s="81" t="str">
        <f ca="1">LOWER(TRIM(_xlfn.XLOOKUP($A190,Строчный!$A:$A,Строчный!F:F,"ERR",0)))</f>
        <v>всесезон</v>
      </c>
      <c r="G190" s="81" t="str">
        <f ca="1">UPPER(TRIM(_xlfn.XLOOKUP($A190,Строчный!$A:$A,Строчный!G:G,"ERR",0)))</f>
        <v>HERMAN</v>
      </c>
      <c r="H190" s="81" t="str">
        <f ca="1">LOWER(TRIM(_xlfn.XLOOKUP($A190,Строчный!$A:$A,Строчный!H:H,"ERR",0)))</f>
        <v>navy</v>
      </c>
      <c r="I190" s="81" t="str">
        <f ca="1">LOWER(TRIM(_xlfn.XLOOKUP($A190,Строчный!$A:$A,Строчный!I:I,"ERR",0)))</f>
        <v>темно-синий</v>
      </c>
      <c r="J190" s="81" t="str">
        <f ca="1">SUBSTITUTE(LOWER(TRIM(_xlfn.XLOOKUP($A190,Строчный!$A:$A,Строчный!J:J,"ERR",0))),"подклад","Подклад")</f>
        <v>50% шерсть - 50% полиэстер</v>
      </c>
      <c r="K190" s="81" t="str">
        <f ca="1">LOWER(TRIM(_xlfn.XLOOKUP($A190,Строчный!$A:$A,Строчный!K:K,"ERR",0)))</f>
        <v>шерстяные</v>
      </c>
      <c r="L190" s="81" t="str">
        <f ca="1">PROPER(TRIM(_xlfn.XLOOKUP($A190,Строчный!$A:$A,Строчный!L:L,"ERR",0)))</f>
        <v>Мужской</v>
      </c>
      <c r="M190" s="113" t="str">
        <f ca="1">PROPER(TRIM(_xlfn.XLOOKUP($A190,Строчный!$A:$A,Строчный!M:M,"ERR",0)))</f>
        <v>Китай</v>
      </c>
      <c r="N190" s="81" t="str">
        <f ca="1">UPPER(TRIM(_xlfn.XLOOKUP($A190,Строчный!$A:$A,Строчный!O:O,"ERR",0)))</f>
        <v/>
      </c>
      <c r="O190" s="102" t="str">
        <f ca="1">PROPER(TRIM(_xlfn.XLOOKUP($A190,Строчный!$A:$A,Строчный!P:P,"ERR",0)))</f>
        <v/>
      </c>
      <c r="P190" s="81" t="str">
        <f ca="1">PROPER(TRIM(_xlfn.XLOOKUP($A190,Строчный!$A:$A,Строчный!R:R,"ERR",0)))</f>
        <v/>
      </c>
      <c r="Q190" s="90">
        <f ca="1">VALUE(_xlfn.XLOOKUP($A190,Строчный!$A:$A,Строчный!N:N,"ERR",0))</f>
        <v>1001.7</v>
      </c>
      <c r="R190" s="89" t="str">
        <f ca="1">_xlfn.XLOOKUP($G190,Фабрика!A:A,Фабрика!B:B,"ERR",0)</f>
        <v>Chapellerie Herman S.A.; Rue Jean Meunier, 6, 6922 Wellin, Belgium</v>
      </c>
      <c r="S190" s="80" t="str">
        <f ca="1">_xlfn.XLOOKUP(RIGHT(AA190,2),Размеры!D:D,Размеры!A:A,"ERR",0)</f>
        <v>61</v>
      </c>
      <c r="T190" s="80">
        <f ca="1">VALUE(_xlfn.XLOOKUP($AA190,Строчный!$S:$S,Строчный!U:U,"ERR",0))</f>
        <v>6</v>
      </c>
      <c r="U190" s="14" t="s">
        <v>265</v>
      </c>
      <c r="V190" s="101" t="str">
        <f t="shared" ca="1" si="13"/>
        <v>Кепка HERMAN арт. GLAZIC (темно-синий)</v>
      </c>
      <c r="W190" s="100" t="str">
        <f t="shared" ca="1" si="14"/>
        <v>Кепка HERMAN арт. GLAZIC (темно-синий) {navy}</v>
      </c>
      <c r="X190" s="18" t="str">
        <f t="shared" ca="1" si="15"/>
        <v>синий</v>
      </c>
      <c r="Y190" s="18" t="str">
        <f t="shared" ca="1" si="16"/>
        <v>синий</v>
      </c>
      <c r="Z190" s="117" t="str">
        <f ca="1">_xlfn.LET(_xlpm.FormColors,_xlfn.XLOOKUP(A190,Строчный!A:A,Строчный!Q:Q,"",0),IF(_xlpm.FormColors=0,IFERROR(MID(I190,FIND("-",I190)+1,LEN(I190)),IFERROR(MID(I190,1,FIND("/",I190)-2),I190)),_xlpm.FormColors))</f>
        <v>синий</v>
      </c>
      <c r="AA190" s="73" t="str">
        <f ca="1"/>
        <v>80-820-16-61</v>
      </c>
      <c r="AB190" s="75" t="str">
        <f ca="1">VLOOKUP(C190,Группа!A:B,2,FALSE)</f>
        <v>Кепка</v>
      </c>
      <c r="AC190" s="97" t="str">
        <f ca="1">IFERROR(VLOOKUP(S190,Размеры!A:C,3,FALSE),"")</f>
        <v>61 XL</v>
      </c>
      <c r="AD190" s="97" t="str">
        <f ca="1">VLOOKUP(I190,ЦветПолный!A:B,2,FALSE)</f>
        <v>16</v>
      </c>
      <c r="AE190" s="97" t="str">
        <f ca="1">IFERROR(VLOOKUP(S190,Размеры!A:D,4,FALSE),"")</f>
        <v>61</v>
      </c>
      <c r="AF190" s="97">
        <f ca="1">IF(LEFT(IFERROR(VLOOKUP(LOOKUP(2,1/SEARCH(B190,Товары!A:A),Товары!A:A),Товары!A:B,2,0),""),6)=MID(AA190,1,6),1,0)</f>
        <v>1</v>
      </c>
      <c r="AH190" s="97">
        <f ca="1">SUMIF(Группа!A:A,C190,Группа!C:C)</f>
        <v>1</v>
      </c>
      <c r="AI190" s="97">
        <f ca="1">SUMIF(Группа!B:B,AB190,Группа!C:C)</f>
        <v>1</v>
      </c>
      <c r="AJ190" s="97">
        <f ca="1">SUMIF(Формы!A:A,D190,Формы!B:B)</f>
        <v>1</v>
      </c>
      <c r="AK190" s="97">
        <f ca="1">SUMIF(Материал!A:A,K190,Материал!B:B)</f>
        <v>1</v>
      </c>
      <c r="AL190" s="97">
        <f ca="1">SUMIF(Размеры!A:A,S190,Размеры!E:E)</f>
        <v>1</v>
      </c>
      <c r="AM190" s="97">
        <f ca="1">SUMIF(Сезон!A:A,F190,Сезон!B:B)</f>
        <v>1</v>
      </c>
      <c r="AN190" s="97">
        <f ca="1">SUMIF(Состав!A:A,J190,Состав!B:B)</f>
        <v>1</v>
      </c>
      <c r="AO190" s="97">
        <f ca="1">VLOOKUP(I190,ЦветПолный!A:C,3,0)</f>
        <v>1</v>
      </c>
      <c r="AP190" s="97">
        <f ca="1">SUMIF(Цвет!A:A,Z190,Цвет!B:B)</f>
        <v>1</v>
      </c>
      <c r="AQ190" s="97">
        <f ca="1">_xlfn.XLOOKUP(L190,Пол!A:A,Пол!B:B,0,0)</f>
        <v>1</v>
      </c>
      <c r="AR190" s="97">
        <f ca="1">SUMIF(Бренд!A:A,G190,Бренд!B:B)</f>
        <v>1</v>
      </c>
      <c r="AS190" s="97">
        <f ca="1">SUMIF(Страна!A:A,M190,Страна!B:B)</f>
        <v>1</v>
      </c>
      <c r="AT190" s="64" t="str">
        <f ca="1">IF(VLOOKUP(W190,Товары!A:B,2,FALSE)=A190,"Есть в 1С","ERR")</f>
        <v>Есть в 1С</v>
      </c>
      <c r="AU190" s="65" t="str">
        <f ca="1">IF(VLOOKUP(A190,Товары!B:B,1,FALSE)=A190,"Есть в 1С","ERR")</f>
        <v>Есть в 1С</v>
      </c>
      <c r="AV190" s="96" t="str">
        <f ca="1">VLOOKUP(W190,Товары!A:B,2,FALSE)</f>
        <v>80-820-16</v>
      </c>
      <c r="AW190" s="94" t="str">
        <f ca="1">VLOOKUP(W190,Товары!A:B,1,FALSE)</f>
        <v>Кепка HERMAN арт. GLAZIC (темно-синий) {navy}</v>
      </c>
    </row>
    <row r="191" spans="1:49" x14ac:dyDescent="0.25">
      <c r="A191" s="110" t="str">
        <f t="shared" ca="1" si="12"/>
        <v>80-820-16</v>
      </c>
      <c r="B191" s="107" t="str">
        <f ca="1">_xlfn.LET(_xlpm.CAPS,0,_xlpm.Style,TRIM(_xlfn.XLOOKUP($A191,Строчный!$A:$A,Строчный!B:B,"ERR",0)),IF(_xlpm.CAPS=0,_xlpm.Style,UPPER(_xlpm.Style)))</f>
        <v>GLAZIC</v>
      </c>
      <c r="C191" s="81" t="str">
        <f ca="1">TRIM(PROPER(_xlfn.XLOOKUP($A191,Строчный!$A:$A,Строчный!C:C,"ERR",0)))</f>
        <v>Кепки</v>
      </c>
      <c r="D191" s="81" t="str">
        <f ca="1">_xlfn.LET(_xlpm.DATA,TRIM(_xlfn.XLOOKUP($A191,Строчный!$A:$A,Строчный!D:D,"ERR",0)),UPPER(MID(_xlpm.DATA,1,1))&amp;LOWER(MID(_xlpm.DATA,2,LEN(_xlpm.DATA)-1)))</f>
        <v>Кепка картуз</v>
      </c>
      <c r="E191" s="81" t="str">
        <f ca="1">PROPER(TRIM(_xlfn.XLOOKUP($A191,Строчный!$A:$A,Строчный!E:E,"ERR",0)))</f>
        <v>Herman</v>
      </c>
      <c r="F191" s="81" t="str">
        <f ca="1">LOWER(TRIM(_xlfn.XLOOKUP($A191,Строчный!$A:$A,Строчный!F:F,"ERR",0)))</f>
        <v>всесезон</v>
      </c>
      <c r="G191" s="81" t="str">
        <f ca="1">UPPER(TRIM(_xlfn.XLOOKUP($A191,Строчный!$A:$A,Строчный!G:G,"ERR",0)))</f>
        <v>HERMAN</v>
      </c>
      <c r="H191" s="81" t="str">
        <f ca="1">LOWER(TRIM(_xlfn.XLOOKUP($A191,Строчный!$A:$A,Строчный!H:H,"ERR",0)))</f>
        <v>navy</v>
      </c>
      <c r="I191" s="81" t="str">
        <f ca="1">LOWER(TRIM(_xlfn.XLOOKUP($A191,Строчный!$A:$A,Строчный!I:I,"ERR",0)))</f>
        <v>темно-синий</v>
      </c>
      <c r="J191" s="81" t="str">
        <f ca="1">SUBSTITUTE(LOWER(TRIM(_xlfn.XLOOKUP($A191,Строчный!$A:$A,Строчный!J:J,"ERR",0))),"подклад","Подклад")</f>
        <v>50% шерсть - 50% полиэстер</v>
      </c>
      <c r="K191" s="81" t="str">
        <f ca="1">LOWER(TRIM(_xlfn.XLOOKUP($A191,Строчный!$A:$A,Строчный!K:K,"ERR",0)))</f>
        <v>шерстяные</v>
      </c>
      <c r="L191" s="81" t="str">
        <f ca="1">PROPER(TRIM(_xlfn.XLOOKUP($A191,Строчный!$A:$A,Строчный!L:L,"ERR",0)))</f>
        <v>Мужской</v>
      </c>
      <c r="M191" s="113" t="str">
        <f ca="1">PROPER(TRIM(_xlfn.XLOOKUP($A191,Строчный!$A:$A,Строчный!M:M,"ERR",0)))</f>
        <v>Китай</v>
      </c>
      <c r="N191" s="81" t="str">
        <f ca="1">UPPER(TRIM(_xlfn.XLOOKUP($A191,Строчный!$A:$A,Строчный!O:O,"ERR",0)))</f>
        <v/>
      </c>
      <c r="O191" s="102" t="str">
        <f ca="1">PROPER(TRIM(_xlfn.XLOOKUP($A191,Строчный!$A:$A,Строчный!P:P,"ERR",0)))</f>
        <v/>
      </c>
      <c r="P191" s="81" t="str">
        <f ca="1">PROPER(TRIM(_xlfn.XLOOKUP($A191,Строчный!$A:$A,Строчный!R:R,"ERR",0)))</f>
        <v/>
      </c>
      <c r="Q191" s="90">
        <f ca="1">VALUE(_xlfn.XLOOKUP($A191,Строчный!$A:$A,Строчный!N:N,"ERR",0))</f>
        <v>1001.7</v>
      </c>
      <c r="R191" s="89" t="str">
        <f ca="1">_xlfn.XLOOKUP($G191,Фабрика!A:A,Фабрика!B:B,"ERR",0)</f>
        <v>Chapellerie Herman S.A.; Rue Jean Meunier, 6, 6922 Wellin, Belgium</v>
      </c>
      <c r="S191" s="80" t="str">
        <f ca="1">_xlfn.XLOOKUP(RIGHT(AA191,2),Размеры!D:D,Размеры!A:A,"ERR",0)</f>
        <v>59</v>
      </c>
      <c r="T191" s="80">
        <f ca="1">VALUE(_xlfn.XLOOKUP($AA191,Строчный!$S:$S,Строчный!U:U,"ERR",0))</f>
        <v>13</v>
      </c>
      <c r="U191" s="14" t="s">
        <v>265</v>
      </c>
      <c r="V191" s="101" t="str">
        <f t="shared" ca="1" si="13"/>
        <v>Кепка HERMAN арт. GLAZIC (темно-синий)</v>
      </c>
      <c r="W191" s="100" t="str">
        <f t="shared" ca="1" si="14"/>
        <v>Кепка HERMAN арт. GLAZIC (темно-синий) {navy}</v>
      </c>
      <c r="X191" s="18" t="str">
        <f t="shared" ca="1" si="15"/>
        <v>синий</v>
      </c>
      <c r="Y191" s="18" t="str">
        <f t="shared" ca="1" si="16"/>
        <v>синий</v>
      </c>
      <c r="Z191" s="117" t="str">
        <f ca="1">_xlfn.LET(_xlpm.FormColors,_xlfn.XLOOKUP(A191,Строчный!A:A,Строчный!Q:Q,"",0),IF(_xlpm.FormColors=0,IFERROR(MID(I191,FIND("-",I191)+1,LEN(I191)),IFERROR(MID(I191,1,FIND("/",I191)-2),I191)),_xlpm.FormColors))</f>
        <v>синий</v>
      </c>
      <c r="AA191" s="73" t="str">
        <f ca="1"/>
        <v>80-820-16-59</v>
      </c>
      <c r="AB191" s="75" t="str">
        <f ca="1">VLOOKUP(C191,Группа!A:B,2,FALSE)</f>
        <v>Кепка</v>
      </c>
      <c r="AC191" s="97" t="str">
        <f ca="1">IFERROR(VLOOKUP(S191,Размеры!A:C,3,FALSE),"")</f>
        <v>59 L</v>
      </c>
      <c r="AD191" s="97" t="str">
        <f ca="1">VLOOKUP(I191,ЦветПолный!A:B,2,FALSE)</f>
        <v>16</v>
      </c>
      <c r="AE191" s="97" t="str">
        <f ca="1">IFERROR(VLOOKUP(S191,Размеры!A:D,4,FALSE),"")</f>
        <v>59</v>
      </c>
      <c r="AF191" s="97">
        <f ca="1">IF(LEFT(IFERROR(VLOOKUP(LOOKUP(2,1/SEARCH(B191,Товары!A:A),Товары!A:A),Товары!A:B,2,0),""),6)=MID(AA191,1,6),1,0)</f>
        <v>1</v>
      </c>
      <c r="AH191" s="97">
        <f ca="1">SUMIF(Группа!A:A,C191,Группа!C:C)</f>
        <v>1</v>
      </c>
      <c r="AI191" s="97">
        <f ca="1">SUMIF(Группа!B:B,AB191,Группа!C:C)</f>
        <v>1</v>
      </c>
      <c r="AJ191" s="97">
        <f ca="1">SUMIF(Формы!A:A,D191,Формы!B:B)</f>
        <v>1</v>
      </c>
      <c r="AK191" s="97">
        <f ca="1">SUMIF(Материал!A:A,K191,Материал!B:B)</f>
        <v>1</v>
      </c>
      <c r="AL191" s="97">
        <f ca="1">SUMIF(Размеры!A:A,S191,Размеры!E:E)</f>
        <v>1</v>
      </c>
      <c r="AM191" s="97">
        <f ca="1">SUMIF(Сезон!A:A,F191,Сезон!B:B)</f>
        <v>1</v>
      </c>
      <c r="AN191" s="97">
        <f ca="1">SUMIF(Состав!A:A,J191,Состав!B:B)</f>
        <v>1</v>
      </c>
      <c r="AO191" s="97">
        <f ca="1">VLOOKUP(I191,ЦветПолный!A:C,3,0)</f>
        <v>1</v>
      </c>
      <c r="AP191" s="97">
        <f ca="1">SUMIF(Цвет!A:A,Z191,Цвет!B:B)</f>
        <v>1</v>
      </c>
      <c r="AQ191" s="97">
        <f ca="1">_xlfn.XLOOKUP(L191,Пол!A:A,Пол!B:B,0,0)</f>
        <v>1</v>
      </c>
      <c r="AR191" s="97">
        <f ca="1">SUMIF(Бренд!A:A,G191,Бренд!B:B)</f>
        <v>1</v>
      </c>
      <c r="AS191" s="97">
        <f ca="1">SUMIF(Страна!A:A,M191,Страна!B:B)</f>
        <v>1</v>
      </c>
      <c r="AT191" s="64" t="str">
        <f ca="1">IF(VLOOKUP(W191,Товары!A:B,2,FALSE)=A191,"Есть в 1С","ERR")</f>
        <v>Есть в 1С</v>
      </c>
      <c r="AU191" s="65" t="str">
        <f ca="1">IF(VLOOKUP(A191,Товары!B:B,1,FALSE)=A191,"Есть в 1С","ERR")</f>
        <v>Есть в 1С</v>
      </c>
      <c r="AV191" s="96" t="str">
        <f ca="1">VLOOKUP(W191,Товары!A:B,2,FALSE)</f>
        <v>80-820-16</v>
      </c>
      <c r="AW191" s="94" t="str">
        <f ca="1">VLOOKUP(W191,Товары!A:B,1,FALSE)</f>
        <v>Кепка HERMAN арт. GLAZIC (темно-синий) {navy}</v>
      </c>
    </row>
    <row r="192" spans="1:49" x14ac:dyDescent="0.25">
      <c r="A192" s="110" t="str">
        <f t="shared" ca="1" si="12"/>
        <v>80-820-16</v>
      </c>
      <c r="B192" s="107" t="str">
        <f ca="1">_xlfn.LET(_xlpm.CAPS,0,_xlpm.Style,TRIM(_xlfn.XLOOKUP($A192,Строчный!$A:$A,Строчный!B:B,"ERR",0)),IF(_xlpm.CAPS=0,_xlpm.Style,UPPER(_xlpm.Style)))</f>
        <v>GLAZIC</v>
      </c>
      <c r="C192" s="81" t="str">
        <f ca="1">TRIM(PROPER(_xlfn.XLOOKUP($A192,Строчный!$A:$A,Строчный!C:C,"ERR",0)))</f>
        <v>Кепки</v>
      </c>
      <c r="D192" s="81" t="str">
        <f ca="1">_xlfn.LET(_xlpm.DATA,TRIM(_xlfn.XLOOKUP($A192,Строчный!$A:$A,Строчный!D:D,"ERR",0)),UPPER(MID(_xlpm.DATA,1,1))&amp;LOWER(MID(_xlpm.DATA,2,LEN(_xlpm.DATA)-1)))</f>
        <v>Кепка картуз</v>
      </c>
      <c r="E192" s="81" t="str">
        <f ca="1">PROPER(TRIM(_xlfn.XLOOKUP($A192,Строчный!$A:$A,Строчный!E:E,"ERR",0)))</f>
        <v>Herman</v>
      </c>
      <c r="F192" s="81" t="str">
        <f ca="1">LOWER(TRIM(_xlfn.XLOOKUP($A192,Строчный!$A:$A,Строчный!F:F,"ERR",0)))</f>
        <v>всесезон</v>
      </c>
      <c r="G192" s="81" t="str">
        <f ca="1">UPPER(TRIM(_xlfn.XLOOKUP($A192,Строчный!$A:$A,Строчный!G:G,"ERR",0)))</f>
        <v>HERMAN</v>
      </c>
      <c r="H192" s="81" t="str">
        <f ca="1">LOWER(TRIM(_xlfn.XLOOKUP($A192,Строчный!$A:$A,Строчный!H:H,"ERR",0)))</f>
        <v>navy</v>
      </c>
      <c r="I192" s="81" t="str">
        <f ca="1">LOWER(TRIM(_xlfn.XLOOKUP($A192,Строчный!$A:$A,Строчный!I:I,"ERR",0)))</f>
        <v>темно-синий</v>
      </c>
      <c r="J192" s="81" t="str">
        <f ca="1">SUBSTITUTE(LOWER(TRIM(_xlfn.XLOOKUP($A192,Строчный!$A:$A,Строчный!J:J,"ERR",0))),"подклад","Подклад")</f>
        <v>50% шерсть - 50% полиэстер</v>
      </c>
      <c r="K192" s="81" t="str">
        <f ca="1">LOWER(TRIM(_xlfn.XLOOKUP($A192,Строчный!$A:$A,Строчный!K:K,"ERR",0)))</f>
        <v>шерстяные</v>
      </c>
      <c r="L192" s="81" t="str">
        <f ca="1">PROPER(TRIM(_xlfn.XLOOKUP($A192,Строчный!$A:$A,Строчный!L:L,"ERR",0)))</f>
        <v>Мужской</v>
      </c>
      <c r="M192" s="113" t="str">
        <f ca="1">PROPER(TRIM(_xlfn.XLOOKUP($A192,Строчный!$A:$A,Строчный!M:M,"ERR",0)))</f>
        <v>Китай</v>
      </c>
      <c r="N192" s="81" t="str">
        <f ca="1">UPPER(TRIM(_xlfn.XLOOKUP($A192,Строчный!$A:$A,Строчный!O:O,"ERR",0)))</f>
        <v/>
      </c>
      <c r="O192" s="102" t="str">
        <f ca="1">PROPER(TRIM(_xlfn.XLOOKUP($A192,Строчный!$A:$A,Строчный!P:P,"ERR",0)))</f>
        <v/>
      </c>
      <c r="P192" s="81" t="str">
        <f ca="1">PROPER(TRIM(_xlfn.XLOOKUP($A192,Строчный!$A:$A,Строчный!R:R,"ERR",0)))</f>
        <v/>
      </c>
      <c r="Q192" s="90">
        <f ca="1">VALUE(_xlfn.XLOOKUP($A192,Строчный!$A:$A,Строчный!N:N,"ERR",0))</f>
        <v>1001.7</v>
      </c>
      <c r="R192" s="89" t="str">
        <f ca="1">_xlfn.XLOOKUP($G192,Фабрика!A:A,Фабрика!B:B,"ERR",0)</f>
        <v>Chapellerie Herman S.A.; Rue Jean Meunier, 6, 6922 Wellin, Belgium</v>
      </c>
      <c r="S192" s="80" t="str">
        <f ca="1">_xlfn.XLOOKUP(RIGHT(AA192,2),Размеры!D:D,Размеры!A:A,"ERR",0)</f>
        <v>57</v>
      </c>
      <c r="T192" s="80">
        <f ca="1">VALUE(_xlfn.XLOOKUP($AA192,Строчный!$S:$S,Строчный!U:U,"ERR",0))</f>
        <v>10</v>
      </c>
      <c r="U192" s="14" t="s">
        <v>265</v>
      </c>
      <c r="V192" s="101" t="str">
        <f t="shared" ca="1" si="13"/>
        <v>Кепка HERMAN арт. GLAZIC (темно-синий)</v>
      </c>
      <c r="W192" s="100" t="str">
        <f t="shared" ca="1" si="14"/>
        <v>Кепка HERMAN арт. GLAZIC (темно-синий) {navy}</v>
      </c>
      <c r="X192" s="18" t="str">
        <f t="shared" ca="1" si="15"/>
        <v>синий</v>
      </c>
      <c r="Y192" s="18" t="str">
        <f t="shared" ca="1" si="16"/>
        <v>синий</v>
      </c>
      <c r="Z192" s="117" t="str">
        <f ca="1">_xlfn.LET(_xlpm.FormColors,_xlfn.XLOOKUP(A192,Строчный!A:A,Строчный!Q:Q,"",0),IF(_xlpm.FormColors=0,IFERROR(MID(I192,FIND("-",I192)+1,LEN(I192)),IFERROR(MID(I192,1,FIND("/",I192)-2),I192)),_xlpm.FormColors))</f>
        <v>синий</v>
      </c>
      <c r="AA192" s="73" t="str">
        <f ca="1"/>
        <v>80-820-16-57</v>
      </c>
      <c r="AB192" s="75" t="str">
        <f ca="1">VLOOKUP(C192,Группа!A:B,2,FALSE)</f>
        <v>Кепка</v>
      </c>
      <c r="AC192" s="97" t="str">
        <f ca="1">IFERROR(VLOOKUP(S192,Размеры!A:C,3,FALSE),"")</f>
        <v>57 M</v>
      </c>
      <c r="AD192" s="97" t="str">
        <f ca="1">VLOOKUP(I192,ЦветПолный!A:B,2,FALSE)</f>
        <v>16</v>
      </c>
      <c r="AE192" s="97" t="str">
        <f ca="1">IFERROR(VLOOKUP(S192,Размеры!A:D,4,FALSE),"")</f>
        <v>57</v>
      </c>
      <c r="AF192" s="97">
        <f ca="1">IF(LEFT(IFERROR(VLOOKUP(LOOKUP(2,1/SEARCH(B192,Товары!A:A),Товары!A:A),Товары!A:B,2,0),""),6)=MID(AA192,1,6),1,0)</f>
        <v>1</v>
      </c>
      <c r="AH192" s="97">
        <f ca="1">SUMIF(Группа!A:A,C192,Группа!C:C)</f>
        <v>1</v>
      </c>
      <c r="AI192" s="97">
        <f ca="1">SUMIF(Группа!B:B,AB192,Группа!C:C)</f>
        <v>1</v>
      </c>
      <c r="AJ192" s="97">
        <f ca="1">SUMIF(Формы!A:A,D192,Формы!B:B)</f>
        <v>1</v>
      </c>
      <c r="AK192" s="97">
        <f ca="1">SUMIF(Материал!A:A,K192,Материал!B:B)</f>
        <v>1</v>
      </c>
      <c r="AL192" s="97">
        <f ca="1">SUMIF(Размеры!A:A,S192,Размеры!E:E)</f>
        <v>1</v>
      </c>
      <c r="AM192" s="97">
        <f ca="1">SUMIF(Сезон!A:A,F192,Сезон!B:B)</f>
        <v>1</v>
      </c>
      <c r="AN192" s="97">
        <f ca="1">SUMIF(Состав!A:A,J192,Состав!B:B)</f>
        <v>1</v>
      </c>
      <c r="AO192" s="97">
        <f ca="1">VLOOKUP(I192,ЦветПолный!A:C,3,0)</f>
        <v>1</v>
      </c>
      <c r="AP192" s="97">
        <f ca="1">SUMIF(Цвет!A:A,Z192,Цвет!B:B)</f>
        <v>1</v>
      </c>
      <c r="AQ192" s="97">
        <f ca="1">_xlfn.XLOOKUP(L192,Пол!A:A,Пол!B:B,0,0)</f>
        <v>1</v>
      </c>
      <c r="AR192" s="97">
        <f ca="1">SUMIF(Бренд!A:A,G192,Бренд!B:B)</f>
        <v>1</v>
      </c>
      <c r="AS192" s="97">
        <f ca="1">SUMIF(Страна!A:A,M192,Страна!B:B)</f>
        <v>1</v>
      </c>
      <c r="AT192" s="64" t="str">
        <f ca="1">IF(VLOOKUP(W192,Товары!A:B,2,FALSE)=A192,"Есть в 1С","ERR")</f>
        <v>Есть в 1С</v>
      </c>
      <c r="AU192" s="65" t="str">
        <f ca="1">IF(VLOOKUP(A192,Товары!B:B,1,FALSE)=A192,"Есть в 1С","ERR")</f>
        <v>Есть в 1С</v>
      </c>
      <c r="AV192" s="96" t="str">
        <f ca="1">VLOOKUP(W192,Товары!A:B,2,FALSE)</f>
        <v>80-820-16</v>
      </c>
      <c r="AW192" s="94" t="str">
        <f ca="1">VLOOKUP(W192,Товары!A:B,1,FALSE)</f>
        <v>Кепка HERMAN арт. GLAZIC (темно-синий) {navy}</v>
      </c>
    </row>
    <row r="193" spans="1:49" x14ac:dyDescent="0.25">
      <c r="A193" s="110" t="str">
        <f t="shared" ca="1" si="12"/>
        <v>80-820-16</v>
      </c>
      <c r="B193" s="107" t="str">
        <f ca="1">_xlfn.LET(_xlpm.CAPS,0,_xlpm.Style,TRIM(_xlfn.XLOOKUP($A193,Строчный!$A:$A,Строчный!B:B,"ERR",0)),IF(_xlpm.CAPS=0,_xlpm.Style,UPPER(_xlpm.Style)))</f>
        <v>GLAZIC</v>
      </c>
      <c r="C193" s="81" t="str">
        <f ca="1">TRIM(PROPER(_xlfn.XLOOKUP($A193,Строчный!$A:$A,Строчный!C:C,"ERR",0)))</f>
        <v>Кепки</v>
      </c>
      <c r="D193" s="81" t="str">
        <f ca="1">_xlfn.LET(_xlpm.DATA,TRIM(_xlfn.XLOOKUP($A193,Строчный!$A:$A,Строчный!D:D,"ERR",0)),UPPER(MID(_xlpm.DATA,1,1))&amp;LOWER(MID(_xlpm.DATA,2,LEN(_xlpm.DATA)-1)))</f>
        <v>Кепка картуз</v>
      </c>
      <c r="E193" s="81" t="str">
        <f ca="1">PROPER(TRIM(_xlfn.XLOOKUP($A193,Строчный!$A:$A,Строчный!E:E,"ERR",0)))</f>
        <v>Herman</v>
      </c>
      <c r="F193" s="81" t="str">
        <f ca="1">LOWER(TRIM(_xlfn.XLOOKUP($A193,Строчный!$A:$A,Строчный!F:F,"ERR",0)))</f>
        <v>всесезон</v>
      </c>
      <c r="G193" s="81" t="str">
        <f ca="1">UPPER(TRIM(_xlfn.XLOOKUP($A193,Строчный!$A:$A,Строчный!G:G,"ERR",0)))</f>
        <v>HERMAN</v>
      </c>
      <c r="H193" s="81" t="str">
        <f ca="1">LOWER(TRIM(_xlfn.XLOOKUP($A193,Строчный!$A:$A,Строчный!H:H,"ERR",0)))</f>
        <v>navy</v>
      </c>
      <c r="I193" s="81" t="str">
        <f ca="1">LOWER(TRIM(_xlfn.XLOOKUP($A193,Строчный!$A:$A,Строчный!I:I,"ERR",0)))</f>
        <v>темно-синий</v>
      </c>
      <c r="J193" s="81" t="str">
        <f ca="1">SUBSTITUTE(LOWER(TRIM(_xlfn.XLOOKUP($A193,Строчный!$A:$A,Строчный!J:J,"ERR",0))),"подклад","Подклад")</f>
        <v>50% шерсть - 50% полиэстер</v>
      </c>
      <c r="K193" s="81" t="str">
        <f ca="1">LOWER(TRIM(_xlfn.XLOOKUP($A193,Строчный!$A:$A,Строчный!K:K,"ERR",0)))</f>
        <v>шерстяные</v>
      </c>
      <c r="L193" s="81" t="str">
        <f ca="1">PROPER(TRIM(_xlfn.XLOOKUP($A193,Строчный!$A:$A,Строчный!L:L,"ERR",0)))</f>
        <v>Мужской</v>
      </c>
      <c r="M193" s="113" t="str">
        <f ca="1">PROPER(TRIM(_xlfn.XLOOKUP($A193,Строчный!$A:$A,Строчный!M:M,"ERR",0)))</f>
        <v>Китай</v>
      </c>
      <c r="N193" s="81" t="str">
        <f ca="1">UPPER(TRIM(_xlfn.XLOOKUP($A193,Строчный!$A:$A,Строчный!O:O,"ERR",0)))</f>
        <v/>
      </c>
      <c r="O193" s="102" t="str">
        <f ca="1">PROPER(TRIM(_xlfn.XLOOKUP($A193,Строчный!$A:$A,Строчный!P:P,"ERR",0)))</f>
        <v/>
      </c>
      <c r="P193" s="81" t="str">
        <f ca="1">PROPER(TRIM(_xlfn.XLOOKUP($A193,Строчный!$A:$A,Строчный!R:R,"ERR",0)))</f>
        <v/>
      </c>
      <c r="Q193" s="90">
        <f ca="1">VALUE(_xlfn.XLOOKUP($A193,Строчный!$A:$A,Строчный!N:N,"ERR",0))</f>
        <v>1001.7</v>
      </c>
      <c r="R193" s="89" t="str">
        <f ca="1">_xlfn.XLOOKUP($G193,Фабрика!A:A,Фабрика!B:B,"ERR",0)</f>
        <v>Chapellerie Herman S.A.; Rue Jean Meunier, 6, 6922 Wellin, Belgium</v>
      </c>
      <c r="S193" s="80" t="str">
        <f ca="1">_xlfn.XLOOKUP(RIGHT(AA193,2),Размеры!D:D,Размеры!A:A,"ERR",0)</f>
        <v>55</v>
      </c>
      <c r="T193" s="80">
        <f ca="1">VALUE(_xlfn.XLOOKUP($AA193,Строчный!$S:$S,Строчный!U:U,"ERR",0))</f>
        <v>5</v>
      </c>
      <c r="U193" s="14" t="s">
        <v>265</v>
      </c>
      <c r="V193" s="101" t="str">
        <f t="shared" ca="1" si="13"/>
        <v>Кепка HERMAN арт. GLAZIC (темно-синий)</v>
      </c>
      <c r="W193" s="100" t="str">
        <f t="shared" ca="1" si="14"/>
        <v>Кепка HERMAN арт. GLAZIC (темно-синий) {navy}</v>
      </c>
      <c r="X193" s="18" t="str">
        <f t="shared" ca="1" si="15"/>
        <v>синий</v>
      </c>
      <c r="Y193" s="18" t="str">
        <f t="shared" ca="1" si="16"/>
        <v>синий</v>
      </c>
      <c r="Z193" s="117" t="str">
        <f ca="1">_xlfn.LET(_xlpm.FormColors,_xlfn.XLOOKUP(A193,Строчный!A:A,Строчный!Q:Q,"",0),IF(_xlpm.FormColors=0,IFERROR(MID(I193,FIND("-",I193)+1,LEN(I193)),IFERROR(MID(I193,1,FIND("/",I193)-2),I193)),_xlpm.FormColors))</f>
        <v>синий</v>
      </c>
      <c r="AA193" s="73" t="str">
        <f ca="1"/>
        <v>80-820-16-55</v>
      </c>
      <c r="AB193" s="75" t="str">
        <f ca="1">VLOOKUP(C193,Группа!A:B,2,FALSE)</f>
        <v>Кепка</v>
      </c>
      <c r="AC193" s="97" t="str">
        <f ca="1">IFERROR(VLOOKUP(S193,Размеры!A:C,3,FALSE),"")</f>
        <v>55 S</v>
      </c>
      <c r="AD193" s="97" t="str">
        <f ca="1">VLOOKUP(I193,ЦветПолный!A:B,2,FALSE)</f>
        <v>16</v>
      </c>
      <c r="AE193" s="97" t="str">
        <f ca="1">IFERROR(VLOOKUP(S193,Размеры!A:D,4,FALSE),"")</f>
        <v>55</v>
      </c>
      <c r="AF193" s="97">
        <f ca="1">IF(LEFT(IFERROR(VLOOKUP(LOOKUP(2,1/SEARCH(B193,Товары!A:A),Товары!A:A),Товары!A:B,2,0),""),6)=MID(AA193,1,6),1,0)</f>
        <v>1</v>
      </c>
      <c r="AH193" s="97">
        <f ca="1">SUMIF(Группа!A:A,C193,Группа!C:C)</f>
        <v>1</v>
      </c>
      <c r="AI193" s="97">
        <f ca="1">SUMIF(Группа!B:B,AB193,Группа!C:C)</f>
        <v>1</v>
      </c>
      <c r="AJ193" s="97">
        <f ca="1">SUMIF(Формы!A:A,D193,Формы!B:B)</f>
        <v>1</v>
      </c>
      <c r="AK193" s="97">
        <f ca="1">SUMIF(Материал!A:A,K193,Материал!B:B)</f>
        <v>1</v>
      </c>
      <c r="AL193" s="97">
        <f ca="1">SUMIF(Размеры!A:A,S193,Размеры!E:E)</f>
        <v>1</v>
      </c>
      <c r="AM193" s="97">
        <f ca="1">SUMIF(Сезон!A:A,F193,Сезон!B:B)</f>
        <v>1</v>
      </c>
      <c r="AN193" s="97">
        <f ca="1">SUMIF(Состав!A:A,J193,Состав!B:B)</f>
        <v>1</v>
      </c>
      <c r="AO193" s="97">
        <f ca="1">VLOOKUP(I193,ЦветПолный!A:C,3,0)</f>
        <v>1</v>
      </c>
      <c r="AP193" s="97">
        <f ca="1">SUMIF(Цвет!A:A,Z193,Цвет!B:B)</f>
        <v>1</v>
      </c>
      <c r="AQ193" s="97">
        <f ca="1">_xlfn.XLOOKUP(L193,Пол!A:A,Пол!B:B,0,0)</f>
        <v>1</v>
      </c>
      <c r="AR193" s="97">
        <f ca="1">SUMIF(Бренд!A:A,G193,Бренд!B:B)</f>
        <v>1</v>
      </c>
      <c r="AS193" s="97">
        <f ca="1">SUMIF(Страна!A:A,M193,Страна!B:B)</f>
        <v>1</v>
      </c>
      <c r="AT193" s="64" t="str">
        <f ca="1">IF(VLOOKUP(W193,Товары!A:B,2,FALSE)=A193,"Есть в 1С","ERR")</f>
        <v>Есть в 1С</v>
      </c>
      <c r="AU193" s="65" t="str">
        <f ca="1">IF(VLOOKUP(A193,Товары!B:B,1,FALSE)=A193,"Есть в 1С","ERR")</f>
        <v>Есть в 1С</v>
      </c>
      <c r="AV193" s="96" t="str">
        <f ca="1">VLOOKUP(W193,Товары!A:B,2,FALSE)</f>
        <v>80-820-16</v>
      </c>
      <c r="AW193" s="94" t="str">
        <f ca="1">VLOOKUP(W193,Товары!A:B,1,FALSE)</f>
        <v>Кепка HERMAN арт. GLAZIC (темно-синий) {navy}</v>
      </c>
    </row>
    <row r="194" spans="1:49" x14ac:dyDescent="0.25">
      <c r="A194" s="110" t="str">
        <f t="shared" ca="1" si="12"/>
        <v>80-805-12</v>
      </c>
      <c r="B194" s="107" t="str">
        <f ca="1">_xlfn.LET(_xlpm.CAPS,0,_xlpm.Style,TRIM(_xlfn.XLOOKUP($A194,Строчный!$A:$A,Строчный!B:B,"ERR",0)),IF(_xlpm.CAPS=0,_xlpm.Style,UPPER(_xlpm.Style)))</f>
        <v>BARBEAU</v>
      </c>
      <c r="C194" s="81" t="str">
        <f ca="1">TRIM(PROPER(_xlfn.XLOOKUP($A194,Строчный!$A:$A,Строчный!C:C,"ERR",0)))</f>
        <v>Кепки</v>
      </c>
      <c r="D194" s="81" t="str">
        <f ca="1">_xlfn.LET(_xlpm.DATA,TRIM(_xlfn.XLOOKUP($A194,Строчный!$A:$A,Строчный!D:D,"ERR",0)),UPPER(MID(_xlpm.DATA,1,1))&amp;LOWER(MID(_xlpm.DATA,2,LEN(_xlpm.DATA)-1)))</f>
        <v>Кепка уточка</v>
      </c>
      <c r="E194" s="81" t="str">
        <f ca="1">PROPER(TRIM(_xlfn.XLOOKUP($A194,Строчный!$A:$A,Строчный!E:E,"ERR",0)))</f>
        <v>Herman</v>
      </c>
      <c r="F194" s="81" t="str">
        <f ca="1">LOWER(TRIM(_xlfn.XLOOKUP($A194,Строчный!$A:$A,Строчный!F:F,"ERR",0)))</f>
        <v>всесезон</v>
      </c>
      <c r="G194" s="81" t="str">
        <f ca="1">UPPER(TRIM(_xlfn.XLOOKUP($A194,Строчный!$A:$A,Строчный!G:G,"ERR",0)))</f>
        <v>HERMAN</v>
      </c>
      <c r="H194" s="81" t="str">
        <f ca="1">LOWER(TRIM(_xlfn.XLOOKUP($A194,Строчный!$A:$A,Строчный!H:H,"ERR",0)))</f>
        <v>burgundy</v>
      </c>
      <c r="I194" s="81" t="str">
        <f ca="1">LOWER(TRIM(_xlfn.XLOOKUP($A194,Строчный!$A:$A,Строчный!I:I,"ERR",0)))</f>
        <v>бордовый</v>
      </c>
      <c r="J194" s="81" t="str">
        <f ca="1">SUBSTITUTE(LOWER(TRIM(_xlfn.XLOOKUP($A194,Строчный!$A:$A,Строчный!J:J,"ERR",0))),"подклад","Подклад")</f>
        <v>50% шерсть - 50% полиэстер</v>
      </c>
      <c r="K194" s="81" t="str">
        <f ca="1">LOWER(TRIM(_xlfn.XLOOKUP($A194,Строчный!$A:$A,Строчный!K:K,"ERR",0)))</f>
        <v>шерстяные</v>
      </c>
      <c r="L194" s="81" t="str">
        <f ca="1">PROPER(TRIM(_xlfn.XLOOKUP($A194,Строчный!$A:$A,Строчный!L:L,"ERR",0)))</f>
        <v>Унисекс</v>
      </c>
      <c r="M194" s="113" t="str">
        <f ca="1">PROPER(TRIM(_xlfn.XLOOKUP($A194,Строчный!$A:$A,Строчный!M:M,"ERR",0)))</f>
        <v>Китай</v>
      </c>
      <c r="N194" s="81" t="str">
        <f ca="1">UPPER(TRIM(_xlfn.XLOOKUP($A194,Строчный!$A:$A,Строчный!O:O,"ERR",0)))</f>
        <v/>
      </c>
      <c r="O194" s="102" t="str">
        <f ca="1">PROPER(TRIM(_xlfn.XLOOKUP($A194,Строчный!$A:$A,Строчный!P:P,"ERR",0)))</f>
        <v/>
      </c>
      <c r="P194" s="81" t="str">
        <f ca="1">PROPER(TRIM(_xlfn.XLOOKUP($A194,Строчный!$A:$A,Строчный!R:R,"ERR",0)))</f>
        <v/>
      </c>
      <c r="Q194" s="90">
        <f ca="1">VALUE(_xlfn.XLOOKUP($A194,Строчный!$A:$A,Строчный!N:N,"ERR",0))</f>
        <v>270</v>
      </c>
      <c r="R194" s="89" t="str">
        <f ca="1">_xlfn.XLOOKUP($G194,Фабрика!A:A,Фабрика!B:B,"ERR",0)</f>
        <v>Chapellerie Herman S.A.; Rue Jean Meunier, 6, 6922 Wellin, Belgium</v>
      </c>
      <c r="S194" s="80" t="str">
        <f ca="1">_xlfn.XLOOKUP(RIGHT(AA194,2),Размеры!D:D,Размеры!A:A,"ERR",0)</f>
        <v>61</v>
      </c>
      <c r="T194" s="80">
        <f ca="1">VALUE(_xlfn.XLOOKUP($AA194,Строчный!$S:$S,Строчный!U:U,"ERR",0))</f>
        <v>1</v>
      </c>
      <c r="U194" s="14" t="s">
        <v>265</v>
      </c>
      <c r="V194" s="101" t="str">
        <f t="shared" ca="1" si="13"/>
        <v>Кепка HERMAN арт. BARBEAU (бордовый)</v>
      </c>
      <c r="W194" s="100" t="str">
        <f t="shared" ca="1" si="14"/>
        <v>Кепка HERMAN арт. BARBEAU (бордовый) {burgundy}</v>
      </c>
      <c r="X194" s="18" t="str">
        <f t="shared" ca="1" si="15"/>
        <v>бордовый</v>
      </c>
      <c r="Y194" s="18" t="str">
        <f t="shared" ca="1" si="16"/>
        <v>бордовый</v>
      </c>
      <c r="Z194" s="117" t="str">
        <f ca="1">_xlfn.LET(_xlpm.FormColors,_xlfn.XLOOKUP(A194,Строчный!A:A,Строчный!Q:Q,"",0),IF(_xlpm.FormColors=0,IFERROR(MID(I194,FIND("-",I194)+1,LEN(I194)),IFERROR(MID(I194,1,FIND("/",I194)-2),I194)),_xlpm.FormColors))</f>
        <v>бордовый</v>
      </c>
      <c r="AA194" s="73" t="str">
        <f ca="1"/>
        <v>80-805-12-61</v>
      </c>
      <c r="AB194" s="75" t="str">
        <f ca="1">VLOOKUP(C194,Группа!A:B,2,FALSE)</f>
        <v>Кепка</v>
      </c>
      <c r="AC194" s="97" t="str">
        <f ca="1">IFERROR(VLOOKUP(S194,Размеры!A:C,3,FALSE),"")</f>
        <v>61 XL</v>
      </c>
      <c r="AD194" s="97" t="str">
        <f ca="1">VLOOKUP(I194,ЦветПолный!A:B,2,FALSE)</f>
        <v>12</v>
      </c>
      <c r="AE194" s="97" t="str">
        <f ca="1">IFERROR(VLOOKUP(S194,Размеры!A:D,4,FALSE),"")</f>
        <v>61</v>
      </c>
      <c r="AF194" s="97">
        <f ca="1">IF(LEFT(IFERROR(VLOOKUP(LOOKUP(2,1/SEARCH(B194,Товары!A:A),Товары!A:A),Товары!A:B,2,0),""),6)=MID(AA194,1,6),1,0)</f>
        <v>1</v>
      </c>
      <c r="AH194" s="97">
        <f ca="1">SUMIF(Группа!A:A,C194,Группа!C:C)</f>
        <v>1</v>
      </c>
      <c r="AI194" s="97">
        <f ca="1">SUMIF(Группа!B:B,AB194,Группа!C:C)</f>
        <v>1</v>
      </c>
      <c r="AJ194" s="97">
        <f ca="1">SUMIF(Формы!A:A,D194,Формы!B:B)</f>
        <v>1</v>
      </c>
      <c r="AK194" s="97">
        <f ca="1">SUMIF(Материал!A:A,K194,Материал!B:B)</f>
        <v>1</v>
      </c>
      <c r="AL194" s="97">
        <f ca="1">SUMIF(Размеры!A:A,S194,Размеры!E:E)</f>
        <v>1</v>
      </c>
      <c r="AM194" s="97">
        <f ca="1">SUMIF(Сезон!A:A,F194,Сезон!B:B)</f>
        <v>1</v>
      </c>
      <c r="AN194" s="97">
        <f ca="1">SUMIF(Состав!A:A,J194,Состав!B:B)</f>
        <v>1</v>
      </c>
      <c r="AO194" s="97">
        <f ca="1">VLOOKUP(I194,ЦветПолный!A:C,3,0)</f>
        <v>1</v>
      </c>
      <c r="AP194" s="97">
        <f ca="1">SUMIF(Цвет!A:A,Z194,Цвет!B:B)</f>
        <v>1</v>
      </c>
      <c r="AQ194" s="97">
        <f ca="1">_xlfn.XLOOKUP(L194,Пол!A:A,Пол!B:B,0,0)</f>
        <v>1</v>
      </c>
      <c r="AR194" s="97">
        <f ca="1">SUMIF(Бренд!A:A,G194,Бренд!B:B)</f>
        <v>1</v>
      </c>
      <c r="AS194" s="97">
        <f ca="1">SUMIF(Страна!A:A,M194,Страна!B:B)</f>
        <v>1</v>
      </c>
      <c r="AT194" s="64" t="str">
        <f ca="1">IF(VLOOKUP(W194,Товары!A:B,2,FALSE)=A194,"Есть в 1С","ERR")</f>
        <v>Есть в 1С</v>
      </c>
      <c r="AU194" s="65" t="str">
        <f ca="1">IF(VLOOKUP(A194,Товары!B:B,1,FALSE)=A194,"Есть в 1С","ERR")</f>
        <v>Есть в 1С</v>
      </c>
      <c r="AV194" s="96" t="str">
        <f ca="1">VLOOKUP(W194,Товары!A:B,2,FALSE)</f>
        <v>80-805-12</v>
      </c>
      <c r="AW194" s="94" t="str">
        <f ca="1">VLOOKUP(W194,Товары!A:B,1,FALSE)</f>
        <v>Кепка HERMAN арт. BARBEAU (бордовый) {burgundy}</v>
      </c>
    </row>
    <row r="195" spans="1:49" x14ac:dyDescent="0.25">
      <c r="A195" s="110" t="str">
        <f t="shared" ref="A195:A258" ca="1" si="17">LEFT(AA195,9)</f>
        <v>80-805-12</v>
      </c>
      <c r="B195" s="107" t="str">
        <f ca="1">_xlfn.LET(_xlpm.CAPS,0,_xlpm.Style,TRIM(_xlfn.XLOOKUP($A195,Строчный!$A:$A,Строчный!B:B,"ERR",0)),IF(_xlpm.CAPS=0,_xlpm.Style,UPPER(_xlpm.Style)))</f>
        <v>BARBEAU</v>
      </c>
      <c r="C195" s="81" t="str">
        <f ca="1">TRIM(PROPER(_xlfn.XLOOKUP($A195,Строчный!$A:$A,Строчный!C:C,"ERR",0)))</f>
        <v>Кепки</v>
      </c>
      <c r="D195" s="81" t="str">
        <f ca="1">_xlfn.LET(_xlpm.DATA,TRIM(_xlfn.XLOOKUP($A195,Строчный!$A:$A,Строчный!D:D,"ERR",0)),UPPER(MID(_xlpm.DATA,1,1))&amp;LOWER(MID(_xlpm.DATA,2,LEN(_xlpm.DATA)-1)))</f>
        <v>Кепка уточка</v>
      </c>
      <c r="E195" s="81" t="str">
        <f ca="1">PROPER(TRIM(_xlfn.XLOOKUP($A195,Строчный!$A:$A,Строчный!E:E,"ERR",0)))</f>
        <v>Herman</v>
      </c>
      <c r="F195" s="81" t="str">
        <f ca="1">LOWER(TRIM(_xlfn.XLOOKUP($A195,Строчный!$A:$A,Строчный!F:F,"ERR",0)))</f>
        <v>всесезон</v>
      </c>
      <c r="G195" s="81" t="str">
        <f ca="1">UPPER(TRIM(_xlfn.XLOOKUP($A195,Строчный!$A:$A,Строчный!G:G,"ERR",0)))</f>
        <v>HERMAN</v>
      </c>
      <c r="H195" s="81" t="str">
        <f ca="1">LOWER(TRIM(_xlfn.XLOOKUP($A195,Строчный!$A:$A,Строчный!H:H,"ERR",0)))</f>
        <v>burgundy</v>
      </c>
      <c r="I195" s="81" t="str">
        <f ca="1">LOWER(TRIM(_xlfn.XLOOKUP($A195,Строчный!$A:$A,Строчный!I:I,"ERR",0)))</f>
        <v>бордовый</v>
      </c>
      <c r="J195" s="81" t="str">
        <f ca="1">SUBSTITUTE(LOWER(TRIM(_xlfn.XLOOKUP($A195,Строчный!$A:$A,Строчный!J:J,"ERR",0))),"подклад","Подклад")</f>
        <v>50% шерсть - 50% полиэстер</v>
      </c>
      <c r="K195" s="81" t="str">
        <f ca="1">LOWER(TRIM(_xlfn.XLOOKUP($A195,Строчный!$A:$A,Строчный!K:K,"ERR",0)))</f>
        <v>шерстяные</v>
      </c>
      <c r="L195" s="81" t="str">
        <f ca="1">PROPER(TRIM(_xlfn.XLOOKUP($A195,Строчный!$A:$A,Строчный!L:L,"ERR",0)))</f>
        <v>Унисекс</v>
      </c>
      <c r="M195" s="113" t="str">
        <f ca="1">PROPER(TRIM(_xlfn.XLOOKUP($A195,Строчный!$A:$A,Строчный!M:M,"ERR",0)))</f>
        <v>Китай</v>
      </c>
      <c r="N195" s="81" t="str">
        <f ca="1">UPPER(TRIM(_xlfn.XLOOKUP($A195,Строчный!$A:$A,Строчный!O:O,"ERR",0)))</f>
        <v/>
      </c>
      <c r="O195" s="102" t="str">
        <f ca="1">PROPER(TRIM(_xlfn.XLOOKUP($A195,Строчный!$A:$A,Строчный!P:P,"ERR",0)))</f>
        <v/>
      </c>
      <c r="P195" s="81" t="str">
        <f ca="1">PROPER(TRIM(_xlfn.XLOOKUP($A195,Строчный!$A:$A,Строчный!R:R,"ERR",0)))</f>
        <v/>
      </c>
      <c r="Q195" s="90">
        <f ca="1">VALUE(_xlfn.XLOOKUP($A195,Строчный!$A:$A,Строчный!N:N,"ERR",0))</f>
        <v>270</v>
      </c>
      <c r="R195" s="89" t="str">
        <f ca="1">_xlfn.XLOOKUP($G195,Фабрика!A:A,Фабрика!B:B,"ERR",0)</f>
        <v>Chapellerie Herman S.A.; Rue Jean Meunier, 6, 6922 Wellin, Belgium</v>
      </c>
      <c r="S195" s="80" t="str">
        <f ca="1">_xlfn.XLOOKUP(RIGHT(AA195,2),Размеры!D:D,Размеры!A:A,"ERR",0)</f>
        <v>59</v>
      </c>
      <c r="T195" s="80">
        <f ca="1">VALUE(_xlfn.XLOOKUP($AA195,Строчный!$S:$S,Строчный!U:U,"ERR",0))</f>
        <v>2</v>
      </c>
      <c r="U195" s="14" t="s">
        <v>265</v>
      </c>
      <c r="V195" s="101" t="str">
        <f t="shared" ref="V195:V258" ca="1" si="18">TRIM(CONCATENATE(AB195," ",G195," арт. ",B195," (",I195,")"))</f>
        <v>Кепка HERMAN арт. BARBEAU (бордовый)</v>
      </c>
      <c r="W195" s="100" t="str">
        <f t="shared" ref="W195:W258" ca="1" si="19">TRIM(CONCATENATE(AB195," ",G195," арт. ",B195," (",I195,") {",H195,"}"))</f>
        <v>Кепка HERMAN арт. BARBEAU (бордовый) {burgundy}</v>
      </c>
      <c r="X195" s="18" t="str">
        <f t="shared" ref="X195:X258" ca="1" si="20">IFERROR(MID(I195,FIND("-",I195)+1,LEN(I195)),IFERROR(MID(I195,1,FIND("/",I195)-2),I195))</f>
        <v>бордовый</v>
      </c>
      <c r="Y195" s="18" t="str">
        <f t="shared" ref="Y195:Y258" ca="1" si="21">IFERROR(MID(I195,FIND("-",I195)+1,LEN(I195)),IFERROR(MID(I195,FIND("/",I195)+2,LEN(I195)),I195))</f>
        <v>бордовый</v>
      </c>
      <c r="Z195" s="117" t="str">
        <f ca="1">_xlfn.LET(_xlpm.FormColors,_xlfn.XLOOKUP(A195,Строчный!A:A,Строчный!Q:Q,"",0),IF(_xlpm.FormColors=0,IFERROR(MID(I195,FIND("-",I195)+1,LEN(I195)),IFERROR(MID(I195,1,FIND("/",I195)-2),I195)),_xlpm.FormColors))</f>
        <v>бордовый</v>
      </c>
      <c r="AA195" s="73" t="str">
        <f ca="1"/>
        <v>80-805-12-59</v>
      </c>
      <c r="AB195" s="75" t="str">
        <f ca="1">VLOOKUP(C195,Группа!A:B,2,FALSE)</f>
        <v>Кепка</v>
      </c>
      <c r="AC195" s="97" t="str">
        <f ca="1">IFERROR(VLOOKUP(S195,Размеры!A:C,3,FALSE),"")</f>
        <v>59 L</v>
      </c>
      <c r="AD195" s="97" t="str">
        <f ca="1">VLOOKUP(I195,ЦветПолный!A:B,2,FALSE)</f>
        <v>12</v>
      </c>
      <c r="AE195" s="97" t="str">
        <f ca="1">IFERROR(VLOOKUP(S195,Размеры!A:D,4,FALSE),"")</f>
        <v>59</v>
      </c>
      <c r="AF195" s="97">
        <f ca="1">IF(LEFT(IFERROR(VLOOKUP(LOOKUP(2,1/SEARCH(B195,Товары!A:A),Товары!A:A),Товары!A:B,2,0),""),6)=MID(AA195,1,6),1,0)</f>
        <v>1</v>
      </c>
      <c r="AH195" s="97">
        <f ca="1">SUMIF(Группа!A:A,C195,Группа!C:C)</f>
        <v>1</v>
      </c>
      <c r="AI195" s="97">
        <f ca="1">SUMIF(Группа!B:B,AB195,Группа!C:C)</f>
        <v>1</v>
      </c>
      <c r="AJ195" s="97">
        <f ca="1">SUMIF(Формы!A:A,D195,Формы!B:B)</f>
        <v>1</v>
      </c>
      <c r="AK195" s="97">
        <f ca="1">SUMIF(Материал!A:A,K195,Материал!B:B)</f>
        <v>1</v>
      </c>
      <c r="AL195" s="97">
        <f ca="1">SUMIF(Размеры!A:A,S195,Размеры!E:E)</f>
        <v>1</v>
      </c>
      <c r="AM195" s="97">
        <f ca="1">SUMIF(Сезон!A:A,F195,Сезон!B:B)</f>
        <v>1</v>
      </c>
      <c r="AN195" s="97">
        <f ca="1">SUMIF(Состав!A:A,J195,Состав!B:B)</f>
        <v>1</v>
      </c>
      <c r="AO195" s="97">
        <f ca="1">VLOOKUP(I195,ЦветПолный!A:C,3,0)</f>
        <v>1</v>
      </c>
      <c r="AP195" s="97">
        <f ca="1">SUMIF(Цвет!A:A,Z195,Цвет!B:B)</f>
        <v>1</v>
      </c>
      <c r="AQ195" s="97">
        <f ca="1">_xlfn.XLOOKUP(L195,Пол!A:A,Пол!B:B,0,0)</f>
        <v>1</v>
      </c>
      <c r="AR195" s="97">
        <f ca="1">SUMIF(Бренд!A:A,G195,Бренд!B:B)</f>
        <v>1</v>
      </c>
      <c r="AS195" s="97">
        <f ca="1">SUMIF(Страна!A:A,M195,Страна!B:B)</f>
        <v>1</v>
      </c>
      <c r="AT195" s="64" t="str">
        <f ca="1">IF(VLOOKUP(W195,Товары!A:B,2,FALSE)=A195,"Есть в 1С","ERR")</f>
        <v>Есть в 1С</v>
      </c>
      <c r="AU195" s="65" t="str">
        <f ca="1">IF(VLOOKUP(A195,Товары!B:B,1,FALSE)=A195,"Есть в 1С","ERR")</f>
        <v>Есть в 1С</v>
      </c>
      <c r="AV195" s="96" t="str">
        <f ca="1">VLOOKUP(W195,Товары!A:B,2,FALSE)</f>
        <v>80-805-12</v>
      </c>
      <c r="AW195" s="94" t="str">
        <f ca="1">VLOOKUP(W195,Товары!A:B,1,FALSE)</f>
        <v>Кепка HERMAN арт. BARBEAU (бордовый) {burgundy}</v>
      </c>
    </row>
    <row r="196" spans="1:49" x14ac:dyDescent="0.25">
      <c r="A196" s="110" t="str">
        <f t="shared" ca="1" si="17"/>
        <v>80-805-12</v>
      </c>
      <c r="B196" s="107" t="str">
        <f ca="1">_xlfn.LET(_xlpm.CAPS,0,_xlpm.Style,TRIM(_xlfn.XLOOKUP($A196,Строчный!$A:$A,Строчный!B:B,"ERR",0)),IF(_xlpm.CAPS=0,_xlpm.Style,UPPER(_xlpm.Style)))</f>
        <v>BARBEAU</v>
      </c>
      <c r="C196" s="81" t="str">
        <f ca="1">TRIM(PROPER(_xlfn.XLOOKUP($A196,Строчный!$A:$A,Строчный!C:C,"ERR",0)))</f>
        <v>Кепки</v>
      </c>
      <c r="D196" s="81" t="str">
        <f ca="1">_xlfn.LET(_xlpm.DATA,TRIM(_xlfn.XLOOKUP($A196,Строчный!$A:$A,Строчный!D:D,"ERR",0)),UPPER(MID(_xlpm.DATA,1,1))&amp;LOWER(MID(_xlpm.DATA,2,LEN(_xlpm.DATA)-1)))</f>
        <v>Кепка уточка</v>
      </c>
      <c r="E196" s="81" t="str">
        <f ca="1">PROPER(TRIM(_xlfn.XLOOKUP($A196,Строчный!$A:$A,Строчный!E:E,"ERR",0)))</f>
        <v>Herman</v>
      </c>
      <c r="F196" s="81" t="str">
        <f ca="1">LOWER(TRIM(_xlfn.XLOOKUP($A196,Строчный!$A:$A,Строчный!F:F,"ERR",0)))</f>
        <v>всесезон</v>
      </c>
      <c r="G196" s="81" t="str">
        <f ca="1">UPPER(TRIM(_xlfn.XLOOKUP($A196,Строчный!$A:$A,Строчный!G:G,"ERR",0)))</f>
        <v>HERMAN</v>
      </c>
      <c r="H196" s="81" t="str">
        <f ca="1">LOWER(TRIM(_xlfn.XLOOKUP($A196,Строчный!$A:$A,Строчный!H:H,"ERR",0)))</f>
        <v>burgundy</v>
      </c>
      <c r="I196" s="81" t="str">
        <f ca="1">LOWER(TRIM(_xlfn.XLOOKUP($A196,Строчный!$A:$A,Строчный!I:I,"ERR",0)))</f>
        <v>бордовый</v>
      </c>
      <c r="J196" s="81" t="str">
        <f ca="1">SUBSTITUTE(LOWER(TRIM(_xlfn.XLOOKUP($A196,Строчный!$A:$A,Строчный!J:J,"ERR",0))),"подклад","Подклад")</f>
        <v>50% шерсть - 50% полиэстер</v>
      </c>
      <c r="K196" s="81" t="str">
        <f ca="1">LOWER(TRIM(_xlfn.XLOOKUP($A196,Строчный!$A:$A,Строчный!K:K,"ERR",0)))</f>
        <v>шерстяные</v>
      </c>
      <c r="L196" s="81" t="str">
        <f ca="1">PROPER(TRIM(_xlfn.XLOOKUP($A196,Строчный!$A:$A,Строчный!L:L,"ERR",0)))</f>
        <v>Унисекс</v>
      </c>
      <c r="M196" s="113" t="str">
        <f ca="1">PROPER(TRIM(_xlfn.XLOOKUP($A196,Строчный!$A:$A,Строчный!M:M,"ERR",0)))</f>
        <v>Китай</v>
      </c>
      <c r="N196" s="81" t="str">
        <f ca="1">UPPER(TRIM(_xlfn.XLOOKUP($A196,Строчный!$A:$A,Строчный!O:O,"ERR",0)))</f>
        <v/>
      </c>
      <c r="O196" s="102" t="str">
        <f ca="1">PROPER(TRIM(_xlfn.XLOOKUP($A196,Строчный!$A:$A,Строчный!P:P,"ERR",0)))</f>
        <v/>
      </c>
      <c r="P196" s="81" t="str">
        <f ca="1">PROPER(TRIM(_xlfn.XLOOKUP($A196,Строчный!$A:$A,Строчный!R:R,"ERR",0)))</f>
        <v/>
      </c>
      <c r="Q196" s="90">
        <f ca="1">VALUE(_xlfn.XLOOKUP($A196,Строчный!$A:$A,Строчный!N:N,"ERR",0))</f>
        <v>270</v>
      </c>
      <c r="R196" s="89" t="str">
        <f ca="1">_xlfn.XLOOKUP($G196,Фабрика!A:A,Фабрика!B:B,"ERR",0)</f>
        <v>Chapellerie Herman S.A.; Rue Jean Meunier, 6, 6922 Wellin, Belgium</v>
      </c>
      <c r="S196" s="80" t="str">
        <f ca="1">_xlfn.XLOOKUP(RIGHT(AA196,2),Размеры!D:D,Размеры!A:A,"ERR",0)</f>
        <v>57</v>
      </c>
      <c r="T196" s="80">
        <f ca="1">VALUE(_xlfn.XLOOKUP($AA196,Строчный!$S:$S,Строчный!U:U,"ERR",0))</f>
        <v>2</v>
      </c>
      <c r="U196" s="14" t="s">
        <v>265</v>
      </c>
      <c r="V196" s="101" t="str">
        <f t="shared" ca="1" si="18"/>
        <v>Кепка HERMAN арт. BARBEAU (бордовый)</v>
      </c>
      <c r="W196" s="100" t="str">
        <f t="shared" ca="1" si="19"/>
        <v>Кепка HERMAN арт. BARBEAU (бордовый) {burgundy}</v>
      </c>
      <c r="X196" s="18" t="str">
        <f t="shared" ca="1" si="20"/>
        <v>бордовый</v>
      </c>
      <c r="Y196" s="18" t="str">
        <f t="shared" ca="1" si="21"/>
        <v>бордовый</v>
      </c>
      <c r="Z196" s="117" t="str">
        <f ca="1">_xlfn.LET(_xlpm.FormColors,_xlfn.XLOOKUP(A196,Строчный!A:A,Строчный!Q:Q,"",0),IF(_xlpm.FormColors=0,IFERROR(MID(I196,FIND("-",I196)+1,LEN(I196)),IFERROR(MID(I196,1,FIND("/",I196)-2),I196)),_xlpm.FormColors))</f>
        <v>бордовый</v>
      </c>
      <c r="AA196" s="73" t="str">
        <f ca="1"/>
        <v>80-805-12-57</v>
      </c>
      <c r="AB196" s="75" t="str">
        <f ca="1">VLOOKUP(C196,Группа!A:B,2,FALSE)</f>
        <v>Кепка</v>
      </c>
      <c r="AC196" s="97" t="str">
        <f ca="1">IFERROR(VLOOKUP(S196,Размеры!A:C,3,FALSE),"")</f>
        <v>57 M</v>
      </c>
      <c r="AD196" s="97" t="str">
        <f ca="1">VLOOKUP(I196,ЦветПолный!A:B,2,FALSE)</f>
        <v>12</v>
      </c>
      <c r="AE196" s="97" t="str">
        <f ca="1">IFERROR(VLOOKUP(S196,Размеры!A:D,4,FALSE),"")</f>
        <v>57</v>
      </c>
      <c r="AF196" s="97">
        <f ca="1">IF(LEFT(IFERROR(VLOOKUP(LOOKUP(2,1/SEARCH(B196,Товары!A:A),Товары!A:A),Товары!A:B,2,0),""),6)=MID(AA196,1,6),1,0)</f>
        <v>1</v>
      </c>
      <c r="AH196" s="97">
        <f ca="1">SUMIF(Группа!A:A,C196,Группа!C:C)</f>
        <v>1</v>
      </c>
      <c r="AI196" s="97">
        <f ca="1">SUMIF(Группа!B:B,AB196,Группа!C:C)</f>
        <v>1</v>
      </c>
      <c r="AJ196" s="97">
        <f ca="1">SUMIF(Формы!A:A,D196,Формы!B:B)</f>
        <v>1</v>
      </c>
      <c r="AK196" s="97">
        <f ca="1">SUMIF(Материал!A:A,K196,Материал!B:B)</f>
        <v>1</v>
      </c>
      <c r="AL196" s="97">
        <f ca="1">SUMIF(Размеры!A:A,S196,Размеры!E:E)</f>
        <v>1</v>
      </c>
      <c r="AM196" s="97">
        <f ca="1">SUMIF(Сезон!A:A,F196,Сезон!B:B)</f>
        <v>1</v>
      </c>
      <c r="AN196" s="97">
        <f ca="1">SUMIF(Состав!A:A,J196,Состав!B:B)</f>
        <v>1</v>
      </c>
      <c r="AO196" s="97">
        <f ca="1">VLOOKUP(I196,ЦветПолный!A:C,3,0)</f>
        <v>1</v>
      </c>
      <c r="AP196" s="97">
        <f ca="1">SUMIF(Цвет!A:A,Z196,Цвет!B:B)</f>
        <v>1</v>
      </c>
      <c r="AQ196" s="97">
        <f ca="1">_xlfn.XLOOKUP(L196,Пол!A:A,Пол!B:B,0,0)</f>
        <v>1</v>
      </c>
      <c r="AR196" s="97">
        <f ca="1">SUMIF(Бренд!A:A,G196,Бренд!B:B)</f>
        <v>1</v>
      </c>
      <c r="AS196" s="97">
        <f ca="1">SUMIF(Страна!A:A,M196,Страна!B:B)</f>
        <v>1</v>
      </c>
      <c r="AT196" s="64" t="str">
        <f ca="1">IF(VLOOKUP(W196,Товары!A:B,2,FALSE)=A196,"Есть в 1С","ERR")</f>
        <v>Есть в 1С</v>
      </c>
      <c r="AU196" s="65" t="str">
        <f ca="1">IF(VLOOKUP(A196,Товары!B:B,1,FALSE)=A196,"Есть в 1С","ERR")</f>
        <v>Есть в 1С</v>
      </c>
      <c r="AV196" s="96" t="str">
        <f ca="1">VLOOKUP(W196,Товары!A:B,2,FALSE)</f>
        <v>80-805-12</v>
      </c>
      <c r="AW196" s="94" t="str">
        <f ca="1">VLOOKUP(W196,Товары!A:B,1,FALSE)</f>
        <v>Кепка HERMAN арт. BARBEAU (бордовый) {burgundy}</v>
      </c>
    </row>
    <row r="197" spans="1:49" x14ac:dyDescent="0.25">
      <c r="A197" s="110" t="str">
        <f t="shared" ca="1" si="17"/>
        <v>80-805-12</v>
      </c>
      <c r="B197" s="107" t="str">
        <f ca="1">_xlfn.LET(_xlpm.CAPS,0,_xlpm.Style,TRIM(_xlfn.XLOOKUP($A197,Строчный!$A:$A,Строчный!B:B,"ERR",0)),IF(_xlpm.CAPS=0,_xlpm.Style,UPPER(_xlpm.Style)))</f>
        <v>BARBEAU</v>
      </c>
      <c r="C197" s="81" t="str">
        <f ca="1">TRIM(PROPER(_xlfn.XLOOKUP($A197,Строчный!$A:$A,Строчный!C:C,"ERR",0)))</f>
        <v>Кепки</v>
      </c>
      <c r="D197" s="81" t="str">
        <f ca="1">_xlfn.LET(_xlpm.DATA,TRIM(_xlfn.XLOOKUP($A197,Строчный!$A:$A,Строчный!D:D,"ERR",0)),UPPER(MID(_xlpm.DATA,1,1))&amp;LOWER(MID(_xlpm.DATA,2,LEN(_xlpm.DATA)-1)))</f>
        <v>Кепка уточка</v>
      </c>
      <c r="E197" s="81" t="str">
        <f ca="1">PROPER(TRIM(_xlfn.XLOOKUP($A197,Строчный!$A:$A,Строчный!E:E,"ERR",0)))</f>
        <v>Herman</v>
      </c>
      <c r="F197" s="81" t="str">
        <f ca="1">LOWER(TRIM(_xlfn.XLOOKUP($A197,Строчный!$A:$A,Строчный!F:F,"ERR",0)))</f>
        <v>всесезон</v>
      </c>
      <c r="G197" s="81" t="str">
        <f ca="1">UPPER(TRIM(_xlfn.XLOOKUP($A197,Строчный!$A:$A,Строчный!G:G,"ERR",0)))</f>
        <v>HERMAN</v>
      </c>
      <c r="H197" s="81" t="str">
        <f ca="1">LOWER(TRIM(_xlfn.XLOOKUP($A197,Строчный!$A:$A,Строчный!H:H,"ERR",0)))</f>
        <v>burgundy</v>
      </c>
      <c r="I197" s="81" t="str">
        <f ca="1">LOWER(TRIM(_xlfn.XLOOKUP($A197,Строчный!$A:$A,Строчный!I:I,"ERR",0)))</f>
        <v>бордовый</v>
      </c>
      <c r="J197" s="81" t="str">
        <f ca="1">SUBSTITUTE(LOWER(TRIM(_xlfn.XLOOKUP($A197,Строчный!$A:$A,Строчный!J:J,"ERR",0))),"подклад","Подклад")</f>
        <v>50% шерсть - 50% полиэстер</v>
      </c>
      <c r="K197" s="81" t="str">
        <f ca="1">LOWER(TRIM(_xlfn.XLOOKUP($A197,Строчный!$A:$A,Строчный!K:K,"ERR",0)))</f>
        <v>шерстяные</v>
      </c>
      <c r="L197" s="81" t="str">
        <f ca="1">PROPER(TRIM(_xlfn.XLOOKUP($A197,Строчный!$A:$A,Строчный!L:L,"ERR",0)))</f>
        <v>Унисекс</v>
      </c>
      <c r="M197" s="113" t="str">
        <f ca="1">PROPER(TRIM(_xlfn.XLOOKUP($A197,Строчный!$A:$A,Строчный!M:M,"ERR",0)))</f>
        <v>Китай</v>
      </c>
      <c r="N197" s="81" t="str">
        <f ca="1">UPPER(TRIM(_xlfn.XLOOKUP($A197,Строчный!$A:$A,Строчный!O:O,"ERR",0)))</f>
        <v/>
      </c>
      <c r="O197" s="102" t="str">
        <f ca="1">PROPER(TRIM(_xlfn.XLOOKUP($A197,Строчный!$A:$A,Строчный!P:P,"ERR",0)))</f>
        <v/>
      </c>
      <c r="P197" s="81" t="str">
        <f ca="1">PROPER(TRIM(_xlfn.XLOOKUP($A197,Строчный!$A:$A,Строчный!R:R,"ERR",0)))</f>
        <v/>
      </c>
      <c r="Q197" s="90">
        <f ca="1">VALUE(_xlfn.XLOOKUP($A197,Строчный!$A:$A,Строчный!N:N,"ERR",0))</f>
        <v>270</v>
      </c>
      <c r="R197" s="89" t="str">
        <f ca="1">_xlfn.XLOOKUP($G197,Фабрика!A:A,Фабрика!B:B,"ERR",0)</f>
        <v>Chapellerie Herman S.A.; Rue Jean Meunier, 6, 6922 Wellin, Belgium</v>
      </c>
      <c r="S197" s="80" t="str">
        <f ca="1">_xlfn.XLOOKUP(RIGHT(AA197,2),Размеры!D:D,Размеры!A:A,"ERR",0)</f>
        <v>55</v>
      </c>
      <c r="T197" s="80">
        <f ca="1">VALUE(_xlfn.XLOOKUP($AA197,Строчный!$S:$S,Строчный!U:U,"ERR",0))</f>
        <v>1</v>
      </c>
      <c r="U197" s="14" t="s">
        <v>265</v>
      </c>
      <c r="V197" s="101" t="str">
        <f t="shared" ca="1" si="18"/>
        <v>Кепка HERMAN арт. BARBEAU (бордовый)</v>
      </c>
      <c r="W197" s="100" t="str">
        <f t="shared" ca="1" si="19"/>
        <v>Кепка HERMAN арт. BARBEAU (бордовый) {burgundy}</v>
      </c>
      <c r="X197" s="18" t="str">
        <f t="shared" ca="1" si="20"/>
        <v>бордовый</v>
      </c>
      <c r="Y197" s="18" t="str">
        <f t="shared" ca="1" si="21"/>
        <v>бордовый</v>
      </c>
      <c r="Z197" s="117" t="str">
        <f ca="1">_xlfn.LET(_xlpm.FormColors,_xlfn.XLOOKUP(A197,Строчный!A:A,Строчный!Q:Q,"",0),IF(_xlpm.FormColors=0,IFERROR(MID(I197,FIND("-",I197)+1,LEN(I197)),IFERROR(MID(I197,1,FIND("/",I197)-2),I197)),_xlpm.FormColors))</f>
        <v>бордовый</v>
      </c>
      <c r="AA197" s="73" t="str">
        <f ca="1"/>
        <v>80-805-12-55</v>
      </c>
      <c r="AB197" s="75" t="str">
        <f ca="1">VLOOKUP(C197,Группа!A:B,2,FALSE)</f>
        <v>Кепка</v>
      </c>
      <c r="AC197" s="97" t="str">
        <f ca="1">IFERROR(VLOOKUP(S197,Размеры!A:C,3,FALSE),"")</f>
        <v>55 S</v>
      </c>
      <c r="AD197" s="97" t="str">
        <f ca="1">VLOOKUP(I197,ЦветПолный!A:B,2,FALSE)</f>
        <v>12</v>
      </c>
      <c r="AE197" s="97" t="str">
        <f ca="1">IFERROR(VLOOKUP(S197,Размеры!A:D,4,FALSE),"")</f>
        <v>55</v>
      </c>
      <c r="AF197" s="97">
        <f ca="1">IF(LEFT(IFERROR(VLOOKUP(LOOKUP(2,1/SEARCH(B197,Товары!A:A),Товары!A:A),Товары!A:B,2,0),""),6)=MID(AA197,1,6),1,0)</f>
        <v>1</v>
      </c>
      <c r="AH197" s="97">
        <f ca="1">SUMIF(Группа!A:A,C197,Группа!C:C)</f>
        <v>1</v>
      </c>
      <c r="AI197" s="97">
        <f ca="1">SUMIF(Группа!B:B,AB197,Группа!C:C)</f>
        <v>1</v>
      </c>
      <c r="AJ197" s="97">
        <f ca="1">SUMIF(Формы!A:A,D197,Формы!B:B)</f>
        <v>1</v>
      </c>
      <c r="AK197" s="97">
        <f ca="1">SUMIF(Материал!A:A,K197,Материал!B:B)</f>
        <v>1</v>
      </c>
      <c r="AL197" s="97">
        <f ca="1">SUMIF(Размеры!A:A,S197,Размеры!E:E)</f>
        <v>1</v>
      </c>
      <c r="AM197" s="97">
        <f ca="1">SUMIF(Сезон!A:A,F197,Сезон!B:B)</f>
        <v>1</v>
      </c>
      <c r="AN197" s="97">
        <f ca="1">SUMIF(Состав!A:A,J197,Состав!B:B)</f>
        <v>1</v>
      </c>
      <c r="AO197" s="97">
        <f ca="1">VLOOKUP(I197,ЦветПолный!A:C,3,0)</f>
        <v>1</v>
      </c>
      <c r="AP197" s="97">
        <f ca="1">SUMIF(Цвет!A:A,Z197,Цвет!B:B)</f>
        <v>1</v>
      </c>
      <c r="AQ197" s="97">
        <f ca="1">_xlfn.XLOOKUP(L197,Пол!A:A,Пол!B:B,0,0)</f>
        <v>1</v>
      </c>
      <c r="AR197" s="97">
        <f ca="1">SUMIF(Бренд!A:A,G197,Бренд!B:B)</f>
        <v>1</v>
      </c>
      <c r="AS197" s="97">
        <f ca="1">SUMIF(Страна!A:A,M197,Страна!B:B)</f>
        <v>1</v>
      </c>
      <c r="AT197" s="64" t="str">
        <f ca="1">IF(VLOOKUP(W197,Товары!A:B,2,FALSE)=A197,"Есть в 1С","ERR")</f>
        <v>Есть в 1С</v>
      </c>
      <c r="AU197" s="65" t="str">
        <f ca="1">IF(VLOOKUP(A197,Товары!B:B,1,FALSE)=A197,"Есть в 1С","ERR")</f>
        <v>Есть в 1С</v>
      </c>
      <c r="AV197" s="96" t="str">
        <f ca="1">VLOOKUP(W197,Товары!A:B,2,FALSE)</f>
        <v>80-805-12</v>
      </c>
      <c r="AW197" s="94" t="str">
        <f ca="1">VLOOKUP(W197,Товары!A:B,1,FALSE)</f>
        <v>Кепка HERMAN арт. BARBEAU (бордовый) {burgundy}</v>
      </c>
    </row>
    <row r="198" spans="1:49" x14ac:dyDescent="0.25">
      <c r="A198" s="110" t="str">
        <f t="shared" ca="1" si="17"/>
        <v>80-786-02</v>
      </c>
      <c r="B198" s="107" t="str">
        <f ca="1">_xlfn.LET(_xlpm.CAPS,0,_xlpm.Style,TRIM(_xlfn.XLOOKUP($A198,Строчный!$A:$A,Строчный!B:B,"ERR",0)),IF(_xlpm.CAPS=0,_xlpm.Style,UPPER(_xlpm.Style)))</f>
        <v>DON PEPPER</v>
      </c>
      <c r="C198" s="81" t="str">
        <f ca="1">TRIM(PROPER(_xlfn.XLOOKUP($A198,Строчный!$A:$A,Строчный!C:C,"ERR",0)))</f>
        <v>Шляпы</v>
      </c>
      <c r="D198" s="81" t="str">
        <f ca="1">_xlfn.LET(_xlpm.DATA,TRIM(_xlfn.XLOOKUP($A198,Строчный!$A:$A,Строчный!D:D,"ERR",0)),UPPER(MID(_xlpm.DATA,1,1))&amp;LOWER(MID(_xlpm.DATA,2,LEN(_xlpm.DATA)-1)))</f>
        <v>Шляпа трилби</v>
      </c>
      <c r="E198" s="81" t="str">
        <f ca="1">PROPER(TRIM(_xlfn.XLOOKUP($A198,Строчный!$A:$A,Строчный!E:E,"ERR",0)))</f>
        <v>Herman</v>
      </c>
      <c r="F198" s="81" t="str">
        <f ca="1">LOWER(TRIM(_xlfn.XLOOKUP($A198,Строчный!$A:$A,Строчный!F:F,"ERR",0)))</f>
        <v>летний</v>
      </c>
      <c r="G198" s="81" t="str">
        <f ca="1">UPPER(TRIM(_xlfn.XLOOKUP($A198,Строчный!$A:$A,Строчный!G:G,"ERR",0)))</f>
        <v>HERMAN</v>
      </c>
      <c r="H198" s="81" t="str">
        <f ca="1">LOWER(TRIM(_xlfn.XLOOKUP($A198,Строчный!$A:$A,Строчный!H:H,"ERR",0)))</f>
        <v>natural</v>
      </c>
      <c r="I198" s="81" t="str">
        <f ca="1">LOWER(TRIM(_xlfn.XLOOKUP($A198,Строчный!$A:$A,Строчный!I:I,"ERR",0)))</f>
        <v>бежевый</v>
      </c>
      <c r="J198" s="81" t="str">
        <f ca="1">SUBSTITUTE(LOWER(TRIM(_xlfn.XLOOKUP($A198,Строчный!$A:$A,Строчный!J:J,"ERR",0))),"подклад","Подклад")</f>
        <v>100% солома</v>
      </c>
      <c r="K198" s="81" t="str">
        <f ca="1">LOWER(TRIM(_xlfn.XLOOKUP($A198,Строчный!$A:$A,Строчный!K:K,"ERR",0)))</f>
        <v>соломенные</v>
      </c>
      <c r="L198" s="81" t="str">
        <f ca="1">PROPER(TRIM(_xlfn.XLOOKUP($A198,Строчный!$A:$A,Строчный!L:L,"ERR",0)))</f>
        <v>Мужской</v>
      </c>
      <c r="M198" s="113" t="str">
        <f ca="1">PROPER(TRIM(_xlfn.XLOOKUP($A198,Строчный!$A:$A,Строчный!M:M,"ERR",0)))</f>
        <v>Китай</v>
      </c>
      <c r="N198" s="81" t="str">
        <f ca="1">UPPER(TRIM(_xlfn.XLOOKUP($A198,Строчный!$A:$A,Строчный!O:O,"ERR",0)))</f>
        <v/>
      </c>
      <c r="O198" s="102" t="str">
        <f ca="1">PROPER(TRIM(_xlfn.XLOOKUP($A198,Строчный!$A:$A,Строчный!P:P,"ERR",0)))</f>
        <v/>
      </c>
      <c r="P198" s="81" t="str">
        <f ca="1">PROPER(TRIM(_xlfn.XLOOKUP($A198,Строчный!$A:$A,Строчный!R:R,"ERR",0)))</f>
        <v/>
      </c>
      <c r="Q198" s="90">
        <f ca="1">VALUE(_xlfn.XLOOKUP($A198,Строчный!$A:$A,Строчный!N:N,"ERR",0))</f>
        <v>434.7</v>
      </c>
      <c r="R198" s="89" t="str">
        <f ca="1">_xlfn.XLOOKUP($G198,Фабрика!A:A,Фабрика!B:B,"ERR",0)</f>
        <v>Chapellerie Herman S.A.; Rue Jean Meunier, 6, 6922 Wellin, Belgium</v>
      </c>
      <c r="S198" s="80" t="str">
        <f ca="1">_xlfn.XLOOKUP(RIGHT(AA198,2),Размеры!D:D,Размеры!A:A,"ERR",0)</f>
        <v>61</v>
      </c>
      <c r="T198" s="80">
        <f ca="1">VALUE(_xlfn.XLOOKUP($AA198,Строчный!$S:$S,Строчный!U:U,"ERR",0))</f>
        <v>12</v>
      </c>
      <c r="U198" s="14" t="s">
        <v>265</v>
      </c>
      <c r="V198" s="101" t="str">
        <f t="shared" ca="1" si="18"/>
        <v>Шляпа HERMAN арт. DON PEPPER (бежевый)</v>
      </c>
      <c r="W198" s="100" t="str">
        <f t="shared" ca="1" si="19"/>
        <v>Шляпа HERMAN арт. DON PEPPER (бежевый) {natural}</v>
      </c>
      <c r="X198" s="18" t="str">
        <f t="shared" ca="1" si="20"/>
        <v>бежевый</v>
      </c>
      <c r="Y198" s="18" t="str">
        <f t="shared" ca="1" si="21"/>
        <v>бежевый</v>
      </c>
      <c r="Z198" s="117" t="str">
        <f ca="1">_xlfn.LET(_xlpm.FormColors,_xlfn.XLOOKUP(A198,Строчный!A:A,Строчный!Q:Q,"",0),IF(_xlpm.FormColors=0,IFERROR(MID(I198,FIND("-",I198)+1,LEN(I198)),IFERROR(MID(I198,1,FIND("/",I198)-2),I198)),_xlpm.FormColors))</f>
        <v>бежевый</v>
      </c>
      <c r="AA198" s="73" t="str">
        <f ca="1"/>
        <v>80-786-02-61</v>
      </c>
      <c r="AB198" s="75" t="str">
        <f ca="1">VLOOKUP(C198,Группа!A:B,2,FALSE)</f>
        <v>Шляпа</v>
      </c>
      <c r="AC198" s="97" t="str">
        <f ca="1">IFERROR(VLOOKUP(S198,Размеры!A:C,3,FALSE),"")</f>
        <v>61 XL</v>
      </c>
      <c r="AD198" s="97" t="str">
        <f ca="1">VLOOKUP(I198,ЦветПолный!A:B,2,FALSE)</f>
        <v>02</v>
      </c>
      <c r="AE198" s="97" t="str">
        <f ca="1">IFERROR(VLOOKUP(S198,Размеры!A:D,4,FALSE),"")</f>
        <v>61</v>
      </c>
      <c r="AF198" s="97">
        <f ca="1">IF(LEFT(IFERROR(VLOOKUP(LOOKUP(2,1/SEARCH(B198,Товары!A:A),Товары!A:A),Товары!A:B,2,0),""),6)=MID(AA198,1,6),1,0)</f>
        <v>1</v>
      </c>
      <c r="AH198" s="97">
        <f ca="1">SUMIF(Группа!A:A,C198,Группа!C:C)</f>
        <v>1</v>
      </c>
      <c r="AI198" s="97">
        <f ca="1">SUMIF(Группа!B:B,AB198,Группа!C:C)</f>
        <v>1</v>
      </c>
      <c r="AJ198" s="97">
        <f ca="1">SUMIF(Формы!A:A,D198,Формы!B:B)</f>
        <v>1</v>
      </c>
      <c r="AK198" s="97">
        <f ca="1">SUMIF(Материал!A:A,K198,Материал!B:B)</f>
        <v>1</v>
      </c>
      <c r="AL198" s="97">
        <f ca="1">SUMIF(Размеры!A:A,S198,Размеры!E:E)</f>
        <v>1</v>
      </c>
      <c r="AM198" s="97">
        <f ca="1">SUMIF(Сезон!A:A,F198,Сезон!B:B)</f>
        <v>1</v>
      </c>
      <c r="AN198" s="97">
        <f ca="1">SUMIF(Состав!A:A,J198,Состав!B:B)</f>
        <v>1</v>
      </c>
      <c r="AO198" s="97">
        <f ca="1">VLOOKUP(I198,ЦветПолный!A:C,3,0)</f>
        <v>1</v>
      </c>
      <c r="AP198" s="97">
        <f ca="1">SUMIF(Цвет!A:A,Z198,Цвет!B:B)</f>
        <v>1</v>
      </c>
      <c r="AQ198" s="97">
        <f ca="1">_xlfn.XLOOKUP(L198,Пол!A:A,Пол!B:B,0,0)</f>
        <v>1</v>
      </c>
      <c r="AR198" s="97">
        <f ca="1">SUMIF(Бренд!A:A,G198,Бренд!B:B)</f>
        <v>1</v>
      </c>
      <c r="AS198" s="97">
        <f ca="1">SUMIF(Страна!A:A,M198,Страна!B:B)</f>
        <v>1</v>
      </c>
      <c r="AT198" s="64" t="str">
        <f ca="1">IF(VLOOKUP(W198,Товары!A:B,2,FALSE)=A198,"Есть в 1С","ERR")</f>
        <v>Есть в 1С</v>
      </c>
      <c r="AU198" s="65" t="str">
        <f ca="1">IF(VLOOKUP(A198,Товары!B:B,1,FALSE)=A198,"Есть в 1С","ERR")</f>
        <v>Есть в 1С</v>
      </c>
      <c r="AV198" s="96" t="str">
        <f ca="1">VLOOKUP(W198,Товары!A:B,2,FALSE)</f>
        <v>80-786-02</v>
      </c>
      <c r="AW198" s="94" t="str">
        <f ca="1">VLOOKUP(W198,Товары!A:B,1,FALSE)</f>
        <v>Шляпа HERMAN арт. DON PEPPER (бежевый) {natural}</v>
      </c>
    </row>
    <row r="199" spans="1:49" x14ac:dyDescent="0.25">
      <c r="A199" s="110" t="str">
        <f t="shared" ca="1" si="17"/>
        <v>80-786-02</v>
      </c>
      <c r="B199" s="107" t="str">
        <f ca="1">_xlfn.LET(_xlpm.CAPS,0,_xlpm.Style,TRIM(_xlfn.XLOOKUP($A199,Строчный!$A:$A,Строчный!B:B,"ERR",0)),IF(_xlpm.CAPS=0,_xlpm.Style,UPPER(_xlpm.Style)))</f>
        <v>DON PEPPER</v>
      </c>
      <c r="C199" s="81" t="str">
        <f ca="1">TRIM(PROPER(_xlfn.XLOOKUP($A199,Строчный!$A:$A,Строчный!C:C,"ERR",0)))</f>
        <v>Шляпы</v>
      </c>
      <c r="D199" s="81" t="str">
        <f ca="1">_xlfn.LET(_xlpm.DATA,TRIM(_xlfn.XLOOKUP($A199,Строчный!$A:$A,Строчный!D:D,"ERR",0)),UPPER(MID(_xlpm.DATA,1,1))&amp;LOWER(MID(_xlpm.DATA,2,LEN(_xlpm.DATA)-1)))</f>
        <v>Шляпа трилби</v>
      </c>
      <c r="E199" s="81" t="str">
        <f ca="1">PROPER(TRIM(_xlfn.XLOOKUP($A199,Строчный!$A:$A,Строчный!E:E,"ERR",0)))</f>
        <v>Herman</v>
      </c>
      <c r="F199" s="81" t="str">
        <f ca="1">LOWER(TRIM(_xlfn.XLOOKUP($A199,Строчный!$A:$A,Строчный!F:F,"ERR",0)))</f>
        <v>летний</v>
      </c>
      <c r="G199" s="81" t="str">
        <f ca="1">UPPER(TRIM(_xlfn.XLOOKUP($A199,Строчный!$A:$A,Строчный!G:G,"ERR",0)))</f>
        <v>HERMAN</v>
      </c>
      <c r="H199" s="81" t="str">
        <f ca="1">LOWER(TRIM(_xlfn.XLOOKUP($A199,Строчный!$A:$A,Строчный!H:H,"ERR",0)))</f>
        <v>natural</v>
      </c>
      <c r="I199" s="81" t="str">
        <f ca="1">LOWER(TRIM(_xlfn.XLOOKUP($A199,Строчный!$A:$A,Строчный!I:I,"ERR",0)))</f>
        <v>бежевый</v>
      </c>
      <c r="J199" s="81" t="str">
        <f ca="1">SUBSTITUTE(LOWER(TRIM(_xlfn.XLOOKUP($A199,Строчный!$A:$A,Строчный!J:J,"ERR",0))),"подклад","Подклад")</f>
        <v>100% солома</v>
      </c>
      <c r="K199" s="81" t="str">
        <f ca="1">LOWER(TRIM(_xlfn.XLOOKUP($A199,Строчный!$A:$A,Строчный!K:K,"ERR",0)))</f>
        <v>соломенные</v>
      </c>
      <c r="L199" s="81" t="str">
        <f ca="1">PROPER(TRIM(_xlfn.XLOOKUP($A199,Строчный!$A:$A,Строчный!L:L,"ERR",0)))</f>
        <v>Мужской</v>
      </c>
      <c r="M199" s="113" t="str">
        <f ca="1">PROPER(TRIM(_xlfn.XLOOKUP($A199,Строчный!$A:$A,Строчный!M:M,"ERR",0)))</f>
        <v>Китай</v>
      </c>
      <c r="N199" s="81" t="str">
        <f ca="1">UPPER(TRIM(_xlfn.XLOOKUP($A199,Строчный!$A:$A,Строчный!O:O,"ERR",0)))</f>
        <v/>
      </c>
      <c r="O199" s="102" t="str">
        <f ca="1">PROPER(TRIM(_xlfn.XLOOKUP($A199,Строчный!$A:$A,Строчный!P:P,"ERR",0)))</f>
        <v/>
      </c>
      <c r="P199" s="81" t="str">
        <f ca="1">PROPER(TRIM(_xlfn.XLOOKUP($A199,Строчный!$A:$A,Строчный!R:R,"ERR",0)))</f>
        <v/>
      </c>
      <c r="Q199" s="90">
        <f ca="1">VALUE(_xlfn.XLOOKUP($A199,Строчный!$A:$A,Строчный!N:N,"ERR",0))</f>
        <v>434.7</v>
      </c>
      <c r="R199" s="89" t="str">
        <f ca="1">_xlfn.XLOOKUP($G199,Фабрика!A:A,Фабрика!B:B,"ERR",0)</f>
        <v>Chapellerie Herman S.A.; Rue Jean Meunier, 6, 6922 Wellin, Belgium</v>
      </c>
      <c r="S199" s="80" t="str">
        <f ca="1">_xlfn.XLOOKUP(RIGHT(AA199,2),Размеры!D:D,Размеры!A:A,"ERR",0)</f>
        <v>59</v>
      </c>
      <c r="T199" s="80">
        <f ca="1">VALUE(_xlfn.XLOOKUP($AA199,Строчный!$S:$S,Строчный!U:U,"ERR",0))</f>
        <v>19</v>
      </c>
      <c r="U199" s="14" t="s">
        <v>265</v>
      </c>
      <c r="V199" s="101" t="str">
        <f t="shared" ca="1" si="18"/>
        <v>Шляпа HERMAN арт. DON PEPPER (бежевый)</v>
      </c>
      <c r="W199" s="100" t="str">
        <f t="shared" ca="1" si="19"/>
        <v>Шляпа HERMAN арт. DON PEPPER (бежевый) {natural}</v>
      </c>
      <c r="X199" s="18" t="str">
        <f t="shared" ca="1" si="20"/>
        <v>бежевый</v>
      </c>
      <c r="Y199" s="18" t="str">
        <f t="shared" ca="1" si="21"/>
        <v>бежевый</v>
      </c>
      <c r="Z199" s="117" t="str">
        <f ca="1">_xlfn.LET(_xlpm.FormColors,_xlfn.XLOOKUP(A199,Строчный!A:A,Строчный!Q:Q,"",0),IF(_xlpm.FormColors=0,IFERROR(MID(I199,FIND("-",I199)+1,LEN(I199)),IFERROR(MID(I199,1,FIND("/",I199)-2),I199)),_xlpm.FormColors))</f>
        <v>бежевый</v>
      </c>
      <c r="AA199" s="73" t="str">
        <f ca="1"/>
        <v>80-786-02-59</v>
      </c>
      <c r="AB199" s="75" t="str">
        <f ca="1">VLOOKUP(C199,Группа!A:B,2,FALSE)</f>
        <v>Шляпа</v>
      </c>
      <c r="AC199" s="97" t="str">
        <f ca="1">IFERROR(VLOOKUP(S199,Размеры!A:C,3,FALSE),"")</f>
        <v>59 L</v>
      </c>
      <c r="AD199" s="97" t="str">
        <f ca="1">VLOOKUP(I199,ЦветПолный!A:B,2,FALSE)</f>
        <v>02</v>
      </c>
      <c r="AE199" s="97" t="str">
        <f ca="1">IFERROR(VLOOKUP(S199,Размеры!A:D,4,FALSE),"")</f>
        <v>59</v>
      </c>
      <c r="AF199" s="97">
        <f ca="1">IF(LEFT(IFERROR(VLOOKUP(LOOKUP(2,1/SEARCH(B199,Товары!A:A),Товары!A:A),Товары!A:B,2,0),""),6)=MID(AA199,1,6),1,0)</f>
        <v>1</v>
      </c>
      <c r="AH199" s="97">
        <f ca="1">SUMIF(Группа!A:A,C199,Группа!C:C)</f>
        <v>1</v>
      </c>
      <c r="AI199" s="97">
        <f ca="1">SUMIF(Группа!B:B,AB199,Группа!C:C)</f>
        <v>1</v>
      </c>
      <c r="AJ199" s="97">
        <f ca="1">SUMIF(Формы!A:A,D199,Формы!B:B)</f>
        <v>1</v>
      </c>
      <c r="AK199" s="97">
        <f ca="1">SUMIF(Материал!A:A,K199,Материал!B:B)</f>
        <v>1</v>
      </c>
      <c r="AL199" s="97">
        <f ca="1">SUMIF(Размеры!A:A,S199,Размеры!E:E)</f>
        <v>1</v>
      </c>
      <c r="AM199" s="97">
        <f ca="1">SUMIF(Сезон!A:A,F199,Сезон!B:B)</f>
        <v>1</v>
      </c>
      <c r="AN199" s="97">
        <f ca="1">SUMIF(Состав!A:A,J199,Состав!B:B)</f>
        <v>1</v>
      </c>
      <c r="AO199" s="97">
        <f ca="1">VLOOKUP(I199,ЦветПолный!A:C,3,0)</f>
        <v>1</v>
      </c>
      <c r="AP199" s="97">
        <f ca="1">SUMIF(Цвет!A:A,Z199,Цвет!B:B)</f>
        <v>1</v>
      </c>
      <c r="AQ199" s="97">
        <f ca="1">_xlfn.XLOOKUP(L199,Пол!A:A,Пол!B:B,0,0)</f>
        <v>1</v>
      </c>
      <c r="AR199" s="97">
        <f ca="1">SUMIF(Бренд!A:A,G199,Бренд!B:B)</f>
        <v>1</v>
      </c>
      <c r="AS199" s="97">
        <f ca="1">SUMIF(Страна!A:A,M199,Страна!B:B)</f>
        <v>1</v>
      </c>
      <c r="AT199" s="64" t="str">
        <f ca="1">IF(VLOOKUP(W199,Товары!A:B,2,FALSE)=A199,"Есть в 1С","ERR")</f>
        <v>Есть в 1С</v>
      </c>
      <c r="AU199" s="65" t="str">
        <f ca="1">IF(VLOOKUP(A199,Товары!B:B,1,FALSE)=A199,"Есть в 1С","ERR")</f>
        <v>Есть в 1С</v>
      </c>
      <c r="AV199" s="96" t="str">
        <f ca="1">VLOOKUP(W199,Товары!A:B,2,FALSE)</f>
        <v>80-786-02</v>
      </c>
      <c r="AW199" s="94" t="str">
        <f ca="1">VLOOKUP(W199,Товары!A:B,1,FALSE)</f>
        <v>Шляпа HERMAN арт. DON PEPPER (бежевый) {natural}</v>
      </c>
    </row>
    <row r="200" spans="1:49" x14ac:dyDescent="0.25">
      <c r="A200" s="110" t="str">
        <f t="shared" ca="1" si="17"/>
        <v>80-786-02</v>
      </c>
      <c r="B200" s="107" t="str">
        <f ca="1">_xlfn.LET(_xlpm.CAPS,0,_xlpm.Style,TRIM(_xlfn.XLOOKUP($A200,Строчный!$A:$A,Строчный!B:B,"ERR",0)),IF(_xlpm.CAPS=0,_xlpm.Style,UPPER(_xlpm.Style)))</f>
        <v>DON PEPPER</v>
      </c>
      <c r="C200" s="81" t="str">
        <f ca="1">TRIM(PROPER(_xlfn.XLOOKUP($A200,Строчный!$A:$A,Строчный!C:C,"ERR",0)))</f>
        <v>Шляпы</v>
      </c>
      <c r="D200" s="81" t="str">
        <f ca="1">_xlfn.LET(_xlpm.DATA,TRIM(_xlfn.XLOOKUP($A200,Строчный!$A:$A,Строчный!D:D,"ERR",0)),UPPER(MID(_xlpm.DATA,1,1))&amp;LOWER(MID(_xlpm.DATA,2,LEN(_xlpm.DATA)-1)))</f>
        <v>Шляпа трилби</v>
      </c>
      <c r="E200" s="81" t="str">
        <f ca="1">PROPER(TRIM(_xlfn.XLOOKUP($A200,Строчный!$A:$A,Строчный!E:E,"ERR",0)))</f>
        <v>Herman</v>
      </c>
      <c r="F200" s="81" t="str">
        <f ca="1">LOWER(TRIM(_xlfn.XLOOKUP($A200,Строчный!$A:$A,Строчный!F:F,"ERR",0)))</f>
        <v>летний</v>
      </c>
      <c r="G200" s="81" t="str">
        <f ca="1">UPPER(TRIM(_xlfn.XLOOKUP($A200,Строчный!$A:$A,Строчный!G:G,"ERR",0)))</f>
        <v>HERMAN</v>
      </c>
      <c r="H200" s="81" t="str">
        <f ca="1">LOWER(TRIM(_xlfn.XLOOKUP($A200,Строчный!$A:$A,Строчный!H:H,"ERR",0)))</f>
        <v>natural</v>
      </c>
      <c r="I200" s="81" t="str">
        <f ca="1">LOWER(TRIM(_xlfn.XLOOKUP($A200,Строчный!$A:$A,Строчный!I:I,"ERR",0)))</f>
        <v>бежевый</v>
      </c>
      <c r="J200" s="81" t="str">
        <f ca="1">SUBSTITUTE(LOWER(TRIM(_xlfn.XLOOKUP($A200,Строчный!$A:$A,Строчный!J:J,"ERR",0))),"подклад","Подклад")</f>
        <v>100% солома</v>
      </c>
      <c r="K200" s="81" t="str">
        <f ca="1">LOWER(TRIM(_xlfn.XLOOKUP($A200,Строчный!$A:$A,Строчный!K:K,"ERR",0)))</f>
        <v>соломенные</v>
      </c>
      <c r="L200" s="81" t="str">
        <f ca="1">PROPER(TRIM(_xlfn.XLOOKUP($A200,Строчный!$A:$A,Строчный!L:L,"ERR",0)))</f>
        <v>Мужской</v>
      </c>
      <c r="M200" s="113" t="str">
        <f ca="1">PROPER(TRIM(_xlfn.XLOOKUP($A200,Строчный!$A:$A,Строчный!M:M,"ERR",0)))</f>
        <v>Китай</v>
      </c>
      <c r="N200" s="81" t="str">
        <f ca="1">UPPER(TRIM(_xlfn.XLOOKUP($A200,Строчный!$A:$A,Строчный!O:O,"ERR",0)))</f>
        <v/>
      </c>
      <c r="O200" s="102" t="str">
        <f ca="1">PROPER(TRIM(_xlfn.XLOOKUP($A200,Строчный!$A:$A,Строчный!P:P,"ERR",0)))</f>
        <v/>
      </c>
      <c r="P200" s="81" t="str">
        <f ca="1">PROPER(TRIM(_xlfn.XLOOKUP($A200,Строчный!$A:$A,Строчный!R:R,"ERR",0)))</f>
        <v/>
      </c>
      <c r="Q200" s="90">
        <f ca="1">VALUE(_xlfn.XLOOKUP($A200,Строчный!$A:$A,Строчный!N:N,"ERR",0))</f>
        <v>434.7</v>
      </c>
      <c r="R200" s="89" t="str">
        <f ca="1">_xlfn.XLOOKUP($G200,Фабрика!A:A,Фабрика!B:B,"ERR",0)</f>
        <v>Chapellerie Herman S.A.; Rue Jean Meunier, 6, 6922 Wellin, Belgium</v>
      </c>
      <c r="S200" s="80" t="str">
        <f ca="1">_xlfn.XLOOKUP(RIGHT(AA200,2),Размеры!D:D,Размеры!A:A,"ERR",0)</f>
        <v>57</v>
      </c>
      <c r="T200" s="80">
        <f ca="1">VALUE(_xlfn.XLOOKUP($AA200,Строчный!$S:$S,Строчный!U:U,"ERR",0))</f>
        <v>16</v>
      </c>
      <c r="U200" s="14" t="s">
        <v>265</v>
      </c>
      <c r="V200" s="101" t="str">
        <f t="shared" ca="1" si="18"/>
        <v>Шляпа HERMAN арт. DON PEPPER (бежевый)</v>
      </c>
      <c r="W200" s="100" t="str">
        <f t="shared" ca="1" si="19"/>
        <v>Шляпа HERMAN арт. DON PEPPER (бежевый) {natural}</v>
      </c>
      <c r="X200" s="18" t="str">
        <f t="shared" ca="1" si="20"/>
        <v>бежевый</v>
      </c>
      <c r="Y200" s="18" t="str">
        <f t="shared" ca="1" si="21"/>
        <v>бежевый</v>
      </c>
      <c r="Z200" s="117" t="str">
        <f ca="1">_xlfn.LET(_xlpm.FormColors,_xlfn.XLOOKUP(A200,Строчный!A:A,Строчный!Q:Q,"",0),IF(_xlpm.FormColors=0,IFERROR(MID(I200,FIND("-",I200)+1,LEN(I200)),IFERROR(MID(I200,1,FIND("/",I200)-2),I200)),_xlpm.FormColors))</f>
        <v>бежевый</v>
      </c>
      <c r="AA200" s="73" t="str">
        <f ca="1"/>
        <v>80-786-02-57</v>
      </c>
      <c r="AB200" s="75" t="str">
        <f ca="1">VLOOKUP(C200,Группа!A:B,2,FALSE)</f>
        <v>Шляпа</v>
      </c>
      <c r="AC200" s="97" t="str">
        <f ca="1">IFERROR(VLOOKUP(S200,Размеры!A:C,3,FALSE),"")</f>
        <v>57 M</v>
      </c>
      <c r="AD200" s="97" t="str">
        <f ca="1">VLOOKUP(I200,ЦветПолный!A:B,2,FALSE)</f>
        <v>02</v>
      </c>
      <c r="AE200" s="97" t="str">
        <f ca="1">IFERROR(VLOOKUP(S200,Размеры!A:D,4,FALSE),"")</f>
        <v>57</v>
      </c>
      <c r="AF200" s="97">
        <f ca="1">IF(LEFT(IFERROR(VLOOKUP(LOOKUP(2,1/SEARCH(B200,Товары!A:A),Товары!A:A),Товары!A:B,2,0),""),6)=MID(AA200,1,6),1,0)</f>
        <v>1</v>
      </c>
      <c r="AH200" s="97">
        <f ca="1">SUMIF(Группа!A:A,C200,Группа!C:C)</f>
        <v>1</v>
      </c>
      <c r="AI200" s="97">
        <f ca="1">SUMIF(Группа!B:B,AB200,Группа!C:C)</f>
        <v>1</v>
      </c>
      <c r="AJ200" s="97">
        <f ca="1">SUMIF(Формы!A:A,D200,Формы!B:B)</f>
        <v>1</v>
      </c>
      <c r="AK200" s="97">
        <f ca="1">SUMIF(Материал!A:A,K200,Материал!B:B)</f>
        <v>1</v>
      </c>
      <c r="AL200" s="97">
        <f ca="1">SUMIF(Размеры!A:A,S200,Размеры!E:E)</f>
        <v>1</v>
      </c>
      <c r="AM200" s="97">
        <f ca="1">SUMIF(Сезон!A:A,F200,Сезон!B:B)</f>
        <v>1</v>
      </c>
      <c r="AN200" s="97">
        <f ca="1">SUMIF(Состав!A:A,J200,Состав!B:B)</f>
        <v>1</v>
      </c>
      <c r="AO200" s="97">
        <f ca="1">VLOOKUP(I200,ЦветПолный!A:C,3,0)</f>
        <v>1</v>
      </c>
      <c r="AP200" s="97">
        <f ca="1">SUMIF(Цвет!A:A,Z200,Цвет!B:B)</f>
        <v>1</v>
      </c>
      <c r="AQ200" s="97">
        <f ca="1">_xlfn.XLOOKUP(L200,Пол!A:A,Пол!B:B,0,0)</f>
        <v>1</v>
      </c>
      <c r="AR200" s="97">
        <f ca="1">SUMIF(Бренд!A:A,G200,Бренд!B:B)</f>
        <v>1</v>
      </c>
      <c r="AS200" s="97">
        <f ca="1">SUMIF(Страна!A:A,M200,Страна!B:B)</f>
        <v>1</v>
      </c>
      <c r="AT200" s="64" t="str">
        <f ca="1">IF(VLOOKUP(W200,Товары!A:B,2,FALSE)=A200,"Есть в 1С","ERR")</f>
        <v>Есть в 1С</v>
      </c>
      <c r="AU200" s="65" t="str">
        <f ca="1">IF(VLOOKUP(A200,Товары!B:B,1,FALSE)=A200,"Есть в 1С","ERR")</f>
        <v>Есть в 1С</v>
      </c>
      <c r="AV200" s="96" t="str">
        <f ca="1">VLOOKUP(W200,Товары!A:B,2,FALSE)</f>
        <v>80-786-02</v>
      </c>
      <c r="AW200" s="94" t="str">
        <f ca="1">VLOOKUP(W200,Товары!A:B,1,FALSE)</f>
        <v>Шляпа HERMAN арт. DON PEPPER (бежевый) {natural}</v>
      </c>
    </row>
    <row r="201" spans="1:49" x14ac:dyDescent="0.25">
      <c r="A201" s="110" t="str">
        <f t="shared" ca="1" si="17"/>
        <v>80-717-34</v>
      </c>
      <c r="B201" s="107" t="str">
        <f ca="1">_xlfn.LET(_xlpm.CAPS,0,_xlpm.Style,TRIM(_xlfn.XLOOKUP($A201,Строчный!$A:$A,Строчный!B:B,"ERR",0)),IF(_xlpm.CAPS=0,_xlpm.Style,UPPER(_xlpm.Style)))</f>
        <v>BUCKET 024</v>
      </c>
      <c r="C201" s="81" t="str">
        <f ca="1">TRIM(PROPER(_xlfn.XLOOKUP($A201,Строчный!$A:$A,Строчный!C:C,"ERR",0)))</f>
        <v>Панамы</v>
      </c>
      <c r="D201" s="81" t="str">
        <f ca="1">_xlfn.LET(_xlpm.DATA,TRIM(_xlfn.XLOOKUP($A201,Строчный!$A:$A,Строчный!D:D,"ERR",0)),UPPER(MID(_xlpm.DATA,1,1))&amp;LOWER(MID(_xlpm.DATA,2,LEN(_xlpm.DATA)-1)))</f>
        <v>Панама</v>
      </c>
      <c r="E201" s="81" t="str">
        <f ca="1">PROPER(TRIM(_xlfn.XLOOKUP($A201,Строчный!$A:$A,Строчный!E:E,"ERR",0)))</f>
        <v>Herman</v>
      </c>
      <c r="F201" s="81" t="str">
        <f ca="1">LOWER(TRIM(_xlfn.XLOOKUP($A201,Строчный!$A:$A,Строчный!F:F,"ERR",0)))</f>
        <v>летний</v>
      </c>
      <c r="G201" s="81" t="str">
        <f ca="1">UPPER(TRIM(_xlfn.XLOOKUP($A201,Строчный!$A:$A,Строчный!G:G,"ERR",0)))</f>
        <v>HERMAN</v>
      </c>
      <c r="H201" s="81" t="str">
        <f ca="1">LOWER(TRIM(_xlfn.XLOOKUP($A201,Строчный!$A:$A,Строчный!H:H,"ERR",0)))</f>
        <v>fushia</v>
      </c>
      <c r="I201" s="81" t="str">
        <f ca="1">LOWER(TRIM(_xlfn.XLOOKUP($A201,Строчный!$A:$A,Строчный!I:I,"ERR",0)))</f>
        <v>розовый</v>
      </c>
      <c r="J201" s="81" t="str">
        <f ca="1">SUBSTITUTE(LOWER(TRIM(_xlfn.XLOOKUP($A201,Строчный!$A:$A,Строчный!J:J,"ERR",0))),"подклад","Подклад")</f>
        <v>100% хлопок</v>
      </c>
      <c r="K201" s="81" t="str">
        <f ca="1">LOWER(TRIM(_xlfn.XLOOKUP($A201,Строчный!$A:$A,Строчный!K:K,"ERR",0)))</f>
        <v>хлопковые</v>
      </c>
      <c r="L201" s="81" t="str">
        <f ca="1">PROPER(TRIM(_xlfn.XLOOKUP($A201,Строчный!$A:$A,Строчный!L:L,"ERR",0)))</f>
        <v>Детские</v>
      </c>
      <c r="M201" s="113" t="str">
        <f ca="1">PROPER(TRIM(_xlfn.XLOOKUP($A201,Строчный!$A:$A,Строчный!M:M,"ERR",0)))</f>
        <v>Китай</v>
      </c>
      <c r="N201" s="81" t="str">
        <f ca="1">UPPER(TRIM(_xlfn.XLOOKUP($A201,Строчный!$A:$A,Строчный!O:O,"ERR",0)))</f>
        <v/>
      </c>
      <c r="O201" s="102" t="str">
        <f ca="1">PROPER(TRIM(_xlfn.XLOOKUP($A201,Строчный!$A:$A,Строчный!P:P,"ERR",0)))</f>
        <v/>
      </c>
      <c r="P201" s="81" t="str">
        <f ca="1">PROPER(TRIM(_xlfn.XLOOKUP($A201,Строчный!$A:$A,Строчный!R:R,"ERR",0)))</f>
        <v/>
      </c>
      <c r="Q201" s="90">
        <f ca="1">VALUE(_xlfn.XLOOKUP($A201,Строчный!$A:$A,Строчный!N:N,"ERR",0))</f>
        <v>345.59999999999997</v>
      </c>
      <c r="R201" s="89" t="str">
        <f ca="1">_xlfn.XLOOKUP($G201,Фабрика!A:A,Фабрика!B:B,"ERR",0)</f>
        <v>Chapellerie Herman S.A.; Rue Jean Meunier, 6, 6922 Wellin, Belgium</v>
      </c>
      <c r="S201" s="80" t="str">
        <f ca="1">_xlfn.XLOOKUP(RIGHT(AA201,2),Размеры!D:D,Размеры!A:A,"ERR",0)</f>
        <v>53</v>
      </c>
      <c r="T201" s="80">
        <f ca="1">VALUE(_xlfn.XLOOKUP($AA201,Строчный!$S:$S,Строчный!U:U,"ERR",0))</f>
        <v>12</v>
      </c>
      <c r="U201" s="14" t="s">
        <v>265</v>
      </c>
      <c r="V201" s="101" t="str">
        <f t="shared" ca="1" si="18"/>
        <v>Панама HERMAN арт. BUCKET 024 (розовый)</v>
      </c>
      <c r="W201" s="100" t="str">
        <f t="shared" ca="1" si="19"/>
        <v>Панама HERMAN арт. BUCKET 024 (розовый) {fushia}</v>
      </c>
      <c r="X201" s="18" t="str">
        <f t="shared" ca="1" si="20"/>
        <v>розовый</v>
      </c>
      <c r="Y201" s="18" t="str">
        <f t="shared" ca="1" si="21"/>
        <v>розовый</v>
      </c>
      <c r="Z201" s="117" t="str">
        <f ca="1">_xlfn.LET(_xlpm.FormColors,_xlfn.XLOOKUP(A201,Строчный!A:A,Строчный!Q:Q,"",0),IF(_xlpm.FormColors=0,IFERROR(MID(I201,FIND("-",I201)+1,LEN(I201)),IFERROR(MID(I201,1,FIND("/",I201)-2),I201)),_xlpm.FormColors))</f>
        <v>розовый</v>
      </c>
      <c r="AA201" s="73" t="str">
        <f ca="1"/>
        <v>80-717-34-53</v>
      </c>
      <c r="AB201" s="75" t="str">
        <f ca="1">VLOOKUP(C201,Группа!A:B,2,FALSE)</f>
        <v>Панама</v>
      </c>
      <c r="AC201" s="97" t="str">
        <f ca="1">IFERROR(VLOOKUP(S201,Размеры!A:C,3,FALSE),"")</f>
        <v>53 XS/S</v>
      </c>
      <c r="AD201" s="97" t="str">
        <f ca="1">VLOOKUP(I201,ЦветПолный!A:B,2,FALSE)</f>
        <v>34</v>
      </c>
      <c r="AE201" s="97" t="str">
        <f ca="1">IFERROR(VLOOKUP(S201,Размеры!A:D,4,FALSE),"")</f>
        <v>53</v>
      </c>
      <c r="AF201" s="97">
        <f ca="1">IF(LEFT(IFERROR(VLOOKUP(LOOKUP(2,1/SEARCH(B201,Товары!A:A),Товары!A:A),Товары!A:B,2,0),""),6)=MID(AA201,1,6),1,0)</f>
        <v>1</v>
      </c>
      <c r="AH201" s="97">
        <f ca="1">SUMIF(Группа!A:A,C201,Группа!C:C)</f>
        <v>1</v>
      </c>
      <c r="AI201" s="97">
        <f ca="1">SUMIF(Группа!B:B,AB201,Группа!C:C)</f>
        <v>1</v>
      </c>
      <c r="AJ201" s="97">
        <f ca="1">SUMIF(Формы!A:A,D201,Формы!B:B)</f>
        <v>1</v>
      </c>
      <c r="AK201" s="97">
        <f ca="1">SUMIF(Материал!A:A,K201,Материал!B:B)</f>
        <v>1</v>
      </c>
      <c r="AL201" s="97">
        <f ca="1">SUMIF(Размеры!A:A,S201,Размеры!E:E)</f>
        <v>1</v>
      </c>
      <c r="AM201" s="97">
        <f ca="1">SUMIF(Сезон!A:A,F201,Сезон!B:B)</f>
        <v>1</v>
      </c>
      <c r="AN201" s="97">
        <f ca="1">SUMIF(Состав!A:A,J201,Состав!B:B)</f>
        <v>1</v>
      </c>
      <c r="AO201" s="97">
        <f ca="1">VLOOKUP(I201,ЦветПолный!A:C,3,0)</f>
        <v>1</v>
      </c>
      <c r="AP201" s="97">
        <f ca="1">SUMIF(Цвет!A:A,Z201,Цвет!B:B)</f>
        <v>1</v>
      </c>
      <c r="AQ201" s="97">
        <f ca="1">_xlfn.XLOOKUP(L201,Пол!A:A,Пол!B:B,0,0)</f>
        <v>1</v>
      </c>
      <c r="AR201" s="97">
        <f ca="1">SUMIF(Бренд!A:A,G201,Бренд!B:B)</f>
        <v>1</v>
      </c>
      <c r="AS201" s="97">
        <f ca="1">SUMIF(Страна!A:A,M201,Страна!B:B)</f>
        <v>1</v>
      </c>
      <c r="AT201" s="64" t="e">
        <f ca="1">IF(VLOOKUP(W201,Товары!A:B,2,FALSE)=A201,"Есть в 1С","ERR")</f>
        <v>#N/A</v>
      </c>
      <c r="AU201" s="65" t="e">
        <f ca="1">IF(VLOOKUP(A201,Товары!B:B,1,FALSE)=A201,"Есть в 1С","ERR")</f>
        <v>#N/A</v>
      </c>
      <c r="AV201" s="96" t="e">
        <f ca="1">VLOOKUP(W201,Товары!A:B,2,FALSE)</f>
        <v>#N/A</v>
      </c>
      <c r="AW201" s="94" t="e">
        <f ca="1">VLOOKUP(W201,Товары!A:B,1,FALSE)</f>
        <v>#N/A</v>
      </c>
    </row>
    <row r="202" spans="1:49" x14ac:dyDescent="0.25">
      <c r="A202" s="110" t="str">
        <f t="shared" ca="1" si="17"/>
        <v>80-717-34</v>
      </c>
      <c r="B202" s="107" t="str">
        <f ca="1">_xlfn.LET(_xlpm.CAPS,0,_xlpm.Style,TRIM(_xlfn.XLOOKUP($A202,Строчный!$A:$A,Строчный!B:B,"ERR",0)),IF(_xlpm.CAPS=0,_xlpm.Style,UPPER(_xlpm.Style)))</f>
        <v>BUCKET 024</v>
      </c>
      <c r="C202" s="81" t="str">
        <f ca="1">TRIM(PROPER(_xlfn.XLOOKUP($A202,Строчный!$A:$A,Строчный!C:C,"ERR",0)))</f>
        <v>Панамы</v>
      </c>
      <c r="D202" s="81" t="str">
        <f ca="1">_xlfn.LET(_xlpm.DATA,TRIM(_xlfn.XLOOKUP($A202,Строчный!$A:$A,Строчный!D:D,"ERR",0)),UPPER(MID(_xlpm.DATA,1,1))&amp;LOWER(MID(_xlpm.DATA,2,LEN(_xlpm.DATA)-1)))</f>
        <v>Панама</v>
      </c>
      <c r="E202" s="81" t="str">
        <f ca="1">PROPER(TRIM(_xlfn.XLOOKUP($A202,Строчный!$A:$A,Строчный!E:E,"ERR",0)))</f>
        <v>Herman</v>
      </c>
      <c r="F202" s="81" t="str">
        <f ca="1">LOWER(TRIM(_xlfn.XLOOKUP($A202,Строчный!$A:$A,Строчный!F:F,"ERR",0)))</f>
        <v>летний</v>
      </c>
      <c r="G202" s="81" t="str">
        <f ca="1">UPPER(TRIM(_xlfn.XLOOKUP($A202,Строчный!$A:$A,Строчный!G:G,"ERR",0)))</f>
        <v>HERMAN</v>
      </c>
      <c r="H202" s="81" t="str">
        <f ca="1">LOWER(TRIM(_xlfn.XLOOKUP($A202,Строчный!$A:$A,Строчный!H:H,"ERR",0)))</f>
        <v>fushia</v>
      </c>
      <c r="I202" s="81" t="str">
        <f ca="1">LOWER(TRIM(_xlfn.XLOOKUP($A202,Строчный!$A:$A,Строчный!I:I,"ERR",0)))</f>
        <v>розовый</v>
      </c>
      <c r="J202" s="81" t="str">
        <f ca="1">SUBSTITUTE(LOWER(TRIM(_xlfn.XLOOKUP($A202,Строчный!$A:$A,Строчный!J:J,"ERR",0))),"подклад","Подклад")</f>
        <v>100% хлопок</v>
      </c>
      <c r="K202" s="81" t="str">
        <f ca="1">LOWER(TRIM(_xlfn.XLOOKUP($A202,Строчный!$A:$A,Строчный!K:K,"ERR",0)))</f>
        <v>хлопковые</v>
      </c>
      <c r="L202" s="81" t="str">
        <f ca="1">PROPER(TRIM(_xlfn.XLOOKUP($A202,Строчный!$A:$A,Строчный!L:L,"ERR",0)))</f>
        <v>Детские</v>
      </c>
      <c r="M202" s="113" t="str">
        <f ca="1">PROPER(TRIM(_xlfn.XLOOKUP($A202,Строчный!$A:$A,Строчный!M:M,"ERR",0)))</f>
        <v>Китай</v>
      </c>
      <c r="N202" s="81" t="str">
        <f ca="1">UPPER(TRIM(_xlfn.XLOOKUP($A202,Строчный!$A:$A,Строчный!O:O,"ERR",0)))</f>
        <v/>
      </c>
      <c r="O202" s="102" t="str">
        <f ca="1">PROPER(TRIM(_xlfn.XLOOKUP($A202,Строчный!$A:$A,Строчный!P:P,"ERR",0)))</f>
        <v/>
      </c>
      <c r="P202" s="81" t="str">
        <f ca="1">PROPER(TRIM(_xlfn.XLOOKUP($A202,Строчный!$A:$A,Строчный!R:R,"ERR",0)))</f>
        <v/>
      </c>
      <c r="Q202" s="90">
        <f ca="1">VALUE(_xlfn.XLOOKUP($A202,Строчный!$A:$A,Строчный!N:N,"ERR",0))</f>
        <v>345.59999999999997</v>
      </c>
      <c r="R202" s="89" t="str">
        <f ca="1">_xlfn.XLOOKUP($G202,Фабрика!A:A,Фабрика!B:B,"ERR",0)</f>
        <v>Chapellerie Herman S.A.; Rue Jean Meunier, 6, 6922 Wellin, Belgium</v>
      </c>
      <c r="S202" s="80" t="str">
        <f ca="1">_xlfn.XLOOKUP(RIGHT(AA202,2),Размеры!D:D,Размеры!A:A,"ERR",0)</f>
        <v>51kid</v>
      </c>
      <c r="T202" s="80">
        <f ca="1">VALUE(_xlfn.XLOOKUP($AA202,Строчный!$S:$S,Строчный!U:U,"ERR",0))</f>
        <v>12</v>
      </c>
      <c r="U202" s="14" t="s">
        <v>265</v>
      </c>
      <c r="V202" s="101" t="str">
        <f t="shared" ca="1" si="18"/>
        <v>Панама HERMAN арт. BUCKET 024 (розовый)</v>
      </c>
      <c r="W202" s="100" t="str">
        <f t="shared" ca="1" si="19"/>
        <v>Панама HERMAN арт. BUCKET 024 (розовый) {fushia}</v>
      </c>
      <c r="X202" s="18" t="str">
        <f t="shared" ca="1" si="20"/>
        <v>розовый</v>
      </c>
      <c r="Y202" s="18" t="str">
        <f t="shared" ca="1" si="21"/>
        <v>розовый</v>
      </c>
      <c r="Z202" s="117" t="str">
        <f ca="1">_xlfn.LET(_xlpm.FormColors,_xlfn.XLOOKUP(A202,Строчный!A:A,Строчный!Q:Q,"",0),IF(_xlpm.FormColors=0,IFERROR(MID(I202,FIND("-",I202)+1,LEN(I202)),IFERROR(MID(I202,1,FIND("/",I202)-2),I202)),_xlpm.FormColors))</f>
        <v>розовый</v>
      </c>
      <c r="AA202" s="73" t="str">
        <f ca="1"/>
        <v>80-717-34-51</v>
      </c>
      <c r="AB202" s="75" t="str">
        <f ca="1">VLOOKUP(C202,Группа!A:B,2,FALSE)</f>
        <v>Панама</v>
      </c>
      <c r="AC202" s="97" t="str">
        <f ca="1">IFERROR(VLOOKUP(S202,Размеры!A:C,3,FALSE),"")</f>
        <v>51kid</v>
      </c>
      <c r="AD202" s="97" t="str">
        <f ca="1">VLOOKUP(I202,ЦветПолный!A:B,2,FALSE)</f>
        <v>34</v>
      </c>
      <c r="AE202" s="97" t="str">
        <f ca="1">IFERROR(VLOOKUP(S202,Размеры!A:D,4,FALSE),"")</f>
        <v>51</v>
      </c>
      <c r="AF202" s="97">
        <f ca="1">IF(LEFT(IFERROR(VLOOKUP(LOOKUP(2,1/SEARCH(B202,Товары!A:A),Товары!A:A),Товары!A:B,2,0),""),6)=MID(AA202,1,6),1,0)</f>
        <v>1</v>
      </c>
      <c r="AH202" s="97">
        <f ca="1">SUMIF(Группа!A:A,C202,Группа!C:C)</f>
        <v>1</v>
      </c>
      <c r="AI202" s="97">
        <f ca="1">SUMIF(Группа!B:B,AB202,Группа!C:C)</f>
        <v>1</v>
      </c>
      <c r="AJ202" s="97">
        <f ca="1">SUMIF(Формы!A:A,D202,Формы!B:B)</f>
        <v>1</v>
      </c>
      <c r="AK202" s="97">
        <f ca="1">SUMIF(Материал!A:A,K202,Материал!B:B)</f>
        <v>1</v>
      </c>
      <c r="AL202" s="97">
        <f ca="1">SUMIF(Размеры!A:A,S202,Размеры!E:E)</f>
        <v>1</v>
      </c>
      <c r="AM202" s="97">
        <f ca="1">SUMIF(Сезон!A:A,F202,Сезон!B:B)</f>
        <v>1</v>
      </c>
      <c r="AN202" s="97">
        <f ca="1">SUMIF(Состав!A:A,J202,Состав!B:B)</f>
        <v>1</v>
      </c>
      <c r="AO202" s="97">
        <f ca="1">VLOOKUP(I202,ЦветПолный!A:C,3,0)</f>
        <v>1</v>
      </c>
      <c r="AP202" s="97">
        <f ca="1">SUMIF(Цвет!A:A,Z202,Цвет!B:B)</f>
        <v>1</v>
      </c>
      <c r="AQ202" s="97">
        <f ca="1">_xlfn.XLOOKUP(L202,Пол!A:A,Пол!B:B,0,0)</f>
        <v>1</v>
      </c>
      <c r="AR202" s="97">
        <f ca="1">SUMIF(Бренд!A:A,G202,Бренд!B:B)</f>
        <v>1</v>
      </c>
      <c r="AS202" s="97">
        <f ca="1">SUMIF(Страна!A:A,M202,Страна!B:B)</f>
        <v>1</v>
      </c>
      <c r="AT202" s="64" t="e">
        <f ca="1">IF(VLOOKUP(W202,Товары!A:B,2,FALSE)=A202,"Есть в 1С","ERR")</f>
        <v>#N/A</v>
      </c>
      <c r="AU202" s="65" t="e">
        <f ca="1">IF(VLOOKUP(A202,Товары!B:B,1,FALSE)=A202,"Есть в 1С","ERR")</f>
        <v>#N/A</v>
      </c>
      <c r="AV202" s="96" t="e">
        <f ca="1">VLOOKUP(W202,Товары!A:B,2,FALSE)</f>
        <v>#N/A</v>
      </c>
      <c r="AW202" s="94" t="e">
        <f ca="1">VLOOKUP(W202,Товары!A:B,1,FALSE)</f>
        <v>#N/A</v>
      </c>
    </row>
    <row r="203" spans="1:49" x14ac:dyDescent="0.25">
      <c r="A203" s="110" t="str">
        <f t="shared" ca="1" si="17"/>
        <v>80-717-19</v>
      </c>
      <c r="B203" s="107" t="str">
        <f ca="1">_xlfn.LET(_xlpm.CAPS,0,_xlpm.Style,TRIM(_xlfn.XLOOKUP($A203,Строчный!$A:$A,Строчный!B:B,"ERR",0)),IF(_xlpm.CAPS=0,_xlpm.Style,UPPER(_xlpm.Style)))</f>
        <v>BUCKET 024</v>
      </c>
      <c r="C203" s="81" t="str">
        <f ca="1">TRIM(PROPER(_xlfn.XLOOKUP($A203,Строчный!$A:$A,Строчный!C:C,"ERR",0)))</f>
        <v>Панамы</v>
      </c>
      <c r="D203" s="81" t="str">
        <f ca="1">_xlfn.LET(_xlpm.DATA,TRIM(_xlfn.XLOOKUP($A203,Строчный!$A:$A,Строчный!D:D,"ERR",0)),UPPER(MID(_xlpm.DATA,1,1))&amp;LOWER(MID(_xlpm.DATA,2,LEN(_xlpm.DATA)-1)))</f>
        <v>Панама</v>
      </c>
      <c r="E203" s="81" t="str">
        <f ca="1">PROPER(TRIM(_xlfn.XLOOKUP($A203,Строчный!$A:$A,Строчный!E:E,"ERR",0)))</f>
        <v>Herman</v>
      </c>
      <c r="F203" s="81" t="str">
        <f ca="1">LOWER(TRIM(_xlfn.XLOOKUP($A203,Строчный!$A:$A,Строчный!F:F,"ERR",0)))</f>
        <v>летний</v>
      </c>
      <c r="G203" s="81" t="str">
        <f ca="1">UPPER(TRIM(_xlfn.XLOOKUP($A203,Строчный!$A:$A,Строчный!G:G,"ERR",0)))</f>
        <v>HERMAN</v>
      </c>
      <c r="H203" s="81" t="str">
        <f ca="1">LOWER(TRIM(_xlfn.XLOOKUP($A203,Строчный!$A:$A,Строчный!H:H,"ERR",0)))</f>
        <v>animal</v>
      </c>
      <c r="I203" s="81" t="str">
        <f ca="1">LOWER(TRIM(_xlfn.XLOOKUP($A203,Строчный!$A:$A,Строчный!I:I,"ERR",0)))</f>
        <v>голубой</v>
      </c>
      <c r="J203" s="81" t="str">
        <f ca="1">SUBSTITUTE(LOWER(TRIM(_xlfn.XLOOKUP($A203,Строчный!$A:$A,Строчный!J:J,"ERR",0))),"подклад","Подклад")</f>
        <v>100% хлопок</v>
      </c>
      <c r="K203" s="81" t="str">
        <f ca="1">LOWER(TRIM(_xlfn.XLOOKUP($A203,Строчный!$A:$A,Строчный!K:K,"ERR",0)))</f>
        <v>хлопковые</v>
      </c>
      <c r="L203" s="81" t="str">
        <f ca="1">PROPER(TRIM(_xlfn.XLOOKUP($A203,Строчный!$A:$A,Строчный!L:L,"ERR",0)))</f>
        <v>Детские</v>
      </c>
      <c r="M203" s="113" t="str">
        <f ca="1">PROPER(TRIM(_xlfn.XLOOKUP($A203,Строчный!$A:$A,Строчный!M:M,"ERR",0)))</f>
        <v>Китай</v>
      </c>
      <c r="N203" s="81" t="str">
        <f ca="1">UPPER(TRIM(_xlfn.XLOOKUP($A203,Строчный!$A:$A,Строчный!O:O,"ERR",0)))</f>
        <v/>
      </c>
      <c r="O203" s="102" t="str">
        <f ca="1">PROPER(TRIM(_xlfn.XLOOKUP($A203,Строчный!$A:$A,Строчный!P:P,"ERR",0)))</f>
        <v/>
      </c>
      <c r="P203" s="81" t="str">
        <f ca="1">PROPER(TRIM(_xlfn.XLOOKUP($A203,Строчный!$A:$A,Строчный!R:R,"ERR",0)))</f>
        <v/>
      </c>
      <c r="Q203" s="90">
        <f ca="1">VALUE(_xlfn.XLOOKUP($A203,Строчный!$A:$A,Строчный!N:N,"ERR",0))</f>
        <v>345.59999999999997</v>
      </c>
      <c r="R203" s="89" t="str">
        <f ca="1">_xlfn.XLOOKUP($G203,Фабрика!A:A,Фабрика!B:B,"ERR",0)</f>
        <v>Chapellerie Herman S.A.; Rue Jean Meunier, 6, 6922 Wellin, Belgium</v>
      </c>
      <c r="S203" s="80" t="str">
        <f ca="1">_xlfn.XLOOKUP(RIGHT(AA203,2),Размеры!D:D,Размеры!A:A,"ERR",0)</f>
        <v>53</v>
      </c>
      <c r="T203" s="80">
        <f ca="1">VALUE(_xlfn.XLOOKUP($AA203,Строчный!$S:$S,Строчный!U:U,"ERR",0))</f>
        <v>12</v>
      </c>
      <c r="U203" s="14" t="s">
        <v>265</v>
      </c>
      <c r="V203" s="101" t="str">
        <f t="shared" ca="1" si="18"/>
        <v>Панама HERMAN арт. BUCKET 024 (голубой)</v>
      </c>
      <c r="W203" s="100" t="str">
        <f t="shared" ca="1" si="19"/>
        <v>Панама HERMAN арт. BUCKET 024 (голубой) {animal}</v>
      </c>
      <c r="X203" s="18" t="str">
        <f t="shared" ca="1" si="20"/>
        <v>голубой</v>
      </c>
      <c r="Y203" s="18" t="str">
        <f t="shared" ca="1" si="21"/>
        <v>голубой</v>
      </c>
      <c r="Z203" s="117" t="str">
        <f ca="1">_xlfn.LET(_xlpm.FormColors,_xlfn.XLOOKUP(A203,Строчный!A:A,Строчный!Q:Q,"",0),IF(_xlpm.FormColors=0,IFERROR(MID(I203,FIND("-",I203)+1,LEN(I203)),IFERROR(MID(I203,1,FIND("/",I203)-2),I203)),_xlpm.FormColors))</f>
        <v>голубой</v>
      </c>
      <c r="AA203" s="73" t="str">
        <f ca="1"/>
        <v>80-717-19-53</v>
      </c>
      <c r="AB203" s="75" t="str">
        <f ca="1">VLOOKUP(C203,Группа!A:B,2,FALSE)</f>
        <v>Панама</v>
      </c>
      <c r="AC203" s="97" t="str">
        <f ca="1">IFERROR(VLOOKUP(S203,Размеры!A:C,3,FALSE),"")</f>
        <v>53 XS/S</v>
      </c>
      <c r="AD203" s="97" t="str">
        <f ca="1">VLOOKUP(I203,ЦветПолный!A:B,2,FALSE)</f>
        <v>19</v>
      </c>
      <c r="AE203" s="97" t="str">
        <f ca="1">IFERROR(VLOOKUP(S203,Размеры!A:D,4,FALSE),"")</f>
        <v>53</v>
      </c>
      <c r="AF203" s="97">
        <f ca="1">IF(LEFT(IFERROR(VLOOKUP(LOOKUP(2,1/SEARCH(B203,Товары!A:A),Товары!A:A),Товары!A:B,2,0),""),6)=MID(AA203,1,6),1,0)</f>
        <v>1</v>
      </c>
      <c r="AH203" s="97">
        <f ca="1">SUMIF(Группа!A:A,C203,Группа!C:C)</f>
        <v>1</v>
      </c>
      <c r="AI203" s="97">
        <f ca="1">SUMIF(Группа!B:B,AB203,Группа!C:C)</f>
        <v>1</v>
      </c>
      <c r="AJ203" s="97">
        <f ca="1">SUMIF(Формы!A:A,D203,Формы!B:B)</f>
        <v>1</v>
      </c>
      <c r="AK203" s="97">
        <f ca="1">SUMIF(Материал!A:A,K203,Материал!B:B)</f>
        <v>1</v>
      </c>
      <c r="AL203" s="97">
        <f ca="1">SUMIF(Размеры!A:A,S203,Размеры!E:E)</f>
        <v>1</v>
      </c>
      <c r="AM203" s="97">
        <f ca="1">SUMIF(Сезон!A:A,F203,Сезон!B:B)</f>
        <v>1</v>
      </c>
      <c r="AN203" s="97">
        <f ca="1">SUMIF(Состав!A:A,J203,Состав!B:B)</f>
        <v>1</v>
      </c>
      <c r="AO203" s="97">
        <f ca="1">VLOOKUP(I203,ЦветПолный!A:C,3,0)</f>
        <v>1</v>
      </c>
      <c r="AP203" s="97">
        <f ca="1">SUMIF(Цвет!A:A,Z203,Цвет!B:B)</f>
        <v>1</v>
      </c>
      <c r="AQ203" s="97">
        <f ca="1">_xlfn.XLOOKUP(L203,Пол!A:A,Пол!B:B,0,0)</f>
        <v>1</v>
      </c>
      <c r="AR203" s="97">
        <f ca="1">SUMIF(Бренд!A:A,G203,Бренд!B:B)</f>
        <v>1</v>
      </c>
      <c r="AS203" s="97">
        <f ca="1">SUMIF(Страна!A:A,M203,Страна!B:B)</f>
        <v>1</v>
      </c>
      <c r="AT203" s="64" t="e">
        <f ca="1">IF(VLOOKUP(W203,Товары!A:B,2,FALSE)=A203,"Есть в 1С","ERR")</f>
        <v>#N/A</v>
      </c>
      <c r="AU203" s="65" t="e">
        <f ca="1">IF(VLOOKUP(A203,Товары!B:B,1,FALSE)=A203,"Есть в 1С","ERR")</f>
        <v>#N/A</v>
      </c>
      <c r="AV203" s="96" t="e">
        <f ca="1">VLOOKUP(W203,Товары!A:B,2,FALSE)</f>
        <v>#N/A</v>
      </c>
      <c r="AW203" s="94" t="e">
        <f ca="1">VLOOKUP(W203,Товары!A:B,1,FALSE)</f>
        <v>#N/A</v>
      </c>
    </row>
    <row r="204" spans="1:49" x14ac:dyDescent="0.25">
      <c r="A204" s="110" t="str">
        <f t="shared" ca="1" si="17"/>
        <v>80-717-19</v>
      </c>
      <c r="B204" s="107" t="str">
        <f ca="1">_xlfn.LET(_xlpm.CAPS,0,_xlpm.Style,TRIM(_xlfn.XLOOKUP($A204,Строчный!$A:$A,Строчный!B:B,"ERR",0)),IF(_xlpm.CAPS=0,_xlpm.Style,UPPER(_xlpm.Style)))</f>
        <v>BUCKET 024</v>
      </c>
      <c r="C204" s="81" t="str">
        <f ca="1">TRIM(PROPER(_xlfn.XLOOKUP($A204,Строчный!$A:$A,Строчный!C:C,"ERR",0)))</f>
        <v>Панамы</v>
      </c>
      <c r="D204" s="81" t="str">
        <f ca="1">_xlfn.LET(_xlpm.DATA,TRIM(_xlfn.XLOOKUP($A204,Строчный!$A:$A,Строчный!D:D,"ERR",0)),UPPER(MID(_xlpm.DATA,1,1))&amp;LOWER(MID(_xlpm.DATA,2,LEN(_xlpm.DATA)-1)))</f>
        <v>Панама</v>
      </c>
      <c r="E204" s="81" t="str">
        <f ca="1">PROPER(TRIM(_xlfn.XLOOKUP($A204,Строчный!$A:$A,Строчный!E:E,"ERR",0)))</f>
        <v>Herman</v>
      </c>
      <c r="F204" s="81" t="str">
        <f ca="1">LOWER(TRIM(_xlfn.XLOOKUP($A204,Строчный!$A:$A,Строчный!F:F,"ERR",0)))</f>
        <v>летний</v>
      </c>
      <c r="G204" s="81" t="str">
        <f ca="1">UPPER(TRIM(_xlfn.XLOOKUP($A204,Строчный!$A:$A,Строчный!G:G,"ERR",0)))</f>
        <v>HERMAN</v>
      </c>
      <c r="H204" s="81" t="str">
        <f ca="1">LOWER(TRIM(_xlfn.XLOOKUP($A204,Строчный!$A:$A,Строчный!H:H,"ERR",0)))</f>
        <v>animal</v>
      </c>
      <c r="I204" s="81" t="str">
        <f ca="1">LOWER(TRIM(_xlfn.XLOOKUP($A204,Строчный!$A:$A,Строчный!I:I,"ERR",0)))</f>
        <v>голубой</v>
      </c>
      <c r="J204" s="81" t="str">
        <f ca="1">SUBSTITUTE(LOWER(TRIM(_xlfn.XLOOKUP($A204,Строчный!$A:$A,Строчный!J:J,"ERR",0))),"подклад","Подклад")</f>
        <v>100% хлопок</v>
      </c>
      <c r="K204" s="81" t="str">
        <f ca="1">LOWER(TRIM(_xlfn.XLOOKUP($A204,Строчный!$A:$A,Строчный!K:K,"ERR",0)))</f>
        <v>хлопковые</v>
      </c>
      <c r="L204" s="81" t="str">
        <f ca="1">PROPER(TRIM(_xlfn.XLOOKUP($A204,Строчный!$A:$A,Строчный!L:L,"ERR",0)))</f>
        <v>Детские</v>
      </c>
      <c r="M204" s="113" t="str">
        <f ca="1">PROPER(TRIM(_xlfn.XLOOKUP($A204,Строчный!$A:$A,Строчный!M:M,"ERR",0)))</f>
        <v>Китай</v>
      </c>
      <c r="N204" s="81" t="str">
        <f ca="1">UPPER(TRIM(_xlfn.XLOOKUP($A204,Строчный!$A:$A,Строчный!O:O,"ERR",0)))</f>
        <v/>
      </c>
      <c r="O204" s="102" t="str">
        <f ca="1">PROPER(TRIM(_xlfn.XLOOKUP($A204,Строчный!$A:$A,Строчный!P:P,"ERR",0)))</f>
        <v/>
      </c>
      <c r="P204" s="81" t="str">
        <f ca="1">PROPER(TRIM(_xlfn.XLOOKUP($A204,Строчный!$A:$A,Строчный!R:R,"ERR",0)))</f>
        <v/>
      </c>
      <c r="Q204" s="90">
        <f ca="1">VALUE(_xlfn.XLOOKUP($A204,Строчный!$A:$A,Строчный!N:N,"ERR",0))</f>
        <v>345.59999999999997</v>
      </c>
      <c r="R204" s="89" t="str">
        <f ca="1">_xlfn.XLOOKUP($G204,Фабрика!A:A,Фабрика!B:B,"ERR",0)</f>
        <v>Chapellerie Herman S.A.; Rue Jean Meunier, 6, 6922 Wellin, Belgium</v>
      </c>
      <c r="S204" s="80" t="str">
        <f ca="1">_xlfn.XLOOKUP(RIGHT(AA204,2),Размеры!D:D,Размеры!A:A,"ERR",0)</f>
        <v>51kid</v>
      </c>
      <c r="T204" s="80">
        <f ca="1">VALUE(_xlfn.XLOOKUP($AA204,Строчный!$S:$S,Строчный!U:U,"ERR",0))</f>
        <v>12</v>
      </c>
      <c r="U204" s="14" t="s">
        <v>265</v>
      </c>
      <c r="V204" s="101" t="str">
        <f t="shared" ca="1" si="18"/>
        <v>Панама HERMAN арт. BUCKET 024 (голубой)</v>
      </c>
      <c r="W204" s="100" t="str">
        <f t="shared" ca="1" si="19"/>
        <v>Панама HERMAN арт. BUCKET 024 (голубой) {animal}</v>
      </c>
      <c r="X204" s="18" t="str">
        <f t="shared" ca="1" si="20"/>
        <v>голубой</v>
      </c>
      <c r="Y204" s="18" t="str">
        <f t="shared" ca="1" si="21"/>
        <v>голубой</v>
      </c>
      <c r="Z204" s="117" t="str">
        <f ca="1">_xlfn.LET(_xlpm.FormColors,_xlfn.XLOOKUP(A204,Строчный!A:A,Строчный!Q:Q,"",0),IF(_xlpm.FormColors=0,IFERROR(MID(I204,FIND("-",I204)+1,LEN(I204)),IFERROR(MID(I204,1,FIND("/",I204)-2),I204)),_xlpm.FormColors))</f>
        <v>голубой</v>
      </c>
      <c r="AA204" s="73" t="str">
        <f ca="1"/>
        <v>80-717-19-51</v>
      </c>
      <c r="AB204" s="75" t="str">
        <f ca="1">VLOOKUP(C204,Группа!A:B,2,FALSE)</f>
        <v>Панама</v>
      </c>
      <c r="AC204" s="97" t="str">
        <f ca="1">IFERROR(VLOOKUP(S204,Размеры!A:C,3,FALSE),"")</f>
        <v>51kid</v>
      </c>
      <c r="AD204" s="97" t="str">
        <f ca="1">VLOOKUP(I204,ЦветПолный!A:B,2,FALSE)</f>
        <v>19</v>
      </c>
      <c r="AE204" s="97" t="str">
        <f ca="1">IFERROR(VLOOKUP(S204,Размеры!A:D,4,FALSE),"")</f>
        <v>51</v>
      </c>
      <c r="AF204" s="97">
        <f ca="1">IF(LEFT(IFERROR(VLOOKUP(LOOKUP(2,1/SEARCH(B204,Товары!A:A),Товары!A:A),Товары!A:B,2,0),""),6)=MID(AA204,1,6),1,0)</f>
        <v>1</v>
      </c>
      <c r="AH204" s="97">
        <f ca="1">SUMIF(Группа!A:A,C204,Группа!C:C)</f>
        <v>1</v>
      </c>
      <c r="AI204" s="97">
        <f ca="1">SUMIF(Группа!B:B,AB204,Группа!C:C)</f>
        <v>1</v>
      </c>
      <c r="AJ204" s="97">
        <f ca="1">SUMIF(Формы!A:A,D204,Формы!B:B)</f>
        <v>1</v>
      </c>
      <c r="AK204" s="97">
        <f ca="1">SUMIF(Материал!A:A,K204,Материал!B:B)</f>
        <v>1</v>
      </c>
      <c r="AL204" s="97">
        <f ca="1">SUMIF(Размеры!A:A,S204,Размеры!E:E)</f>
        <v>1</v>
      </c>
      <c r="AM204" s="97">
        <f ca="1">SUMIF(Сезон!A:A,F204,Сезон!B:B)</f>
        <v>1</v>
      </c>
      <c r="AN204" s="97">
        <f ca="1">SUMIF(Состав!A:A,J204,Состав!B:B)</f>
        <v>1</v>
      </c>
      <c r="AO204" s="97">
        <f ca="1">VLOOKUP(I204,ЦветПолный!A:C,3,0)</f>
        <v>1</v>
      </c>
      <c r="AP204" s="97">
        <f ca="1">SUMIF(Цвет!A:A,Z204,Цвет!B:B)</f>
        <v>1</v>
      </c>
      <c r="AQ204" s="97">
        <f ca="1">_xlfn.XLOOKUP(L204,Пол!A:A,Пол!B:B,0,0)</f>
        <v>1</v>
      </c>
      <c r="AR204" s="97">
        <f ca="1">SUMIF(Бренд!A:A,G204,Бренд!B:B)</f>
        <v>1</v>
      </c>
      <c r="AS204" s="97">
        <f ca="1">SUMIF(Страна!A:A,M204,Страна!B:B)</f>
        <v>1</v>
      </c>
      <c r="AT204" s="64" t="e">
        <f ca="1">IF(VLOOKUP(W204,Товары!A:B,2,FALSE)=A204,"Есть в 1С","ERR")</f>
        <v>#N/A</v>
      </c>
      <c r="AU204" s="65" t="e">
        <f ca="1">IF(VLOOKUP(A204,Товары!B:B,1,FALSE)=A204,"Есть в 1С","ERR")</f>
        <v>#N/A</v>
      </c>
      <c r="AV204" s="96" t="e">
        <f ca="1">VLOOKUP(W204,Товары!A:B,2,FALSE)</f>
        <v>#N/A</v>
      </c>
      <c r="AW204" s="94" t="e">
        <f ca="1">VLOOKUP(W204,Товары!A:B,1,FALSE)</f>
        <v>#N/A</v>
      </c>
    </row>
    <row r="205" spans="1:49" x14ac:dyDescent="0.25">
      <c r="A205" s="110" t="str">
        <f t="shared" ca="1" si="17"/>
        <v>80-717-06</v>
      </c>
      <c r="B205" s="107" t="str">
        <f ca="1">_xlfn.LET(_xlpm.CAPS,0,_xlpm.Style,TRIM(_xlfn.XLOOKUP($A205,Строчный!$A:$A,Строчный!B:B,"ERR",0)),IF(_xlpm.CAPS=0,_xlpm.Style,UPPER(_xlpm.Style)))</f>
        <v>BUCKET 024</v>
      </c>
      <c r="C205" s="81" t="str">
        <f ca="1">TRIM(PROPER(_xlfn.XLOOKUP($A205,Строчный!$A:$A,Строчный!C:C,"ERR",0)))</f>
        <v>Панамы</v>
      </c>
      <c r="D205" s="81" t="str">
        <f ca="1">_xlfn.LET(_xlpm.DATA,TRIM(_xlfn.XLOOKUP($A205,Строчный!$A:$A,Строчный!D:D,"ERR",0)),UPPER(MID(_xlpm.DATA,1,1))&amp;LOWER(MID(_xlpm.DATA,2,LEN(_xlpm.DATA)-1)))</f>
        <v>Панама</v>
      </c>
      <c r="E205" s="81" t="str">
        <f ca="1">PROPER(TRIM(_xlfn.XLOOKUP($A205,Строчный!$A:$A,Строчный!E:E,"ERR",0)))</f>
        <v>Herman</v>
      </c>
      <c r="F205" s="81" t="str">
        <f ca="1">LOWER(TRIM(_xlfn.XLOOKUP($A205,Строчный!$A:$A,Строчный!F:F,"ERR",0)))</f>
        <v>летний</v>
      </c>
      <c r="G205" s="81" t="str">
        <f ca="1">UPPER(TRIM(_xlfn.XLOOKUP($A205,Строчный!$A:$A,Строчный!G:G,"ERR",0)))</f>
        <v>HERMAN</v>
      </c>
      <c r="H205" s="81" t="str">
        <f ca="1">LOWER(TRIM(_xlfn.XLOOKUP($A205,Строчный!$A:$A,Строчный!H:H,"ERR",0)))</f>
        <v>blue</v>
      </c>
      <c r="I205" s="81" t="str">
        <f ca="1">LOWER(TRIM(_xlfn.XLOOKUP($A205,Строчный!$A:$A,Строчный!I:I,"ERR",0)))</f>
        <v>синий</v>
      </c>
      <c r="J205" s="81" t="str">
        <f ca="1">SUBSTITUTE(LOWER(TRIM(_xlfn.XLOOKUP($A205,Строчный!$A:$A,Строчный!J:J,"ERR",0))),"подклад","Подклад")</f>
        <v>100% хлопок</v>
      </c>
      <c r="K205" s="81" t="str">
        <f ca="1">LOWER(TRIM(_xlfn.XLOOKUP($A205,Строчный!$A:$A,Строчный!K:K,"ERR",0)))</f>
        <v>хлопковые</v>
      </c>
      <c r="L205" s="81" t="str">
        <f ca="1">PROPER(TRIM(_xlfn.XLOOKUP($A205,Строчный!$A:$A,Строчный!L:L,"ERR",0)))</f>
        <v>Детские</v>
      </c>
      <c r="M205" s="113" t="str">
        <f ca="1">PROPER(TRIM(_xlfn.XLOOKUP($A205,Строчный!$A:$A,Строчный!M:M,"ERR",0)))</f>
        <v>Китай</v>
      </c>
      <c r="N205" s="81" t="str">
        <f ca="1">UPPER(TRIM(_xlfn.XLOOKUP($A205,Строчный!$A:$A,Строчный!O:O,"ERR",0)))</f>
        <v/>
      </c>
      <c r="O205" s="102" t="str">
        <f ca="1">PROPER(TRIM(_xlfn.XLOOKUP($A205,Строчный!$A:$A,Строчный!P:P,"ERR",0)))</f>
        <v/>
      </c>
      <c r="P205" s="81" t="str">
        <f ca="1">PROPER(TRIM(_xlfn.XLOOKUP($A205,Строчный!$A:$A,Строчный!R:R,"ERR",0)))</f>
        <v/>
      </c>
      <c r="Q205" s="90">
        <f ca="1">VALUE(_xlfn.XLOOKUP($A205,Строчный!$A:$A,Строчный!N:N,"ERR",0))</f>
        <v>345.59999999999997</v>
      </c>
      <c r="R205" s="89" t="str">
        <f ca="1">_xlfn.XLOOKUP($G205,Фабрика!A:A,Фабрика!B:B,"ERR",0)</f>
        <v>Chapellerie Herman S.A.; Rue Jean Meunier, 6, 6922 Wellin, Belgium</v>
      </c>
      <c r="S205" s="80" t="str">
        <f ca="1">_xlfn.XLOOKUP(RIGHT(AA205,2),Размеры!D:D,Размеры!A:A,"ERR",0)</f>
        <v>53</v>
      </c>
      <c r="T205" s="80">
        <f ca="1">VALUE(_xlfn.XLOOKUP($AA205,Строчный!$S:$S,Строчный!U:U,"ERR",0))</f>
        <v>12</v>
      </c>
      <c r="U205" s="14" t="s">
        <v>265</v>
      </c>
      <c r="V205" s="101" t="str">
        <f t="shared" ca="1" si="18"/>
        <v>Панама HERMAN арт. BUCKET 024 (синий)</v>
      </c>
      <c r="W205" s="100" t="str">
        <f t="shared" ca="1" si="19"/>
        <v>Панама HERMAN арт. BUCKET 024 (синий) {blue}</v>
      </c>
      <c r="X205" s="18" t="str">
        <f t="shared" ca="1" si="20"/>
        <v>синий</v>
      </c>
      <c r="Y205" s="18" t="str">
        <f t="shared" ca="1" si="21"/>
        <v>синий</v>
      </c>
      <c r="Z205" s="117" t="str">
        <f ca="1">_xlfn.LET(_xlpm.FormColors,_xlfn.XLOOKUP(A205,Строчный!A:A,Строчный!Q:Q,"",0),IF(_xlpm.FormColors=0,IFERROR(MID(I205,FIND("-",I205)+1,LEN(I205)),IFERROR(MID(I205,1,FIND("/",I205)-2),I205)),_xlpm.FormColors))</f>
        <v>синий</v>
      </c>
      <c r="AA205" s="73" t="str">
        <f ca="1"/>
        <v>80-717-06-53</v>
      </c>
      <c r="AB205" s="75" t="str">
        <f ca="1">VLOOKUP(C205,Группа!A:B,2,FALSE)</f>
        <v>Панама</v>
      </c>
      <c r="AC205" s="97" t="str">
        <f ca="1">IFERROR(VLOOKUP(S205,Размеры!A:C,3,FALSE),"")</f>
        <v>53 XS/S</v>
      </c>
      <c r="AD205" s="97" t="str">
        <f ca="1">VLOOKUP(I205,ЦветПолный!A:B,2,FALSE)</f>
        <v>06</v>
      </c>
      <c r="AE205" s="97" t="str">
        <f ca="1">IFERROR(VLOOKUP(S205,Размеры!A:D,4,FALSE),"")</f>
        <v>53</v>
      </c>
      <c r="AF205" s="97">
        <f ca="1">IF(LEFT(IFERROR(VLOOKUP(LOOKUP(2,1/SEARCH(B205,Товары!A:A),Товары!A:A),Товары!A:B,2,0),""),6)=MID(AA205,1,6),1,0)</f>
        <v>1</v>
      </c>
      <c r="AH205" s="97">
        <f ca="1">SUMIF(Группа!A:A,C205,Группа!C:C)</f>
        <v>1</v>
      </c>
      <c r="AI205" s="97">
        <f ca="1">SUMIF(Группа!B:B,AB205,Группа!C:C)</f>
        <v>1</v>
      </c>
      <c r="AJ205" s="97">
        <f ca="1">SUMIF(Формы!A:A,D205,Формы!B:B)</f>
        <v>1</v>
      </c>
      <c r="AK205" s="97">
        <f ca="1">SUMIF(Материал!A:A,K205,Материал!B:B)</f>
        <v>1</v>
      </c>
      <c r="AL205" s="97">
        <f ca="1">SUMIF(Размеры!A:A,S205,Размеры!E:E)</f>
        <v>1</v>
      </c>
      <c r="AM205" s="97">
        <f ca="1">SUMIF(Сезон!A:A,F205,Сезон!B:B)</f>
        <v>1</v>
      </c>
      <c r="AN205" s="97">
        <f ca="1">SUMIF(Состав!A:A,J205,Состав!B:B)</f>
        <v>1</v>
      </c>
      <c r="AO205" s="97">
        <f ca="1">VLOOKUP(I205,ЦветПолный!A:C,3,0)</f>
        <v>1</v>
      </c>
      <c r="AP205" s="97">
        <f ca="1">SUMIF(Цвет!A:A,Z205,Цвет!B:B)</f>
        <v>1</v>
      </c>
      <c r="AQ205" s="97">
        <f ca="1">_xlfn.XLOOKUP(L205,Пол!A:A,Пол!B:B,0,0)</f>
        <v>1</v>
      </c>
      <c r="AR205" s="97">
        <f ca="1">SUMIF(Бренд!A:A,G205,Бренд!B:B)</f>
        <v>1</v>
      </c>
      <c r="AS205" s="97">
        <f ca="1">SUMIF(Страна!A:A,M205,Страна!B:B)</f>
        <v>1</v>
      </c>
      <c r="AT205" s="64" t="e">
        <f ca="1">IF(VLOOKUP(W205,Товары!A:B,2,FALSE)=A205,"Есть в 1С","ERR")</f>
        <v>#N/A</v>
      </c>
      <c r="AU205" s="65" t="e">
        <f ca="1">IF(VLOOKUP(A205,Товары!B:B,1,FALSE)=A205,"Есть в 1С","ERR")</f>
        <v>#N/A</v>
      </c>
      <c r="AV205" s="96" t="e">
        <f ca="1">VLOOKUP(W205,Товары!A:B,2,FALSE)</f>
        <v>#N/A</v>
      </c>
      <c r="AW205" s="94" t="e">
        <f ca="1">VLOOKUP(W205,Товары!A:B,1,FALSE)</f>
        <v>#N/A</v>
      </c>
    </row>
    <row r="206" spans="1:49" x14ac:dyDescent="0.25">
      <c r="A206" s="110" t="str">
        <f t="shared" ca="1" si="17"/>
        <v>80-717-06</v>
      </c>
      <c r="B206" s="107" t="str">
        <f ca="1">_xlfn.LET(_xlpm.CAPS,0,_xlpm.Style,TRIM(_xlfn.XLOOKUP($A206,Строчный!$A:$A,Строчный!B:B,"ERR",0)),IF(_xlpm.CAPS=0,_xlpm.Style,UPPER(_xlpm.Style)))</f>
        <v>BUCKET 024</v>
      </c>
      <c r="C206" s="81" t="str">
        <f ca="1">TRIM(PROPER(_xlfn.XLOOKUP($A206,Строчный!$A:$A,Строчный!C:C,"ERR",0)))</f>
        <v>Панамы</v>
      </c>
      <c r="D206" s="81" t="str">
        <f ca="1">_xlfn.LET(_xlpm.DATA,TRIM(_xlfn.XLOOKUP($A206,Строчный!$A:$A,Строчный!D:D,"ERR",0)),UPPER(MID(_xlpm.DATA,1,1))&amp;LOWER(MID(_xlpm.DATA,2,LEN(_xlpm.DATA)-1)))</f>
        <v>Панама</v>
      </c>
      <c r="E206" s="81" t="str">
        <f ca="1">PROPER(TRIM(_xlfn.XLOOKUP($A206,Строчный!$A:$A,Строчный!E:E,"ERR",0)))</f>
        <v>Herman</v>
      </c>
      <c r="F206" s="81" t="str">
        <f ca="1">LOWER(TRIM(_xlfn.XLOOKUP($A206,Строчный!$A:$A,Строчный!F:F,"ERR",0)))</f>
        <v>летний</v>
      </c>
      <c r="G206" s="81" t="str">
        <f ca="1">UPPER(TRIM(_xlfn.XLOOKUP($A206,Строчный!$A:$A,Строчный!G:G,"ERR",0)))</f>
        <v>HERMAN</v>
      </c>
      <c r="H206" s="81" t="str">
        <f ca="1">LOWER(TRIM(_xlfn.XLOOKUP($A206,Строчный!$A:$A,Строчный!H:H,"ERR",0)))</f>
        <v>blue</v>
      </c>
      <c r="I206" s="81" t="str">
        <f ca="1">LOWER(TRIM(_xlfn.XLOOKUP($A206,Строчный!$A:$A,Строчный!I:I,"ERR",0)))</f>
        <v>синий</v>
      </c>
      <c r="J206" s="81" t="str">
        <f ca="1">SUBSTITUTE(LOWER(TRIM(_xlfn.XLOOKUP($A206,Строчный!$A:$A,Строчный!J:J,"ERR",0))),"подклад","Подклад")</f>
        <v>100% хлопок</v>
      </c>
      <c r="K206" s="81" t="str">
        <f ca="1">LOWER(TRIM(_xlfn.XLOOKUP($A206,Строчный!$A:$A,Строчный!K:K,"ERR",0)))</f>
        <v>хлопковые</v>
      </c>
      <c r="L206" s="81" t="str">
        <f ca="1">PROPER(TRIM(_xlfn.XLOOKUP($A206,Строчный!$A:$A,Строчный!L:L,"ERR",0)))</f>
        <v>Детские</v>
      </c>
      <c r="M206" s="113" t="str">
        <f ca="1">PROPER(TRIM(_xlfn.XLOOKUP($A206,Строчный!$A:$A,Строчный!M:M,"ERR",0)))</f>
        <v>Китай</v>
      </c>
      <c r="N206" s="81" t="str">
        <f ca="1">UPPER(TRIM(_xlfn.XLOOKUP($A206,Строчный!$A:$A,Строчный!O:O,"ERR",0)))</f>
        <v/>
      </c>
      <c r="O206" s="102" t="str">
        <f ca="1">PROPER(TRIM(_xlfn.XLOOKUP($A206,Строчный!$A:$A,Строчный!P:P,"ERR",0)))</f>
        <v/>
      </c>
      <c r="P206" s="81" t="str">
        <f ca="1">PROPER(TRIM(_xlfn.XLOOKUP($A206,Строчный!$A:$A,Строчный!R:R,"ERR",0)))</f>
        <v/>
      </c>
      <c r="Q206" s="90">
        <f ca="1">VALUE(_xlfn.XLOOKUP($A206,Строчный!$A:$A,Строчный!N:N,"ERR",0))</f>
        <v>345.59999999999997</v>
      </c>
      <c r="R206" s="89" t="str">
        <f ca="1">_xlfn.XLOOKUP($G206,Фабрика!A:A,Фабрика!B:B,"ERR",0)</f>
        <v>Chapellerie Herman S.A.; Rue Jean Meunier, 6, 6922 Wellin, Belgium</v>
      </c>
      <c r="S206" s="80" t="str">
        <f ca="1">_xlfn.XLOOKUP(RIGHT(AA206,2),Размеры!D:D,Размеры!A:A,"ERR",0)</f>
        <v>51kid</v>
      </c>
      <c r="T206" s="80">
        <f ca="1">VALUE(_xlfn.XLOOKUP($AA206,Строчный!$S:$S,Строчный!U:U,"ERR",0))</f>
        <v>12</v>
      </c>
      <c r="U206" s="14" t="s">
        <v>265</v>
      </c>
      <c r="V206" s="101" t="str">
        <f t="shared" ca="1" si="18"/>
        <v>Панама HERMAN арт. BUCKET 024 (синий)</v>
      </c>
      <c r="W206" s="100" t="str">
        <f t="shared" ca="1" si="19"/>
        <v>Панама HERMAN арт. BUCKET 024 (синий) {blue}</v>
      </c>
      <c r="X206" s="18" t="str">
        <f t="shared" ca="1" si="20"/>
        <v>синий</v>
      </c>
      <c r="Y206" s="18" t="str">
        <f t="shared" ca="1" si="21"/>
        <v>синий</v>
      </c>
      <c r="Z206" s="117" t="str">
        <f ca="1">_xlfn.LET(_xlpm.FormColors,_xlfn.XLOOKUP(A206,Строчный!A:A,Строчный!Q:Q,"",0),IF(_xlpm.FormColors=0,IFERROR(MID(I206,FIND("-",I206)+1,LEN(I206)),IFERROR(MID(I206,1,FIND("/",I206)-2),I206)),_xlpm.FormColors))</f>
        <v>синий</v>
      </c>
      <c r="AA206" s="73" t="str">
        <f ca="1"/>
        <v>80-717-06-51</v>
      </c>
      <c r="AB206" s="75" t="str">
        <f ca="1">VLOOKUP(C206,Группа!A:B,2,FALSE)</f>
        <v>Панама</v>
      </c>
      <c r="AC206" s="97" t="str">
        <f ca="1">IFERROR(VLOOKUP(S206,Размеры!A:C,3,FALSE),"")</f>
        <v>51kid</v>
      </c>
      <c r="AD206" s="97" t="str">
        <f ca="1">VLOOKUP(I206,ЦветПолный!A:B,2,FALSE)</f>
        <v>06</v>
      </c>
      <c r="AE206" s="97" t="str">
        <f ca="1">IFERROR(VLOOKUP(S206,Размеры!A:D,4,FALSE),"")</f>
        <v>51</v>
      </c>
      <c r="AF206" s="97">
        <f ca="1">IF(LEFT(IFERROR(VLOOKUP(LOOKUP(2,1/SEARCH(B206,Товары!A:A),Товары!A:A),Товары!A:B,2,0),""),6)=MID(AA206,1,6),1,0)</f>
        <v>1</v>
      </c>
      <c r="AH206" s="97">
        <f ca="1">SUMIF(Группа!A:A,C206,Группа!C:C)</f>
        <v>1</v>
      </c>
      <c r="AI206" s="97">
        <f ca="1">SUMIF(Группа!B:B,AB206,Группа!C:C)</f>
        <v>1</v>
      </c>
      <c r="AJ206" s="97">
        <f ca="1">SUMIF(Формы!A:A,D206,Формы!B:B)</f>
        <v>1</v>
      </c>
      <c r="AK206" s="97">
        <f ca="1">SUMIF(Материал!A:A,K206,Материал!B:B)</f>
        <v>1</v>
      </c>
      <c r="AL206" s="97">
        <f ca="1">SUMIF(Размеры!A:A,S206,Размеры!E:E)</f>
        <v>1</v>
      </c>
      <c r="AM206" s="97">
        <f ca="1">SUMIF(Сезон!A:A,F206,Сезон!B:B)</f>
        <v>1</v>
      </c>
      <c r="AN206" s="97">
        <f ca="1">SUMIF(Состав!A:A,J206,Состав!B:B)</f>
        <v>1</v>
      </c>
      <c r="AO206" s="97">
        <f ca="1">VLOOKUP(I206,ЦветПолный!A:C,3,0)</f>
        <v>1</v>
      </c>
      <c r="AP206" s="97">
        <f ca="1">SUMIF(Цвет!A:A,Z206,Цвет!B:B)</f>
        <v>1</v>
      </c>
      <c r="AQ206" s="97">
        <f ca="1">_xlfn.XLOOKUP(L206,Пол!A:A,Пол!B:B,0,0)</f>
        <v>1</v>
      </c>
      <c r="AR206" s="97">
        <f ca="1">SUMIF(Бренд!A:A,G206,Бренд!B:B)</f>
        <v>1</v>
      </c>
      <c r="AS206" s="97">
        <f ca="1">SUMIF(Страна!A:A,M206,Страна!B:B)</f>
        <v>1</v>
      </c>
      <c r="AT206" s="64" t="e">
        <f ca="1">IF(VLOOKUP(W206,Товары!A:B,2,FALSE)=A206,"Есть в 1С","ERR")</f>
        <v>#N/A</v>
      </c>
      <c r="AU206" s="65" t="e">
        <f ca="1">IF(VLOOKUP(A206,Товары!B:B,1,FALSE)=A206,"Есть в 1С","ERR")</f>
        <v>#N/A</v>
      </c>
      <c r="AV206" s="96" t="e">
        <f ca="1">VLOOKUP(W206,Товары!A:B,2,FALSE)</f>
        <v>#N/A</v>
      </c>
      <c r="AW206" s="94" t="e">
        <f ca="1">VLOOKUP(W206,Товары!A:B,1,FALSE)</f>
        <v>#N/A</v>
      </c>
    </row>
    <row r="207" spans="1:49" x14ac:dyDescent="0.25">
      <c r="A207" s="110" t="str">
        <f t="shared" ca="1" si="17"/>
        <v>80-662-34</v>
      </c>
      <c r="B207" s="107" t="str">
        <f ca="1">_xlfn.LET(_xlpm.CAPS,0,_xlpm.Style,TRIM(_xlfn.XLOOKUP($A207,Строчный!$A:$A,Строчный!B:B,"ERR",0)),IF(_xlpm.CAPS=0,_xlpm.Style,UPPER(_xlpm.Style)))</f>
        <v>CONQUEST 033</v>
      </c>
      <c r="C207" s="81" t="str">
        <f ca="1">TRIM(PROPER(_xlfn.XLOOKUP($A207,Строчный!$A:$A,Строчный!C:C,"ERR",0)))</f>
        <v>Бейсболки</v>
      </c>
      <c r="D207" s="81" t="str">
        <f ca="1">_xlfn.LET(_xlpm.DATA,TRIM(_xlfn.XLOOKUP($A207,Строчный!$A:$A,Строчный!D:D,"ERR",0)),UPPER(MID(_xlpm.DATA,1,1))&amp;LOWER(MID(_xlpm.DATA,2,LEN(_xlpm.DATA)-1)))</f>
        <v>Бейсболка</v>
      </c>
      <c r="E207" s="81" t="str">
        <f ca="1">PROPER(TRIM(_xlfn.XLOOKUP($A207,Строчный!$A:$A,Строчный!E:E,"ERR",0)))</f>
        <v>Herman</v>
      </c>
      <c r="F207" s="81" t="str">
        <f ca="1">LOWER(TRIM(_xlfn.XLOOKUP($A207,Строчный!$A:$A,Строчный!F:F,"ERR",0)))</f>
        <v>летний</v>
      </c>
      <c r="G207" s="81" t="str">
        <f ca="1">UPPER(TRIM(_xlfn.XLOOKUP($A207,Строчный!$A:$A,Строчный!G:G,"ERR",0)))</f>
        <v>HERMAN</v>
      </c>
      <c r="H207" s="81" t="str">
        <f ca="1">LOWER(TRIM(_xlfn.XLOOKUP($A207,Строчный!$A:$A,Строчный!H:H,"ERR",0)))</f>
        <v>fushia</v>
      </c>
      <c r="I207" s="81" t="str">
        <f ca="1">LOWER(TRIM(_xlfn.XLOOKUP($A207,Строчный!$A:$A,Строчный!I:I,"ERR",0)))</f>
        <v>розовый</v>
      </c>
      <c r="J207" s="81" t="str">
        <f ca="1">SUBSTITUTE(LOWER(TRIM(_xlfn.XLOOKUP($A207,Строчный!$A:$A,Строчный!J:J,"ERR",0))),"подклад","Подклад")</f>
        <v>100% хлопок</v>
      </c>
      <c r="K207" s="81" t="str">
        <f ca="1">LOWER(TRIM(_xlfn.XLOOKUP($A207,Строчный!$A:$A,Строчный!K:K,"ERR",0)))</f>
        <v>хлопковые</v>
      </c>
      <c r="L207" s="81" t="str">
        <f ca="1">PROPER(TRIM(_xlfn.XLOOKUP($A207,Строчный!$A:$A,Строчный!L:L,"ERR",0)))</f>
        <v>Детские</v>
      </c>
      <c r="M207" s="113" t="str">
        <f ca="1">PROPER(TRIM(_xlfn.XLOOKUP($A207,Строчный!$A:$A,Строчный!M:M,"ERR",0)))</f>
        <v>Китай</v>
      </c>
      <c r="N207" s="81" t="str">
        <f ca="1">UPPER(TRIM(_xlfn.XLOOKUP($A207,Строчный!$A:$A,Строчный!O:O,"ERR",0)))</f>
        <v/>
      </c>
      <c r="O207" s="102" t="str">
        <f ca="1">PROPER(TRIM(_xlfn.XLOOKUP($A207,Строчный!$A:$A,Строчный!P:P,"ERR",0)))</f>
        <v/>
      </c>
      <c r="P207" s="81" t="str">
        <f ca="1">PROPER(TRIM(_xlfn.XLOOKUP($A207,Строчный!$A:$A,Строчный!R:R,"ERR",0)))</f>
        <v/>
      </c>
      <c r="Q207" s="90">
        <f ca="1">VALUE(_xlfn.XLOOKUP($A207,Строчный!$A:$A,Строчный!N:N,"ERR",0))</f>
        <v>345.59999999999997</v>
      </c>
      <c r="R207" s="89" t="str">
        <f ca="1">_xlfn.XLOOKUP($G207,Фабрика!A:A,Фабрика!B:B,"ERR",0)</f>
        <v>Chapellerie Herman S.A.; Rue Jean Meunier, 6, 6922 Wellin, Belgium</v>
      </c>
      <c r="S207" s="80" t="str">
        <f ca="1">_xlfn.XLOOKUP(RIGHT(AA207,2),Размеры!D:D,Размеры!A:A,"ERR",0)</f>
        <v>53</v>
      </c>
      <c r="T207" s="80">
        <f ca="1">VALUE(_xlfn.XLOOKUP($AA207,Строчный!$S:$S,Строчный!U:U,"ERR",0))</f>
        <v>10</v>
      </c>
      <c r="U207" s="14" t="s">
        <v>265</v>
      </c>
      <c r="V207" s="101" t="str">
        <f t="shared" ca="1" si="18"/>
        <v>Бейсболка HERMAN арт. CONQUEST 033 (розовый)</v>
      </c>
      <c r="W207" s="100" t="str">
        <f t="shared" ca="1" si="19"/>
        <v>Бейсболка HERMAN арт. CONQUEST 033 (розовый) {fushia}</v>
      </c>
      <c r="X207" s="18" t="str">
        <f t="shared" ca="1" si="20"/>
        <v>розовый</v>
      </c>
      <c r="Y207" s="18" t="str">
        <f t="shared" ca="1" si="21"/>
        <v>розовый</v>
      </c>
      <c r="Z207" s="117" t="str">
        <f ca="1">_xlfn.LET(_xlpm.FormColors,_xlfn.XLOOKUP(A207,Строчный!A:A,Строчный!Q:Q,"",0),IF(_xlpm.FormColors=0,IFERROR(MID(I207,FIND("-",I207)+1,LEN(I207)),IFERROR(MID(I207,1,FIND("/",I207)-2),I207)),_xlpm.FormColors))</f>
        <v>розовый</v>
      </c>
      <c r="AA207" s="73" t="str">
        <f ca="1"/>
        <v>80-662-34-53</v>
      </c>
      <c r="AB207" s="75" t="str">
        <f ca="1">VLOOKUP(C207,Группа!A:B,2,FALSE)</f>
        <v>Бейсболка</v>
      </c>
      <c r="AC207" s="97" t="str">
        <f ca="1">IFERROR(VLOOKUP(S207,Размеры!A:C,3,FALSE),"")</f>
        <v>53 XS/S</v>
      </c>
      <c r="AD207" s="97" t="str">
        <f ca="1">VLOOKUP(I207,ЦветПолный!A:B,2,FALSE)</f>
        <v>34</v>
      </c>
      <c r="AE207" s="97" t="str">
        <f ca="1">IFERROR(VLOOKUP(S207,Размеры!A:D,4,FALSE),"")</f>
        <v>53</v>
      </c>
      <c r="AF207" s="97">
        <f ca="1">IF(LEFT(IFERROR(VLOOKUP(LOOKUP(2,1/SEARCH(B207,Товары!A:A),Товары!A:A),Товары!A:B,2,0),""),6)=MID(AA207,1,6),1,0)</f>
        <v>1</v>
      </c>
      <c r="AH207" s="97">
        <f ca="1">SUMIF(Группа!A:A,C207,Группа!C:C)</f>
        <v>1</v>
      </c>
      <c r="AI207" s="97">
        <f ca="1">SUMIF(Группа!B:B,AB207,Группа!C:C)</f>
        <v>1</v>
      </c>
      <c r="AJ207" s="97">
        <f ca="1">SUMIF(Формы!A:A,D207,Формы!B:B)</f>
        <v>1</v>
      </c>
      <c r="AK207" s="97">
        <f ca="1">SUMIF(Материал!A:A,K207,Материал!B:B)</f>
        <v>1</v>
      </c>
      <c r="AL207" s="97">
        <f ca="1">SUMIF(Размеры!A:A,S207,Размеры!E:E)</f>
        <v>1</v>
      </c>
      <c r="AM207" s="97">
        <f ca="1">SUMIF(Сезон!A:A,F207,Сезон!B:B)</f>
        <v>1</v>
      </c>
      <c r="AN207" s="97">
        <f ca="1">SUMIF(Состав!A:A,J207,Состав!B:B)</f>
        <v>1</v>
      </c>
      <c r="AO207" s="97">
        <f ca="1">VLOOKUP(I207,ЦветПолный!A:C,3,0)</f>
        <v>1</v>
      </c>
      <c r="AP207" s="97">
        <f ca="1">SUMIF(Цвет!A:A,Z207,Цвет!B:B)</f>
        <v>1</v>
      </c>
      <c r="AQ207" s="97">
        <f ca="1">_xlfn.XLOOKUP(L207,Пол!A:A,Пол!B:B,0,0)</f>
        <v>1</v>
      </c>
      <c r="AR207" s="97">
        <f ca="1">SUMIF(Бренд!A:A,G207,Бренд!B:B)</f>
        <v>1</v>
      </c>
      <c r="AS207" s="97">
        <f ca="1">SUMIF(Страна!A:A,M207,Страна!B:B)</f>
        <v>1</v>
      </c>
      <c r="AT207" s="64" t="e">
        <f ca="1">IF(VLOOKUP(W207,Товары!A:B,2,FALSE)=A207,"Есть в 1С","ERR")</f>
        <v>#N/A</v>
      </c>
      <c r="AU207" s="65" t="e">
        <f ca="1">IF(VLOOKUP(A207,Товары!B:B,1,FALSE)=A207,"Есть в 1С","ERR")</f>
        <v>#N/A</v>
      </c>
      <c r="AV207" s="96" t="e">
        <f ca="1">VLOOKUP(W207,Товары!A:B,2,FALSE)</f>
        <v>#N/A</v>
      </c>
      <c r="AW207" s="94" t="e">
        <f ca="1">VLOOKUP(W207,Товары!A:B,1,FALSE)</f>
        <v>#N/A</v>
      </c>
    </row>
    <row r="208" spans="1:49" x14ac:dyDescent="0.25">
      <c r="A208" s="110" t="str">
        <f t="shared" ca="1" si="17"/>
        <v>80-662-34</v>
      </c>
      <c r="B208" s="107" t="str">
        <f ca="1">_xlfn.LET(_xlpm.CAPS,0,_xlpm.Style,TRIM(_xlfn.XLOOKUP($A208,Строчный!$A:$A,Строчный!B:B,"ERR",0)),IF(_xlpm.CAPS=0,_xlpm.Style,UPPER(_xlpm.Style)))</f>
        <v>CONQUEST 033</v>
      </c>
      <c r="C208" s="81" t="str">
        <f ca="1">TRIM(PROPER(_xlfn.XLOOKUP($A208,Строчный!$A:$A,Строчный!C:C,"ERR",0)))</f>
        <v>Бейсболки</v>
      </c>
      <c r="D208" s="81" t="str">
        <f ca="1">_xlfn.LET(_xlpm.DATA,TRIM(_xlfn.XLOOKUP($A208,Строчный!$A:$A,Строчный!D:D,"ERR",0)),UPPER(MID(_xlpm.DATA,1,1))&amp;LOWER(MID(_xlpm.DATA,2,LEN(_xlpm.DATA)-1)))</f>
        <v>Бейсболка</v>
      </c>
      <c r="E208" s="81" t="str">
        <f ca="1">PROPER(TRIM(_xlfn.XLOOKUP($A208,Строчный!$A:$A,Строчный!E:E,"ERR",0)))</f>
        <v>Herman</v>
      </c>
      <c r="F208" s="81" t="str">
        <f ca="1">LOWER(TRIM(_xlfn.XLOOKUP($A208,Строчный!$A:$A,Строчный!F:F,"ERR",0)))</f>
        <v>летний</v>
      </c>
      <c r="G208" s="81" t="str">
        <f ca="1">UPPER(TRIM(_xlfn.XLOOKUP($A208,Строчный!$A:$A,Строчный!G:G,"ERR",0)))</f>
        <v>HERMAN</v>
      </c>
      <c r="H208" s="81" t="str">
        <f ca="1">LOWER(TRIM(_xlfn.XLOOKUP($A208,Строчный!$A:$A,Строчный!H:H,"ERR",0)))</f>
        <v>fushia</v>
      </c>
      <c r="I208" s="81" t="str">
        <f ca="1">LOWER(TRIM(_xlfn.XLOOKUP($A208,Строчный!$A:$A,Строчный!I:I,"ERR",0)))</f>
        <v>розовый</v>
      </c>
      <c r="J208" s="81" t="str">
        <f ca="1">SUBSTITUTE(LOWER(TRIM(_xlfn.XLOOKUP($A208,Строчный!$A:$A,Строчный!J:J,"ERR",0))),"подклад","Подклад")</f>
        <v>100% хлопок</v>
      </c>
      <c r="K208" s="81" t="str">
        <f ca="1">LOWER(TRIM(_xlfn.XLOOKUP($A208,Строчный!$A:$A,Строчный!K:K,"ERR",0)))</f>
        <v>хлопковые</v>
      </c>
      <c r="L208" s="81" t="str">
        <f ca="1">PROPER(TRIM(_xlfn.XLOOKUP($A208,Строчный!$A:$A,Строчный!L:L,"ERR",0)))</f>
        <v>Детские</v>
      </c>
      <c r="M208" s="113" t="str">
        <f ca="1">PROPER(TRIM(_xlfn.XLOOKUP($A208,Строчный!$A:$A,Строчный!M:M,"ERR",0)))</f>
        <v>Китай</v>
      </c>
      <c r="N208" s="81" t="str">
        <f ca="1">UPPER(TRIM(_xlfn.XLOOKUP($A208,Строчный!$A:$A,Строчный!O:O,"ERR",0)))</f>
        <v/>
      </c>
      <c r="O208" s="102" t="str">
        <f ca="1">PROPER(TRIM(_xlfn.XLOOKUP($A208,Строчный!$A:$A,Строчный!P:P,"ERR",0)))</f>
        <v/>
      </c>
      <c r="P208" s="81" t="str">
        <f ca="1">PROPER(TRIM(_xlfn.XLOOKUP($A208,Строчный!$A:$A,Строчный!R:R,"ERR",0)))</f>
        <v/>
      </c>
      <c r="Q208" s="90">
        <f ca="1">VALUE(_xlfn.XLOOKUP($A208,Строчный!$A:$A,Строчный!N:N,"ERR",0))</f>
        <v>345.59999999999997</v>
      </c>
      <c r="R208" s="89" t="str">
        <f ca="1">_xlfn.XLOOKUP($G208,Фабрика!A:A,Фабрика!B:B,"ERR",0)</f>
        <v>Chapellerie Herman S.A.; Rue Jean Meunier, 6, 6922 Wellin, Belgium</v>
      </c>
      <c r="S208" s="80" t="str">
        <f ca="1">_xlfn.XLOOKUP(RIGHT(AA208,2),Размеры!D:D,Размеры!A:A,"ERR",0)</f>
        <v>49kid</v>
      </c>
      <c r="T208" s="80">
        <f ca="1">VALUE(_xlfn.XLOOKUP($AA208,Строчный!$S:$S,Строчный!U:U,"ERR",0))</f>
        <v>10</v>
      </c>
      <c r="U208" s="14" t="s">
        <v>265</v>
      </c>
      <c r="V208" s="101" t="str">
        <f t="shared" ca="1" si="18"/>
        <v>Бейсболка HERMAN арт. CONQUEST 033 (розовый)</v>
      </c>
      <c r="W208" s="100" t="str">
        <f t="shared" ca="1" si="19"/>
        <v>Бейсболка HERMAN арт. CONQUEST 033 (розовый) {fushia}</v>
      </c>
      <c r="X208" s="18" t="str">
        <f t="shared" ca="1" si="20"/>
        <v>розовый</v>
      </c>
      <c r="Y208" s="18" t="str">
        <f t="shared" ca="1" si="21"/>
        <v>розовый</v>
      </c>
      <c r="Z208" s="117" t="str">
        <f ca="1">_xlfn.LET(_xlpm.FormColors,_xlfn.XLOOKUP(A208,Строчный!A:A,Строчный!Q:Q,"",0),IF(_xlpm.FormColors=0,IFERROR(MID(I208,FIND("-",I208)+1,LEN(I208)),IFERROR(MID(I208,1,FIND("/",I208)-2),I208)),_xlpm.FormColors))</f>
        <v>розовый</v>
      </c>
      <c r="AA208" s="73" t="str">
        <f ca="1"/>
        <v>80-662-34-49</v>
      </c>
      <c r="AB208" s="75" t="str">
        <f ca="1">VLOOKUP(C208,Группа!A:B,2,FALSE)</f>
        <v>Бейсболка</v>
      </c>
      <c r="AC208" s="97" t="str">
        <f ca="1">IFERROR(VLOOKUP(S208,Размеры!A:C,3,FALSE),"")</f>
        <v>49kid</v>
      </c>
      <c r="AD208" s="97" t="str">
        <f ca="1">VLOOKUP(I208,ЦветПолный!A:B,2,FALSE)</f>
        <v>34</v>
      </c>
      <c r="AE208" s="97" t="str">
        <f ca="1">IFERROR(VLOOKUP(S208,Размеры!A:D,4,FALSE),"")</f>
        <v>49</v>
      </c>
      <c r="AF208" s="97">
        <f ca="1">IF(LEFT(IFERROR(VLOOKUP(LOOKUP(2,1/SEARCH(B208,Товары!A:A),Товары!A:A),Товары!A:B,2,0),""),6)=MID(AA208,1,6),1,0)</f>
        <v>1</v>
      </c>
      <c r="AH208" s="97">
        <f ca="1">SUMIF(Группа!A:A,C208,Группа!C:C)</f>
        <v>1</v>
      </c>
      <c r="AI208" s="97">
        <f ca="1">SUMIF(Группа!B:B,AB208,Группа!C:C)</f>
        <v>1</v>
      </c>
      <c r="AJ208" s="97">
        <f ca="1">SUMIF(Формы!A:A,D208,Формы!B:B)</f>
        <v>1</v>
      </c>
      <c r="AK208" s="97">
        <f ca="1">SUMIF(Материал!A:A,K208,Материал!B:B)</f>
        <v>1</v>
      </c>
      <c r="AL208" s="97">
        <f ca="1">SUMIF(Размеры!A:A,S208,Размеры!E:E)</f>
        <v>1</v>
      </c>
      <c r="AM208" s="97">
        <f ca="1">SUMIF(Сезон!A:A,F208,Сезон!B:B)</f>
        <v>1</v>
      </c>
      <c r="AN208" s="97">
        <f ca="1">SUMIF(Состав!A:A,J208,Состав!B:B)</f>
        <v>1</v>
      </c>
      <c r="AO208" s="97">
        <f ca="1">VLOOKUP(I208,ЦветПолный!A:C,3,0)</f>
        <v>1</v>
      </c>
      <c r="AP208" s="97">
        <f ca="1">SUMIF(Цвет!A:A,Z208,Цвет!B:B)</f>
        <v>1</v>
      </c>
      <c r="AQ208" s="97">
        <f ca="1">_xlfn.XLOOKUP(L208,Пол!A:A,Пол!B:B,0,0)</f>
        <v>1</v>
      </c>
      <c r="AR208" s="97">
        <f ca="1">SUMIF(Бренд!A:A,G208,Бренд!B:B)</f>
        <v>1</v>
      </c>
      <c r="AS208" s="97">
        <f ca="1">SUMIF(Страна!A:A,M208,Страна!B:B)</f>
        <v>1</v>
      </c>
      <c r="AT208" s="64" t="e">
        <f ca="1">IF(VLOOKUP(W208,Товары!A:B,2,FALSE)=A208,"Есть в 1С","ERR")</f>
        <v>#N/A</v>
      </c>
      <c r="AU208" s="65" t="e">
        <f ca="1">IF(VLOOKUP(A208,Товары!B:B,1,FALSE)=A208,"Есть в 1С","ERR")</f>
        <v>#N/A</v>
      </c>
      <c r="AV208" s="96" t="e">
        <f ca="1">VLOOKUP(W208,Товары!A:B,2,FALSE)</f>
        <v>#N/A</v>
      </c>
      <c r="AW208" s="94" t="e">
        <f ca="1">VLOOKUP(W208,Товары!A:B,1,FALSE)</f>
        <v>#N/A</v>
      </c>
    </row>
    <row r="209" spans="1:49" x14ac:dyDescent="0.25">
      <c r="A209" s="110" t="str">
        <f t="shared" ca="1" si="17"/>
        <v>80-662-19</v>
      </c>
      <c r="B209" s="107" t="str">
        <f ca="1">_xlfn.LET(_xlpm.CAPS,0,_xlpm.Style,TRIM(_xlfn.XLOOKUP($A209,Строчный!$A:$A,Строчный!B:B,"ERR",0)),IF(_xlpm.CAPS=0,_xlpm.Style,UPPER(_xlpm.Style)))</f>
        <v>CONQUEST 033</v>
      </c>
      <c r="C209" s="81" t="str">
        <f ca="1">TRIM(PROPER(_xlfn.XLOOKUP($A209,Строчный!$A:$A,Строчный!C:C,"ERR",0)))</f>
        <v>Бейсболки</v>
      </c>
      <c r="D209" s="81" t="str">
        <f ca="1">_xlfn.LET(_xlpm.DATA,TRIM(_xlfn.XLOOKUP($A209,Строчный!$A:$A,Строчный!D:D,"ERR",0)),UPPER(MID(_xlpm.DATA,1,1))&amp;LOWER(MID(_xlpm.DATA,2,LEN(_xlpm.DATA)-1)))</f>
        <v>Бейсболка</v>
      </c>
      <c r="E209" s="81" t="str">
        <f ca="1">PROPER(TRIM(_xlfn.XLOOKUP($A209,Строчный!$A:$A,Строчный!E:E,"ERR",0)))</f>
        <v>Herman</v>
      </c>
      <c r="F209" s="81" t="str">
        <f ca="1">LOWER(TRIM(_xlfn.XLOOKUP($A209,Строчный!$A:$A,Строчный!F:F,"ERR",0)))</f>
        <v>летний</v>
      </c>
      <c r="G209" s="81" t="str">
        <f ca="1">UPPER(TRIM(_xlfn.XLOOKUP($A209,Строчный!$A:$A,Строчный!G:G,"ERR",0)))</f>
        <v>HERMAN</v>
      </c>
      <c r="H209" s="81" t="str">
        <f ca="1">LOWER(TRIM(_xlfn.XLOOKUP($A209,Строчный!$A:$A,Строчный!H:H,"ERR",0)))</f>
        <v>animal</v>
      </c>
      <c r="I209" s="81" t="str">
        <f ca="1">LOWER(TRIM(_xlfn.XLOOKUP($A209,Строчный!$A:$A,Строчный!I:I,"ERR",0)))</f>
        <v>голубой</v>
      </c>
      <c r="J209" s="81" t="str">
        <f ca="1">SUBSTITUTE(LOWER(TRIM(_xlfn.XLOOKUP($A209,Строчный!$A:$A,Строчный!J:J,"ERR",0))),"подклад","Подклад")</f>
        <v>100% хлопок</v>
      </c>
      <c r="K209" s="81" t="str">
        <f ca="1">LOWER(TRIM(_xlfn.XLOOKUP($A209,Строчный!$A:$A,Строчный!K:K,"ERR",0)))</f>
        <v>хлопковые</v>
      </c>
      <c r="L209" s="81" t="str">
        <f ca="1">PROPER(TRIM(_xlfn.XLOOKUP($A209,Строчный!$A:$A,Строчный!L:L,"ERR",0)))</f>
        <v>Детские</v>
      </c>
      <c r="M209" s="113" t="str">
        <f ca="1">PROPER(TRIM(_xlfn.XLOOKUP($A209,Строчный!$A:$A,Строчный!M:M,"ERR",0)))</f>
        <v>Китай</v>
      </c>
      <c r="N209" s="81" t="str">
        <f ca="1">UPPER(TRIM(_xlfn.XLOOKUP($A209,Строчный!$A:$A,Строчный!O:O,"ERR",0)))</f>
        <v/>
      </c>
      <c r="O209" s="102" t="str">
        <f ca="1">PROPER(TRIM(_xlfn.XLOOKUP($A209,Строчный!$A:$A,Строчный!P:P,"ERR",0)))</f>
        <v/>
      </c>
      <c r="P209" s="81" t="str">
        <f ca="1">PROPER(TRIM(_xlfn.XLOOKUP($A209,Строчный!$A:$A,Строчный!R:R,"ERR",0)))</f>
        <v/>
      </c>
      <c r="Q209" s="90">
        <f ca="1">VALUE(_xlfn.XLOOKUP($A209,Строчный!$A:$A,Строчный!N:N,"ERR",0))</f>
        <v>345.59999999999997</v>
      </c>
      <c r="R209" s="89" t="str">
        <f ca="1">_xlfn.XLOOKUP($G209,Фабрика!A:A,Фабрика!B:B,"ERR",0)</f>
        <v>Chapellerie Herman S.A.; Rue Jean Meunier, 6, 6922 Wellin, Belgium</v>
      </c>
      <c r="S209" s="80" t="str">
        <f ca="1">_xlfn.XLOOKUP(RIGHT(AA209,2),Размеры!D:D,Размеры!A:A,"ERR",0)</f>
        <v>53</v>
      </c>
      <c r="T209" s="80">
        <f ca="1">VALUE(_xlfn.XLOOKUP($AA209,Строчный!$S:$S,Строчный!U:U,"ERR",0))</f>
        <v>10</v>
      </c>
      <c r="U209" s="14" t="s">
        <v>265</v>
      </c>
      <c r="V209" s="101" t="str">
        <f t="shared" ca="1" si="18"/>
        <v>Бейсболка HERMAN арт. CONQUEST 033 (голубой)</v>
      </c>
      <c r="W209" s="100" t="str">
        <f t="shared" ca="1" si="19"/>
        <v>Бейсболка HERMAN арт. CONQUEST 033 (голубой) {animal}</v>
      </c>
      <c r="X209" s="18" t="str">
        <f t="shared" ca="1" si="20"/>
        <v>голубой</v>
      </c>
      <c r="Y209" s="18" t="str">
        <f t="shared" ca="1" si="21"/>
        <v>голубой</v>
      </c>
      <c r="Z209" s="117" t="str">
        <f ca="1">_xlfn.LET(_xlpm.FormColors,_xlfn.XLOOKUP(A209,Строчный!A:A,Строчный!Q:Q,"",0),IF(_xlpm.FormColors=0,IFERROR(MID(I209,FIND("-",I209)+1,LEN(I209)),IFERROR(MID(I209,1,FIND("/",I209)-2),I209)),_xlpm.FormColors))</f>
        <v>голубой</v>
      </c>
      <c r="AA209" s="73" t="str">
        <f ca="1"/>
        <v>80-662-19-53</v>
      </c>
      <c r="AB209" s="75" t="str">
        <f ca="1">VLOOKUP(C209,Группа!A:B,2,FALSE)</f>
        <v>Бейсболка</v>
      </c>
      <c r="AC209" s="97" t="str">
        <f ca="1">IFERROR(VLOOKUP(S209,Размеры!A:C,3,FALSE),"")</f>
        <v>53 XS/S</v>
      </c>
      <c r="AD209" s="97" t="str">
        <f ca="1">VLOOKUP(I209,ЦветПолный!A:B,2,FALSE)</f>
        <v>19</v>
      </c>
      <c r="AE209" s="97" t="str">
        <f ca="1">IFERROR(VLOOKUP(S209,Размеры!A:D,4,FALSE),"")</f>
        <v>53</v>
      </c>
      <c r="AF209" s="97">
        <f ca="1">IF(LEFT(IFERROR(VLOOKUP(LOOKUP(2,1/SEARCH(B209,Товары!A:A),Товары!A:A),Товары!A:B,2,0),""),6)=MID(AA209,1,6),1,0)</f>
        <v>1</v>
      </c>
      <c r="AH209" s="97">
        <f ca="1">SUMIF(Группа!A:A,C209,Группа!C:C)</f>
        <v>1</v>
      </c>
      <c r="AI209" s="97">
        <f ca="1">SUMIF(Группа!B:B,AB209,Группа!C:C)</f>
        <v>1</v>
      </c>
      <c r="AJ209" s="97">
        <f ca="1">SUMIF(Формы!A:A,D209,Формы!B:B)</f>
        <v>1</v>
      </c>
      <c r="AK209" s="97">
        <f ca="1">SUMIF(Материал!A:A,K209,Материал!B:B)</f>
        <v>1</v>
      </c>
      <c r="AL209" s="97">
        <f ca="1">SUMIF(Размеры!A:A,S209,Размеры!E:E)</f>
        <v>1</v>
      </c>
      <c r="AM209" s="97">
        <f ca="1">SUMIF(Сезон!A:A,F209,Сезон!B:B)</f>
        <v>1</v>
      </c>
      <c r="AN209" s="97">
        <f ca="1">SUMIF(Состав!A:A,J209,Состав!B:B)</f>
        <v>1</v>
      </c>
      <c r="AO209" s="97">
        <f ca="1">VLOOKUP(I209,ЦветПолный!A:C,3,0)</f>
        <v>1</v>
      </c>
      <c r="AP209" s="97">
        <f ca="1">SUMIF(Цвет!A:A,Z209,Цвет!B:B)</f>
        <v>1</v>
      </c>
      <c r="AQ209" s="97">
        <f ca="1">_xlfn.XLOOKUP(L209,Пол!A:A,Пол!B:B,0,0)</f>
        <v>1</v>
      </c>
      <c r="AR209" s="97">
        <f ca="1">SUMIF(Бренд!A:A,G209,Бренд!B:B)</f>
        <v>1</v>
      </c>
      <c r="AS209" s="97">
        <f ca="1">SUMIF(Страна!A:A,M209,Страна!B:B)</f>
        <v>1</v>
      </c>
      <c r="AT209" s="64" t="e">
        <f ca="1">IF(VLOOKUP(W209,Товары!A:B,2,FALSE)=A209,"Есть в 1С","ERR")</f>
        <v>#N/A</v>
      </c>
      <c r="AU209" s="65" t="e">
        <f ca="1">IF(VLOOKUP(A209,Товары!B:B,1,FALSE)=A209,"Есть в 1С","ERR")</f>
        <v>#N/A</v>
      </c>
      <c r="AV209" s="96" t="e">
        <f ca="1">VLOOKUP(W209,Товары!A:B,2,FALSE)</f>
        <v>#N/A</v>
      </c>
      <c r="AW209" s="94" t="e">
        <f ca="1">VLOOKUP(W209,Товары!A:B,1,FALSE)</f>
        <v>#N/A</v>
      </c>
    </row>
    <row r="210" spans="1:49" x14ac:dyDescent="0.25">
      <c r="A210" s="110" t="str">
        <f t="shared" ca="1" si="17"/>
        <v>80-662-19</v>
      </c>
      <c r="B210" s="107" t="str">
        <f ca="1">_xlfn.LET(_xlpm.CAPS,0,_xlpm.Style,TRIM(_xlfn.XLOOKUP($A210,Строчный!$A:$A,Строчный!B:B,"ERR",0)),IF(_xlpm.CAPS=0,_xlpm.Style,UPPER(_xlpm.Style)))</f>
        <v>CONQUEST 033</v>
      </c>
      <c r="C210" s="81" t="str">
        <f ca="1">TRIM(PROPER(_xlfn.XLOOKUP($A210,Строчный!$A:$A,Строчный!C:C,"ERR",0)))</f>
        <v>Бейсболки</v>
      </c>
      <c r="D210" s="81" t="str">
        <f ca="1">_xlfn.LET(_xlpm.DATA,TRIM(_xlfn.XLOOKUP($A210,Строчный!$A:$A,Строчный!D:D,"ERR",0)),UPPER(MID(_xlpm.DATA,1,1))&amp;LOWER(MID(_xlpm.DATA,2,LEN(_xlpm.DATA)-1)))</f>
        <v>Бейсболка</v>
      </c>
      <c r="E210" s="81" t="str">
        <f ca="1">PROPER(TRIM(_xlfn.XLOOKUP($A210,Строчный!$A:$A,Строчный!E:E,"ERR",0)))</f>
        <v>Herman</v>
      </c>
      <c r="F210" s="81" t="str">
        <f ca="1">LOWER(TRIM(_xlfn.XLOOKUP($A210,Строчный!$A:$A,Строчный!F:F,"ERR",0)))</f>
        <v>летний</v>
      </c>
      <c r="G210" s="81" t="str">
        <f ca="1">UPPER(TRIM(_xlfn.XLOOKUP($A210,Строчный!$A:$A,Строчный!G:G,"ERR",0)))</f>
        <v>HERMAN</v>
      </c>
      <c r="H210" s="81" t="str">
        <f ca="1">LOWER(TRIM(_xlfn.XLOOKUP($A210,Строчный!$A:$A,Строчный!H:H,"ERR",0)))</f>
        <v>animal</v>
      </c>
      <c r="I210" s="81" t="str">
        <f ca="1">LOWER(TRIM(_xlfn.XLOOKUP($A210,Строчный!$A:$A,Строчный!I:I,"ERR",0)))</f>
        <v>голубой</v>
      </c>
      <c r="J210" s="81" t="str">
        <f ca="1">SUBSTITUTE(LOWER(TRIM(_xlfn.XLOOKUP($A210,Строчный!$A:$A,Строчный!J:J,"ERR",0))),"подклад","Подклад")</f>
        <v>100% хлопок</v>
      </c>
      <c r="K210" s="81" t="str">
        <f ca="1">LOWER(TRIM(_xlfn.XLOOKUP($A210,Строчный!$A:$A,Строчный!K:K,"ERR",0)))</f>
        <v>хлопковые</v>
      </c>
      <c r="L210" s="81" t="str">
        <f ca="1">PROPER(TRIM(_xlfn.XLOOKUP($A210,Строчный!$A:$A,Строчный!L:L,"ERR",0)))</f>
        <v>Детские</v>
      </c>
      <c r="M210" s="113" t="str">
        <f ca="1">PROPER(TRIM(_xlfn.XLOOKUP($A210,Строчный!$A:$A,Строчный!M:M,"ERR",0)))</f>
        <v>Китай</v>
      </c>
      <c r="N210" s="81" t="str">
        <f ca="1">UPPER(TRIM(_xlfn.XLOOKUP($A210,Строчный!$A:$A,Строчный!O:O,"ERR",0)))</f>
        <v/>
      </c>
      <c r="O210" s="102" t="str">
        <f ca="1">PROPER(TRIM(_xlfn.XLOOKUP($A210,Строчный!$A:$A,Строчный!P:P,"ERR",0)))</f>
        <v/>
      </c>
      <c r="P210" s="81" t="str">
        <f ca="1">PROPER(TRIM(_xlfn.XLOOKUP($A210,Строчный!$A:$A,Строчный!R:R,"ERR",0)))</f>
        <v/>
      </c>
      <c r="Q210" s="90">
        <f ca="1">VALUE(_xlfn.XLOOKUP($A210,Строчный!$A:$A,Строчный!N:N,"ERR",0))</f>
        <v>345.59999999999997</v>
      </c>
      <c r="R210" s="89" t="str">
        <f ca="1">_xlfn.XLOOKUP($G210,Фабрика!A:A,Фабрика!B:B,"ERR",0)</f>
        <v>Chapellerie Herman S.A.; Rue Jean Meunier, 6, 6922 Wellin, Belgium</v>
      </c>
      <c r="S210" s="80" t="str">
        <f ca="1">_xlfn.XLOOKUP(RIGHT(AA210,2),Размеры!D:D,Размеры!A:A,"ERR",0)</f>
        <v>49kid</v>
      </c>
      <c r="T210" s="80">
        <f ca="1">VALUE(_xlfn.XLOOKUP($AA210,Строчный!$S:$S,Строчный!U:U,"ERR",0))</f>
        <v>10</v>
      </c>
      <c r="U210" s="14" t="s">
        <v>265</v>
      </c>
      <c r="V210" s="101" t="str">
        <f t="shared" ca="1" si="18"/>
        <v>Бейсболка HERMAN арт. CONQUEST 033 (голубой)</v>
      </c>
      <c r="W210" s="100" t="str">
        <f t="shared" ca="1" si="19"/>
        <v>Бейсболка HERMAN арт. CONQUEST 033 (голубой) {animal}</v>
      </c>
      <c r="X210" s="18" t="str">
        <f t="shared" ca="1" si="20"/>
        <v>голубой</v>
      </c>
      <c r="Y210" s="18" t="str">
        <f t="shared" ca="1" si="21"/>
        <v>голубой</v>
      </c>
      <c r="Z210" s="117" t="str">
        <f ca="1">_xlfn.LET(_xlpm.FormColors,_xlfn.XLOOKUP(A210,Строчный!A:A,Строчный!Q:Q,"",0),IF(_xlpm.FormColors=0,IFERROR(MID(I210,FIND("-",I210)+1,LEN(I210)),IFERROR(MID(I210,1,FIND("/",I210)-2),I210)),_xlpm.FormColors))</f>
        <v>голубой</v>
      </c>
      <c r="AA210" s="73" t="str">
        <f ca="1"/>
        <v>80-662-19-49</v>
      </c>
      <c r="AB210" s="75" t="str">
        <f ca="1">VLOOKUP(C210,Группа!A:B,2,FALSE)</f>
        <v>Бейсболка</v>
      </c>
      <c r="AC210" s="97" t="str">
        <f ca="1">IFERROR(VLOOKUP(S210,Размеры!A:C,3,FALSE),"")</f>
        <v>49kid</v>
      </c>
      <c r="AD210" s="97" t="str">
        <f ca="1">VLOOKUP(I210,ЦветПолный!A:B,2,FALSE)</f>
        <v>19</v>
      </c>
      <c r="AE210" s="97" t="str">
        <f ca="1">IFERROR(VLOOKUP(S210,Размеры!A:D,4,FALSE),"")</f>
        <v>49</v>
      </c>
      <c r="AF210" s="97">
        <f ca="1">IF(LEFT(IFERROR(VLOOKUP(LOOKUP(2,1/SEARCH(B210,Товары!A:A),Товары!A:A),Товары!A:B,2,0),""),6)=MID(AA210,1,6),1,0)</f>
        <v>1</v>
      </c>
      <c r="AH210" s="97">
        <f ca="1">SUMIF(Группа!A:A,C210,Группа!C:C)</f>
        <v>1</v>
      </c>
      <c r="AI210" s="97">
        <f ca="1">SUMIF(Группа!B:B,AB210,Группа!C:C)</f>
        <v>1</v>
      </c>
      <c r="AJ210" s="97">
        <f ca="1">SUMIF(Формы!A:A,D210,Формы!B:B)</f>
        <v>1</v>
      </c>
      <c r="AK210" s="97">
        <f ca="1">SUMIF(Материал!A:A,K210,Материал!B:B)</f>
        <v>1</v>
      </c>
      <c r="AL210" s="97">
        <f ca="1">SUMIF(Размеры!A:A,S210,Размеры!E:E)</f>
        <v>1</v>
      </c>
      <c r="AM210" s="97">
        <f ca="1">SUMIF(Сезон!A:A,F210,Сезон!B:B)</f>
        <v>1</v>
      </c>
      <c r="AN210" s="97">
        <f ca="1">SUMIF(Состав!A:A,J210,Состав!B:B)</f>
        <v>1</v>
      </c>
      <c r="AO210" s="97">
        <f ca="1">VLOOKUP(I210,ЦветПолный!A:C,3,0)</f>
        <v>1</v>
      </c>
      <c r="AP210" s="97">
        <f ca="1">SUMIF(Цвет!A:A,Z210,Цвет!B:B)</f>
        <v>1</v>
      </c>
      <c r="AQ210" s="97">
        <f ca="1">_xlfn.XLOOKUP(L210,Пол!A:A,Пол!B:B,0,0)</f>
        <v>1</v>
      </c>
      <c r="AR210" s="97">
        <f ca="1">SUMIF(Бренд!A:A,G210,Бренд!B:B)</f>
        <v>1</v>
      </c>
      <c r="AS210" s="97">
        <f ca="1">SUMIF(Страна!A:A,M210,Страна!B:B)</f>
        <v>1</v>
      </c>
      <c r="AT210" s="64" t="e">
        <f ca="1">IF(VLOOKUP(W210,Товары!A:B,2,FALSE)=A210,"Есть в 1С","ERR")</f>
        <v>#N/A</v>
      </c>
      <c r="AU210" s="65" t="e">
        <f ca="1">IF(VLOOKUP(A210,Товары!B:B,1,FALSE)=A210,"Есть в 1С","ERR")</f>
        <v>#N/A</v>
      </c>
      <c r="AV210" s="96" t="e">
        <f ca="1">VLOOKUP(W210,Товары!A:B,2,FALSE)</f>
        <v>#N/A</v>
      </c>
      <c r="AW210" s="94" t="e">
        <f ca="1">VLOOKUP(W210,Товары!A:B,1,FALSE)</f>
        <v>#N/A</v>
      </c>
    </row>
    <row r="211" spans="1:49" x14ac:dyDescent="0.25">
      <c r="A211" s="110" t="str">
        <f t="shared" ca="1" si="17"/>
        <v>80-662-06</v>
      </c>
      <c r="B211" s="107" t="str">
        <f ca="1">_xlfn.LET(_xlpm.CAPS,0,_xlpm.Style,TRIM(_xlfn.XLOOKUP($A211,Строчный!$A:$A,Строчный!B:B,"ERR",0)),IF(_xlpm.CAPS=0,_xlpm.Style,UPPER(_xlpm.Style)))</f>
        <v>CONQUEST 033</v>
      </c>
      <c r="C211" s="81" t="str">
        <f ca="1">TRIM(PROPER(_xlfn.XLOOKUP($A211,Строчный!$A:$A,Строчный!C:C,"ERR",0)))</f>
        <v>Бейсболки</v>
      </c>
      <c r="D211" s="81" t="str">
        <f ca="1">_xlfn.LET(_xlpm.DATA,TRIM(_xlfn.XLOOKUP($A211,Строчный!$A:$A,Строчный!D:D,"ERR",0)),UPPER(MID(_xlpm.DATA,1,1))&amp;LOWER(MID(_xlpm.DATA,2,LEN(_xlpm.DATA)-1)))</f>
        <v>Бейсболка</v>
      </c>
      <c r="E211" s="81" t="str">
        <f ca="1">PROPER(TRIM(_xlfn.XLOOKUP($A211,Строчный!$A:$A,Строчный!E:E,"ERR",0)))</f>
        <v>Herman</v>
      </c>
      <c r="F211" s="81" t="str">
        <f ca="1">LOWER(TRIM(_xlfn.XLOOKUP($A211,Строчный!$A:$A,Строчный!F:F,"ERR",0)))</f>
        <v>летний</v>
      </c>
      <c r="G211" s="81" t="str">
        <f ca="1">UPPER(TRIM(_xlfn.XLOOKUP($A211,Строчный!$A:$A,Строчный!G:G,"ERR",0)))</f>
        <v>HERMAN</v>
      </c>
      <c r="H211" s="81" t="str">
        <f ca="1">LOWER(TRIM(_xlfn.XLOOKUP($A211,Строчный!$A:$A,Строчный!H:H,"ERR",0)))</f>
        <v>blue</v>
      </c>
      <c r="I211" s="81" t="str">
        <f ca="1">LOWER(TRIM(_xlfn.XLOOKUP($A211,Строчный!$A:$A,Строчный!I:I,"ERR",0)))</f>
        <v>синий</v>
      </c>
      <c r="J211" s="81" t="str">
        <f ca="1">SUBSTITUTE(LOWER(TRIM(_xlfn.XLOOKUP($A211,Строчный!$A:$A,Строчный!J:J,"ERR",0))),"подклад","Подклад")</f>
        <v>100% хлопок</v>
      </c>
      <c r="K211" s="81" t="str">
        <f ca="1">LOWER(TRIM(_xlfn.XLOOKUP($A211,Строчный!$A:$A,Строчный!K:K,"ERR",0)))</f>
        <v>хлопковые</v>
      </c>
      <c r="L211" s="81" t="str">
        <f ca="1">PROPER(TRIM(_xlfn.XLOOKUP($A211,Строчный!$A:$A,Строчный!L:L,"ERR",0)))</f>
        <v>Детские</v>
      </c>
      <c r="M211" s="113" t="str">
        <f ca="1">PROPER(TRIM(_xlfn.XLOOKUP($A211,Строчный!$A:$A,Строчный!M:M,"ERR",0)))</f>
        <v>Китай</v>
      </c>
      <c r="N211" s="81" t="str">
        <f ca="1">UPPER(TRIM(_xlfn.XLOOKUP($A211,Строчный!$A:$A,Строчный!O:O,"ERR",0)))</f>
        <v/>
      </c>
      <c r="O211" s="102" t="str">
        <f ca="1">PROPER(TRIM(_xlfn.XLOOKUP($A211,Строчный!$A:$A,Строчный!P:P,"ERR",0)))</f>
        <v/>
      </c>
      <c r="P211" s="81" t="str">
        <f ca="1">PROPER(TRIM(_xlfn.XLOOKUP($A211,Строчный!$A:$A,Строчный!R:R,"ERR",0)))</f>
        <v/>
      </c>
      <c r="Q211" s="90">
        <f ca="1">VALUE(_xlfn.XLOOKUP($A211,Строчный!$A:$A,Строчный!N:N,"ERR",0))</f>
        <v>345.59999999999997</v>
      </c>
      <c r="R211" s="89" t="str">
        <f ca="1">_xlfn.XLOOKUP($G211,Фабрика!A:A,Фабрика!B:B,"ERR",0)</f>
        <v>Chapellerie Herman S.A.; Rue Jean Meunier, 6, 6922 Wellin, Belgium</v>
      </c>
      <c r="S211" s="80" t="str">
        <f ca="1">_xlfn.XLOOKUP(RIGHT(AA211,2),Размеры!D:D,Размеры!A:A,"ERR",0)</f>
        <v>53</v>
      </c>
      <c r="T211" s="80">
        <f ca="1">VALUE(_xlfn.XLOOKUP($AA211,Строчный!$S:$S,Строчный!U:U,"ERR",0))</f>
        <v>9</v>
      </c>
      <c r="U211" s="14" t="s">
        <v>265</v>
      </c>
      <c r="V211" s="101" t="str">
        <f t="shared" ca="1" si="18"/>
        <v>Бейсболка HERMAN арт. CONQUEST 033 (синий)</v>
      </c>
      <c r="W211" s="100" t="str">
        <f t="shared" ca="1" si="19"/>
        <v>Бейсболка HERMAN арт. CONQUEST 033 (синий) {blue}</v>
      </c>
      <c r="X211" s="18" t="str">
        <f t="shared" ca="1" si="20"/>
        <v>синий</v>
      </c>
      <c r="Y211" s="18" t="str">
        <f t="shared" ca="1" si="21"/>
        <v>синий</v>
      </c>
      <c r="Z211" s="117" t="str">
        <f ca="1">_xlfn.LET(_xlpm.FormColors,_xlfn.XLOOKUP(A211,Строчный!A:A,Строчный!Q:Q,"",0),IF(_xlpm.FormColors=0,IFERROR(MID(I211,FIND("-",I211)+1,LEN(I211)),IFERROR(MID(I211,1,FIND("/",I211)-2),I211)),_xlpm.FormColors))</f>
        <v>синий</v>
      </c>
      <c r="AA211" s="73" t="str">
        <f ca="1"/>
        <v>80-662-06-53</v>
      </c>
      <c r="AB211" s="75" t="str">
        <f ca="1">VLOOKUP(C211,Группа!A:B,2,FALSE)</f>
        <v>Бейсболка</v>
      </c>
      <c r="AC211" s="97" t="str">
        <f ca="1">IFERROR(VLOOKUP(S211,Размеры!A:C,3,FALSE),"")</f>
        <v>53 XS/S</v>
      </c>
      <c r="AD211" s="97" t="str">
        <f ca="1">VLOOKUP(I211,ЦветПолный!A:B,2,FALSE)</f>
        <v>06</v>
      </c>
      <c r="AE211" s="97" t="str">
        <f ca="1">IFERROR(VLOOKUP(S211,Размеры!A:D,4,FALSE),"")</f>
        <v>53</v>
      </c>
      <c r="AF211" s="97">
        <f ca="1">IF(LEFT(IFERROR(VLOOKUP(LOOKUP(2,1/SEARCH(B211,Товары!A:A),Товары!A:A),Товары!A:B,2,0),""),6)=MID(AA211,1,6),1,0)</f>
        <v>1</v>
      </c>
      <c r="AH211" s="97">
        <f ca="1">SUMIF(Группа!A:A,C211,Группа!C:C)</f>
        <v>1</v>
      </c>
      <c r="AI211" s="97">
        <f ca="1">SUMIF(Группа!B:B,AB211,Группа!C:C)</f>
        <v>1</v>
      </c>
      <c r="AJ211" s="97">
        <f ca="1">SUMIF(Формы!A:A,D211,Формы!B:B)</f>
        <v>1</v>
      </c>
      <c r="AK211" s="97">
        <f ca="1">SUMIF(Материал!A:A,K211,Материал!B:B)</f>
        <v>1</v>
      </c>
      <c r="AL211" s="97">
        <f ca="1">SUMIF(Размеры!A:A,S211,Размеры!E:E)</f>
        <v>1</v>
      </c>
      <c r="AM211" s="97">
        <f ca="1">SUMIF(Сезон!A:A,F211,Сезон!B:B)</f>
        <v>1</v>
      </c>
      <c r="AN211" s="97">
        <f ca="1">SUMIF(Состав!A:A,J211,Состав!B:B)</f>
        <v>1</v>
      </c>
      <c r="AO211" s="97">
        <f ca="1">VLOOKUP(I211,ЦветПолный!A:C,3,0)</f>
        <v>1</v>
      </c>
      <c r="AP211" s="97">
        <f ca="1">SUMIF(Цвет!A:A,Z211,Цвет!B:B)</f>
        <v>1</v>
      </c>
      <c r="AQ211" s="97">
        <f ca="1">_xlfn.XLOOKUP(L211,Пол!A:A,Пол!B:B,0,0)</f>
        <v>1</v>
      </c>
      <c r="AR211" s="97">
        <f ca="1">SUMIF(Бренд!A:A,G211,Бренд!B:B)</f>
        <v>1</v>
      </c>
      <c r="AS211" s="97">
        <f ca="1">SUMIF(Страна!A:A,M211,Страна!B:B)</f>
        <v>1</v>
      </c>
      <c r="AT211" s="64" t="e">
        <f ca="1">IF(VLOOKUP(W211,Товары!A:B,2,FALSE)=A211,"Есть в 1С","ERR")</f>
        <v>#N/A</v>
      </c>
      <c r="AU211" s="65" t="e">
        <f ca="1">IF(VLOOKUP(A211,Товары!B:B,1,FALSE)=A211,"Есть в 1С","ERR")</f>
        <v>#N/A</v>
      </c>
      <c r="AV211" s="96" t="e">
        <f ca="1">VLOOKUP(W211,Товары!A:B,2,FALSE)</f>
        <v>#N/A</v>
      </c>
      <c r="AW211" s="94" t="e">
        <f ca="1">VLOOKUP(W211,Товары!A:B,1,FALSE)</f>
        <v>#N/A</v>
      </c>
    </row>
    <row r="212" spans="1:49" x14ac:dyDescent="0.25">
      <c r="A212" s="110" t="str">
        <f t="shared" ca="1" si="17"/>
        <v>80-662-06</v>
      </c>
      <c r="B212" s="107" t="str">
        <f ca="1">_xlfn.LET(_xlpm.CAPS,0,_xlpm.Style,TRIM(_xlfn.XLOOKUP($A212,Строчный!$A:$A,Строчный!B:B,"ERR",0)),IF(_xlpm.CAPS=0,_xlpm.Style,UPPER(_xlpm.Style)))</f>
        <v>CONQUEST 033</v>
      </c>
      <c r="C212" s="81" t="str">
        <f ca="1">TRIM(PROPER(_xlfn.XLOOKUP($A212,Строчный!$A:$A,Строчный!C:C,"ERR",0)))</f>
        <v>Бейсболки</v>
      </c>
      <c r="D212" s="81" t="str">
        <f ca="1">_xlfn.LET(_xlpm.DATA,TRIM(_xlfn.XLOOKUP($A212,Строчный!$A:$A,Строчный!D:D,"ERR",0)),UPPER(MID(_xlpm.DATA,1,1))&amp;LOWER(MID(_xlpm.DATA,2,LEN(_xlpm.DATA)-1)))</f>
        <v>Бейсболка</v>
      </c>
      <c r="E212" s="81" t="str">
        <f ca="1">PROPER(TRIM(_xlfn.XLOOKUP($A212,Строчный!$A:$A,Строчный!E:E,"ERR",0)))</f>
        <v>Herman</v>
      </c>
      <c r="F212" s="81" t="str">
        <f ca="1">LOWER(TRIM(_xlfn.XLOOKUP($A212,Строчный!$A:$A,Строчный!F:F,"ERR",0)))</f>
        <v>летний</v>
      </c>
      <c r="G212" s="81" t="str">
        <f ca="1">UPPER(TRIM(_xlfn.XLOOKUP($A212,Строчный!$A:$A,Строчный!G:G,"ERR",0)))</f>
        <v>HERMAN</v>
      </c>
      <c r="H212" s="81" t="str">
        <f ca="1">LOWER(TRIM(_xlfn.XLOOKUP($A212,Строчный!$A:$A,Строчный!H:H,"ERR",0)))</f>
        <v>blue</v>
      </c>
      <c r="I212" s="81" t="str">
        <f ca="1">LOWER(TRIM(_xlfn.XLOOKUP($A212,Строчный!$A:$A,Строчный!I:I,"ERR",0)))</f>
        <v>синий</v>
      </c>
      <c r="J212" s="81" t="str">
        <f ca="1">SUBSTITUTE(LOWER(TRIM(_xlfn.XLOOKUP($A212,Строчный!$A:$A,Строчный!J:J,"ERR",0))),"подклад","Подклад")</f>
        <v>100% хлопок</v>
      </c>
      <c r="K212" s="81" t="str">
        <f ca="1">LOWER(TRIM(_xlfn.XLOOKUP($A212,Строчный!$A:$A,Строчный!K:K,"ERR",0)))</f>
        <v>хлопковые</v>
      </c>
      <c r="L212" s="81" t="str">
        <f ca="1">PROPER(TRIM(_xlfn.XLOOKUP($A212,Строчный!$A:$A,Строчный!L:L,"ERR",0)))</f>
        <v>Детские</v>
      </c>
      <c r="M212" s="113" t="str">
        <f ca="1">PROPER(TRIM(_xlfn.XLOOKUP($A212,Строчный!$A:$A,Строчный!M:M,"ERR",0)))</f>
        <v>Китай</v>
      </c>
      <c r="N212" s="81" t="str">
        <f ca="1">UPPER(TRIM(_xlfn.XLOOKUP($A212,Строчный!$A:$A,Строчный!O:O,"ERR",0)))</f>
        <v/>
      </c>
      <c r="O212" s="102" t="str">
        <f ca="1">PROPER(TRIM(_xlfn.XLOOKUP($A212,Строчный!$A:$A,Строчный!P:P,"ERR",0)))</f>
        <v/>
      </c>
      <c r="P212" s="81" t="str">
        <f ca="1">PROPER(TRIM(_xlfn.XLOOKUP($A212,Строчный!$A:$A,Строчный!R:R,"ERR",0)))</f>
        <v/>
      </c>
      <c r="Q212" s="90">
        <f ca="1">VALUE(_xlfn.XLOOKUP($A212,Строчный!$A:$A,Строчный!N:N,"ERR",0))</f>
        <v>345.59999999999997</v>
      </c>
      <c r="R212" s="89" t="str">
        <f ca="1">_xlfn.XLOOKUP($G212,Фабрика!A:A,Фабрика!B:B,"ERR",0)</f>
        <v>Chapellerie Herman S.A.; Rue Jean Meunier, 6, 6922 Wellin, Belgium</v>
      </c>
      <c r="S212" s="80" t="str">
        <f ca="1">_xlfn.XLOOKUP(RIGHT(AA212,2),Размеры!D:D,Размеры!A:A,"ERR",0)</f>
        <v>49kid</v>
      </c>
      <c r="T212" s="80">
        <f ca="1">VALUE(_xlfn.XLOOKUP($AA212,Строчный!$S:$S,Строчный!U:U,"ERR",0))</f>
        <v>9</v>
      </c>
      <c r="U212" s="14" t="s">
        <v>265</v>
      </c>
      <c r="V212" s="101" t="str">
        <f t="shared" ca="1" si="18"/>
        <v>Бейсболка HERMAN арт. CONQUEST 033 (синий)</v>
      </c>
      <c r="W212" s="100" t="str">
        <f t="shared" ca="1" si="19"/>
        <v>Бейсболка HERMAN арт. CONQUEST 033 (синий) {blue}</v>
      </c>
      <c r="X212" s="18" t="str">
        <f t="shared" ca="1" si="20"/>
        <v>синий</v>
      </c>
      <c r="Y212" s="18" t="str">
        <f t="shared" ca="1" si="21"/>
        <v>синий</v>
      </c>
      <c r="Z212" s="117" t="str">
        <f ca="1">_xlfn.LET(_xlpm.FormColors,_xlfn.XLOOKUP(A212,Строчный!A:A,Строчный!Q:Q,"",0),IF(_xlpm.FormColors=0,IFERROR(MID(I212,FIND("-",I212)+1,LEN(I212)),IFERROR(MID(I212,1,FIND("/",I212)-2),I212)),_xlpm.FormColors))</f>
        <v>синий</v>
      </c>
      <c r="AA212" s="73" t="str">
        <f ca="1"/>
        <v>80-662-06-49</v>
      </c>
      <c r="AB212" s="75" t="str">
        <f ca="1">VLOOKUP(C212,Группа!A:B,2,FALSE)</f>
        <v>Бейсболка</v>
      </c>
      <c r="AC212" s="97" t="str">
        <f ca="1">IFERROR(VLOOKUP(S212,Размеры!A:C,3,FALSE),"")</f>
        <v>49kid</v>
      </c>
      <c r="AD212" s="97" t="str">
        <f ca="1">VLOOKUP(I212,ЦветПолный!A:B,2,FALSE)</f>
        <v>06</v>
      </c>
      <c r="AE212" s="97" t="str">
        <f ca="1">IFERROR(VLOOKUP(S212,Размеры!A:D,4,FALSE),"")</f>
        <v>49</v>
      </c>
      <c r="AF212" s="97">
        <f ca="1">IF(LEFT(IFERROR(VLOOKUP(LOOKUP(2,1/SEARCH(B212,Товары!A:A),Товары!A:A),Товары!A:B,2,0),""),6)=MID(AA212,1,6),1,0)</f>
        <v>1</v>
      </c>
      <c r="AH212" s="97">
        <f ca="1">SUMIF(Группа!A:A,C212,Группа!C:C)</f>
        <v>1</v>
      </c>
      <c r="AI212" s="97">
        <f ca="1">SUMIF(Группа!B:B,AB212,Группа!C:C)</f>
        <v>1</v>
      </c>
      <c r="AJ212" s="97">
        <f ca="1">SUMIF(Формы!A:A,D212,Формы!B:B)</f>
        <v>1</v>
      </c>
      <c r="AK212" s="97">
        <f ca="1">SUMIF(Материал!A:A,K212,Материал!B:B)</f>
        <v>1</v>
      </c>
      <c r="AL212" s="97">
        <f ca="1">SUMIF(Размеры!A:A,S212,Размеры!E:E)</f>
        <v>1</v>
      </c>
      <c r="AM212" s="97">
        <f ca="1">SUMIF(Сезон!A:A,F212,Сезон!B:B)</f>
        <v>1</v>
      </c>
      <c r="AN212" s="97">
        <f ca="1">SUMIF(Состав!A:A,J212,Состав!B:B)</f>
        <v>1</v>
      </c>
      <c r="AO212" s="97">
        <f ca="1">VLOOKUP(I212,ЦветПолный!A:C,3,0)</f>
        <v>1</v>
      </c>
      <c r="AP212" s="97">
        <f ca="1">SUMIF(Цвет!A:A,Z212,Цвет!B:B)</f>
        <v>1</v>
      </c>
      <c r="AQ212" s="97">
        <f ca="1">_xlfn.XLOOKUP(L212,Пол!A:A,Пол!B:B,0,0)</f>
        <v>1</v>
      </c>
      <c r="AR212" s="97">
        <f ca="1">SUMIF(Бренд!A:A,G212,Бренд!B:B)</f>
        <v>1</v>
      </c>
      <c r="AS212" s="97">
        <f ca="1">SUMIF(Страна!A:A,M212,Страна!B:B)</f>
        <v>1</v>
      </c>
      <c r="AT212" s="64" t="e">
        <f ca="1">IF(VLOOKUP(W212,Товары!A:B,2,FALSE)=A212,"Есть в 1С","ERR")</f>
        <v>#N/A</v>
      </c>
      <c r="AU212" s="65" t="e">
        <f ca="1">IF(VLOOKUP(A212,Товары!B:B,1,FALSE)=A212,"Есть в 1С","ERR")</f>
        <v>#N/A</v>
      </c>
      <c r="AV212" s="96" t="e">
        <f ca="1">VLOOKUP(W212,Товары!A:B,2,FALSE)</f>
        <v>#N/A</v>
      </c>
      <c r="AW212" s="94" t="e">
        <f ca="1">VLOOKUP(W212,Товары!A:B,1,FALSE)</f>
        <v>#N/A</v>
      </c>
    </row>
    <row r="213" spans="1:49" x14ac:dyDescent="0.25">
      <c r="A213" s="110" t="str">
        <f t="shared" ca="1" si="17"/>
        <v>80-637-18</v>
      </c>
      <c r="B213" s="107" t="str">
        <f ca="1">_xlfn.LET(_xlpm.CAPS,0,_xlpm.Style,TRIM(_xlfn.XLOOKUP($A213,Строчный!$A:$A,Строчный!B:B,"ERR",0)),IF(_xlpm.CAPS=0,_xlpm.Style,UPPER(_xlpm.Style)))</f>
        <v>RANGE 013</v>
      </c>
      <c r="C213" s="81" t="str">
        <f ca="1">TRIM(PROPER(_xlfn.XLOOKUP($A213,Строчный!$A:$A,Строчный!C:C,"ERR",0)))</f>
        <v>Кепки</v>
      </c>
      <c r="D213" s="81" t="str">
        <f ca="1">_xlfn.LET(_xlpm.DATA,TRIM(_xlfn.XLOOKUP($A213,Строчный!$A:$A,Строчный!D:D,"ERR",0)),UPPER(MID(_xlpm.DATA,1,1))&amp;LOWER(MID(_xlpm.DATA,2,LEN(_xlpm.DATA)-1)))</f>
        <v>Кепка уточка</v>
      </c>
      <c r="E213" s="81" t="str">
        <f ca="1">PROPER(TRIM(_xlfn.XLOOKUP($A213,Строчный!$A:$A,Строчный!E:E,"ERR",0)))</f>
        <v>Herman</v>
      </c>
      <c r="F213" s="81" t="str">
        <f ca="1">LOWER(TRIM(_xlfn.XLOOKUP($A213,Строчный!$A:$A,Строчный!F:F,"ERR",0)))</f>
        <v>всесезон</v>
      </c>
      <c r="G213" s="81" t="str">
        <f ca="1">UPPER(TRIM(_xlfn.XLOOKUP($A213,Строчный!$A:$A,Строчный!G:G,"ERR",0)))</f>
        <v>HERMAN</v>
      </c>
      <c r="H213" s="81" t="str">
        <f ca="1">LOWER(TRIM(_xlfn.XLOOKUP($A213,Строчный!$A:$A,Строчный!H:H,"ERR",0)))</f>
        <v>red</v>
      </c>
      <c r="I213" s="81" t="str">
        <f ca="1">LOWER(TRIM(_xlfn.XLOOKUP($A213,Строчный!$A:$A,Строчный!I:I,"ERR",0)))</f>
        <v>красный</v>
      </c>
      <c r="J213" s="81" t="str">
        <f ca="1">SUBSTITUTE(LOWER(TRIM(_xlfn.XLOOKUP($A213,Строчный!$A:$A,Строчный!J:J,"ERR",0))),"подклад","Подклад")</f>
        <v>60% полиэстер - 20% шерсть - 20% акрил</v>
      </c>
      <c r="K213" s="81" t="str">
        <f ca="1">LOWER(TRIM(_xlfn.XLOOKUP($A213,Строчный!$A:$A,Строчный!K:K,"ERR",0)))</f>
        <v>шерстяные</v>
      </c>
      <c r="L213" s="81" t="str">
        <f ca="1">PROPER(TRIM(_xlfn.XLOOKUP($A213,Строчный!$A:$A,Строчный!L:L,"ERR",0)))</f>
        <v>Унисекс</v>
      </c>
      <c r="M213" s="113" t="str">
        <f ca="1">PROPER(TRIM(_xlfn.XLOOKUP($A213,Строчный!$A:$A,Строчный!M:M,"ERR",0)))</f>
        <v>Италия</v>
      </c>
      <c r="N213" s="81" t="str">
        <f ca="1">UPPER(TRIM(_xlfn.XLOOKUP($A213,Строчный!$A:$A,Строчный!O:O,"ERR",0)))</f>
        <v/>
      </c>
      <c r="O213" s="102" t="str">
        <f ca="1">PROPER(TRIM(_xlfn.XLOOKUP($A213,Строчный!$A:$A,Строчный!P:P,"ERR",0)))</f>
        <v/>
      </c>
      <c r="P213" s="81" t="str">
        <f ca="1">PROPER(TRIM(_xlfn.XLOOKUP($A213,Строчный!$A:$A,Строчный!R:R,"ERR",0)))</f>
        <v/>
      </c>
      <c r="Q213" s="90">
        <f ca="1">VALUE(_xlfn.XLOOKUP($A213,Строчный!$A:$A,Строчный!N:N,"ERR",0))</f>
        <v>135</v>
      </c>
      <c r="R213" s="89" t="str">
        <f ca="1">_xlfn.XLOOKUP($G213,Фабрика!A:A,Фабрика!B:B,"ERR",0)</f>
        <v>Chapellerie Herman S.A.; Rue Jean Meunier, 6, 6922 Wellin, Belgium</v>
      </c>
      <c r="S213" s="80" t="str">
        <f ca="1">_xlfn.XLOOKUP(RIGHT(AA213,2),Размеры!D:D,Размеры!A:A,"ERR",0)</f>
        <v>61</v>
      </c>
      <c r="T213" s="80">
        <f ca="1">VALUE(_xlfn.XLOOKUP($AA213,Строчный!$S:$S,Строчный!U:U,"ERR",0))</f>
        <v>1</v>
      </c>
      <c r="U213" s="14" t="s">
        <v>265</v>
      </c>
      <c r="V213" s="101" t="str">
        <f t="shared" ca="1" si="18"/>
        <v>Кепка HERMAN арт. RANGE 013 (красный)</v>
      </c>
      <c r="W213" s="100" t="str">
        <f t="shared" ca="1" si="19"/>
        <v>Кепка HERMAN арт. RANGE 013 (красный) {red}</v>
      </c>
      <c r="X213" s="18" t="str">
        <f t="shared" ca="1" si="20"/>
        <v>красный</v>
      </c>
      <c r="Y213" s="18" t="str">
        <f t="shared" ca="1" si="21"/>
        <v>красный</v>
      </c>
      <c r="Z213" s="117" t="str">
        <f ca="1">_xlfn.LET(_xlpm.FormColors,_xlfn.XLOOKUP(A213,Строчный!A:A,Строчный!Q:Q,"",0),IF(_xlpm.FormColors=0,IFERROR(MID(I213,FIND("-",I213)+1,LEN(I213)),IFERROR(MID(I213,1,FIND("/",I213)-2),I213)),_xlpm.FormColors))</f>
        <v>красный</v>
      </c>
      <c r="AA213" s="73" t="str">
        <f ca="1"/>
        <v>80-637-18-61</v>
      </c>
      <c r="AB213" s="75" t="str">
        <f ca="1">VLOOKUP(C213,Группа!A:B,2,FALSE)</f>
        <v>Кепка</v>
      </c>
      <c r="AC213" s="97" t="str">
        <f ca="1">IFERROR(VLOOKUP(S213,Размеры!A:C,3,FALSE),"")</f>
        <v>61 XL</v>
      </c>
      <c r="AD213" s="97" t="str">
        <f ca="1">VLOOKUP(I213,ЦветПолный!A:B,2,FALSE)</f>
        <v>18</v>
      </c>
      <c r="AE213" s="97" t="str">
        <f ca="1">IFERROR(VLOOKUP(S213,Размеры!A:D,4,FALSE),"")</f>
        <v>61</v>
      </c>
      <c r="AF213" s="97">
        <f ca="1">IF(LEFT(IFERROR(VLOOKUP(LOOKUP(2,1/SEARCH(B213,Товары!A:A),Товары!A:A),Товары!A:B,2,0),""),6)=MID(AA213,1,6),1,0)</f>
        <v>1</v>
      </c>
      <c r="AH213" s="97">
        <f ca="1">SUMIF(Группа!A:A,C213,Группа!C:C)</f>
        <v>1</v>
      </c>
      <c r="AI213" s="97">
        <f ca="1">SUMIF(Группа!B:B,AB213,Группа!C:C)</f>
        <v>1</v>
      </c>
      <c r="AJ213" s="97">
        <f ca="1">SUMIF(Формы!A:A,D213,Формы!B:B)</f>
        <v>1</v>
      </c>
      <c r="AK213" s="97">
        <f ca="1">SUMIF(Материал!A:A,K213,Материал!B:B)</f>
        <v>1</v>
      </c>
      <c r="AL213" s="97">
        <f ca="1">SUMIF(Размеры!A:A,S213,Размеры!E:E)</f>
        <v>1</v>
      </c>
      <c r="AM213" s="97">
        <f ca="1">SUMIF(Сезон!A:A,F213,Сезон!B:B)</f>
        <v>1</v>
      </c>
      <c r="AN213" s="97">
        <f ca="1">SUMIF(Состав!A:A,J213,Состав!B:B)</f>
        <v>1</v>
      </c>
      <c r="AO213" s="97">
        <f ca="1">VLOOKUP(I213,ЦветПолный!A:C,3,0)</f>
        <v>1</v>
      </c>
      <c r="AP213" s="97">
        <f ca="1">SUMIF(Цвет!A:A,Z213,Цвет!B:B)</f>
        <v>1</v>
      </c>
      <c r="AQ213" s="97">
        <f ca="1">_xlfn.XLOOKUP(L213,Пол!A:A,Пол!B:B,0,0)</f>
        <v>1</v>
      </c>
      <c r="AR213" s="97">
        <f ca="1">SUMIF(Бренд!A:A,G213,Бренд!B:B)</f>
        <v>1</v>
      </c>
      <c r="AS213" s="97">
        <f ca="1">SUMIF(Страна!A:A,M213,Страна!B:B)</f>
        <v>1</v>
      </c>
      <c r="AT213" s="64" t="str">
        <f ca="1">IF(VLOOKUP(W213,Товары!A:B,2,FALSE)=A213,"Есть в 1С","ERR")</f>
        <v>Есть в 1С</v>
      </c>
      <c r="AU213" s="65" t="str">
        <f ca="1">IF(VLOOKUP(A213,Товары!B:B,1,FALSE)=A213,"Есть в 1С","ERR")</f>
        <v>Есть в 1С</v>
      </c>
      <c r="AV213" s="96" t="str">
        <f ca="1">VLOOKUP(W213,Товары!A:B,2,FALSE)</f>
        <v>80-637-18</v>
      </c>
      <c r="AW213" s="94" t="str">
        <f ca="1">VLOOKUP(W213,Товары!A:B,1,FALSE)</f>
        <v>Кепка HERMAN арт. RANGE 013 (красный) {red}</v>
      </c>
    </row>
    <row r="214" spans="1:49" x14ac:dyDescent="0.25">
      <c r="A214" s="110" t="str">
        <f t="shared" ca="1" si="17"/>
        <v>80-637-18</v>
      </c>
      <c r="B214" s="107" t="str">
        <f ca="1">_xlfn.LET(_xlpm.CAPS,0,_xlpm.Style,TRIM(_xlfn.XLOOKUP($A214,Строчный!$A:$A,Строчный!B:B,"ERR",0)),IF(_xlpm.CAPS=0,_xlpm.Style,UPPER(_xlpm.Style)))</f>
        <v>RANGE 013</v>
      </c>
      <c r="C214" s="81" t="str">
        <f ca="1">TRIM(PROPER(_xlfn.XLOOKUP($A214,Строчный!$A:$A,Строчный!C:C,"ERR",0)))</f>
        <v>Кепки</v>
      </c>
      <c r="D214" s="81" t="str">
        <f ca="1">_xlfn.LET(_xlpm.DATA,TRIM(_xlfn.XLOOKUP($A214,Строчный!$A:$A,Строчный!D:D,"ERR",0)),UPPER(MID(_xlpm.DATA,1,1))&amp;LOWER(MID(_xlpm.DATA,2,LEN(_xlpm.DATA)-1)))</f>
        <v>Кепка уточка</v>
      </c>
      <c r="E214" s="81" t="str">
        <f ca="1">PROPER(TRIM(_xlfn.XLOOKUP($A214,Строчный!$A:$A,Строчный!E:E,"ERR",0)))</f>
        <v>Herman</v>
      </c>
      <c r="F214" s="81" t="str">
        <f ca="1">LOWER(TRIM(_xlfn.XLOOKUP($A214,Строчный!$A:$A,Строчный!F:F,"ERR",0)))</f>
        <v>всесезон</v>
      </c>
      <c r="G214" s="81" t="str">
        <f ca="1">UPPER(TRIM(_xlfn.XLOOKUP($A214,Строчный!$A:$A,Строчный!G:G,"ERR",0)))</f>
        <v>HERMAN</v>
      </c>
      <c r="H214" s="81" t="str">
        <f ca="1">LOWER(TRIM(_xlfn.XLOOKUP($A214,Строчный!$A:$A,Строчный!H:H,"ERR",0)))</f>
        <v>red</v>
      </c>
      <c r="I214" s="81" t="str">
        <f ca="1">LOWER(TRIM(_xlfn.XLOOKUP($A214,Строчный!$A:$A,Строчный!I:I,"ERR",0)))</f>
        <v>красный</v>
      </c>
      <c r="J214" s="81" t="str">
        <f ca="1">SUBSTITUTE(LOWER(TRIM(_xlfn.XLOOKUP($A214,Строчный!$A:$A,Строчный!J:J,"ERR",0))),"подклад","Подклад")</f>
        <v>60% полиэстер - 20% шерсть - 20% акрил</v>
      </c>
      <c r="K214" s="81" t="str">
        <f ca="1">LOWER(TRIM(_xlfn.XLOOKUP($A214,Строчный!$A:$A,Строчный!K:K,"ERR",0)))</f>
        <v>шерстяные</v>
      </c>
      <c r="L214" s="81" t="str">
        <f ca="1">PROPER(TRIM(_xlfn.XLOOKUP($A214,Строчный!$A:$A,Строчный!L:L,"ERR",0)))</f>
        <v>Унисекс</v>
      </c>
      <c r="M214" s="113" t="str">
        <f ca="1">PROPER(TRIM(_xlfn.XLOOKUP($A214,Строчный!$A:$A,Строчный!M:M,"ERR",0)))</f>
        <v>Италия</v>
      </c>
      <c r="N214" s="81" t="str">
        <f ca="1">UPPER(TRIM(_xlfn.XLOOKUP($A214,Строчный!$A:$A,Строчный!O:O,"ERR",0)))</f>
        <v/>
      </c>
      <c r="O214" s="102" t="str">
        <f ca="1">PROPER(TRIM(_xlfn.XLOOKUP($A214,Строчный!$A:$A,Строчный!P:P,"ERR",0)))</f>
        <v/>
      </c>
      <c r="P214" s="81" t="str">
        <f ca="1">PROPER(TRIM(_xlfn.XLOOKUP($A214,Строчный!$A:$A,Строчный!R:R,"ERR",0)))</f>
        <v/>
      </c>
      <c r="Q214" s="90">
        <f ca="1">VALUE(_xlfn.XLOOKUP($A214,Строчный!$A:$A,Строчный!N:N,"ERR",0))</f>
        <v>135</v>
      </c>
      <c r="R214" s="89" t="str">
        <f ca="1">_xlfn.XLOOKUP($G214,Фабрика!A:A,Фабрика!B:B,"ERR",0)</f>
        <v>Chapellerie Herman S.A.; Rue Jean Meunier, 6, 6922 Wellin, Belgium</v>
      </c>
      <c r="S214" s="80" t="str">
        <f ca="1">_xlfn.XLOOKUP(RIGHT(AA214,2),Размеры!D:D,Размеры!A:A,"ERR",0)</f>
        <v>59</v>
      </c>
      <c r="T214" s="80">
        <f ca="1">VALUE(_xlfn.XLOOKUP($AA214,Строчный!$S:$S,Строчный!U:U,"ERR",0))</f>
        <v>9</v>
      </c>
      <c r="U214" s="14" t="s">
        <v>265</v>
      </c>
      <c r="V214" s="101" t="str">
        <f t="shared" ca="1" si="18"/>
        <v>Кепка HERMAN арт. RANGE 013 (красный)</v>
      </c>
      <c r="W214" s="100" t="str">
        <f t="shared" ca="1" si="19"/>
        <v>Кепка HERMAN арт. RANGE 013 (красный) {red}</v>
      </c>
      <c r="X214" s="18" t="str">
        <f t="shared" ca="1" si="20"/>
        <v>красный</v>
      </c>
      <c r="Y214" s="18" t="str">
        <f t="shared" ca="1" si="21"/>
        <v>красный</v>
      </c>
      <c r="Z214" s="117" t="str">
        <f ca="1">_xlfn.LET(_xlpm.FormColors,_xlfn.XLOOKUP(A214,Строчный!A:A,Строчный!Q:Q,"",0),IF(_xlpm.FormColors=0,IFERROR(MID(I214,FIND("-",I214)+1,LEN(I214)),IFERROR(MID(I214,1,FIND("/",I214)-2),I214)),_xlpm.FormColors))</f>
        <v>красный</v>
      </c>
      <c r="AA214" s="73" t="str">
        <f ca="1"/>
        <v>80-637-18-59</v>
      </c>
      <c r="AB214" s="75" t="str">
        <f ca="1">VLOOKUP(C214,Группа!A:B,2,FALSE)</f>
        <v>Кепка</v>
      </c>
      <c r="AC214" s="97" t="str">
        <f ca="1">IFERROR(VLOOKUP(S214,Размеры!A:C,3,FALSE),"")</f>
        <v>59 L</v>
      </c>
      <c r="AD214" s="97" t="str">
        <f ca="1">VLOOKUP(I214,ЦветПолный!A:B,2,FALSE)</f>
        <v>18</v>
      </c>
      <c r="AE214" s="97" t="str">
        <f ca="1">IFERROR(VLOOKUP(S214,Размеры!A:D,4,FALSE),"")</f>
        <v>59</v>
      </c>
      <c r="AF214" s="97">
        <f ca="1">IF(LEFT(IFERROR(VLOOKUP(LOOKUP(2,1/SEARCH(B214,Товары!A:A),Товары!A:A),Товары!A:B,2,0),""),6)=MID(AA214,1,6),1,0)</f>
        <v>1</v>
      </c>
      <c r="AH214" s="97">
        <f ca="1">SUMIF(Группа!A:A,C214,Группа!C:C)</f>
        <v>1</v>
      </c>
      <c r="AI214" s="97">
        <f ca="1">SUMIF(Группа!B:B,AB214,Группа!C:C)</f>
        <v>1</v>
      </c>
      <c r="AJ214" s="97">
        <f ca="1">SUMIF(Формы!A:A,D214,Формы!B:B)</f>
        <v>1</v>
      </c>
      <c r="AK214" s="97">
        <f ca="1">SUMIF(Материал!A:A,K214,Материал!B:B)</f>
        <v>1</v>
      </c>
      <c r="AL214" s="97">
        <f ca="1">SUMIF(Размеры!A:A,S214,Размеры!E:E)</f>
        <v>1</v>
      </c>
      <c r="AM214" s="97">
        <f ca="1">SUMIF(Сезон!A:A,F214,Сезон!B:B)</f>
        <v>1</v>
      </c>
      <c r="AN214" s="97">
        <f ca="1">SUMIF(Состав!A:A,J214,Состав!B:B)</f>
        <v>1</v>
      </c>
      <c r="AO214" s="97">
        <f ca="1">VLOOKUP(I214,ЦветПолный!A:C,3,0)</f>
        <v>1</v>
      </c>
      <c r="AP214" s="97">
        <f ca="1">SUMIF(Цвет!A:A,Z214,Цвет!B:B)</f>
        <v>1</v>
      </c>
      <c r="AQ214" s="97">
        <f ca="1">_xlfn.XLOOKUP(L214,Пол!A:A,Пол!B:B,0,0)</f>
        <v>1</v>
      </c>
      <c r="AR214" s="97">
        <f ca="1">SUMIF(Бренд!A:A,G214,Бренд!B:B)</f>
        <v>1</v>
      </c>
      <c r="AS214" s="97">
        <f ca="1">SUMIF(Страна!A:A,M214,Страна!B:B)</f>
        <v>1</v>
      </c>
      <c r="AT214" s="64" t="str">
        <f ca="1">IF(VLOOKUP(W214,Товары!A:B,2,FALSE)=A214,"Есть в 1С","ERR")</f>
        <v>Есть в 1С</v>
      </c>
      <c r="AU214" s="65" t="str">
        <f ca="1">IF(VLOOKUP(A214,Товары!B:B,1,FALSE)=A214,"Есть в 1С","ERR")</f>
        <v>Есть в 1С</v>
      </c>
      <c r="AV214" s="96" t="str">
        <f ca="1">VLOOKUP(W214,Товары!A:B,2,FALSE)</f>
        <v>80-637-18</v>
      </c>
      <c r="AW214" s="94" t="str">
        <f ca="1">VLOOKUP(W214,Товары!A:B,1,FALSE)</f>
        <v>Кепка HERMAN арт. RANGE 013 (красный) {red}</v>
      </c>
    </row>
    <row r="215" spans="1:49" x14ac:dyDescent="0.25">
      <c r="A215" s="110" t="str">
        <f t="shared" ca="1" si="17"/>
        <v>80-637-18</v>
      </c>
      <c r="B215" s="107" t="str">
        <f ca="1">_xlfn.LET(_xlpm.CAPS,0,_xlpm.Style,TRIM(_xlfn.XLOOKUP($A215,Строчный!$A:$A,Строчный!B:B,"ERR",0)),IF(_xlpm.CAPS=0,_xlpm.Style,UPPER(_xlpm.Style)))</f>
        <v>RANGE 013</v>
      </c>
      <c r="C215" s="81" t="str">
        <f ca="1">TRIM(PROPER(_xlfn.XLOOKUP($A215,Строчный!$A:$A,Строчный!C:C,"ERR",0)))</f>
        <v>Кепки</v>
      </c>
      <c r="D215" s="81" t="str">
        <f ca="1">_xlfn.LET(_xlpm.DATA,TRIM(_xlfn.XLOOKUP($A215,Строчный!$A:$A,Строчный!D:D,"ERR",0)),UPPER(MID(_xlpm.DATA,1,1))&amp;LOWER(MID(_xlpm.DATA,2,LEN(_xlpm.DATA)-1)))</f>
        <v>Кепка уточка</v>
      </c>
      <c r="E215" s="81" t="str">
        <f ca="1">PROPER(TRIM(_xlfn.XLOOKUP($A215,Строчный!$A:$A,Строчный!E:E,"ERR",0)))</f>
        <v>Herman</v>
      </c>
      <c r="F215" s="81" t="str">
        <f ca="1">LOWER(TRIM(_xlfn.XLOOKUP($A215,Строчный!$A:$A,Строчный!F:F,"ERR",0)))</f>
        <v>всесезон</v>
      </c>
      <c r="G215" s="81" t="str">
        <f ca="1">UPPER(TRIM(_xlfn.XLOOKUP($A215,Строчный!$A:$A,Строчный!G:G,"ERR",0)))</f>
        <v>HERMAN</v>
      </c>
      <c r="H215" s="81" t="str">
        <f ca="1">LOWER(TRIM(_xlfn.XLOOKUP($A215,Строчный!$A:$A,Строчный!H:H,"ERR",0)))</f>
        <v>red</v>
      </c>
      <c r="I215" s="81" t="str">
        <f ca="1">LOWER(TRIM(_xlfn.XLOOKUP($A215,Строчный!$A:$A,Строчный!I:I,"ERR",0)))</f>
        <v>красный</v>
      </c>
      <c r="J215" s="81" t="str">
        <f ca="1">SUBSTITUTE(LOWER(TRIM(_xlfn.XLOOKUP($A215,Строчный!$A:$A,Строчный!J:J,"ERR",0))),"подклад","Подклад")</f>
        <v>60% полиэстер - 20% шерсть - 20% акрил</v>
      </c>
      <c r="K215" s="81" t="str">
        <f ca="1">LOWER(TRIM(_xlfn.XLOOKUP($A215,Строчный!$A:$A,Строчный!K:K,"ERR",0)))</f>
        <v>шерстяные</v>
      </c>
      <c r="L215" s="81" t="str">
        <f ca="1">PROPER(TRIM(_xlfn.XLOOKUP($A215,Строчный!$A:$A,Строчный!L:L,"ERR",0)))</f>
        <v>Унисекс</v>
      </c>
      <c r="M215" s="113" t="str">
        <f ca="1">PROPER(TRIM(_xlfn.XLOOKUP($A215,Строчный!$A:$A,Строчный!M:M,"ERR",0)))</f>
        <v>Италия</v>
      </c>
      <c r="N215" s="81" t="str">
        <f ca="1">UPPER(TRIM(_xlfn.XLOOKUP($A215,Строчный!$A:$A,Строчный!O:O,"ERR",0)))</f>
        <v/>
      </c>
      <c r="O215" s="102" t="str">
        <f ca="1">PROPER(TRIM(_xlfn.XLOOKUP($A215,Строчный!$A:$A,Строчный!P:P,"ERR",0)))</f>
        <v/>
      </c>
      <c r="P215" s="81" t="str">
        <f ca="1">PROPER(TRIM(_xlfn.XLOOKUP($A215,Строчный!$A:$A,Строчный!R:R,"ERR",0)))</f>
        <v/>
      </c>
      <c r="Q215" s="90">
        <f ca="1">VALUE(_xlfn.XLOOKUP($A215,Строчный!$A:$A,Строчный!N:N,"ERR",0))</f>
        <v>135</v>
      </c>
      <c r="R215" s="89" t="str">
        <f ca="1">_xlfn.XLOOKUP($G215,Фабрика!A:A,Фабрика!B:B,"ERR",0)</f>
        <v>Chapellerie Herman S.A.; Rue Jean Meunier, 6, 6922 Wellin, Belgium</v>
      </c>
      <c r="S215" s="80" t="str">
        <f ca="1">_xlfn.XLOOKUP(RIGHT(AA215,2),Размеры!D:D,Размеры!A:A,"ERR",0)</f>
        <v>57</v>
      </c>
      <c r="T215" s="80">
        <f ca="1">VALUE(_xlfn.XLOOKUP($AA215,Строчный!$S:$S,Строчный!U:U,"ERR",0))</f>
        <v>1</v>
      </c>
      <c r="U215" s="14" t="s">
        <v>265</v>
      </c>
      <c r="V215" s="101" t="str">
        <f t="shared" ca="1" si="18"/>
        <v>Кепка HERMAN арт. RANGE 013 (красный)</v>
      </c>
      <c r="W215" s="100" t="str">
        <f t="shared" ca="1" si="19"/>
        <v>Кепка HERMAN арт. RANGE 013 (красный) {red}</v>
      </c>
      <c r="X215" s="18" t="str">
        <f t="shared" ca="1" si="20"/>
        <v>красный</v>
      </c>
      <c r="Y215" s="18" t="str">
        <f t="shared" ca="1" si="21"/>
        <v>красный</v>
      </c>
      <c r="Z215" s="117" t="str">
        <f ca="1">_xlfn.LET(_xlpm.FormColors,_xlfn.XLOOKUP(A215,Строчный!A:A,Строчный!Q:Q,"",0),IF(_xlpm.FormColors=0,IFERROR(MID(I215,FIND("-",I215)+1,LEN(I215)),IFERROR(MID(I215,1,FIND("/",I215)-2),I215)),_xlpm.FormColors))</f>
        <v>красный</v>
      </c>
      <c r="AA215" s="73" t="str">
        <f ca="1"/>
        <v>80-637-18-57</v>
      </c>
      <c r="AB215" s="75" t="str">
        <f ca="1">VLOOKUP(C215,Группа!A:B,2,FALSE)</f>
        <v>Кепка</v>
      </c>
      <c r="AC215" s="97" t="str">
        <f ca="1">IFERROR(VLOOKUP(S215,Размеры!A:C,3,FALSE),"")</f>
        <v>57 M</v>
      </c>
      <c r="AD215" s="97" t="str">
        <f ca="1">VLOOKUP(I215,ЦветПолный!A:B,2,FALSE)</f>
        <v>18</v>
      </c>
      <c r="AE215" s="97" t="str">
        <f ca="1">IFERROR(VLOOKUP(S215,Размеры!A:D,4,FALSE),"")</f>
        <v>57</v>
      </c>
      <c r="AF215" s="97">
        <f ca="1">IF(LEFT(IFERROR(VLOOKUP(LOOKUP(2,1/SEARCH(B215,Товары!A:A),Товары!A:A),Товары!A:B,2,0),""),6)=MID(AA215,1,6),1,0)</f>
        <v>1</v>
      </c>
      <c r="AH215" s="97">
        <f ca="1">SUMIF(Группа!A:A,C215,Группа!C:C)</f>
        <v>1</v>
      </c>
      <c r="AI215" s="97">
        <f ca="1">SUMIF(Группа!B:B,AB215,Группа!C:C)</f>
        <v>1</v>
      </c>
      <c r="AJ215" s="97">
        <f ca="1">SUMIF(Формы!A:A,D215,Формы!B:B)</f>
        <v>1</v>
      </c>
      <c r="AK215" s="97">
        <f ca="1">SUMIF(Материал!A:A,K215,Материал!B:B)</f>
        <v>1</v>
      </c>
      <c r="AL215" s="97">
        <f ca="1">SUMIF(Размеры!A:A,S215,Размеры!E:E)</f>
        <v>1</v>
      </c>
      <c r="AM215" s="97">
        <f ca="1">SUMIF(Сезон!A:A,F215,Сезон!B:B)</f>
        <v>1</v>
      </c>
      <c r="AN215" s="97">
        <f ca="1">SUMIF(Состав!A:A,J215,Состав!B:B)</f>
        <v>1</v>
      </c>
      <c r="AO215" s="97">
        <f ca="1">VLOOKUP(I215,ЦветПолный!A:C,3,0)</f>
        <v>1</v>
      </c>
      <c r="AP215" s="97">
        <f ca="1">SUMIF(Цвет!A:A,Z215,Цвет!B:B)</f>
        <v>1</v>
      </c>
      <c r="AQ215" s="97">
        <f ca="1">_xlfn.XLOOKUP(L215,Пол!A:A,Пол!B:B,0,0)</f>
        <v>1</v>
      </c>
      <c r="AR215" s="97">
        <f ca="1">SUMIF(Бренд!A:A,G215,Бренд!B:B)</f>
        <v>1</v>
      </c>
      <c r="AS215" s="97">
        <f ca="1">SUMIF(Страна!A:A,M215,Страна!B:B)</f>
        <v>1</v>
      </c>
      <c r="AT215" s="64" t="str">
        <f ca="1">IF(VLOOKUP(W215,Товары!A:B,2,FALSE)=A215,"Есть в 1С","ERR")</f>
        <v>Есть в 1С</v>
      </c>
      <c r="AU215" s="65" t="str">
        <f ca="1">IF(VLOOKUP(A215,Товары!B:B,1,FALSE)=A215,"Есть в 1С","ERR")</f>
        <v>Есть в 1С</v>
      </c>
      <c r="AV215" s="96" t="str">
        <f ca="1">VLOOKUP(W215,Товары!A:B,2,FALSE)</f>
        <v>80-637-18</v>
      </c>
      <c r="AW215" s="94" t="str">
        <f ca="1">VLOOKUP(W215,Товары!A:B,1,FALSE)</f>
        <v>Кепка HERMAN арт. RANGE 013 (красный) {red}</v>
      </c>
    </row>
    <row r="216" spans="1:49" x14ac:dyDescent="0.25">
      <c r="A216" s="110" t="str">
        <f t="shared" ca="1" si="17"/>
        <v>80-637-06</v>
      </c>
      <c r="B216" s="107" t="str">
        <f ca="1">_xlfn.LET(_xlpm.CAPS,0,_xlpm.Style,TRIM(_xlfn.XLOOKUP($A216,Строчный!$A:$A,Строчный!B:B,"ERR",0)),IF(_xlpm.CAPS=0,_xlpm.Style,UPPER(_xlpm.Style)))</f>
        <v>RANGE 013</v>
      </c>
      <c r="C216" s="81" t="str">
        <f ca="1">TRIM(PROPER(_xlfn.XLOOKUP($A216,Строчный!$A:$A,Строчный!C:C,"ERR",0)))</f>
        <v>Кепки</v>
      </c>
      <c r="D216" s="81" t="str">
        <f ca="1">_xlfn.LET(_xlpm.DATA,TRIM(_xlfn.XLOOKUP($A216,Строчный!$A:$A,Строчный!D:D,"ERR",0)),UPPER(MID(_xlpm.DATA,1,1))&amp;LOWER(MID(_xlpm.DATA,2,LEN(_xlpm.DATA)-1)))</f>
        <v>Кепка уточка</v>
      </c>
      <c r="E216" s="81" t="str">
        <f ca="1">PROPER(TRIM(_xlfn.XLOOKUP($A216,Строчный!$A:$A,Строчный!E:E,"ERR",0)))</f>
        <v>Herman</v>
      </c>
      <c r="F216" s="81" t="str">
        <f ca="1">LOWER(TRIM(_xlfn.XLOOKUP($A216,Строчный!$A:$A,Строчный!F:F,"ERR",0)))</f>
        <v>всесезон</v>
      </c>
      <c r="G216" s="81" t="str">
        <f ca="1">UPPER(TRIM(_xlfn.XLOOKUP($A216,Строчный!$A:$A,Строчный!G:G,"ERR",0)))</f>
        <v>HERMAN</v>
      </c>
      <c r="H216" s="81" t="str">
        <f ca="1">LOWER(TRIM(_xlfn.XLOOKUP($A216,Строчный!$A:$A,Строчный!H:H,"ERR",0)))</f>
        <v>blue</v>
      </c>
      <c r="I216" s="81" t="str">
        <f ca="1">LOWER(TRIM(_xlfn.XLOOKUP($A216,Строчный!$A:$A,Строчный!I:I,"ERR",0)))</f>
        <v>синий</v>
      </c>
      <c r="J216" s="81" t="str">
        <f ca="1">SUBSTITUTE(LOWER(TRIM(_xlfn.XLOOKUP($A216,Строчный!$A:$A,Строчный!J:J,"ERR",0))),"подклад","Подклад")</f>
        <v>60% полиэстер - 20% шерсть - 20% акрил</v>
      </c>
      <c r="K216" s="81" t="str">
        <f ca="1">LOWER(TRIM(_xlfn.XLOOKUP($A216,Строчный!$A:$A,Строчный!K:K,"ERR",0)))</f>
        <v>шерстяные</v>
      </c>
      <c r="L216" s="81" t="str">
        <f ca="1">PROPER(TRIM(_xlfn.XLOOKUP($A216,Строчный!$A:$A,Строчный!L:L,"ERR",0)))</f>
        <v>Унисекс</v>
      </c>
      <c r="M216" s="113" t="str">
        <f ca="1">PROPER(TRIM(_xlfn.XLOOKUP($A216,Строчный!$A:$A,Строчный!M:M,"ERR",0)))</f>
        <v>Италия</v>
      </c>
      <c r="N216" s="81" t="str">
        <f ca="1">UPPER(TRIM(_xlfn.XLOOKUP($A216,Строчный!$A:$A,Строчный!O:O,"ERR",0)))</f>
        <v/>
      </c>
      <c r="O216" s="102" t="str">
        <f ca="1">PROPER(TRIM(_xlfn.XLOOKUP($A216,Строчный!$A:$A,Строчный!P:P,"ERR",0)))</f>
        <v/>
      </c>
      <c r="P216" s="81" t="str">
        <f ca="1">PROPER(TRIM(_xlfn.XLOOKUP($A216,Строчный!$A:$A,Строчный!R:R,"ERR",0)))</f>
        <v/>
      </c>
      <c r="Q216" s="90">
        <f ca="1">VALUE(_xlfn.XLOOKUP($A216,Строчный!$A:$A,Строчный!N:N,"ERR",0))</f>
        <v>135</v>
      </c>
      <c r="R216" s="89" t="str">
        <f ca="1">_xlfn.XLOOKUP($G216,Фабрика!A:A,Фабрика!B:B,"ERR",0)</f>
        <v>Chapellerie Herman S.A.; Rue Jean Meunier, 6, 6922 Wellin, Belgium</v>
      </c>
      <c r="S216" s="80" t="str">
        <f ca="1">_xlfn.XLOOKUP(RIGHT(AA216,2),Размеры!D:D,Размеры!A:A,"ERR",0)</f>
        <v>61</v>
      </c>
      <c r="T216" s="80">
        <f ca="1">VALUE(_xlfn.XLOOKUP($AA216,Строчный!$S:$S,Строчный!U:U,"ERR",0))</f>
        <v>1</v>
      </c>
      <c r="U216" s="14" t="s">
        <v>265</v>
      </c>
      <c r="V216" s="101" t="str">
        <f t="shared" ca="1" si="18"/>
        <v>Кепка HERMAN арт. RANGE 013 (синий)</v>
      </c>
      <c r="W216" s="100" t="str">
        <f t="shared" ca="1" si="19"/>
        <v>Кепка HERMAN арт. RANGE 013 (синий) {blue}</v>
      </c>
      <c r="X216" s="18" t="str">
        <f t="shared" ca="1" si="20"/>
        <v>синий</v>
      </c>
      <c r="Y216" s="18" t="str">
        <f t="shared" ca="1" si="21"/>
        <v>синий</v>
      </c>
      <c r="Z216" s="117" t="str">
        <f ca="1">_xlfn.LET(_xlpm.FormColors,_xlfn.XLOOKUP(A216,Строчный!A:A,Строчный!Q:Q,"",0),IF(_xlpm.FormColors=0,IFERROR(MID(I216,FIND("-",I216)+1,LEN(I216)),IFERROR(MID(I216,1,FIND("/",I216)-2),I216)),_xlpm.FormColors))</f>
        <v>синий</v>
      </c>
      <c r="AA216" s="73" t="str">
        <f ca="1"/>
        <v>80-637-06-61</v>
      </c>
      <c r="AB216" s="75" t="str">
        <f ca="1">VLOOKUP(C216,Группа!A:B,2,FALSE)</f>
        <v>Кепка</v>
      </c>
      <c r="AC216" s="97" t="str">
        <f ca="1">IFERROR(VLOOKUP(S216,Размеры!A:C,3,FALSE),"")</f>
        <v>61 XL</v>
      </c>
      <c r="AD216" s="97" t="str">
        <f ca="1">VLOOKUP(I216,ЦветПолный!A:B,2,FALSE)</f>
        <v>06</v>
      </c>
      <c r="AE216" s="97" t="str">
        <f ca="1">IFERROR(VLOOKUP(S216,Размеры!A:D,4,FALSE),"")</f>
        <v>61</v>
      </c>
      <c r="AF216" s="97">
        <f ca="1">IF(LEFT(IFERROR(VLOOKUP(LOOKUP(2,1/SEARCH(B216,Товары!A:A),Товары!A:A),Товары!A:B,2,0),""),6)=MID(AA216,1,6),1,0)</f>
        <v>1</v>
      </c>
      <c r="AH216" s="97">
        <f ca="1">SUMIF(Группа!A:A,C216,Группа!C:C)</f>
        <v>1</v>
      </c>
      <c r="AI216" s="97">
        <f ca="1">SUMIF(Группа!B:B,AB216,Группа!C:C)</f>
        <v>1</v>
      </c>
      <c r="AJ216" s="97">
        <f ca="1">SUMIF(Формы!A:A,D216,Формы!B:B)</f>
        <v>1</v>
      </c>
      <c r="AK216" s="97">
        <f ca="1">SUMIF(Материал!A:A,K216,Материал!B:B)</f>
        <v>1</v>
      </c>
      <c r="AL216" s="97">
        <f ca="1">SUMIF(Размеры!A:A,S216,Размеры!E:E)</f>
        <v>1</v>
      </c>
      <c r="AM216" s="97">
        <f ca="1">SUMIF(Сезон!A:A,F216,Сезон!B:B)</f>
        <v>1</v>
      </c>
      <c r="AN216" s="97">
        <f ca="1">SUMIF(Состав!A:A,J216,Состав!B:B)</f>
        <v>1</v>
      </c>
      <c r="AO216" s="97">
        <f ca="1">VLOOKUP(I216,ЦветПолный!A:C,3,0)</f>
        <v>1</v>
      </c>
      <c r="AP216" s="97">
        <f ca="1">SUMIF(Цвет!A:A,Z216,Цвет!B:B)</f>
        <v>1</v>
      </c>
      <c r="AQ216" s="97">
        <f ca="1">_xlfn.XLOOKUP(L216,Пол!A:A,Пол!B:B,0,0)</f>
        <v>1</v>
      </c>
      <c r="AR216" s="97">
        <f ca="1">SUMIF(Бренд!A:A,G216,Бренд!B:B)</f>
        <v>1</v>
      </c>
      <c r="AS216" s="97">
        <f ca="1">SUMIF(Страна!A:A,M216,Страна!B:B)</f>
        <v>1</v>
      </c>
      <c r="AT216" s="64" t="str">
        <f ca="1">IF(VLOOKUP(W216,Товары!A:B,2,FALSE)=A216,"Есть в 1С","ERR")</f>
        <v>Есть в 1С</v>
      </c>
      <c r="AU216" s="65" t="str">
        <f ca="1">IF(VLOOKUP(A216,Товары!B:B,1,FALSE)=A216,"Есть в 1С","ERR")</f>
        <v>Есть в 1С</v>
      </c>
      <c r="AV216" s="96" t="str">
        <f ca="1">VLOOKUP(W216,Товары!A:B,2,FALSE)</f>
        <v>80-637-06</v>
      </c>
      <c r="AW216" s="94" t="str">
        <f ca="1">VLOOKUP(W216,Товары!A:B,1,FALSE)</f>
        <v>Кепка HERMAN арт. RANGE 013 (синий) {blue}</v>
      </c>
    </row>
    <row r="217" spans="1:49" x14ac:dyDescent="0.25">
      <c r="A217" s="110" t="str">
        <f t="shared" ca="1" si="17"/>
        <v>80-637-06</v>
      </c>
      <c r="B217" s="107" t="str">
        <f ca="1">_xlfn.LET(_xlpm.CAPS,0,_xlpm.Style,TRIM(_xlfn.XLOOKUP($A217,Строчный!$A:$A,Строчный!B:B,"ERR",0)),IF(_xlpm.CAPS=0,_xlpm.Style,UPPER(_xlpm.Style)))</f>
        <v>RANGE 013</v>
      </c>
      <c r="C217" s="81" t="str">
        <f ca="1">TRIM(PROPER(_xlfn.XLOOKUP($A217,Строчный!$A:$A,Строчный!C:C,"ERR",0)))</f>
        <v>Кепки</v>
      </c>
      <c r="D217" s="81" t="str">
        <f ca="1">_xlfn.LET(_xlpm.DATA,TRIM(_xlfn.XLOOKUP($A217,Строчный!$A:$A,Строчный!D:D,"ERR",0)),UPPER(MID(_xlpm.DATA,1,1))&amp;LOWER(MID(_xlpm.DATA,2,LEN(_xlpm.DATA)-1)))</f>
        <v>Кепка уточка</v>
      </c>
      <c r="E217" s="81" t="str">
        <f ca="1">PROPER(TRIM(_xlfn.XLOOKUP($A217,Строчный!$A:$A,Строчный!E:E,"ERR",0)))</f>
        <v>Herman</v>
      </c>
      <c r="F217" s="81" t="str">
        <f ca="1">LOWER(TRIM(_xlfn.XLOOKUP($A217,Строчный!$A:$A,Строчный!F:F,"ERR",0)))</f>
        <v>всесезон</v>
      </c>
      <c r="G217" s="81" t="str">
        <f ca="1">UPPER(TRIM(_xlfn.XLOOKUP($A217,Строчный!$A:$A,Строчный!G:G,"ERR",0)))</f>
        <v>HERMAN</v>
      </c>
      <c r="H217" s="81" t="str">
        <f ca="1">LOWER(TRIM(_xlfn.XLOOKUP($A217,Строчный!$A:$A,Строчный!H:H,"ERR",0)))</f>
        <v>blue</v>
      </c>
      <c r="I217" s="81" t="str">
        <f ca="1">LOWER(TRIM(_xlfn.XLOOKUP($A217,Строчный!$A:$A,Строчный!I:I,"ERR",0)))</f>
        <v>синий</v>
      </c>
      <c r="J217" s="81" t="str">
        <f ca="1">SUBSTITUTE(LOWER(TRIM(_xlfn.XLOOKUP($A217,Строчный!$A:$A,Строчный!J:J,"ERR",0))),"подклад","Подклад")</f>
        <v>60% полиэстер - 20% шерсть - 20% акрил</v>
      </c>
      <c r="K217" s="81" t="str">
        <f ca="1">LOWER(TRIM(_xlfn.XLOOKUP($A217,Строчный!$A:$A,Строчный!K:K,"ERR",0)))</f>
        <v>шерстяные</v>
      </c>
      <c r="L217" s="81" t="str">
        <f ca="1">PROPER(TRIM(_xlfn.XLOOKUP($A217,Строчный!$A:$A,Строчный!L:L,"ERR",0)))</f>
        <v>Унисекс</v>
      </c>
      <c r="M217" s="113" t="str">
        <f ca="1">PROPER(TRIM(_xlfn.XLOOKUP($A217,Строчный!$A:$A,Строчный!M:M,"ERR",0)))</f>
        <v>Италия</v>
      </c>
      <c r="N217" s="81" t="str">
        <f ca="1">UPPER(TRIM(_xlfn.XLOOKUP($A217,Строчный!$A:$A,Строчный!O:O,"ERR",0)))</f>
        <v/>
      </c>
      <c r="O217" s="102" t="str">
        <f ca="1">PROPER(TRIM(_xlfn.XLOOKUP($A217,Строчный!$A:$A,Строчный!P:P,"ERR",0)))</f>
        <v/>
      </c>
      <c r="P217" s="81" t="str">
        <f ca="1">PROPER(TRIM(_xlfn.XLOOKUP($A217,Строчный!$A:$A,Строчный!R:R,"ERR",0)))</f>
        <v/>
      </c>
      <c r="Q217" s="90">
        <f ca="1">VALUE(_xlfn.XLOOKUP($A217,Строчный!$A:$A,Строчный!N:N,"ERR",0))</f>
        <v>135</v>
      </c>
      <c r="R217" s="89" t="str">
        <f ca="1">_xlfn.XLOOKUP($G217,Фабрика!A:A,Фабрика!B:B,"ERR",0)</f>
        <v>Chapellerie Herman S.A.; Rue Jean Meunier, 6, 6922 Wellin, Belgium</v>
      </c>
      <c r="S217" s="80" t="str">
        <f ca="1">_xlfn.XLOOKUP(RIGHT(AA217,2),Размеры!D:D,Размеры!A:A,"ERR",0)</f>
        <v>59</v>
      </c>
      <c r="T217" s="80">
        <f ca="1">VALUE(_xlfn.XLOOKUP($AA217,Строчный!$S:$S,Строчный!U:U,"ERR",0))</f>
        <v>2</v>
      </c>
      <c r="U217" s="14" t="s">
        <v>265</v>
      </c>
      <c r="V217" s="101" t="str">
        <f t="shared" ca="1" si="18"/>
        <v>Кепка HERMAN арт. RANGE 013 (синий)</v>
      </c>
      <c r="W217" s="100" t="str">
        <f t="shared" ca="1" si="19"/>
        <v>Кепка HERMAN арт. RANGE 013 (синий) {blue}</v>
      </c>
      <c r="X217" s="18" t="str">
        <f t="shared" ca="1" si="20"/>
        <v>синий</v>
      </c>
      <c r="Y217" s="18" t="str">
        <f t="shared" ca="1" si="21"/>
        <v>синий</v>
      </c>
      <c r="Z217" s="117" t="str">
        <f ca="1">_xlfn.LET(_xlpm.FormColors,_xlfn.XLOOKUP(A217,Строчный!A:A,Строчный!Q:Q,"",0),IF(_xlpm.FormColors=0,IFERROR(MID(I217,FIND("-",I217)+1,LEN(I217)),IFERROR(MID(I217,1,FIND("/",I217)-2),I217)),_xlpm.FormColors))</f>
        <v>синий</v>
      </c>
      <c r="AA217" s="73" t="str">
        <f ca="1"/>
        <v>80-637-06-59</v>
      </c>
      <c r="AB217" s="75" t="str">
        <f ca="1">VLOOKUP(C217,Группа!A:B,2,FALSE)</f>
        <v>Кепка</v>
      </c>
      <c r="AC217" s="97" t="str">
        <f ca="1">IFERROR(VLOOKUP(S217,Размеры!A:C,3,FALSE),"")</f>
        <v>59 L</v>
      </c>
      <c r="AD217" s="97" t="str">
        <f ca="1">VLOOKUP(I217,ЦветПолный!A:B,2,FALSE)</f>
        <v>06</v>
      </c>
      <c r="AE217" s="97" t="str">
        <f ca="1">IFERROR(VLOOKUP(S217,Размеры!A:D,4,FALSE),"")</f>
        <v>59</v>
      </c>
      <c r="AF217" s="97">
        <f ca="1">IF(LEFT(IFERROR(VLOOKUP(LOOKUP(2,1/SEARCH(B217,Товары!A:A),Товары!A:A),Товары!A:B,2,0),""),6)=MID(AA217,1,6),1,0)</f>
        <v>1</v>
      </c>
      <c r="AH217" s="97">
        <f ca="1">SUMIF(Группа!A:A,C217,Группа!C:C)</f>
        <v>1</v>
      </c>
      <c r="AI217" s="97">
        <f ca="1">SUMIF(Группа!B:B,AB217,Группа!C:C)</f>
        <v>1</v>
      </c>
      <c r="AJ217" s="97">
        <f ca="1">SUMIF(Формы!A:A,D217,Формы!B:B)</f>
        <v>1</v>
      </c>
      <c r="AK217" s="97">
        <f ca="1">SUMIF(Материал!A:A,K217,Материал!B:B)</f>
        <v>1</v>
      </c>
      <c r="AL217" s="97">
        <f ca="1">SUMIF(Размеры!A:A,S217,Размеры!E:E)</f>
        <v>1</v>
      </c>
      <c r="AM217" s="97">
        <f ca="1">SUMIF(Сезон!A:A,F217,Сезон!B:B)</f>
        <v>1</v>
      </c>
      <c r="AN217" s="97">
        <f ca="1">SUMIF(Состав!A:A,J217,Состав!B:B)</f>
        <v>1</v>
      </c>
      <c r="AO217" s="97">
        <f ca="1">VLOOKUP(I217,ЦветПолный!A:C,3,0)</f>
        <v>1</v>
      </c>
      <c r="AP217" s="97">
        <f ca="1">SUMIF(Цвет!A:A,Z217,Цвет!B:B)</f>
        <v>1</v>
      </c>
      <c r="AQ217" s="97">
        <f ca="1">_xlfn.XLOOKUP(L217,Пол!A:A,Пол!B:B,0,0)</f>
        <v>1</v>
      </c>
      <c r="AR217" s="97">
        <f ca="1">SUMIF(Бренд!A:A,G217,Бренд!B:B)</f>
        <v>1</v>
      </c>
      <c r="AS217" s="97">
        <f ca="1">SUMIF(Страна!A:A,M217,Страна!B:B)</f>
        <v>1</v>
      </c>
      <c r="AT217" s="64" t="str">
        <f ca="1">IF(VLOOKUP(W217,Товары!A:B,2,FALSE)=A217,"Есть в 1С","ERR")</f>
        <v>Есть в 1С</v>
      </c>
      <c r="AU217" s="65" t="str">
        <f ca="1">IF(VLOOKUP(A217,Товары!B:B,1,FALSE)=A217,"Есть в 1С","ERR")</f>
        <v>Есть в 1С</v>
      </c>
      <c r="AV217" s="96" t="str">
        <f ca="1">VLOOKUP(W217,Товары!A:B,2,FALSE)</f>
        <v>80-637-06</v>
      </c>
      <c r="AW217" s="94" t="str">
        <f ca="1">VLOOKUP(W217,Товары!A:B,1,FALSE)</f>
        <v>Кепка HERMAN арт. RANGE 013 (синий) {blue}</v>
      </c>
    </row>
    <row r="218" spans="1:49" x14ac:dyDescent="0.25">
      <c r="A218" s="110" t="str">
        <f t="shared" ca="1" si="17"/>
        <v>80-637-06</v>
      </c>
      <c r="B218" s="107" t="str">
        <f ca="1">_xlfn.LET(_xlpm.CAPS,0,_xlpm.Style,TRIM(_xlfn.XLOOKUP($A218,Строчный!$A:$A,Строчный!B:B,"ERR",0)),IF(_xlpm.CAPS=0,_xlpm.Style,UPPER(_xlpm.Style)))</f>
        <v>RANGE 013</v>
      </c>
      <c r="C218" s="81" t="str">
        <f ca="1">TRIM(PROPER(_xlfn.XLOOKUP($A218,Строчный!$A:$A,Строчный!C:C,"ERR",0)))</f>
        <v>Кепки</v>
      </c>
      <c r="D218" s="81" t="str">
        <f ca="1">_xlfn.LET(_xlpm.DATA,TRIM(_xlfn.XLOOKUP($A218,Строчный!$A:$A,Строчный!D:D,"ERR",0)),UPPER(MID(_xlpm.DATA,1,1))&amp;LOWER(MID(_xlpm.DATA,2,LEN(_xlpm.DATA)-1)))</f>
        <v>Кепка уточка</v>
      </c>
      <c r="E218" s="81" t="str">
        <f ca="1">PROPER(TRIM(_xlfn.XLOOKUP($A218,Строчный!$A:$A,Строчный!E:E,"ERR",0)))</f>
        <v>Herman</v>
      </c>
      <c r="F218" s="81" t="str">
        <f ca="1">LOWER(TRIM(_xlfn.XLOOKUP($A218,Строчный!$A:$A,Строчный!F:F,"ERR",0)))</f>
        <v>всесезон</v>
      </c>
      <c r="G218" s="81" t="str">
        <f ca="1">UPPER(TRIM(_xlfn.XLOOKUP($A218,Строчный!$A:$A,Строчный!G:G,"ERR",0)))</f>
        <v>HERMAN</v>
      </c>
      <c r="H218" s="81" t="str">
        <f ca="1">LOWER(TRIM(_xlfn.XLOOKUP($A218,Строчный!$A:$A,Строчный!H:H,"ERR",0)))</f>
        <v>blue</v>
      </c>
      <c r="I218" s="81" t="str">
        <f ca="1">LOWER(TRIM(_xlfn.XLOOKUP($A218,Строчный!$A:$A,Строчный!I:I,"ERR",0)))</f>
        <v>синий</v>
      </c>
      <c r="J218" s="81" t="str">
        <f ca="1">SUBSTITUTE(LOWER(TRIM(_xlfn.XLOOKUP($A218,Строчный!$A:$A,Строчный!J:J,"ERR",0))),"подклад","Подклад")</f>
        <v>60% полиэстер - 20% шерсть - 20% акрил</v>
      </c>
      <c r="K218" s="81" t="str">
        <f ca="1">LOWER(TRIM(_xlfn.XLOOKUP($A218,Строчный!$A:$A,Строчный!K:K,"ERR",0)))</f>
        <v>шерстяные</v>
      </c>
      <c r="L218" s="81" t="str">
        <f ca="1">PROPER(TRIM(_xlfn.XLOOKUP($A218,Строчный!$A:$A,Строчный!L:L,"ERR",0)))</f>
        <v>Унисекс</v>
      </c>
      <c r="M218" s="113" t="str">
        <f ca="1">PROPER(TRIM(_xlfn.XLOOKUP($A218,Строчный!$A:$A,Строчный!M:M,"ERR",0)))</f>
        <v>Италия</v>
      </c>
      <c r="N218" s="81" t="str">
        <f ca="1">UPPER(TRIM(_xlfn.XLOOKUP($A218,Строчный!$A:$A,Строчный!O:O,"ERR",0)))</f>
        <v/>
      </c>
      <c r="O218" s="102" t="str">
        <f ca="1">PROPER(TRIM(_xlfn.XLOOKUP($A218,Строчный!$A:$A,Строчный!P:P,"ERR",0)))</f>
        <v/>
      </c>
      <c r="P218" s="81" t="str">
        <f ca="1">PROPER(TRIM(_xlfn.XLOOKUP($A218,Строчный!$A:$A,Строчный!R:R,"ERR",0)))</f>
        <v/>
      </c>
      <c r="Q218" s="90">
        <f ca="1">VALUE(_xlfn.XLOOKUP($A218,Строчный!$A:$A,Строчный!N:N,"ERR",0))</f>
        <v>135</v>
      </c>
      <c r="R218" s="89" t="str">
        <f ca="1">_xlfn.XLOOKUP($G218,Фабрика!A:A,Фабрика!B:B,"ERR",0)</f>
        <v>Chapellerie Herman S.A.; Rue Jean Meunier, 6, 6922 Wellin, Belgium</v>
      </c>
      <c r="S218" s="80" t="str">
        <f ca="1">_xlfn.XLOOKUP(RIGHT(AA218,2),Размеры!D:D,Размеры!A:A,"ERR",0)</f>
        <v>55</v>
      </c>
      <c r="T218" s="80">
        <f ca="1">VALUE(_xlfn.XLOOKUP($AA218,Строчный!$S:$S,Строчный!U:U,"ERR",0))</f>
        <v>1</v>
      </c>
      <c r="U218" s="14" t="s">
        <v>265</v>
      </c>
      <c r="V218" s="101" t="str">
        <f t="shared" ca="1" si="18"/>
        <v>Кепка HERMAN арт. RANGE 013 (синий)</v>
      </c>
      <c r="W218" s="100" t="str">
        <f t="shared" ca="1" si="19"/>
        <v>Кепка HERMAN арт. RANGE 013 (синий) {blue}</v>
      </c>
      <c r="X218" s="18" t="str">
        <f t="shared" ca="1" si="20"/>
        <v>синий</v>
      </c>
      <c r="Y218" s="18" t="str">
        <f t="shared" ca="1" si="21"/>
        <v>синий</v>
      </c>
      <c r="Z218" s="117" t="str">
        <f ca="1">_xlfn.LET(_xlpm.FormColors,_xlfn.XLOOKUP(A218,Строчный!A:A,Строчный!Q:Q,"",0),IF(_xlpm.FormColors=0,IFERROR(MID(I218,FIND("-",I218)+1,LEN(I218)),IFERROR(MID(I218,1,FIND("/",I218)-2),I218)),_xlpm.FormColors))</f>
        <v>синий</v>
      </c>
      <c r="AA218" s="73" t="str">
        <f ca="1"/>
        <v>80-637-06-55</v>
      </c>
      <c r="AB218" s="75" t="str">
        <f ca="1">VLOOKUP(C218,Группа!A:B,2,FALSE)</f>
        <v>Кепка</v>
      </c>
      <c r="AC218" s="97" t="str">
        <f ca="1">IFERROR(VLOOKUP(S218,Размеры!A:C,3,FALSE),"")</f>
        <v>55 S</v>
      </c>
      <c r="AD218" s="97" t="str">
        <f ca="1">VLOOKUP(I218,ЦветПолный!A:B,2,FALSE)</f>
        <v>06</v>
      </c>
      <c r="AE218" s="97" t="str">
        <f ca="1">IFERROR(VLOOKUP(S218,Размеры!A:D,4,FALSE),"")</f>
        <v>55</v>
      </c>
      <c r="AF218" s="97">
        <f ca="1">IF(LEFT(IFERROR(VLOOKUP(LOOKUP(2,1/SEARCH(B218,Товары!A:A),Товары!A:A),Товары!A:B,2,0),""),6)=MID(AA218,1,6),1,0)</f>
        <v>1</v>
      </c>
      <c r="AH218" s="97">
        <f ca="1">SUMIF(Группа!A:A,C218,Группа!C:C)</f>
        <v>1</v>
      </c>
      <c r="AI218" s="97">
        <f ca="1">SUMIF(Группа!B:B,AB218,Группа!C:C)</f>
        <v>1</v>
      </c>
      <c r="AJ218" s="97">
        <f ca="1">SUMIF(Формы!A:A,D218,Формы!B:B)</f>
        <v>1</v>
      </c>
      <c r="AK218" s="97">
        <f ca="1">SUMIF(Материал!A:A,K218,Материал!B:B)</f>
        <v>1</v>
      </c>
      <c r="AL218" s="97">
        <f ca="1">SUMIF(Размеры!A:A,S218,Размеры!E:E)</f>
        <v>1</v>
      </c>
      <c r="AM218" s="97">
        <f ca="1">SUMIF(Сезон!A:A,F218,Сезон!B:B)</f>
        <v>1</v>
      </c>
      <c r="AN218" s="97">
        <f ca="1">SUMIF(Состав!A:A,J218,Состав!B:B)</f>
        <v>1</v>
      </c>
      <c r="AO218" s="97">
        <f ca="1">VLOOKUP(I218,ЦветПолный!A:C,3,0)</f>
        <v>1</v>
      </c>
      <c r="AP218" s="97">
        <f ca="1">SUMIF(Цвет!A:A,Z218,Цвет!B:B)</f>
        <v>1</v>
      </c>
      <c r="AQ218" s="97">
        <f ca="1">_xlfn.XLOOKUP(L218,Пол!A:A,Пол!B:B,0,0)</f>
        <v>1</v>
      </c>
      <c r="AR218" s="97">
        <f ca="1">SUMIF(Бренд!A:A,G218,Бренд!B:B)</f>
        <v>1</v>
      </c>
      <c r="AS218" s="97">
        <f ca="1">SUMIF(Страна!A:A,M218,Страна!B:B)</f>
        <v>1</v>
      </c>
      <c r="AT218" s="64" t="str">
        <f ca="1">IF(VLOOKUP(W218,Товары!A:B,2,FALSE)=A218,"Есть в 1С","ERR")</f>
        <v>Есть в 1С</v>
      </c>
      <c r="AU218" s="65" t="str">
        <f ca="1">IF(VLOOKUP(A218,Товары!B:B,1,FALSE)=A218,"Есть в 1С","ERR")</f>
        <v>Есть в 1С</v>
      </c>
      <c r="AV218" s="96" t="str">
        <f ca="1">VLOOKUP(W218,Товары!A:B,2,FALSE)</f>
        <v>80-637-06</v>
      </c>
      <c r="AW218" s="94" t="str">
        <f ca="1">VLOOKUP(W218,Товары!A:B,1,FALSE)</f>
        <v>Кепка HERMAN арт. RANGE 013 (синий) {blue}</v>
      </c>
    </row>
    <row r="219" spans="1:49" x14ac:dyDescent="0.25">
      <c r="A219" s="110" t="str">
        <f t="shared" ca="1" si="17"/>
        <v>80-633-08</v>
      </c>
      <c r="B219" s="107" t="str">
        <f ca="1">_xlfn.LET(_xlpm.CAPS,0,_xlpm.Style,TRIM(_xlfn.XLOOKUP($A219,Строчный!$A:$A,Строчный!B:B,"ERR",0)),IF(_xlpm.CAPS=0,_xlpm.Style,UPPER(_xlpm.Style)))</f>
        <v>RANGE 003</v>
      </c>
      <c r="C219" s="81" t="str">
        <f ca="1">TRIM(PROPER(_xlfn.XLOOKUP($A219,Строчный!$A:$A,Строчный!C:C,"ERR",0)))</f>
        <v>Кепки</v>
      </c>
      <c r="D219" s="81" t="str">
        <f ca="1">_xlfn.LET(_xlpm.DATA,TRIM(_xlfn.XLOOKUP($A219,Строчный!$A:$A,Строчный!D:D,"ERR",0)),UPPER(MID(_xlpm.DATA,1,1))&amp;LOWER(MID(_xlpm.DATA,2,LEN(_xlpm.DATA)-1)))</f>
        <v>Кепка уточка</v>
      </c>
      <c r="E219" s="81" t="str">
        <f ca="1">PROPER(TRIM(_xlfn.XLOOKUP($A219,Строчный!$A:$A,Строчный!E:E,"ERR",0)))</f>
        <v>Herman</v>
      </c>
      <c r="F219" s="81" t="str">
        <f ca="1">LOWER(TRIM(_xlfn.XLOOKUP($A219,Строчный!$A:$A,Строчный!F:F,"ERR",0)))</f>
        <v>всесезон</v>
      </c>
      <c r="G219" s="81" t="str">
        <f ca="1">UPPER(TRIM(_xlfn.XLOOKUP($A219,Строчный!$A:$A,Строчный!G:G,"ERR",0)))</f>
        <v>HERMAN</v>
      </c>
      <c r="H219" s="81" t="str">
        <f ca="1">LOWER(TRIM(_xlfn.XLOOKUP($A219,Строчный!$A:$A,Строчный!H:H,"ERR",0)))</f>
        <v>grey</v>
      </c>
      <c r="I219" s="81" t="str">
        <f ca="1">LOWER(TRIM(_xlfn.XLOOKUP($A219,Строчный!$A:$A,Строчный!I:I,"ERR",0)))</f>
        <v>серый</v>
      </c>
      <c r="J219" s="81" t="str">
        <f ca="1">SUBSTITUTE(LOWER(TRIM(_xlfn.XLOOKUP($A219,Строчный!$A:$A,Строчный!J:J,"ERR",0))),"подклад","Подклад")</f>
        <v>50% шерсть - 45% полиэстер - 5% полиамид</v>
      </c>
      <c r="K219" s="81" t="str">
        <f ca="1">LOWER(TRIM(_xlfn.XLOOKUP($A219,Строчный!$A:$A,Строчный!K:K,"ERR",0)))</f>
        <v>шерстяные</v>
      </c>
      <c r="L219" s="81" t="str">
        <f ca="1">PROPER(TRIM(_xlfn.XLOOKUP($A219,Строчный!$A:$A,Строчный!L:L,"ERR",0)))</f>
        <v>Унисекс</v>
      </c>
      <c r="M219" s="113" t="str">
        <f ca="1">PROPER(TRIM(_xlfn.XLOOKUP($A219,Строчный!$A:$A,Строчный!M:M,"ERR",0)))</f>
        <v>Италия</v>
      </c>
      <c r="N219" s="81" t="str">
        <f ca="1">UPPER(TRIM(_xlfn.XLOOKUP($A219,Строчный!$A:$A,Строчный!O:O,"ERR",0)))</f>
        <v/>
      </c>
      <c r="O219" s="102" t="str">
        <f ca="1">PROPER(TRIM(_xlfn.XLOOKUP($A219,Строчный!$A:$A,Строчный!P:P,"ERR",0)))</f>
        <v/>
      </c>
      <c r="P219" s="81" t="str">
        <f ca="1">PROPER(TRIM(_xlfn.XLOOKUP($A219,Строчный!$A:$A,Строчный!R:R,"ERR",0)))</f>
        <v/>
      </c>
      <c r="Q219" s="90">
        <f ca="1">VALUE(_xlfn.XLOOKUP($A219,Строчный!$A:$A,Строчный!N:N,"ERR",0))</f>
        <v>270</v>
      </c>
      <c r="R219" s="89" t="str">
        <f ca="1">_xlfn.XLOOKUP($G219,Фабрика!A:A,Фабрика!B:B,"ERR",0)</f>
        <v>Chapellerie Herman S.A.; Rue Jean Meunier, 6, 6922 Wellin, Belgium</v>
      </c>
      <c r="S219" s="80" t="str">
        <f ca="1">_xlfn.XLOOKUP(RIGHT(AA219,2),Размеры!D:D,Размеры!A:A,"ERR",0)</f>
        <v>57</v>
      </c>
      <c r="T219" s="80">
        <f ca="1">VALUE(_xlfn.XLOOKUP($AA219,Строчный!$S:$S,Строчный!U:U,"ERR",0))</f>
        <v>5</v>
      </c>
      <c r="U219" s="14" t="s">
        <v>265</v>
      </c>
      <c r="V219" s="101" t="str">
        <f t="shared" ca="1" si="18"/>
        <v>Кепка HERMAN арт. RANGE 003 (серый)</v>
      </c>
      <c r="W219" s="100" t="str">
        <f t="shared" ca="1" si="19"/>
        <v>Кепка HERMAN арт. RANGE 003 (серый) {grey}</v>
      </c>
      <c r="X219" s="18" t="str">
        <f t="shared" ca="1" si="20"/>
        <v>серый</v>
      </c>
      <c r="Y219" s="18" t="str">
        <f t="shared" ca="1" si="21"/>
        <v>серый</v>
      </c>
      <c r="Z219" s="117" t="str">
        <f ca="1">_xlfn.LET(_xlpm.FormColors,_xlfn.XLOOKUP(A219,Строчный!A:A,Строчный!Q:Q,"",0),IF(_xlpm.FormColors=0,IFERROR(MID(I219,FIND("-",I219)+1,LEN(I219)),IFERROR(MID(I219,1,FIND("/",I219)-2),I219)),_xlpm.FormColors))</f>
        <v>серый</v>
      </c>
      <c r="AA219" s="73" t="str">
        <f ca="1"/>
        <v>80-633-08-57</v>
      </c>
      <c r="AB219" s="75" t="str">
        <f ca="1">VLOOKUP(C219,Группа!A:B,2,FALSE)</f>
        <v>Кепка</v>
      </c>
      <c r="AC219" s="97" t="str">
        <f ca="1">IFERROR(VLOOKUP(S219,Размеры!A:C,3,FALSE),"")</f>
        <v>57 M</v>
      </c>
      <c r="AD219" s="97" t="str">
        <f ca="1">VLOOKUP(I219,ЦветПолный!A:B,2,FALSE)</f>
        <v>80</v>
      </c>
      <c r="AE219" s="97" t="str">
        <f ca="1">IFERROR(VLOOKUP(S219,Размеры!A:D,4,FALSE),"")</f>
        <v>57</v>
      </c>
      <c r="AF219" s="97">
        <f ca="1">IF(LEFT(IFERROR(VLOOKUP(LOOKUP(2,1/SEARCH(B219,Товары!A:A),Товары!A:A),Товары!A:B,2,0),""),6)=MID(AA219,1,6),1,0)</f>
        <v>1</v>
      </c>
      <c r="AH219" s="97">
        <f ca="1">SUMIF(Группа!A:A,C219,Группа!C:C)</f>
        <v>1</v>
      </c>
      <c r="AI219" s="97">
        <f ca="1">SUMIF(Группа!B:B,AB219,Группа!C:C)</f>
        <v>1</v>
      </c>
      <c r="AJ219" s="97">
        <f ca="1">SUMIF(Формы!A:A,D219,Формы!B:B)</f>
        <v>1</v>
      </c>
      <c r="AK219" s="97">
        <f ca="1">SUMIF(Материал!A:A,K219,Материал!B:B)</f>
        <v>1</v>
      </c>
      <c r="AL219" s="97">
        <f ca="1">SUMIF(Размеры!A:A,S219,Размеры!E:E)</f>
        <v>1</v>
      </c>
      <c r="AM219" s="97">
        <f ca="1">SUMIF(Сезон!A:A,F219,Сезон!B:B)</f>
        <v>1</v>
      </c>
      <c r="AN219" s="97">
        <f ca="1">SUMIF(Состав!A:A,J219,Состав!B:B)</f>
        <v>1</v>
      </c>
      <c r="AO219" s="97">
        <f ca="1">VLOOKUP(I219,ЦветПолный!A:C,3,0)</f>
        <v>1</v>
      </c>
      <c r="AP219" s="97">
        <f ca="1">SUMIF(Цвет!A:A,Z219,Цвет!B:B)</f>
        <v>1</v>
      </c>
      <c r="AQ219" s="97">
        <f ca="1">_xlfn.XLOOKUP(L219,Пол!A:A,Пол!B:B,0,0)</f>
        <v>1</v>
      </c>
      <c r="AR219" s="97">
        <f ca="1">SUMIF(Бренд!A:A,G219,Бренд!B:B)</f>
        <v>1</v>
      </c>
      <c r="AS219" s="97">
        <f ca="1">SUMIF(Страна!A:A,M219,Страна!B:B)</f>
        <v>1</v>
      </c>
      <c r="AT219" s="64" t="str">
        <f ca="1">IF(VLOOKUP(W219,Товары!A:B,2,FALSE)=A219,"Есть в 1С","ERR")</f>
        <v>Есть в 1С</v>
      </c>
      <c r="AU219" s="65" t="str">
        <f ca="1">IF(VLOOKUP(A219,Товары!B:B,1,FALSE)=A219,"Есть в 1С","ERR")</f>
        <v>Есть в 1С</v>
      </c>
      <c r="AV219" s="96" t="str">
        <f ca="1">VLOOKUP(W219,Товары!A:B,2,FALSE)</f>
        <v>80-633-08</v>
      </c>
      <c r="AW219" s="94" t="str">
        <f ca="1">VLOOKUP(W219,Товары!A:B,1,FALSE)</f>
        <v>Кепка HERMAN арт. RANGE 003 (серый) {grey}</v>
      </c>
    </row>
    <row r="220" spans="1:49" x14ac:dyDescent="0.25">
      <c r="A220" s="110" t="str">
        <f t="shared" ca="1" si="17"/>
        <v>80-632-14</v>
      </c>
      <c r="B220" s="107" t="str">
        <f ca="1">_xlfn.LET(_xlpm.CAPS,0,_xlpm.Style,TRIM(_xlfn.XLOOKUP($A220,Строчный!$A:$A,Строчный!B:B,"ERR",0)),IF(_xlpm.CAPS=0,_xlpm.Style,UPPER(_xlpm.Style)))</f>
        <v>DISPATCH 002</v>
      </c>
      <c r="C220" s="81" t="str">
        <f ca="1">TRIM(PROPER(_xlfn.XLOOKUP($A220,Строчный!$A:$A,Строчный!C:C,"ERR",0)))</f>
        <v>Кепки</v>
      </c>
      <c r="D220" s="81" t="str">
        <f ca="1">_xlfn.LET(_xlpm.DATA,TRIM(_xlfn.XLOOKUP($A220,Строчный!$A:$A,Строчный!D:D,"ERR",0)),UPPER(MID(_xlpm.DATA,1,1))&amp;LOWER(MID(_xlpm.DATA,2,LEN(_xlpm.DATA)-1)))</f>
        <v>Кепка уточка</v>
      </c>
      <c r="E220" s="81" t="str">
        <f ca="1">PROPER(TRIM(_xlfn.XLOOKUP($A220,Строчный!$A:$A,Строчный!E:E,"ERR",0)))</f>
        <v>Herman</v>
      </c>
      <c r="F220" s="81" t="str">
        <f ca="1">LOWER(TRIM(_xlfn.XLOOKUP($A220,Строчный!$A:$A,Строчный!F:F,"ERR",0)))</f>
        <v>всесезон</v>
      </c>
      <c r="G220" s="81" t="str">
        <f ca="1">UPPER(TRIM(_xlfn.XLOOKUP($A220,Строчный!$A:$A,Строчный!G:G,"ERR",0)))</f>
        <v>HERMAN</v>
      </c>
      <c r="H220" s="81" t="str">
        <f ca="1">LOWER(TRIM(_xlfn.XLOOKUP($A220,Строчный!$A:$A,Строчный!H:H,"ERR",0)))</f>
        <v>brown</v>
      </c>
      <c r="I220" s="81" t="str">
        <f ca="1">LOWER(TRIM(_xlfn.XLOOKUP($A220,Строчный!$A:$A,Строчный!I:I,"ERR",0)))</f>
        <v>коричневый</v>
      </c>
      <c r="J220" s="81" t="str">
        <f ca="1">SUBSTITUTE(LOWER(TRIM(_xlfn.XLOOKUP($A220,Строчный!$A:$A,Строчный!J:J,"ERR",0))),"подклад","Подклад")</f>
        <v>100% шерсть</v>
      </c>
      <c r="K220" s="81" t="str">
        <f ca="1">LOWER(TRIM(_xlfn.XLOOKUP($A220,Строчный!$A:$A,Строчный!K:K,"ERR",0)))</f>
        <v>шерстяные</v>
      </c>
      <c r="L220" s="81" t="str">
        <f ca="1">PROPER(TRIM(_xlfn.XLOOKUP($A220,Строчный!$A:$A,Строчный!L:L,"ERR",0)))</f>
        <v>Унисекс</v>
      </c>
      <c r="M220" s="113" t="str">
        <f ca="1">PROPER(TRIM(_xlfn.XLOOKUP($A220,Строчный!$A:$A,Строчный!M:M,"ERR",0)))</f>
        <v>Италия</v>
      </c>
      <c r="N220" s="81" t="str">
        <f ca="1">UPPER(TRIM(_xlfn.XLOOKUP($A220,Строчный!$A:$A,Строчный!O:O,"ERR",0)))</f>
        <v/>
      </c>
      <c r="O220" s="102" t="str">
        <f ca="1">PROPER(TRIM(_xlfn.XLOOKUP($A220,Строчный!$A:$A,Строчный!P:P,"ERR",0)))</f>
        <v/>
      </c>
      <c r="P220" s="81" t="str">
        <f ca="1">PROPER(TRIM(_xlfn.XLOOKUP($A220,Строчный!$A:$A,Строчный!R:R,"ERR",0)))</f>
        <v/>
      </c>
      <c r="Q220" s="90">
        <f ca="1">VALUE(_xlfn.XLOOKUP($A220,Строчный!$A:$A,Строчный!N:N,"ERR",0))</f>
        <v>360</v>
      </c>
      <c r="R220" s="89" t="str">
        <f ca="1">_xlfn.XLOOKUP($G220,Фабрика!A:A,Фабрика!B:B,"ERR",0)</f>
        <v>Chapellerie Herman S.A.; Rue Jean Meunier, 6, 6922 Wellin, Belgium</v>
      </c>
      <c r="S220" s="80" t="str">
        <f ca="1">_xlfn.XLOOKUP(RIGHT(AA220,2),Размеры!D:D,Размеры!A:A,"ERR",0)</f>
        <v>59</v>
      </c>
      <c r="T220" s="80">
        <f ca="1">VALUE(_xlfn.XLOOKUP($AA220,Строчный!$S:$S,Строчный!U:U,"ERR",0))</f>
        <v>7</v>
      </c>
      <c r="U220" s="14" t="s">
        <v>265</v>
      </c>
      <c r="V220" s="101" t="str">
        <f t="shared" ca="1" si="18"/>
        <v>Кепка HERMAN арт. DISPATCH 002 (коричневый)</v>
      </c>
      <c r="W220" s="100" t="str">
        <f t="shared" ca="1" si="19"/>
        <v>Кепка HERMAN арт. DISPATCH 002 (коричневый) {brown}</v>
      </c>
      <c r="X220" s="18" t="str">
        <f t="shared" ca="1" si="20"/>
        <v>коричневый</v>
      </c>
      <c r="Y220" s="18" t="str">
        <f t="shared" ca="1" si="21"/>
        <v>коричневый</v>
      </c>
      <c r="Z220" s="117" t="str">
        <f ca="1">_xlfn.LET(_xlpm.FormColors,_xlfn.XLOOKUP(A220,Строчный!A:A,Строчный!Q:Q,"",0),IF(_xlpm.FormColors=0,IFERROR(MID(I220,FIND("-",I220)+1,LEN(I220)),IFERROR(MID(I220,1,FIND("/",I220)-2),I220)),_xlpm.FormColors))</f>
        <v>коричневый</v>
      </c>
      <c r="AA220" s="73" t="str">
        <f ca="1"/>
        <v>80-632-14-59</v>
      </c>
      <c r="AB220" s="75" t="str">
        <f ca="1">VLOOKUP(C220,Группа!A:B,2,FALSE)</f>
        <v>Кепка</v>
      </c>
      <c r="AC220" s="97" t="str">
        <f ca="1">IFERROR(VLOOKUP(S220,Размеры!A:C,3,FALSE),"")</f>
        <v>59 L</v>
      </c>
      <c r="AD220" s="97" t="str">
        <f ca="1">VLOOKUP(I220,ЦветПолный!A:B,2,FALSE)</f>
        <v>14</v>
      </c>
      <c r="AE220" s="97" t="str">
        <f ca="1">IFERROR(VLOOKUP(S220,Размеры!A:D,4,FALSE),"")</f>
        <v>59</v>
      </c>
      <c r="AF220" s="97">
        <f ca="1">IF(LEFT(IFERROR(VLOOKUP(LOOKUP(2,1/SEARCH(B220,Товары!A:A),Товары!A:A),Товары!A:B,2,0),""),6)=MID(AA220,1,6),1,0)</f>
        <v>1</v>
      </c>
      <c r="AH220" s="97">
        <f ca="1">SUMIF(Группа!A:A,C220,Группа!C:C)</f>
        <v>1</v>
      </c>
      <c r="AI220" s="97">
        <f ca="1">SUMIF(Группа!B:B,AB220,Группа!C:C)</f>
        <v>1</v>
      </c>
      <c r="AJ220" s="97">
        <f ca="1">SUMIF(Формы!A:A,D220,Формы!B:B)</f>
        <v>1</v>
      </c>
      <c r="AK220" s="97">
        <f ca="1">SUMIF(Материал!A:A,K220,Материал!B:B)</f>
        <v>1</v>
      </c>
      <c r="AL220" s="97">
        <f ca="1">SUMIF(Размеры!A:A,S220,Размеры!E:E)</f>
        <v>1</v>
      </c>
      <c r="AM220" s="97">
        <f ca="1">SUMIF(Сезон!A:A,F220,Сезон!B:B)</f>
        <v>1</v>
      </c>
      <c r="AN220" s="97">
        <f ca="1">SUMIF(Состав!A:A,J220,Состав!B:B)</f>
        <v>1</v>
      </c>
      <c r="AO220" s="97">
        <f ca="1">VLOOKUP(I220,ЦветПолный!A:C,3,0)</f>
        <v>1</v>
      </c>
      <c r="AP220" s="97">
        <f ca="1">SUMIF(Цвет!A:A,Z220,Цвет!B:B)</f>
        <v>1</v>
      </c>
      <c r="AQ220" s="97">
        <f ca="1">_xlfn.XLOOKUP(L220,Пол!A:A,Пол!B:B,0,0)</f>
        <v>1</v>
      </c>
      <c r="AR220" s="97">
        <f ca="1">SUMIF(Бренд!A:A,G220,Бренд!B:B)</f>
        <v>1</v>
      </c>
      <c r="AS220" s="97">
        <f ca="1">SUMIF(Страна!A:A,M220,Страна!B:B)</f>
        <v>1</v>
      </c>
      <c r="AT220" s="64" t="str">
        <f ca="1">IF(VLOOKUP(W220,Товары!A:B,2,FALSE)=A220,"Есть в 1С","ERR")</f>
        <v>Есть в 1С</v>
      </c>
      <c r="AU220" s="65" t="str">
        <f ca="1">IF(VLOOKUP(A220,Товары!B:B,1,FALSE)=A220,"Есть в 1С","ERR")</f>
        <v>Есть в 1С</v>
      </c>
      <c r="AV220" s="96" t="str">
        <f ca="1">VLOOKUP(W220,Товары!A:B,2,FALSE)</f>
        <v>80-632-14</v>
      </c>
      <c r="AW220" s="94" t="str">
        <f ca="1">VLOOKUP(W220,Товары!A:B,1,FALSE)</f>
        <v>Кепка HERMAN арт. DISPATCH 002 (коричневый) {brown}</v>
      </c>
    </row>
    <row r="221" spans="1:49" x14ac:dyDescent="0.25">
      <c r="A221" s="110" t="str">
        <f t="shared" ca="1" si="17"/>
        <v>80-632-14</v>
      </c>
      <c r="B221" s="107" t="str">
        <f ca="1">_xlfn.LET(_xlpm.CAPS,0,_xlpm.Style,TRIM(_xlfn.XLOOKUP($A221,Строчный!$A:$A,Строчный!B:B,"ERR",0)),IF(_xlpm.CAPS=0,_xlpm.Style,UPPER(_xlpm.Style)))</f>
        <v>DISPATCH 002</v>
      </c>
      <c r="C221" s="81" t="str">
        <f ca="1">TRIM(PROPER(_xlfn.XLOOKUP($A221,Строчный!$A:$A,Строчный!C:C,"ERR",0)))</f>
        <v>Кепки</v>
      </c>
      <c r="D221" s="81" t="str">
        <f ca="1">_xlfn.LET(_xlpm.DATA,TRIM(_xlfn.XLOOKUP($A221,Строчный!$A:$A,Строчный!D:D,"ERR",0)),UPPER(MID(_xlpm.DATA,1,1))&amp;LOWER(MID(_xlpm.DATA,2,LEN(_xlpm.DATA)-1)))</f>
        <v>Кепка уточка</v>
      </c>
      <c r="E221" s="81" t="str">
        <f ca="1">PROPER(TRIM(_xlfn.XLOOKUP($A221,Строчный!$A:$A,Строчный!E:E,"ERR",0)))</f>
        <v>Herman</v>
      </c>
      <c r="F221" s="81" t="str">
        <f ca="1">LOWER(TRIM(_xlfn.XLOOKUP($A221,Строчный!$A:$A,Строчный!F:F,"ERR",0)))</f>
        <v>всесезон</v>
      </c>
      <c r="G221" s="81" t="str">
        <f ca="1">UPPER(TRIM(_xlfn.XLOOKUP($A221,Строчный!$A:$A,Строчный!G:G,"ERR",0)))</f>
        <v>HERMAN</v>
      </c>
      <c r="H221" s="81" t="str">
        <f ca="1">LOWER(TRIM(_xlfn.XLOOKUP($A221,Строчный!$A:$A,Строчный!H:H,"ERR",0)))</f>
        <v>brown</v>
      </c>
      <c r="I221" s="81" t="str">
        <f ca="1">LOWER(TRIM(_xlfn.XLOOKUP($A221,Строчный!$A:$A,Строчный!I:I,"ERR",0)))</f>
        <v>коричневый</v>
      </c>
      <c r="J221" s="81" t="str">
        <f ca="1">SUBSTITUTE(LOWER(TRIM(_xlfn.XLOOKUP($A221,Строчный!$A:$A,Строчный!J:J,"ERR",0))),"подклад","Подклад")</f>
        <v>100% шерсть</v>
      </c>
      <c r="K221" s="81" t="str">
        <f ca="1">LOWER(TRIM(_xlfn.XLOOKUP($A221,Строчный!$A:$A,Строчный!K:K,"ERR",0)))</f>
        <v>шерстяные</v>
      </c>
      <c r="L221" s="81" t="str">
        <f ca="1">PROPER(TRIM(_xlfn.XLOOKUP($A221,Строчный!$A:$A,Строчный!L:L,"ERR",0)))</f>
        <v>Унисекс</v>
      </c>
      <c r="M221" s="113" t="str">
        <f ca="1">PROPER(TRIM(_xlfn.XLOOKUP($A221,Строчный!$A:$A,Строчный!M:M,"ERR",0)))</f>
        <v>Италия</v>
      </c>
      <c r="N221" s="81" t="str">
        <f ca="1">UPPER(TRIM(_xlfn.XLOOKUP($A221,Строчный!$A:$A,Строчный!O:O,"ERR",0)))</f>
        <v/>
      </c>
      <c r="O221" s="102" t="str">
        <f ca="1">PROPER(TRIM(_xlfn.XLOOKUP($A221,Строчный!$A:$A,Строчный!P:P,"ERR",0)))</f>
        <v/>
      </c>
      <c r="P221" s="81" t="str">
        <f ca="1">PROPER(TRIM(_xlfn.XLOOKUP($A221,Строчный!$A:$A,Строчный!R:R,"ERR",0)))</f>
        <v/>
      </c>
      <c r="Q221" s="90">
        <f ca="1">VALUE(_xlfn.XLOOKUP($A221,Строчный!$A:$A,Строчный!N:N,"ERR",0))</f>
        <v>360</v>
      </c>
      <c r="R221" s="89" t="str">
        <f ca="1">_xlfn.XLOOKUP($G221,Фабрика!A:A,Фабрика!B:B,"ERR",0)</f>
        <v>Chapellerie Herman S.A.; Rue Jean Meunier, 6, 6922 Wellin, Belgium</v>
      </c>
      <c r="S221" s="80" t="str">
        <f ca="1">_xlfn.XLOOKUP(RIGHT(AA221,2),Размеры!D:D,Размеры!A:A,"ERR",0)</f>
        <v>57</v>
      </c>
      <c r="T221" s="80">
        <f ca="1">VALUE(_xlfn.XLOOKUP($AA221,Строчный!$S:$S,Строчный!U:U,"ERR",0))</f>
        <v>4</v>
      </c>
      <c r="U221" s="14" t="s">
        <v>265</v>
      </c>
      <c r="V221" s="101" t="str">
        <f t="shared" ca="1" si="18"/>
        <v>Кепка HERMAN арт. DISPATCH 002 (коричневый)</v>
      </c>
      <c r="W221" s="100" t="str">
        <f t="shared" ca="1" si="19"/>
        <v>Кепка HERMAN арт. DISPATCH 002 (коричневый) {brown}</v>
      </c>
      <c r="X221" s="18" t="str">
        <f t="shared" ca="1" si="20"/>
        <v>коричневый</v>
      </c>
      <c r="Y221" s="18" t="str">
        <f t="shared" ca="1" si="21"/>
        <v>коричневый</v>
      </c>
      <c r="Z221" s="117" t="str">
        <f ca="1">_xlfn.LET(_xlpm.FormColors,_xlfn.XLOOKUP(A221,Строчный!A:A,Строчный!Q:Q,"",0),IF(_xlpm.FormColors=0,IFERROR(MID(I221,FIND("-",I221)+1,LEN(I221)),IFERROR(MID(I221,1,FIND("/",I221)-2),I221)),_xlpm.FormColors))</f>
        <v>коричневый</v>
      </c>
      <c r="AA221" s="73" t="str">
        <f ca="1"/>
        <v>80-632-14-57</v>
      </c>
      <c r="AB221" s="75" t="str">
        <f ca="1">VLOOKUP(C221,Группа!A:B,2,FALSE)</f>
        <v>Кепка</v>
      </c>
      <c r="AC221" s="97" t="str">
        <f ca="1">IFERROR(VLOOKUP(S221,Размеры!A:C,3,FALSE),"")</f>
        <v>57 M</v>
      </c>
      <c r="AD221" s="97" t="str">
        <f ca="1">VLOOKUP(I221,ЦветПолный!A:B,2,FALSE)</f>
        <v>14</v>
      </c>
      <c r="AE221" s="97" t="str">
        <f ca="1">IFERROR(VLOOKUP(S221,Размеры!A:D,4,FALSE),"")</f>
        <v>57</v>
      </c>
      <c r="AF221" s="97">
        <f ca="1">IF(LEFT(IFERROR(VLOOKUP(LOOKUP(2,1/SEARCH(B221,Товары!A:A),Товары!A:A),Товары!A:B,2,0),""),6)=MID(AA221,1,6),1,0)</f>
        <v>1</v>
      </c>
      <c r="AH221" s="97">
        <f ca="1">SUMIF(Группа!A:A,C221,Группа!C:C)</f>
        <v>1</v>
      </c>
      <c r="AI221" s="97">
        <f ca="1">SUMIF(Группа!B:B,AB221,Группа!C:C)</f>
        <v>1</v>
      </c>
      <c r="AJ221" s="97">
        <f ca="1">SUMIF(Формы!A:A,D221,Формы!B:B)</f>
        <v>1</v>
      </c>
      <c r="AK221" s="97">
        <f ca="1">SUMIF(Материал!A:A,K221,Материал!B:B)</f>
        <v>1</v>
      </c>
      <c r="AL221" s="97">
        <f ca="1">SUMIF(Размеры!A:A,S221,Размеры!E:E)</f>
        <v>1</v>
      </c>
      <c r="AM221" s="97">
        <f ca="1">SUMIF(Сезон!A:A,F221,Сезон!B:B)</f>
        <v>1</v>
      </c>
      <c r="AN221" s="97">
        <f ca="1">SUMIF(Состав!A:A,J221,Состав!B:B)</f>
        <v>1</v>
      </c>
      <c r="AO221" s="97">
        <f ca="1">VLOOKUP(I221,ЦветПолный!A:C,3,0)</f>
        <v>1</v>
      </c>
      <c r="AP221" s="97">
        <f ca="1">SUMIF(Цвет!A:A,Z221,Цвет!B:B)</f>
        <v>1</v>
      </c>
      <c r="AQ221" s="97">
        <f ca="1">_xlfn.XLOOKUP(L221,Пол!A:A,Пол!B:B,0,0)</f>
        <v>1</v>
      </c>
      <c r="AR221" s="97">
        <f ca="1">SUMIF(Бренд!A:A,G221,Бренд!B:B)</f>
        <v>1</v>
      </c>
      <c r="AS221" s="97">
        <f ca="1">SUMIF(Страна!A:A,M221,Страна!B:B)</f>
        <v>1</v>
      </c>
      <c r="AT221" s="64" t="str">
        <f ca="1">IF(VLOOKUP(W221,Товары!A:B,2,FALSE)=A221,"Есть в 1С","ERR")</f>
        <v>Есть в 1С</v>
      </c>
      <c r="AU221" s="65" t="str">
        <f ca="1">IF(VLOOKUP(A221,Товары!B:B,1,FALSE)=A221,"Есть в 1С","ERR")</f>
        <v>Есть в 1С</v>
      </c>
      <c r="AV221" s="96" t="str">
        <f ca="1">VLOOKUP(W221,Товары!A:B,2,FALSE)</f>
        <v>80-632-14</v>
      </c>
      <c r="AW221" s="94" t="str">
        <f ca="1">VLOOKUP(W221,Товары!A:B,1,FALSE)</f>
        <v>Кепка HERMAN арт. DISPATCH 002 (коричневый) {brown}</v>
      </c>
    </row>
    <row r="222" spans="1:49" x14ac:dyDescent="0.25">
      <c r="A222" s="110" t="str">
        <f t="shared" ca="1" si="17"/>
        <v>80-632-14</v>
      </c>
      <c r="B222" s="107" t="str">
        <f ca="1">_xlfn.LET(_xlpm.CAPS,0,_xlpm.Style,TRIM(_xlfn.XLOOKUP($A222,Строчный!$A:$A,Строчный!B:B,"ERR",0)),IF(_xlpm.CAPS=0,_xlpm.Style,UPPER(_xlpm.Style)))</f>
        <v>DISPATCH 002</v>
      </c>
      <c r="C222" s="81" t="str">
        <f ca="1">TRIM(PROPER(_xlfn.XLOOKUP($A222,Строчный!$A:$A,Строчный!C:C,"ERR",0)))</f>
        <v>Кепки</v>
      </c>
      <c r="D222" s="81" t="str">
        <f ca="1">_xlfn.LET(_xlpm.DATA,TRIM(_xlfn.XLOOKUP($A222,Строчный!$A:$A,Строчный!D:D,"ERR",0)),UPPER(MID(_xlpm.DATA,1,1))&amp;LOWER(MID(_xlpm.DATA,2,LEN(_xlpm.DATA)-1)))</f>
        <v>Кепка уточка</v>
      </c>
      <c r="E222" s="81" t="str">
        <f ca="1">PROPER(TRIM(_xlfn.XLOOKUP($A222,Строчный!$A:$A,Строчный!E:E,"ERR",0)))</f>
        <v>Herman</v>
      </c>
      <c r="F222" s="81" t="str">
        <f ca="1">LOWER(TRIM(_xlfn.XLOOKUP($A222,Строчный!$A:$A,Строчный!F:F,"ERR",0)))</f>
        <v>всесезон</v>
      </c>
      <c r="G222" s="81" t="str">
        <f ca="1">UPPER(TRIM(_xlfn.XLOOKUP($A222,Строчный!$A:$A,Строчный!G:G,"ERR",0)))</f>
        <v>HERMAN</v>
      </c>
      <c r="H222" s="81" t="str">
        <f ca="1">LOWER(TRIM(_xlfn.XLOOKUP($A222,Строчный!$A:$A,Строчный!H:H,"ERR",0)))</f>
        <v>brown</v>
      </c>
      <c r="I222" s="81" t="str">
        <f ca="1">LOWER(TRIM(_xlfn.XLOOKUP($A222,Строчный!$A:$A,Строчный!I:I,"ERR",0)))</f>
        <v>коричневый</v>
      </c>
      <c r="J222" s="81" t="str">
        <f ca="1">SUBSTITUTE(LOWER(TRIM(_xlfn.XLOOKUP($A222,Строчный!$A:$A,Строчный!J:J,"ERR",0))),"подклад","Подклад")</f>
        <v>100% шерсть</v>
      </c>
      <c r="K222" s="81" t="str">
        <f ca="1">LOWER(TRIM(_xlfn.XLOOKUP($A222,Строчный!$A:$A,Строчный!K:K,"ERR",0)))</f>
        <v>шерстяные</v>
      </c>
      <c r="L222" s="81" t="str">
        <f ca="1">PROPER(TRIM(_xlfn.XLOOKUP($A222,Строчный!$A:$A,Строчный!L:L,"ERR",0)))</f>
        <v>Унисекс</v>
      </c>
      <c r="M222" s="113" t="str">
        <f ca="1">PROPER(TRIM(_xlfn.XLOOKUP($A222,Строчный!$A:$A,Строчный!M:M,"ERR",0)))</f>
        <v>Италия</v>
      </c>
      <c r="N222" s="81" t="str">
        <f ca="1">UPPER(TRIM(_xlfn.XLOOKUP($A222,Строчный!$A:$A,Строчный!O:O,"ERR",0)))</f>
        <v/>
      </c>
      <c r="O222" s="102" t="str">
        <f ca="1">PROPER(TRIM(_xlfn.XLOOKUP($A222,Строчный!$A:$A,Строчный!P:P,"ERR",0)))</f>
        <v/>
      </c>
      <c r="P222" s="81" t="str">
        <f ca="1">PROPER(TRIM(_xlfn.XLOOKUP($A222,Строчный!$A:$A,Строчный!R:R,"ERR",0)))</f>
        <v/>
      </c>
      <c r="Q222" s="90">
        <f ca="1">VALUE(_xlfn.XLOOKUP($A222,Строчный!$A:$A,Строчный!N:N,"ERR",0))</f>
        <v>360</v>
      </c>
      <c r="R222" s="89" t="str">
        <f ca="1">_xlfn.XLOOKUP($G222,Фабрика!A:A,Фабрика!B:B,"ERR",0)</f>
        <v>Chapellerie Herman S.A.; Rue Jean Meunier, 6, 6922 Wellin, Belgium</v>
      </c>
      <c r="S222" s="80" t="str">
        <f ca="1">_xlfn.XLOOKUP(RIGHT(AA222,2),Размеры!D:D,Размеры!A:A,"ERR",0)</f>
        <v>55</v>
      </c>
      <c r="T222" s="80">
        <f ca="1">VALUE(_xlfn.XLOOKUP($AA222,Строчный!$S:$S,Строчный!U:U,"ERR",0))</f>
        <v>4</v>
      </c>
      <c r="U222" s="14" t="s">
        <v>265</v>
      </c>
      <c r="V222" s="101" t="str">
        <f t="shared" ca="1" si="18"/>
        <v>Кепка HERMAN арт. DISPATCH 002 (коричневый)</v>
      </c>
      <c r="W222" s="100" t="str">
        <f t="shared" ca="1" si="19"/>
        <v>Кепка HERMAN арт. DISPATCH 002 (коричневый) {brown}</v>
      </c>
      <c r="X222" s="18" t="str">
        <f t="shared" ca="1" si="20"/>
        <v>коричневый</v>
      </c>
      <c r="Y222" s="18" t="str">
        <f t="shared" ca="1" si="21"/>
        <v>коричневый</v>
      </c>
      <c r="Z222" s="117" t="str">
        <f ca="1">_xlfn.LET(_xlpm.FormColors,_xlfn.XLOOKUP(A222,Строчный!A:A,Строчный!Q:Q,"",0),IF(_xlpm.FormColors=0,IFERROR(MID(I222,FIND("-",I222)+1,LEN(I222)),IFERROR(MID(I222,1,FIND("/",I222)-2),I222)),_xlpm.FormColors))</f>
        <v>коричневый</v>
      </c>
      <c r="AA222" s="73" t="str">
        <f ca="1"/>
        <v>80-632-14-55</v>
      </c>
      <c r="AB222" s="75" t="str">
        <f ca="1">VLOOKUP(C222,Группа!A:B,2,FALSE)</f>
        <v>Кепка</v>
      </c>
      <c r="AC222" s="97" t="str">
        <f ca="1">IFERROR(VLOOKUP(S222,Размеры!A:C,3,FALSE),"")</f>
        <v>55 S</v>
      </c>
      <c r="AD222" s="97" t="str">
        <f ca="1">VLOOKUP(I222,ЦветПолный!A:B,2,FALSE)</f>
        <v>14</v>
      </c>
      <c r="AE222" s="97" t="str">
        <f ca="1">IFERROR(VLOOKUP(S222,Размеры!A:D,4,FALSE),"")</f>
        <v>55</v>
      </c>
      <c r="AF222" s="97">
        <f ca="1">IF(LEFT(IFERROR(VLOOKUP(LOOKUP(2,1/SEARCH(B222,Товары!A:A),Товары!A:A),Товары!A:B,2,0),""),6)=MID(AA222,1,6),1,0)</f>
        <v>1</v>
      </c>
      <c r="AH222" s="97">
        <f ca="1">SUMIF(Группа!A:A,C222,Группа!C:C)</f>
        <v>1</v>
      </c>
      <c r="AI222" s="97">
        <f ca="1">SUMIF(Группа!B:B,AB222,Группа!C:C)</f>
        <v>1</v>
      </c>
      <c r="AJ222" s="97">
        <f ca="1">SUMIF(Формы!A:A,D222,Формы!B:B)</f>
        <v>1</v>
      </c>
      <c r="AK222" s="97">
        <f ca="1">SUMIF(Материал!A:A,K222,Материал!B:B)</f>
        <v>1</v>
      </c>
      <c r="AL222" s="97">
        <f ca="1">SUMIF(Размеры!A:A,S222,Размеры!E:E)</f>
        <v>1</v>
      </c>
      <c r="AM222" s="97">
        <f ca="1">SUMIF(Сезон!A:A,F222,Сезон!B:B)</f>
        <v>1</v>
      </c>
      <c r="AN222" s="97">
        <f ca="1">SUMIF(Состав!A:A,J222,Состав!B:B)</f>
        <v>1</v>
      </c>
      <c r="AO222" s="97">
        <f ca="1">VLOOKUP(I222,ЦветПолный!A:C,3,0)</f>
        <v>1</v>
      </c>
      <c r="AP222" s="97">
        <f ca="1">SUMIF(Цвет!A:A,Z222,Цвет!B:B)</f>
        <v>1</v>
      </c>
      <c r="AQ222" s="97">
        <f ca="1">_xlfn.XLOOKUP(L222,Пол!A:A,Пол!B:B,0,0)</f>
        <v>1</v>
      </c>
      <c r="AR222" s="97">
        <f ca="1">SUMIF(Бренд!A:A,G222,Бренд!B:B)</f>
        <v>1</v>
      </c>
      <c r="AS222" s="97">
        <f ca="1">SUMIF(Страна!A:A,M222,Страна!B:B)</f>
        <v>1</v>
      </c>
      <c r="AT222" s="64" t="str">
        <f ca="1">IF(VLOOKUP(W222,Товары!A:B,2,FALSE)=A222,"Есть в 1С","ERR")</f>
        <v>Есть в 1С</v>
      </c>
      <c r="AU222" s="65" t="str">
        <f ca="1">IF(VLOOKUP(A222,Товары!B:B,1,FALSE)=A222,"Есть в 1С","ERR")</f>
        <v>Есть в 1С</v>
      </c>
      <c r="AV222" s="96" t="str">
        <f ca="1">VLOOKUP(W222,Товары!A:B,2,FALSE)</f>
        <v>80-632-14</v>
      </c>
      <c r="AW222" s="94" t="str">
        <f ca="1">VLOOKUP(W222,Товары!A:B,1,FALSE)</f>
        <v>Кепка HERMAN арт. DISPATCH 002 (коричневый) {brown}</v>
      </c>
    </row>
    <row r="223" spans="1:49" x14ac:dyDescent="0.25">
      <c r="A223" s="110" t="str">
        <f t="shared" ca="1" si="17"/>
        <v>80-632-08</v>
      </c>
      <c r="B223" s="107" t="str">
        <f ca="1">_xlfn.LET(_xlpm.CAPS,0,_xlpm.Style,TRIM(_xlfn.XLOOKUP($A223,Строчный!$A:$A,Строчный!B:B,"ERR",0)),IF(_xlpm.CAPS=0,_xlpm.Style,UPPER(_xlpm.Style)))</f>
        <v>DISPATCH 002</v>
      </c>
      <c r="C223" s="81" t="str">
        <f ca="1">TRIM(PROPER(_xlfn.XLOOKUP($A223,Строчный!$A:$A,Строчный!C:C,"ERR",0)))</f>
        <v>Кепки</v>
      </c>
      <c r="D223" s="81" t="str">
        <f ca="1">_xlfn.LET(_xlpm.DATA,TRIM(_xlfn.XLOOKUP($A223,Строчный!$A:$A,Строчный!D:D,"ERR",0)),UPPER(MID(_xlpm.DATA,1,1))&amp;LOWER(MID(_xlpm.DATA,2,LEN(_xlpm.DATA)-1)))</f>
        <v>Кепка уточка</v>
      </c>
      <c r="E223" s="81" t="str">
        <f ca="1">PROPER(TRIM(_xlfn.XLOOKUP($A223,Строчный!$A:$A,Строчный!E:E,"ERR",0)))</f>
        <v>Herman</v>
      </c>
      <c r="F223" s="81" t="str">
        <f ca="1">LOWER(TRIM(_xlfn.XLOOKUP($A223,Строчный!$A:$A,Строчный!F:F,"ERR",0)))</f>
        <v>всесезон</v>
      </c>
      <c r="G223" s="81" t="str">
        <f ca="1">UPPER(TRIM(_xlfn.XLOOKUP($A223,Строчный!$A:$A,Строчный!G:G,"ERR",0)))</f>
        <v>HERMAN</v>
      </c>
      <c r="H223" s="81" t="str">
        <f ca="1">LOWER(TRIM(_xlfn.XLOOKUP($A223,Строчный!$A:$A,Строчный!H:H,"ERR",0)))</f>
        <v>grey</v>
      </c>
      <c r="I223" s="81" t="str">
        <f ca="1">LOWER(TRIM(_xlfn.XLOOKUP($A223,Строчный!$A:$A,Строчный!I:I,"ERR",0)))</f>
        <v>серый</v>
      </c>
      <c r="J223" s="81" t="str">
        <f ca="1">SUBSTITUTE(LOWER(TRIM(_xlfn.XLOOKUP($A223,Строчный!$A:$A,Строчный!J:J,"ERR",0))),"подклад","Подклад")</f>
        <v>100% шерсть</v>
      </c>
      <c r="K223" s="81" t="str">
        <f ca="1">LOWER(TRIM(_xlfn.XLOOKUP($A223,Строчный!$A:$A,Строчный!K:K,"ERR",0)))</f>
        <v>шерстяные</v>
      </c>
      <c r="L223" s="81" t="str">
        <f ca="1">PROPER(TRIM(_xlfn.XLOOKUP($A223,Строчный!$A:$A,Строчный!L:L,"ERR",0)))</f>
        <v>Унисекс</v>
      </c>
      <c r="M223" s="113" t="str">
        <f ca="1">PROPER(TRIM(_xlfn.XLOOKUP($A223,Строчный!$A:$A,Строчный!M:M,"ERR",0)))</f>
        <v>Италия</v>
      </c>
      <c r="N223" s="81" t="str">
        <f ca="1">UPPER(TRIM(_xlfn.XLOOKUP($A223,Строчный!$A:$A,Строчный!O:O,"ERR",0)))</f>
        <v/>
      </c>
      <c r="O223" s="102" t="str">
        <f ca="1">PROPER(TRIM(_xlfn.XLOOKUP($A223,Строчный!$A:$A,Строчный!P:P,"ERR",0)))</f>
        <v/>
      </c>
      <c r="P223" s="81" t="str">
        <f ca="1">PROPER(TRIM(_xlfn.XLOOKUP($A223,Строчный!$A:$A,Строчный!R:R,"ERR",0)))</f>
        <v/>
      </c>
      <c r="Q223" s="90">
        <f ca="1">VALUE(_xlfn.XLOOKUP($A223,Строчный!$A:$A,Строчный!N:N,"ERR",0))</f>
        <v>360</v>
      </c>
      <c r="R223" s="89" t="str">
        <f ca="1">_xlfn.XLOOKUP($G223,Фабрика!A:A,Фабрика!B:B,"ERR",0)</f>
        <v>Chapellerie Herman S.A.; Rue Jean Meunier, 6, 6922 Wellin, Belgium</v>
      </c>
      <c r="S223" s="80" t="str">
        <f ca="1">_xlfn.XLOOKUP(RIGHT(AA223,2),Размеры!D:D,Размеры!A:A,"ERR",0)</f>
        <v>59</v>
      </c>
      <c r="T223" s="80">
        <f ca="1">VALUE(_xlfn.XLOOKUP($AA223,Строчный!$S:$S,Строчный!U:U,"ERR",0))</f>
        <v>18</v>
      </c>
      <c r="U223" s="14" t="s">
        <v>265</v>
      </c>
      <c r="V223" s="101" t="str">
        <f t="shared" ca="1" si="18"/>
        <v>Кепка HERMAN арт. DISPATCH 002 (серый)</v>
      </c>
      <c r="W223" s="100" t="str">
        <f t="shared" ca="1" si="19"/>
        <v>Кепка HERMAN арт. DISPATCH 002 (серый) {grey}</v>
      </c>
      <c r="X223" s="18" t="str">
        <f t="shared" ca="1" si="20"/>
        <v>серый</v>
      </c>
      <c r="Y223" s="18" t="str">
        <f t="shared" ca="1" si="21"/>
        <v>серый</v>
      </c>
      <c r="Z223" s="117" t="str">
        <f ca="1">_xlfn.LET(_xlpm.FormColors,_xlfn.XLOOKUP(A223,Строчный!A:A,Строчный!Q:Q,"",0),IF(_xlpm.FormColors=0,IFERROR(MID(I223,FIND("-",I223)+1,LEN(I223)),IFERROR(MID(I223,1,FIND("/",I223)-2),I223)),_xlpm.FormColors))</f>
        <v>серый</v>
      </c>
      <c r="AA223" s="73" t="str">
        <f ca="1"/>
        <v>80-632-08-59</v>
      </c>
      <c r="AB223" s="75" t="str">
        <f ca="1">VLOOKUP(C223,Группа!A:B,2,FALSE)</f>
        <v>Кепка</v>
      </c>
      <c r="AC223" s="97" t="str">
        <f ca="1">IFERROR(VLOOKUP(S223,Размеры!A:C,3,FALSE),"")</f>
        <v>59 L</v>
      </c>
      <c r="AD223" s="97" t="str">
        <f ca="1">VLOOKUP(I223,ЦветПолный!A:B,2,FALSE)</f>
        <v>80</v>
      </c>
      <c r="AE223" s="97" t="str">
        <f ca="1">IFERROR(VLOOKUP(S223,Размеры!A:D,4,FALSE),"")</f>
        <v>59</v>
      </c>
      <c r="AF223" s="97">
        <f ca="1">IF(LEFT(IFERROR(VLOOKUP(LOOKUP(2,1/SEARCH(B223,Товары!A:A),Товары!A:A),Товары!A:B,2,0),""),6)=MID(AA223,1,6),1,0)</f>
        <v>1</v>
      </c>
      <c r="AH223" s="97">
        <f ca="1">SUMIF(Группа!A:A,C223,Группа!C:C)</f>
        <v>1</v>
      </c>
      <c r="AI223" s="97">
        <f ca="1">SUMIF(Группа!B:B,AB223,Группа!C:C)</f>
        <v>1</v>
      </c>
      <c r="AJ223" s="97">
        <f ca="1">SUMIF(Формы!A:A,D223,Формы!B:B)</f>
        <v>1</v>
      </c>
      <c r="AK223" s="97">
        <f ca="1">SUMIF(Материал!A:A,K223,Материал!B:B)</f>
        <v>1</v>
      </c>
      <c r="AL223" s="97">
        <f ca="1">SUMIF(Размеры!A:A,S223,Размеры!E:E)</f>
        <v>1</v>
      </c>
      <c r="AM223" s="97">
        <f ca="1">SUMIF(Сезон!A:A,F223,Сезон!B:B)</f>
        <v>1</v>
      </c>
      <c r="AN223" s="97">
        <f ca="1">SUMIF(Состав!A:A,J223,Состав!B:B)</f>
        <v>1</v>
      </c>
      <c r="AO223" s="97">
        <f ca="1">VLOOKUP(I223,ЦветПолный!A:C,3,0)</f>
        <v>1</v>
      </c>
      <c r="AP223" s="97">
        <f ca="1">SUMIF(Цвет!A:A,Z223,Цвет!B:B)</f>
        <v>1</v>
      </c>
      <c r="AQ223" s="97">
        <f ca="1">_xlfn.XLOOKUP(L223,Пол!A:A,Пол!B:B,0,0)</f>
        <v>1</v>
      </c>
      <c r="AR223" s="97">
        <f ca="1">SUMIF(Бренд!A:A,G223,Бренд!B:B)</f>
        <v>1</v>
      </c>
      <c r="AS223" s="97">
        <f ca="1">SUMIF(Страна!A:A,M223,Страна!B:B)</f>
        <v>1</v>
      </c>
      <c r="AT223" s="64" t="str">
        <f ca="1">IF(VLOOKUP(W223,Товары!A:B,2,FALSE)=A223,"Есть в 1С","ERR")</f>
        <v>Есть в 1С</v>
      </c>
      <c r="AU223" s="65" t="str">
        <f ca="1">IF(VLOOKUP(A223,Товары!B:B,1,FALSE)=A223,"Есть в 1С","ERR")</f>
        <v>Есть в 1С</v>
      </c>
      <c r="AV223" s="96" t="str">
        <f ca="1">VLOOKUP(W223,Товары!A:B,2,FALSE)</f>
        <v>80-632-08</v>
      </c>
      <c r="AW223" s="94" t="str">
        <f ca="1">VLOOKUP(W223,Товары!A:B,1,FALSE)</f>
        <v>Кепка HERMAN арт. DISPATCH 002 (серый) {grey}</v>
      </c>
    </row>
    <row r="224" spans="1:49" x14ac:dyDescent="0.25">
      <c r="A224" s="110" t="str">
        <f t="shared" ca="1" si="17"/>
        <v>80-632-08</v>
      </c>
      <c r="B224" s="107" t="str">
        <f ca="1">_xlfn.LET(_xlpm.CAPS,0,_xlpm.Style,TRIM(_xlfn.XLOOKUP($A224,Строчный!$A:$A,Строчный!B:B,"ERR",0)),IF(_xlpm.CAPS=0,_xlpm.Style,UPPER(_xlpm.Style)))</f>
        <v>DISPATCH 002</v>
      </c>
      <c r="C224" s="81" t="str">
        <f ca="1">TRIM(PROPER(_xlfn.XLOOKUP($A224,Строчный!$A:$A,Строчный!C:C,"ERR",0)))</f>
        <v>Кепки</v>
      </c>
      <c r="D224" s="81" t="str">
        <f ca="1">_xlfn.LET(_xlpm.DATA,TRIM(_xlfn.XLOOKUP($A224,Строчный!$A:$A,Строчный!D:D,"ERR",0)),UPPER(MID(_xlpm.DATA,1,1))&amp;LOWER(MID(_xlpm.DATA,2,LEN(_xlpm.DATA)-1)))</f>
        <v>Кепка уточка</v>
      </c>
      <c r="E224" s="81" t="str">
        <f ca="1">PROPER(TRIM(_xlfn.XLOOKUP($A224,Строчный!$A:$A,Строчный!E:E,"ERR",0)))</f>
        <v>Herman</v>
      </c>
      <c r="F224" s="81" t="str">
        <f ca="1">LOWER(TRIM(_xlfn.XLOOKUP($A224,Строчный!$A:$A,Строчный!F:F,"ERR",0)))</f>
        <v>всесезон</v>
      </c>
      <c r="G224" s="81" t="str">
        <f ca="1">UPPER(TRIM(_xlfn.XLOOKUP($A224,Строчный!$A:$A,Строчный!G:G,"ERR",0)))</f>
        <v>HERMAN</v>
      </c>
      <c r="H224" s="81" t="str">
        <f ca="1">LOWER(TRIM(_xlfn.XLOOKUP($A224,Строчный!$A:$A,Строчный!H:H,"ERR",0)))</f>
        <v>grey</v>
      </c>
      <c r="I224" s="81" t="str">
        <f ca="1">LOWER(TRIM(_xlfn.XLOOKUP($A224,Строчный!$A:$A,Строчный!I:I,"ERR",0)))</f>
        <v>серый</v>
      </c>
      <c r="J224" s="81" t="str">
        <f ca="1">SUBSTITUTE(LOWER(TRIM(_xlfn.XLOOKUP($A224,Строчный!$A:$A,Строчный!J:J,"ERR",0))),"подклад","Подклад")</f>
        <v>100% шерсть</v>
      </c>
      <c r="K224" s="81" t="str">
        <f ca="1">LOWER(TRIM(_xlfn.XLOOKUP($A224,Строчный!$A:$A,Строчный!K:K,"ERR",0)))</f>
        <v>шерстяные</v>
      </c>
      <c r="L224" s="81" t="str">
        <f ca="1">PROPER(TRIM(_xlfn.XLOOKUP($A224,Строчный!$A:$A,Строчный!L:L,"ERR",0)))</f>
        <v>Унисекс</v>
      </c>
      <c r="M224" s="113" t="str">
        <f ca="1">PROPER(TRIM(_xlfn.XLOOKUP($A224,Строчный!$A:$A,Строчный!M:M,"ERR",0)))</f>
        <v>Италия</v>
      </c>
      <c r="N224" s="81" t="str">
        <f ca="1">UPPER(TRIM(_xlfn.XLOOKUP($A224,Строчный!$A:$A,Строчный!O:O,"ERR",0)))</f>
        <v/>
      </c>
      <c r="O224" s="102" t="str">
        <f ca="1">PROPER(TRIM(_xlfn.XLOOKUP($A224,Строчный!$A:$A,Строчный!P:P,"ERR",0)))</f>
        <v/>
      </c>
      <c r="P224" s="81" t="str">
        <f ca="1">PROPER(TRIM(_xlfn.XLOOKUP($A224,Строчный!$A:$A,Строчный!R:R,"ERR",0)))</f>
        <v/>
      </c>
      <c r="Q224" s="90">
        <f ca="1">VALUE(_xlfn.XLOOKUP($A224,Строчный!$A:$A,Строчный!N:N,"ERR",0))</f>
        <v>360</v>
      </c>
      <c r="R224" s="89" t="str">
        <f ca="1">_xlfn.XLOOKUP($G224,Фабрика!A:A,Фабрика!B:B,"ERR",0)</f>
        <v>Chapellerie Herman S.A.; Rue Jean Meunier, 6, 6922 Wellin, Belgium</v>
      </c>
      <c r="S224" s="80" t="str">
        <f ca="1">_xlfn.XLOOKUP(RIGHT(AA224,2),Размеры!D:D,Размеры!A:A,"ERR",0)</f>
        <v>56</v>
      </c>
      <c r="T224" s="80">
        <f ca="1">VALUE(_xlfn.XLOOKUP($AA224,Строчный!$S:$S,Строчный!U:U,"ERR",0))</f>
        <v>2</v>
      </c>
      <c r="U224" s="14" t="s">
        <v>265</v>
      </c>
      <c r="V224" s="101" t="str">
        <f t="shared" ca="1" si="18"/>
        <v>Кепка HERMAN арт. DISPATCH 002 (серый)</v>
      </c>
      <c r="W224" s="100" t="str">
        <f t="shared" ca="1" si="19"/>
        <v>Кепка HERMAN арт. DISPATCH 002 (серый) {grey}</v>
      </c>
      <c r="X224" s="18" t="str">
        <f t="shared" ca="1" si="20"/>
        <v>серый</v>
      </c>
      <c r="Y224" s="18" t="str">
        <f t="shared" ca="1" si="21"/>
        <v>серый</v>
      </c>
      <c r="Z224" s="117" t="str">
        <f ca="1">_xlfn.LET(_xlpm.FormColors,_xlfn.XLOOKUP(A224,Строчный!A:A,Строчный!Q:Q,"",0),IF(_xlpm.FormColors=0,IFERROR(MID(I224,FIND("-",I224)+1,LEN(I224)),IFERROR(MID(I224,1,FIND("/",I224)-2),I224)),_xlpm.FormColors))</f>
        <v>серый</v>
      </c>
      <c r="AA224" s="73" t="str">
        <f ca="1"/>
        <v>80-632-08-56</v>
      </c>
      <c r="AB224" s="75" t="str">
        <f ca="1">VLOOKUP(C224,Группа!A:B,2,FALSE)</f>
        <v>Кепка</v>
      </c>
      <c r="AC224" s="97" t="str">
        <f ca="1">IFERROR(VLOOKUP(S224,Размеры!A:C,3,FALSE),"")</f>
        <v>56 S/M</v>
      </c>
      <c r="AD224" s="97" t="str">
        <f ca="1">VLOOKUP(I224,ЦветПолный!A:B,2,FALSE)</f>
        <v>80</v>
      </c>
      <c r="AE224" s="97" t="str">
        <f ca="1">IFERROR(VLOOKUP(S224,Размеры!A:D,4,FALSE),"")</f>
        <v>56</v>
      </c>
      <c r="AF224" s="97">
        <f ca="1">IF(LEFT(IFERROR(VLOOKUP(LOOKUP(2,1/SEARCH(B224,Товары!A:A),Товары!A:A),Товары!A:B,2,0),""),6)=MID(AA224,1,6),1,0)</f>
        <v>1</v>
      </c>
      <c r="AH224" s="97">
        <f ca="1">SUMIF(Группа!A:A,C224,Группа!C:C)</f>
        <v>1</v>
      </c>
      <c r="AI224" s="97">
        <f ca="1">SUMIF(Группа!B:B,AB224,Группа!C:C)</f>
        <v>1</v>
      </c>
      <c r="AJ224" s="97">
        <f ca="1">SUMIF(Формы!A:A,D224,Формы!B:B)</f>
        <v>1</v>
      </c>
      <c r="AK224" s="97">
        <f ca="1">SUMIF(Материал!A:A,K224,Материал!B:B)</f>
        <v>1</v>
      </c>
      <c r="AL224" s="97">
        <f ca="1">SUMIF(Размеры!A:A,S224,Размеры!E:E)</f>
        <v>1</v>
      </c>
      <c r="AM224" s="97">
        <f ca="1">SUMIF(Сезон!A:A,F224,Сезон!B:B)</f>
        <v>1</v>
      </c>
      <c r="AN224" s="97">
        <f ca="1">SUMIF(Состав!A:A,J224,Состав!B:B)</f>
        <v>1</v>
      </c>
      <c r="AO224" s="97">
        <f ca="1">VLOOKUP(I224,ЦветПолный!A:C,3,0)</f>
        <v>1</v>
      </c>
      <c r="AP224" s="97">
        <f ca="1">SUMIF(Цвет!A:A,Z224,Цвет!B:B)</f>
        <v>1</v>
      </c>
      <c r="AQ224" s="97">
        <f ca="1">_xlfn.XLOOKUP(L224,Пол!A:A,Пол!B:B,0,0)</f>
        <v>1</v>
      </c>
      <c r="AR224" s="97">
        <f ca="1">SUMIF(Бренд!A:A,G224,Бренд!B:B)</f>
        <v>1</v>
      </c>
      <c r="AS224" s="97">
        <f ca="1">SUMIF(Страна!A:A,M224,Страна!B:B)</f>
        <v>1</v>
      </c>
      <c r="AT224" s="64" t="str">
        <f ca="1">IF(VLOOKUP(W224,Товары!A:B,2,FALSE)=A224,"Есть в 1С","ERR")</f>
        <v>Есть в 1С</v>
      </c>
      <c r="AU224" s="65" t="str">
        <f ca="1">IF(VLOOKUP(A224,Товары!B:B,1,FALSE)=A224,"Есть в 1С","ERR")</f>
        <v>Есть в 1С</v>
      </c>
      <c r="AV224" s="96" t="str">
        <f ca="1">VLOOKUP(W224,Товары!A:B,2,FALSE)</f>
        <v>80-632-08</v>
      </c>
      <c r="AW224" s="94" t="str">
        <f ca="1">VLOOKUP(W224,Товары!A:B,1,FALSE)</f>
        <v>Кепка HERMAN арт. DISPATCH 002 (серый) {grey}</v>
      </c>
    </row>
    <row r="225" spans="1:49" x14ac:dyDescent="0.25">
      <c r="A225" s="110" t="str">
        <f t="shared" ca="1" si="17"/>
        <v>80-632-08</v>
      </c>
      <c r="B225" s="107" t="str">
        <f ca="1">_xlfn.LET(_xlpm.CAPS,0,_xlpm.Style,TRIM(_xlfn.XLOOKUP($A225,Строчный!$A:$A,Строчный!B:B,"ERR",0)),IF(_xlpm.CAPS=0,_xlpm.Style,UPPER(_xlpm.Style)))</f>
        <v>DISPATCH 002</v>
      </c>
      <c r="C225" s="81" t="str">
        <f ca="1">TRIM(PROPER(_xlfn.XLOOKUP($A225,Строчный!$A:$A,Строчный!C:C,"ERR",0)))</f>
        <v>Кепки</v>
      </c>
      <c r="D225" s="81" t="str">
        <f ca="1">_xlfn.LET(_xlpm.DATA,TRIM(_xlfn.XLOOKUP($A225,Строчный!$A:$A,Строчный!D:D,"ERR",0)),UPPER(MID(_xlpm.DATA,1,1))&amp;LOWER(MID(_xlpm.DATA,2,LEN(_xlpm.DATA)-1)))</f>
        <v>Кепка уточка</v>
      </c>
      <c r="E225" s="81" t="str">
        <f ca="1">PROPER(TRIM(_xlfn.XLOOKUP($A225,Строчный!$A:$A,Строчный!E:E,"ERR",0)))</f>
        <v>Herman</v>
      </c>
      <c r="F225" s="81" t="str">
        <f ca="1">LOWER(TRIM(_xlfn.XLOOKUP($A225,Строчный!$A:$A,Строчный!F:F,"ERR",0)))</f>
        <v>всесезон</v>
      </c>
      <c r="G225" s="81" t="str">
        <f ca="1">UPPER(TRIM(_xlfn.XLOOKUP($A225,Строчный!$A:$A,Строчный!G:G,"ERR",0)))</f>
        <v>HERMAN</v>
      </c>
      <c r="H225" s="81" t="str">
        <f ca="1">LOWER(TRIM(_xlfn.XLOOKUP($A225,Строчный!$A:$A,Строчный!H:H,"ERR",0)))</f>
        <v>grey</v>
      </c>
      <c r="I225" s="81" t="str">
        <f ca="1">LOWER(TRIM(_xlfn.XLOOKUP($A225,Строчный!$A:$A,Строчный!I:I,"ERR",0)))</f>
        <v>серый</v>
      </c>
      <c r="J225" s="81" t="str">
        <f ca="1">SUBSTITUTE(LOWER(TRIM(_xlfn.XLOOKUP($A225,Строчный!$A:$A,Строчный!J:J,"ERR",0))),"подклад","Подклад")</f>
        <v>100% шерсть</v>
      </c>
      <c r="K225" s="81" t="str">
        <f ca="1">LOWER(TRIM(_xlfn.XLOOKUP($A225,Строчный!$A:$A,Строчный!K:K,"ERR",0)))</f>
        <v>шерстяные</v>
      </c>
      <c r="L225" s="81" t="str">
        <f ca="1">PROPER(TRIM(_xlfn.XLOOKUP($A225,Строчный!$A:$A,Строчный!L:L,"ERR",0)))</f>
        <v>Унисекс</v>
      </c>
      <c r="M225" s="113" t="str">
        <f ca="1">PROPER(TRIM(_xlfn.XLOOKUP($A225,Строчный!$A:$A,Строчный!M:M,"ERR",0)))</f>
        <v>Италия</v>
      </c>
      <c r="N225" s="81" t="str">
        <f ca="1">UPPER(TRIM(_xlfn.XLOOKUP($A225,Строчный!$A:$A,Строчный!O:O,"ERR",0)))</f>
        <v/>
      </c>
      <c r="O225" s="102" t="str">
        <f ca="1">PROPER(TRIM(_xlfn.XLOOKUP($A225,Строчный!$A:$A,Строчный!P:P,"ERR",0)))</f>
        <v/>
      </c>
      <c r="P225" s="81" t="str">
        <f ca="1">PROPER(TRIM(_xlfn.XLOOKUP($A225,Строчный!$A:$A,Строчный!R:R,"ERR",0)))</f>
        <v/>
      </c>
      <c r="Q225" s="90">
        <f ca="1">VALUE(_xlfn.XLOOKUP($A225,Строчный!$A:$A,Строчный!N:N,"ERR",0))</f>
        <v>360</v>
      </c>
      <c r="R225" s="89" t="str">
        <f ca="1">_xlfn.XLOOKUP($G225,Фабрика!A:A,Фабрика!B:B,"ERR",0)</f>
        <v>Chapellerie Herman S.A.; Rue Jean Meunier, 6, 6922 Wellin, Belgium</v>
      </c>
      <c r="S225" s="80" t="str">
        <f ca="1">_xlfn.XLOOKUP(RIGHT(AA225,2),Размеры!D:D,Размеры!A:A,"ERR",0)</f>
        <v>55</v>
      </c>
      <c r="T225" s="80">
        <f ca="1">VALUE(_xlfn.XLOOKUP($AA225,Строчный!$S:$S,Строчный!U:U,"ERR",0))</f>
        <v>6</v>
      </c>
      <c r="U225" s="14" t="s">
        <v>265</v>
      </c>
      <c r="V225" s="101" t="str">
        <f t="shared" ca="1" si="18"/>
        <v>Кепка HERMAN арт. DISPATCH 002 (серый)</v>
      </c>
      <c r="W225" s="100" t="str">
        <f t="shared" ca="1" si="19"/>
        <v>Кепка HERMAN арт. DISPATCH 002 (серый) {grey}</v>
      </c>
      <c r="X225" s="18" t="str">
        <f t="shared" ca="1" si="20"/>
        <v>серый</v>
      </c>
      <c r="Y225" s="18" t="str">
        <f t="shared" ca="1" si="21"/>
        <v>серый</v>
      </c>
      <c r="Z225" s="117" t="str">
        <f ca="1">_xlfn.LET(_xlpm.FormColors,_xlfn.XLOOKUP(A225,Строчный!A:A,Строчный!Q:Q,"",0),IF(_xlpm.FormColors=0,IFERROR(MID(I225,FIND("-",I225)+1,LEN(I225)),IFERROR(MID(I225,1,FIND("/",I225)-2),I225)),_xlpm.FormColors))</f>
        <v>серый</v>
      </c>
      <c r="AA225" s="73" t="str">
        <f ca="1"/>
        <v>80-632-08-55</v>
      </c>
      <c r="AB225" s="75" t="str">
        <f ca="1">VLOOKUP(C225,Группа!A:B,2,FALSE)</f>
        <v>Кепка</v>
      </c>
      <c r="AC225" s="97" t="str">
        <f ca="1">IFERROR(VLOOKUP(S225,Размеры!A:C,3,FALSE),"")</f>
        <v>55 S</v>
      </c>
      <c r="AD225" s="97" t="str">
        <f ca="1">VLOOKUP(I225,ЦветПолный!A:B,2,FALSE)</f>
        <v>80</v>
      </c>
      <c r="AE225" s="97" t="str">
        <f ca="1">IFERROR(VLOOKUP(S225,Размеры!A:D,4,FALSE),"")</f>
        <v>55</v>
      </c>
      <c r="AF225" s="97">
        <f ca="1">IF(LEFT(IFERROR(VLOOKUP(LOOKUP(2,1/SEARCH(B225,Товары!A:A),Товары!A:A),Товары!A:B,2,0),""),6)=MID(AA225,1,6),1,0)</f>
        <v>1</v>
      </c>
      <c r="AH225" s="97">
        <f ca="1">SUMIF(Группа!A:A,C225,Группа!C:C)</f>
        <v>1</v>
      </c>
      <c r="AI225" s="97">
        <f ca="1">SUMIF(Группа!B:B,AB225,Группа!C:C)</f>
        <v>1</v>
      </c>
      <c r="AJ225" s="97">
        <f ca="1">SUMIF(Формы!A:A,D225,Формы!B:B)</f>
        <v>1</v>
      </c>
      <c r="AK225" s="97">
        <f ca="1">SUMIF(Материал!A:A,K225,Материал!B:B)</f>
        <v>1</v>
      </c>
      <c r="AL225" s="97">
        <f ca="1">SUMIF(Размеры!A:A,S225,Размеры!E:E)</f>
        <v>1</v>
      </c>
      <c r="AM225" s="97">
        <f ca="1">SUMIF(Сезон!A:A,F225,Сезон!B:B)</f>
        <v>1</v>
      </c>
      <c r="AN225" s="97">
        <f ca="1">SUMIF(Состав!A:A,J225,Состав!B:B)</f>
        <v>1</v>
      </c>
      <c r="AO225" s="97">
        <f ca="1">VLOOKUP(I225,ЦветПолный!A:C,3,0)</f>
        <v>1</v>
      </c>
      <c r="AP225" s="97">
        <f ca="1">SUMIF(Цвет!A:A,Z225,Цвет!B:B)</f>
        <v>1</v>
      </c>
      <c r="AQ225" s="97">
        <f ca="1">_xlfn.XLOOKUP(L225,Пол!A:A,Пол!B:B,0,0)</f>
        <v>1</v>
      </c>
      <c r="AR225" s="97">
        <f ca="1">SUMIF(Бренд!A:A,G225,Бренд!B:B)</f>
        <v>1</v>
      </c>
      <c r="AS225" s="97">
        <f ca="1">SUMIF(Страна!A:A,M225,Страна!B:B)</f>
        <v>1</v>
      </c>
      <c r="AT225" s="64" t="str">
        <f ca="1">IF(VLOOKUP(W225,Товары!A:B,2,FALSE)=A225,"Есть в 1С","ERR")</f>
        <v>Есть в 1С</v>
      </c>
      <c r="AU225" s="65" t="str">
        <f ca="1">IF(VLOOKUP(A225,Товары!B:B,1,FALSE)=A225,"Есть в 1С","ERR")</f>
        <v>Есть в 1С</v>
      </c>
      <c r="AV225" s="96" t="str">
        <f ca="1">VLOOKUP(W225,Товары!A:B,2,FALSE)</f>
        <v>80-632-08</v>
      </c>
      <c r="AW225" s="94" t="str">
        <f ca="1">VLOOKUP(W225,Товары!A:B,1,FALSE)</f>
        <v>Кепка HERMAN арт. DISPATCH 002 (серый) {grey}</v>
      </c>
    </row>
    <row r="226" spans="1:49" x14ac:dyDescent="0.25">
      <c r="A226" s="110" t="str">
        <f t="shared" ca="1" si="17"/>
        <v>80-599-09</v>
      </c>
      <c r="B226" s="107" t="str">
        <f ca="1">_xlfn.LET(_xlpm.CAPS,0,_xlpm.Style,TRIM(_xlfn.XLOOKUP($A226,Строчный!$A:$A,Строчный!B:B,"ERR",0)),IF(_xlpm.CAPS=0,_xlpm.Style,UPPER(_xlpm.Style)))</f>
        <v>MAC MILLAN</v>
      </c>
      <c r="C226" s="81" t="str">
        <f ca="1">TRIM(PROPER(_xlfn.XLOOKUP($A226,Строчный!$A:$A,Строчный!C:C,"ERR",0)))</f>
        <v>Шляпы</v>
      </c>
      <c r="D226" s="81" t="str">
        <f ca="1">_xlfn.LET(_xlpm.DATA,TRIM(_xlfn.XLOOKUP($A226,Строчный!$A:$A,Строчный!D:D,"ERR",0)),UPPER(MID(_xlpm.DATA,1,1))&amp;LOWER(MID(_xlpm.DATA,2,LEN(_xlpm.DATA)-1)))</f>
        <v>Шляпа федора</v>
      </c>
      <c r="E226" s="81" t="str">
        <f ca="1">PROPER(TRIM(_xlfn.XLOOKUP($A226,Строчный!$A:$A,Строчный!E:E,"ERR",0)))</f>
        <v>Herman</v>
      </c>
      <c r="F226" s="81" t="str">
        <f ca="1">LOWER(TRIM(_xlfn.XLOOKUP($A226,Строчный!$A:$A,Строчный!F:F,"ERR",0)))</f>
        <v>всесезон</v>
      </c>
      <c r="G226" s="81" t="str">
        <f ca="1">UPPER(TRIM(_xlfn.XLOOKUP($A226,Строчный!$A:$A,Строчный!G:G,"ERR",0)))</f>
        <v>HERMAN</v>
      </c>
      <c r="H226" s="81" t="str">
        <f ca="1">LOWER(TRIM(_xlfn.XLOOKUP($A226,Строчный!$A:$A,Строчный!H:H,"ERR",0)))</f>
        <v>black</v>
      </c>
      <c r="I226" s="81" t="str">
        <f ca="1">LOWER(TRIM(_xlfn.XLOOKUP($A226,Строчный!$A:$A,Строчный!I:I,"ERR",0)))</f>
        <v>черный</v>
      </c>
      <c r="J226" s="81" t="str">
        <f ca="1">SUBSTITUTE(LOWER(TRIM(_xlfn.XLOOKUP($A226,Строчный!$A:$A,Строчный!J:J,"ERR",0))),"подклад","Подклад")</f>
        <v>100% шерсть</v>
      </c>
      <c r="K226" s="81" t="str">
        <f ca="1">LOWER(TRIM(_xlfn.XLOOKUP($A226,Строчный!$A:$A,Строчный!K:K,"ERR",0)))</f>
        <v>фетровые</v>
      </c>
      <c r="L226" s="81" t="str">
        <f ca="1">PROPER(TRIM(_xlfn.XLOOKUP($A226,Строчный!$A:$A,Строчный!L:L,"ERR",0)))</f>
        <v>Унисекс</v>
      </c>
      <c r="M226" s="113" t="str">
        <f ca="1">PROPER(TRIM(_xlfn.XLOOKUP($A226,Строчный!$A:$A,Строчный!M:M,"ERR",0)))</f>
        <v>Китай</v>
      </c>
      <c r="N226" s="81" t="str">
        <f ca="1">UPPER(TRIM(_xlfn.XLOOKUP($A226,Строчный!$A:$A,Строчный!O:O,"ERR",0)))</f>
        <v/>
      </c>
      <c r="O226" s="102" t="str">
        <f ca="1">PROPER(TRIM(_xlfn.XLOOKUP($A226,Строчный!$A:$A,Строчный!P:P,"ERR",0)))</f>
        <v/>
      </c>
      <c r="P226" s="81" t="str">
        <f ca="1">PROPER(TRIM(_xlfn.XLOOKUP($A226,Строчный!$A:$A,Строчный!R:R,"ERR",0)))</f>
        <v/>
      </c>
      <c r="Q226" s="90">
        <f ca="1">VALUE(_xlfn.XLOOKUP($A226,Строчный!$A:$A,Строчный!N:N,"ERR",0))</f>
        <v>450</v>
      </c>
      <c r="R226" s="89" t="str">
        <f ca="1">_xlfn.XLOOKUP($G226,Фабрика!A:A,Фабрика!B:B,"ERR",0)</f>
        <v>Chapellerie Herman S.A.; Rue Jean Meunier, 6, 6922 Wellin, Belgium</v>
      </c>
      <c r="S226" s="80" t="str">
        <f ca="1">_xlfn.XLOOKUP(RIGHT(AA226,2),Размеры!D:D,Размеры!A:A,"ERR",0)</f>
        <v>55</v>
      </c>
      <c r="T226" s="80">
        <f ca="1">VALUE(_xlfn.XLOOKUP($AA226,Строчный!$S:$S,Строчный!U:U,"ERR",0))</f>
        <v>4</v>
      </c>
      <c r="U226" s="14" t="s">
        <v>265</v>
      </c>
      <c r="V226" s="101" t="str">
        <f t="shared" ca="1" si="18"/>
        <v>Шляпа HERMAN арт. MAC MILLAN (черный)</v>
      </c>
      <c r="W226" s="100" t="str">
        <f t="shared" ca="1" si="19"/>
        <v>Шляпа HERMAN арт. MAC MILLAN (черный) {black}</v>
      </c>
      <c r="X226" s="18" t="str">
        <f t="shared" ca="1" si="20"/>
        <v>черный</v>
      </c>
      <c r="Y226" s="18" t="str">
        <f t="shared" ca="1" si="21"/>
        <v>черный</v>
      </c>
      <c r="Z226" s="117" t="str">
        <f ca="1">_xlfn.LET(_xlpm.FormColors,_xlfn.XLOOKUP(A226,Строчный!A:A,Строчный!Q:Q,"",0),IF(_xlpm.FormColors=0,IFERROR(MID(I226,FIND("-",I226)+1,LEN(I226)),IFERROR(MID(I226,1,FIND("/",I226)-2),I226)),_xlpm.FormColors))</f>
        <v>черный</v>
      </c>
      <c r="AA226" s="73" t="str">
        <f ca="1"/>
        <v>80-599-09-55</v>
      </c>
      <c r="AB226" s="75" t="str">
        <f ca="1">VLOOKUP(C226,Группа!A:B,2,FALSE)</f>
        <v>Шляпа</v>
      </c>
      <c r="AC226" s="97" t="str">
        <f ca="1">IFERROR(VLOOKUP(S226,Размеры!A:C,3,FALSE),"")</f>
        <v>55 S</v>
      </c>
      <c r="AD226" s="97" t="str">
        <f ca="1">VLOOKUP(I226,ЦветПолный!A:B,2,FALSE)</f>
        <v>09</v>
      </c>
      <c r="AE226" s="97" t="str">
        <f ca="1">IFERROR(VLOOKUP(S226,Размеры!A:D,4,FALSE),"")</f>
        <v>55</v>
      </c>
      <c r="AF226" s="97">
        <f ca="1">IF(LEFT(IFERROR(VLOOKUP(LOOKUP(2,1/SEARCH(B226,Товары!A:A),Товары!A:A),Товары!A:B,2,0),""),6)=MID(AA226,1,6),1,0)</f>
        <v>1</v>
      </c>
      <c r="AH226" s="97">
        <f ca="1">SUMIF(Группа!A:A,C226,Группа!C:C)</f>
        <v>1</v>
      </c>
      <c r="AI226" s="97">
        <f ca="1">SUMIF(Группа!B:B,AB226,Группа!C:C)</f>
        <v>1</v>
      </c>
      <c r="AJ226" s="97">
        <f ca="1">SUMIF(Формы!A:A,D226,Формы!B:B)</f>
        <v>1</v>
      </c>
      <c r="AK226" s="97">
        <f ca="1">SUMIF(Материал!A:A,K226,Материал!B:B)</f>
        <v>1</v>
      </c>
      <c r="AL226" s="97">
        <f ca="1">SUMIF(Размеры!A:A,S226,Размеры!E:E)</f>
        <v>1</v>
      </c>
      <c r="AM226" s="97">
        <f ca="1">SUMIF(Сезон!A:A,F226,Сезон!B:B)</f>
        <v>1</v>
      </c>
      <c r="AN226" s="97">
        <f ca="1">SUMIF(Состав!A:A,J226,Состав!B:B)</f>
        <v>1</v>
      </c>
      <c r="AO226" s="97">
        <f ca="1">VLOOKUP(I226,ЦветПолный!A:C,3,0)</f>
        <v>1</v>
      </c>
      <c r="AP226" s="97">
        <f ca="1">SUMIF(Цвет!A:A,Z226,Цвет!B:B)</f>
        <v>1</v>
      </c>
      <c r="AQ226" s="97">
        <f ca="1">_xlfn.XLOOKUP(L226,Пол!A:A,Пол!B:B,0,0)</f>
        <v>1</v>
      </c>
      <c r="AR226" s="97">
        <f ca="1">SUMIF(Бренд!A:A,G226,Бренд!B:B)</f>
        <v>1</v>
      </c>
      <c r="AS226" s="97">
        <f ca="1">SUMIF(Страна!A:A,M226,Страна!B:B)</f>
        <v>1</v>
      </c>
      <c r="AT226" s="64" t="str">
        <f ca="1">IF(VLOOKUP(W226,Товары!A:B,2,FALSE)=A226,"Есть в 1С","ERR")</f>
        <v>Есть в 1С</v>
      </c>
      <c r="AU226" s="65" t="str">
        <f ca="1">IF(VLOOKUP(A226,Товары!B:B,1,FALSE)=A226,"Есть в 1С","ERR")</f>
        <v>Есть в 1С</v>
      </c>
      <c r="AV226" s="96" t="str">
        <f ca="1">VLOOKUP(W226,Товары!A:B,2,FALSE)</f>
        <v>80-599-09</v>
      </c>
      <c r="AW226" s="94" t="str">
        <f ca="1">VLOOKUP(W226,Товары!A:B,1,FALSE)</f>
        <v>Шляпа HERMAN арт. MAC MILLAN (черный) {black}</v>
      </c>
    </row>
    <row r="227" spans="1:49" x14ac:dyDescent="0.25">
      <c r="A227" s="110" t="str">
        <f t="shared" ca="1" si="17"/>
        <v>80-591-16</v>
      </c>
      <c r="B227" s="107" t="str">
        <f ca="1">_xlfn.LET(_xlpm.CAPS,0,_xlpm.Style,TRIM(_xlfn.XLOOKUP($A227,Строчный!$A:$A,Строчный!B:B,"ERR",0)),IF(_xlpm.CAPS=0,_xlpm.Style,UPPER(_xlpm.Style)))</f>
        <v>CARTER 006</v>
      </c>
      <c r="C227" s="81" t="str">
        <f ca="1">TRIM(PROPER(_xlfn.XLOOKUP($A227,Строчный!$A:$A,Строчный!C:C,"ERR",0)))</f>
        <v>Шляпы</v>
      </c>
      <c r="D227" s="81" t="str">
        <f ca="1">_xlfn.LET(_xlpm.DATA,TRIM(_xlfn.XLOOKUP($A227,Строчный!$A:$A,Строчный!D:D,"ERR",0)),UPPER(MID(_xlpm.DATA,1,1))&amp;LOWER(MID(_xlpm.DATA,2,LEN(_xlpm.DATA)-1)))</f>
        <v>Шляпа с широкими полями</v>
      </c>
      <c r="E227" s="81" t="str">
        <f ca="1">PROPER(TRIM(_xlfn.XLOOKUP($A227,Строчный!$A:$A,Строчный!E:E,"ERR",0)))</f>
        <v>Herman</v>
      </c>
      <c r="F227" s="81" t="str">
        <f ca="1">LOWER(TRIM(_xlfn.XLOOKUP($A227,Строчный!$A:$A,Строчный!F:F,"ERR",0)))</f>
        <v>всесезон</v>
      </c>
      <c r="G227" s="81" t="str">
        <f ca="1">UPPER(TRIM(_xlfn.XLOOKUP($A227,Строчный!$A:$A,Строчный!G:G,"ERR",0)))</f>
        <v>HERMAN</v>
      </c>
      <c r="H227" s="81" t="str">
        <f ca="1">LOWER(TRIM(_xlfn.XLOOKUP($A227,Строчный!$A:$A,Строчный!H:H,"ERR",0)))</f>
        <v>navy</v>
      </c>
      <c r="I227" s="81" t="str">
        <f ca="1">LOWER(TRIM(_xlfn.XLOOKUP($A227,Строчный!$A:$A,Строчный!I:I,"ERR",0)))</f>
        <v>темно-синий</v>
      </c>
      <c r="J227" s="81" t="str">
        <f ca="1">SUBSTITUTE(LOWER(TRIM(_xlfn.XLOOKUP($A227,Строчный!$A:$A,Строчный!J:J,"ERR",0))),"подклад","Подклад")</f>
        <v>50% шерсть - 50% хлопок</v>
      </c>
      <c r="K227" s="81" t="str">
        <f ca="1">LOWER(TRIM(_xlfn.XLOOKUP($A227,Строчный!$A:$A,Строчный!K:K,"ERR",0)))</f>
        <v>шерстяные</v>
      </c>
      <c r="L227" s="81" t="str">
        <f ca="1">PROPER(TRIM(_xlfn.XLOOKUP($A227,Строчный!$A:$A,Строчный!L:L,"ERR",0)))</f>
        <v>Женский</v>
      </c>
      <c r="M227" s="113" t="str">
        <f ca="1">PROPER(TRIM(_xlfn.XLOOKUP($A227,Строчный!$A:$A,Строчный!M:M,"ERR",0)))</f>
        <v>Италия</v>
      </c>
      <c r="N227" s="81" t="str">
        <f ca="1">UPPER(TRIM(_xlfn.XLOOKUP($A227,Строчный!$A:$A,Строчный!O:O,"ERR",0)))</f>
        <v/>
      </c>
      <c r="O227" s="102" t="str">
        <f ca="1">PROPER(TRIM(_xlfn.XLOOKUP($A227,Строчный!$A:$A,Строчный!P:P,"ERR",0)))</f>
        <v/>
      </c>
      <c r="P227" s="81" t="str">
        <f ca="1">PROPER(TRIM(_xlfn.XLOOKUP($A227,Строчный!$A:$A,Строчный!R:R,"ERR",0)))</f>
        <v/>
      </c>
      <c r="Q227" s="90">
        <f ca="1">VALUE(_xlfn.XLOOKUP($A227,Строчный!$A:$A,Строчный!N:N,"ERR",0))</f>
        <v>270</v>
      </c>
      <c r="R227" s="89" t="str">
        <f ca="1">_xlfn.XLOOKUP($G227,Фабрика!A:A,Фабрика!B:B,"ERR",0)</f>
        <v>Chapellerie Herman S.A.; Rue Jean Meunier, 6, 6922 Wellin, Belgium</v>
      </c>
      <c r="S227" s="80" t="str">
        <f ca="1">_xlfn.XLOOKUP(RIGHT(AA227,2),Размеры!D:D,Размеры!A:A,"ERR",0)</f>
        <v>57</v>
      </c>
      <c r="T227" s="80">
        <f ca="1">VALUE(_xlfn.XLOOKUP($AA227,Строчный!$S:$S,Строчный!U:U,"ERR",0))</f>
        <v>10</v>
      </c>
      <c r="U227" s="14" t="s">
        <v>265</v>
      </c>
      <c r="V227" s="101" t="str">
        <f t="shared" ca="1" si="18"/>
        <v>Шляпа HERMAN арт. CARTER 006 (темно-синий)</v>
      </c>
      <c r="W227" s="100" t="str">
        <f t="shared" ca="1" si="19"/>
        <v>Шляпа HERMAN арт. CARTER 006 (темно-синий) {navy}</v>
      </c>
      <c r="X227" s="18" t="str">
        <f t="shared" ca="1" si="20"/>
        <v>синий</v>
      </c>
      <c r="Y227" s="18" t="str">
        <f t="shared" ca="1" si="21"/>
        <v>синий</v>
      </c>
      <c r="Z227" s="117" t="str">
        <f ca="1">_xlfn.LET(_xlpm.FormColors,_xlfn.XLOOKUP(A227,Строчный!A:A,Строчный!Q:Q,"",0),IF(_xlpm.FormColors=0,IFERROR(MID(I227,FIND("-",I227)+1,LEN(I227)),IFERROR(MID(I227,1,FIND("/",I227)-2),I227)),_xlpm.FormColors))</f>
        <v>синий</v>
      </c>
      <c r="AA227" s="73" t="str">
        <f ca="1"/>
        <v>80-591-16-57</v>
      </c>
      <c r="AB227" s="75" t="str">
        <f ca="1">VLOOKUP(C227,Группа!A:B,2,FALSE)</f>
        <v>Шляпа</v>
      </c>
      <c r="AC227" s="97" t="str">
        <f ca="1">IFERROR(VLOOKUP(S227,Размеры!A:C,3,FALSE),"")</f>
        <v>57 M</v>
      </c>
      <c r="AD227" s="97" t="str">
        <f ca="1">VLOOKUP(I227,ЦветПолный!A:B,2,FALSE)</f>
        <v>16</v>
      </c>
      <c r="AE227" s="97" t="str">
        <f ca="1">IFERROR(VLOOKUP(S227,Размеры!A:D,4,FALSE),"")</f>
        <v>57</v>
      </c>
      <c r="AF227" s="97">
        <f ca="1">IF(LEFT(IFERROR(VLOOKUP(LOOKUP(2,1/SEARCH(B227,Товары!A:A),Товары!A:A),Товары!A:B,2,0),""),6)=MID(AA227,1,6),1,0)</f>
        <v>1</v>
      </c>
      <c r="AH227" s="97">
        <f ca="1">SUMIF(Группа!A:A,C227,Группа!C:C)</f>
        <v>1</v>
      </c>
      <c r="AI227" s="97">
        <f ca="1">SUMIF(Группа!B:B,AB227,Группа!C:C)</f>
        <v>1</v>
      </c>
      <c r="AJ227" s="97">
        <f ca="1">SUMIF(Формы!A:A,D227,Формы!B:B)</f>
        <v>1</v>
      </c>
      <c r="AK227" s="97">
        <f ca="1">SUMIF(Материал!A:A,K227,Материал!B:B)</f>
        <v>1</v>
      </c>
      <c r="AL227" s="97">
        <f ca="1">SUMIF(Размеры!A:A,S227,Размеры!E:E)</f>
        <v>1</v>
      </c>
      <c r="AM227" s="97">
        <f ca="1">SUMIF(Сезон!A:A,F227,Сезон!B:B)</f>
        <v>1</v>
      </c>
      <c r="AN227" s="97">
        <f ca="1">SUMIF(Состав!A:A,J227,Состав!B:B)</f>
        <v>1</v>
      </c>
      <c r="AO227" s="97">
        <f ca="1">VLOOKUP(I227,ЦветПолный!A:C,3,0)</f>
        <v>1</v>
      </c>
      <c r="AP227" s="97">
        <f ca="1">SUMIF(Цвет!A:A,Z227,Цвет!B:B)</f>
        <v>1</v>
      </c>
      <c r="AQ227" s="97">
        <f ca="1">_xlfn.XLOOKUP(L227,Пол!A:A,Пол!B:B,0,0)</f>
        <v>1</v>
      </c>
      <c r="AR227" s="97">
        <f ca="1">SUMIF(Бренд!A:A,G227,Бренд!B:B)</f>
        <v>1</v>
      </c>
      <c r="AS227" s="97">
        <f ca="1">SUMIF(Страна!A:A,M227,Страна!B:B)</f>
        <v>1</v>
      </c>
      <c r="AT227" s="64" t="e">
        <f ca="1">IF(VLOOKUP(W227,Товары!A:B,2,FALSE)=A227,"Есть в 1С","ERR")</f>
        <v>#N/A</v>
      </c>
      <c r="AU227" s="65" t="e">
        <f ca="1">IF(VLOOKUP(A227,Товары!B:B,1,FALSE)=A227,"Есть в 1С","ERR")</f>
        <v>#N/A</v>
      </c>
      <c r="AV227" s="96" t="e">
        <f ca="1">VLOOKUP(W227,Товары!A:B,2,FALSE)</f>
        <v>#N/A</v>
      </c>
      <c r="AW227" s="94" t="e">
        <f ca="1">VLOOKUP(W227,Товары!A:B,1,FALSE)</f>
        <v>#N/A</v>
      </c>
    </row>
    <row r="228" spans="1:49" x14ac:dyDescent="0.25">
      <c r="A228" s="110" t="str">
        <f t="shared" ca="1" si="17"/>
        <v>80-591-16</v>
      </c>
      <c r="B228" s="107" t="str">
        <f ca="1">_xlfn.LET(_xlpm.CAPS,0,_xlpm.Style,TRIM(_xlfn.XLOOKUP($A228,Строчный!$A:$A,Строчный!B:B,"ERR",0)),IF(_xlpm.CAPS=0,_xlpm.Style,UPPER(_xlpm.Style)))</f>
        <v>CARTER 006</v>
      </c>
      <c r="C228" s="81" t="str">
        <f ca="1">TRIM(PROPER(_xlfn.XLOOKUP($A228,Строчный!$A:$A,Строчный!C:C,"ERR",0)))</f>
        <v>Шляпы</v>
      </c>
      <c r="D228" s="81" t="str">
        <f ca="1">_xlfn.LET(_xlpm.DATA,TRIM(_xlfn.XLOOKUP($A228,Строчный!$A:$A,Строчный!D:D,"ERR",0)),UPPER(MID(_xlpm.DATA,1,1))&amp;LOWER(MID(_xlpm.DATA,2,LEN(_xlpm.DATA)-1)))</f>
        <v>Шляпа с широкими полями</v>
      </c>
      <c r="E228" s="81" t="str">
        <f ca="1">PROPER(TRIM(_xlfn.XLOOKUP($A228,Строчный!$A:$A,Строчный!E:E,"ERR",0)))</f>
        <v>Herman</v>
      </c>
      <c r="F228" s="81" t="str">
        <f ca="1">LOWER(TRIM(_xlfn.XLOOKUP($A228,Строчный!$A:$A,Строчный!F:F,"ERR",0)))</f>
        <v>всесезон</v>
      </c>
      <c r="G228" s="81" t="str">
        <f ca="1">UPPER(TRIM(_xlfn.XLOOKUP($A228,Строчный!$A:$A,Строчный!G:G,"ERR",0)))</f>
        <v>HERMAN</v>
      </c>
      <c r="H228" s="81" t="str">
        <f ca="1">LOWER(TRIM(_xlfn.XLOOKUP($A228,Строчный!$A:$A,Строчный!H:H,"ERR",0)))</f>
        <v>navy</v>
      </c>
      <c r="I228" s="81" t="str">
        <f ca="1">LOWER(TRIM(_xlfn.XLOOKUP($A228,Строчный!$A:$A,Строчный!I:I,"ERR",0)))</f>
        <v>темно-синий</v>
      </c>
      <c r="J228" s="81" t="str">
        <f ca="1">SUBSTITUTE(LOWER(TRIM(_xlfn.XLOOKUP($A228,Строчный!$A:$A,Строчный!J:J,"ERR",0))),"подклад","Подклад")</f>
        <v>50% шерсть - 50% хлопок</v>
      </c>
      <c r="K228" s="81" t="str">
        <f ca="1">LOWER(TRIM(_xlfn.XLOOKUP($A228,Строчный!$A:$A,Строчный!K:K,"ERR",0)))</f>
        <v>шерстяные</v>
      </c>
      <c r="L228" s="81" t="str">
        <f ca="1">PROPER(TRIM(_xlfn.XLOOKUP($A228,Строчный!$A:$A,Строчный!L:L,"ERR",0)))</f>
        <v>Женский</v>
      </c>
      <c r="M228" s="113" t="str">
        <f ca="1">PROPER(TRIM(_xlfn.XLOOKUP($A228,Строчный!$A:$A,Строчный!M:M,"ERR",0)))</f>
        <v>Италия</v>
      </c>
      <c r="N228" s="81" t="str">
        <f ca="1">UPPER(TRIM(_xlfn.XLOOKUP($A228,Строчный!$A:$A,Строчный!O:O,"ERR",0)))</f>
        <v/>
      </c>
      <c r="O228" s="102" t="str">
        <f ca="1">PROPER(TRIM(_xlfn.XLOOKUP($A228,Строчный!$A:$A,Строчный!P:P,"ERR",0)))</f>
        <v/>
      </c>
      <c r="P228" s="81" t="str">
        <f ca="1">PROPER(TRIM(_xlfn.XLOOKUP($A228,Строчный!$A:$A,Строчный!R:R,"ERR",0)))</f>
        <v/>
      </c>
      <c r="Q228" s="90">
        <f ca="1">VALUE(_xlfn.XLOOKUP($A228,Строчный!$A:$A,Строчный!N:N,"ERR",0))</f>
        <v>270</v>
      </c>
      <c r="R228" s="89" t="str">
        <f ca="1">_xlfn.XLOOKUP($G228,Фабрика!A:A,Фабрика!B:B,"ERR",0)</f>
        <v>Chapellerie Herman S.A.; Rue Jean Meunier, 6, 6922 Wellin, Belgium</v>
      </c>
      <c r="S228" s="80" t="str">
        <f ca="1">_xlfn.XLOOKUP(RIGHT(AA228,2),Размеры!D:D,Размеры!A:A,"ERR",0)</f>
        <v>55</v>
      </c>
      <c r="T228" s="80">
        <f ca="1">VALUE(_xlfn.XLOOKUP($AA228,Строчный!$S:$S,Строчный!U:U,"ERR",0))</f>
        <v>8</v>
      </c>
      <c r="U228" s="14" t="s">
        <v>265</v>
      </c>
      <c r="V228" s="101" t="str">
        <f t="shared" ca="1" si="18"/>
        <v>Шляпа HERMAN арт. CARTER 006 (темно-синий)</v>
      </c>
      <c r="W228" s="100" t="str">
        <f t="shared" ca="1" si="19"/>
        <v>Шляпа HERMAN арт. CARTER 006 (темно-синий) {navy}</v>
      </c>
      <c r="X228" s="18" t="str">
        <f t="shared" ca="1" si="20"/>
        <v>синий</v>
      </c>
      <c r="Y228" s="18" t="str">
        <f t="shared" ca="1" si="21"/>
        <v>синий</v>
      </c>
      <c r="Z228" s="117" t="str">
        <f ca="1">_xlfn.LET(_xlpm.FormColors,_xlfn.XLOOKUP(A228,Строчный!A:A,Строчный!Q:Q,"",0),IF(_xlpm.FormColors=0,IFERROR(MID(I228,FIND("-",I228)+1,LEN(I228)),IFERROR(MID(I228,1,FIND("/",I228)-2),I228)),_xlpm.FormColors))</f>
        <v>синий</v>
      </c>
      <c r="AA228" s="73" t="str">
        <f ca="1"/>
        <v>80-591-16-55</v>
      </c>
      <c r="AB228" s="75" t="str">
        <f ca="1">VLOOKUP(C228,Группа!A:B,2,FALSE)</f>
        <v>Шляпа</v>
      </c>
      <c r="AC228" s="97" t="str">
        <f ca="1">IFERROR(VLOOKUP(S228,Размеры!A:C,3,FALSE),"")</f>
        <v>55 S</v>
      </c>
      <c r="AD228" s="97" t="str">
        <f ca="1">VLOOKUP(I228,ЦветПолный!A:B,2,FALSE)</f>
        <v>16</v>
      </c>
      <c r="AE228" s="97" t="str">
        <f ca="1">IFERROR(VLOOKUP(S228,Размеры!A:D,4,FALSE),"")</f>
        <v>55</v>
      </c>
      <c r="AF228" s="97">
        <f ca="1">IF(LEFT(IFERROR(VLOOKUP(LOOKUP(2,1/SEARCH(B228,Товары!A:A),Товары!A:A),Товары!A:B,2,0),""),6)=MID(AA228,1,6),1,0)</f>
        <v>1</v>
      </c>
      <c r="AH228" s="97">
        <f ca="1">SUMIF(Группа!A:A,C228,Группа!C:C)</f>
        <v>1</v>
      </c>
      <c r="AI228" s="97">
        <f ca="1">SUMIF(Группа!B:B,AB228,Группа!C:C)</f>
        <v>1</v>
      </c>
      <c r="AJ228" s="97">
        <f ca="1">SUMIF(Формы!A:A,D228,Формы!B:B)</f>
        <v>1</v>
      </c>
      <c r="AK228" s="97">
        <f ca="1">SUMIF(Материал!A:A,K228,Материал!B:B)</f>
        <v>1</v>
      </c>
      <c r="AL228" s="97">
        <f ca="1">SUMIF(Размеры!A:A,S228,Размеры!E:E)</f>
        <v>1</v>
      </c>
      <c r="AM228" s="97">
        <f ca="1">SUMIF(Сезон!A:A,F228,Сезон!B:B)</f>
        <v>1</v>
      </c>
      <c r="AN228" s="97">
        <f ca="1">SUMIF(Состав!A:A,J228,Состав!B:B)</f>
        <v>1</v>
      </c>
      <c r="AO228" s="97">
        <f ca="1">VLOOKUP(I228,ЦветПолный!A:C,3,0)</f>
        <v>1</v>
      </c>
      <c r="AP228" s="97">
        <f ca="1">SUMIF(Цвет!A:A,Z228,Цвет!B:B)</f>
        <v>1</v>
      </c>
      <c r="AQ228" s="97">
        <f ca="1">_xlfn.XLOOKUP(L228,Пол!A:A,Пол!B:B,0,0)</f>
        <v>1</v>
      </c>
      <c r="AR228" s="97">
        <f ca="1">SUMIF(Бренд!A:A,G228,Бренд!B:B)</f>
        <v>1</v>
      </c>
      <c r="AS228" s="97">
        <f ca="1">SUMIF(Страна!A:A,M228,Страна!B:B)</f>
        <v>1</v>
      </c>
      <c r="AT228" s="64" t="e">
        <f ca="1">IF(VLOOKUP(W228,Товары!A:B,2,FALSE)=A228,"Есть в 1С","ERR")</f>
        <v>#N/A</v>
      </c>
      <c r="AU228" s="65" t="e">
        <f ca="1">IF(VLOOKUP(A228,Товары!B:B,1,FALSE)=A228,"Есть в 1С","ERR")</f>
        <v>#N/A</v>
      </c>
      <c r="AV228" s="96" t="e">
        <f ca="1">VLOOKUP(W228,Товары!A:B,2,FALSE)</f>
        <v>#N/A</v>
      </c>
      <c r="AW228" s="94" t="e">
        <f ca="1">VLOOKUP(W228,Товары!A:B,1,FALSE)</f>
        <v>#N/A</v>
      </c>
    </row>
    <row r="229" spans="1:49" x14ac:dyDescent="0.25">
      <c r="A229" s="110" t="str">
        <f t="shared" ca="1" si="17"/>
        <v>80-590-09</v>
      </c>
      <c r="B229" s="107" t="str">
        <f ca="1">_xlfn.LET(_xlpm.CAPS,0,_xlpm.Style,TRIM(_xlfn.XLOOKUP($A229,Строчный!$A:$A,Строчный!B:B,"ERR",0)),IF(_xlpm.CAPS=0,_xlpm.Style,UPPER(_xlpm.Style)))</f>
        <v>CARTER 005</v>
      </c>
      <c r="C229" s="81" t="str">
        <f ca="1">TRIM(PROPER(_xlfn.XLOOKUP($A229,Строчный!$A:$A,Строчный!C:C,"ERR",0)))</f>
        <v>Шляпы</v>
      </c>
      <c r="D229" s="81" t="str">
        <f ca="1">_xlfn.LET(_xlpm.DATA,TRIM(_xlfn.XLOOKUP($A229,Строчный!$A:$A,Строчный!D:D,"ERR",0)),UPPER(MID(_xlpm.DATA,1,1))&amp;LOWER(MID(_xlpm.DATA,2,LEN(_xlpm.DATA)-1)))</f>
        <v>Шляпа трилби</v>
      </c>
      <c r="E229" s="81" t="str">
        <f ca="1">PROPER(TRIM(_xlfn.XLOOKUP($A229,Строчный!$A:$A,Строчный!E:E,"ERR",0)))</f>
        <v>Herman</v>
      </c>
      <c r="F229" s="81" t="str">
        <f ca="1">LOWER(TRIM(_xlfn.XLOOKUP($A229,Строчный!$A:$A,Строчный!F:F,"ERR",0)))</f>
        <v>всесезон</v>
      </c>
      <c r="G229" s="81" t="str">
        <f ca="1">UPPER(TRIM(_xlfn.XLOOKUP($A229,Строчный!$A:$A,Строчный!G:G,"ERR",0)))</f>
        <v>HERMAN</v>
      </c>
      <c r="H229" s="81" t="str">
        <f ca="1">LOWER(TRIM(_xlfn.XLOOKUP($A229,Строчный!$A:$A,Строчный!H:H,"ERR",0)))</f>
        <v>black</v>
      </c>
      <c r="I229" s="81" t="str">
        <f ca="1">LOWER(TRIM(_xlfn.XLOOKUP($A229,Строчный!$A:$A,Строчный!I:I,"ERR",0)))</f>
        <v>черный</v>
      </c>
      <c r="J229" s="81" t="str">
        <f ca="1">SUBSTITUTE(LOWER(TRIM(_xlfn.XLOOKUP($A229,Строчный!$A:$A,Строчный!J:J,"ERR",0))),"подклад","Подклад")</f>
        <v>50% полиэстер - 50% вискоза</v>
      </c>
      <c r="K229" s="81" t="str">
        <f ca="1">LOWER(TRIM(_xlfn.XLOOKUP($A229,Строчный!$A:$A,Строчный!K:K,"ERR",0)))</f>
        <v/>
      </c>
      <c r="L229" s="81" t="str">
        <f ca="1">PROPER(TRIM(_xlfn.XLOOKUP($A229,Строчный!$A:$A,Строчный!L:L,"ERR",0)))</f>
        <v>Унисекс</v>
      </c>
      <c r="M229" s="113" t="str">
        <f ca="1">PROPER(TRIM(_xlfn.XLOOKUP($A229,Строчный!$A:$A,Строчный!M:M,"ERR",0)))</f>
        <v>Италия</v>
      </c>
      <c r="N229" s="81" t="str">
        <f ca="1">UPPER(TRIM(_xlfn.XLOOKUP($A229,Строчный!$A:$A,Строчный!O:O,"ERR",0)))</f>
        <v/>
      </c>
      <c r="O229" s="102" t="str">
        <f ca="1">PROPER(TRIM(_xlfn.XLOOKUP($A229,Строчный!$A:$A,Строчный!P:P,"ERR",0)))</f>
        <v/>
      </c>
      <c r="P229" s="81" t="str">
        <f ca="1">PROPER(TRIM(_xlfn.XLOOKUP($A229,Строчный!$A:$A,Строчный!R:R,"ERR",0)))</f>
        <v/>
      </c>
      <c r="Q229" s="90">
        <f ca="1">VALUE(_xlfn.XLOOKUP($A229,Строчный!$A:$A,Строчный!N:N,"ERR",0))</f>
        <v>450</v>
      </c>
      <c r="R229" s="89" t="str">
        <f ca="1">_xlfn.XLOOKUP($G229,Фабрика!A:A,Фабрика!B:B,"ERR",0)</f>
        <v>Chapellerie Herman S.A.; Rue Jean Meunier, 6, 6922 Wellin, Belgium</v>
      </c>
      <c r="S229" s="80" t="str">
        <f ca="1">_xlfn.XLOOKUP(RIGHT(AA229,2),Размеры!D:D,Размеры!A:A,"ERR",0)</f>
        <v>61</v>
      </c>
      <c r="T229" s="80">
        <f ca="1">VALUE(_xlfn.XLOOKUP($AA229,Строчный!$S:$S,Строчный!U:U,"ERR",0))</f>
        <v>1</v>
      </c>
      <c r="U229" s="14" t="s">
        <v>265</v>
      </c>
      <c r="V229" s="101" t="str">
        <f t="shared" ca="1" si="18"/>
        <v>Шляпа HERMAN арт. CARTER 005 (черный)</v>
      </c>
      <c r="W229" s="100" t="str">
        <f t="shared" ca="1" si="19"/>
        <v>Шляпа HERMAN арт. CARTER 005 (черный) {black}</v>
      </c>
      <c r="X229" s="18" t="str">
        <f t="shared" ca="1" si="20"/>
        <v>черный</v>
      </c>
      <c r="Y229" s="18" t="str">
        <f t="shared" ca="1" si="21"/>
        <v>черный</v>
      </c>
      <c r="Z229" s="117" t="str">
        <f ca="1">_xlfn.LET(_xlpm.FormColors,_xlfn.XLOOKUP(A229,Строчный!A:A,Строчный!Q:Q,"",0),IF(_xlpm.FormColors=0,IFERROR(MID(I229,FIND("-",I229)+1,LEN(I229)),IFERROR(MID(I229,1,FIND("/",I229)-2),I229)),_xlpm.FormColors))</f>
        <v>черный</v>
      </c>
      <c r="AA229" s="73" t="str">
        <f ca="1"/>
        <v>80-590-09-61</v>
      </c>
      <c r="AB229" s="75" t="str">
        <f ca="1">VLOOKUP(C229,Группа!A:B,2,FALSE)</f>
        <v>Шляпа</v>
      </c>
      <c r="AC229" s="97" t="str">
        <f ca="1">IFERROR(VLOOKUP(S229,Размеры!A:C,3,FALSE),"")</f>
        <v>61 XL</v>
      </c>
      <c r="AD229" s="97" t="str">
        <f ca="1">VLOOKUP(I229,ЦветПолный!A:B,2,FALSE)</f>
        <v>09</v>
      </c>
      <c r="AE229" s="97" t="str">
        <f ca="1">IFERROR(VLOOKUP(S229,Размеры!A:D,4,FALSE),"")</f>
        <v>61</v>
      </c>
      <c r="AF229" s="97">
        <f ca="1">IF(LEFT(IFERROR(VLOOKUP(LOOKUP(2,1/SEARCH(B229,Товары!A:A),Товары!A:A),Товары!A:B,2,0),""),6)=MID(AA229,1,6),1,0)</f>
        <v>1</v>
      </c>
      <c r="AH229" s="97">
        <f ca="1">SUMIF(Группа!A:A,C229,Группа!C:C)</f>
        <v>1</v>
      </c>
      <c r="AI229" s="97">
        <f ca="1">SUMIF(Группа!B:B,AB229,Группа!C:C)</f>
        <v>1</v>
      </c>
      <c r="AJ229" s="97">
        <f ca="1">SUMIF(Формы!A:A,D229,Формы!B:B)</f>
        <v>1</v>
      </c>
      <c r="AK229" s="97">
        <f ca="1">SUMIF(Материал!A:A,K229,Материал!B:B)</f>
        <v>0</v>
      </c>
      <c r="AL229" s="97">
        <f ca="1">SUMIF(Размеры!A:A,S229,Размеры!E:E)</f>
        <v>1</v>
      </c>
      <c r="AM229" s="97">
        <f ca="1">SUMIF(Сезон!A:A,F229,Сезон!B:B)</f>
        <v>1</v>
      </c>
      <c r="AN229" s="97">
        <f ca="1">SUMIF(Состав!A:A,J229,Состав!B:B)</f>
        <v>1</v>
      </c>
      <c r="AO229" s="97">
        <f ca="1">VLOOKUP(I229,ЦветПолный!A:C,3,0)</f>
        <v>1</v>
      </c>
      <c r="AP229" s="97">
        <f ca="1">SUMIF(Цвет!A:A,Z229,Цвет!B:B)</f>
        <v>1</v>
      </c>
      <c r="AQ229" s="97">
        <f ca="1">_xlfn.XLOOKUP(L229,Пол!A:A,Пол!B:B,0,0)</f>
        <v>1</v>
      </c>
      <c r="AR229" s="97">
        <f ca="1">SUMIF(Бренд!A:A,G229,Бренд!B:B)</f>
        <v>1</v>
      </c>
      <c r="AS229" s="97">
        <f ca="1">SUMIF(Страна!A:A,M229,Страна!B:B)</f>
        <v>1</v>
      </c>
      <c r="AT229" s="64" t="e">
        <f ca="1">IF(VLOOKUP(W229,Товары!A:B,2,FALSE)=A229,"Есть в 1С","ERR")</f>
        <v>#N/A</v>
      </c>
      <c r="AU229" s="65" t="e">
        <f ca="1">IF(VLOOKUP(A229,Товары!B:B,1,FALSE)=A229,"Есть в 1С","ERR")</f>
        <v>#N/A</v>
      </c>
      <c r="AV229" s="96" t="e">
        <f ca="1">VLOOKUP(W229,Товары!A:B,2,FALSE)</f>
        <v>#N/A</v>
      </c>
      <c r="AW229" s="94" t="e">
        <f ca="1">VLOOKUP(W229,Товары!A:B,1,FALSE)</f>
        <v>#N/A</v>
      </c>
    </row>
    <row r="230" spans="1:49" x14ac:dyDescent="0.25">
      <c r="A230" s="110" t="str">
        <f t="shared" ca="1" si="17"/>
        <v>80-590-09</v>
      </c>
      <c r="B230" s="107" t="str">
        <f ca="1">_xlfn.LET(_xlpm.CAPS,0,_xlpm.Style,TRIM(_xlfn.XLOOKUP($A230,Строчный!$A:$A,Строчный!B:B,"ERR",0)),IF(_xlpm.CAPS=0,_xlpm.Style,UPPER(_xlpm.Style)))</f>
        <v>CARTER 005</v>
      </c>
      <c r="C230" s="81" t="str">
        <f ca="1">TRIM(PROPER(_xlfn.XLOOKUP($A230,Строчный!$A:$A,Строчный!C:C,"ERR",0)))</f>
        <v>Шляпы</v>
      </c>
      <c r="D230" s="81" t="str">
        <f ca="1">_xlfn.LET(_xlpm.DATA,TRIM(_xlfn.XLOOKUP($A230,Строчный!$A:$A,Строчный!D:D,"ERR",0)),UPPER(MID(_xlpm.DATA,1,1))&amp;LOWER(MID(_xlpm.DATA,2,LEN(_xlpm.DATA)-1)))</f>
        <v>Шляпа трилби</v>
      </c>
      <c r="E230" s="81" t="str">
        <f ca="1">PROPER(TRIM(_xlfn.XLOOKUP($A230,Строчный!$A:$A,Строчный!E:E,"ERR",0)))</f>
        <v>Herman</v>
      </c>
      <c r="F230" s="81" t="str">
        <f ca="1">LOWER(TRIM(_xlfn.XLOOKUP($A230,Строчный!$A:$A,Строчный!F:F,"ERR",0)))</f>
        <v>всесезон</v>
      </c>
      <c r="G230" s="81" t="str">
        <f ca="1">UPPER(TRIM(_xlfn.XLOOKUP($A230,Строчный!$A:$A,Строчный!G:G,"ERR",0)))</f>
        <v>HERMAN</v>
      </c>
      <c r="H230" s="81" t="str">
        <f ca="1">LOWER(TRIM(_xlfn.XLOOKUP($A230,Строчный!$A:$A,Строчный!H:H,"ERR",0)))</f>
        <v>black</v>
      </c>
      <c r="I230" s="81" t="str">
        <f ca="1">LOWER(TRIM(_xlfn.XLOOKUP($A230,Строчный!$A:$A,Строчный!I:I,"ERR",0)))</f>
        <v>черный</v>
      </c>
      <c r="J230" s="81" t="str">
        <f ca="1">SUBSTITUTE(LOWER(TRIM(_xlfn.XLOOKUP($A230,Строчный!$A:$A,Строчный!J:J,"ERR",0))),"подклад","Подклад")</f>
        <v>50% полиэстер - 50% вискоза</v>
      </c>
      <c r="K230" s="81" t="str">
        <f ca="1">LOWER(TRIM(_xlfn.XLOOKUP($A230,Строчный!$A:$A,Строчный!K:K,"ERR",0)))</f>
        <v/>
      </c>
      <c r="L230" s="81" t="str">
        <f ca="1">PROPER(TRIM(_xlfn.XLOOKUP($A230,Строчный!$A:$A,Строчный!L:L,"ERR",0)))</f>
        <v>Унисекс</v>
      </c>
      <c r="M230" s="113" t="str">
        <f ca="1">PROPER(TRIM(_xlfn.XLOOKUP($A230,Строчный!$A:$A,Строчный!M:M,"ERR",0)))</f>
        <v>Италия</v>
      </c>
      <c r="N230" s="81" t="str">
        <f ca="1">UPPER(TRIM(_xlfn.XLOOKUP($A230,Строчный!$A:$A,Строчный!O:O,"ERR",0)))</f>
        <v/>
      </c>
      <c r="O230" s="102" t="str">
        <f ca="1">PROPER(TRIM(_xlfn.XLOOKUP($A230,Строчный!$A:$A,Строчный!P:P,"ERR",0)))</f>
        <v/>
      </c>
      <c r="P230" s="81" t="str">
        <f ca="1">PROPER(TRIM(_xlfn.XLOOKUP($A230,Строчный!$A:$A,Строчный!R:R,"ERR",0)))</f>
        <v/>
      </c>
      <c r="Q230" s="90">
        <f ca="1">VALUE(_xlfn.XLOOKUP($A230,Строчный!$A:$A,Строчный!N:N,"ERR",0))</f>
        <v>450</v>
      </c>
      <c r="R230" s="89" t="str">
        <f ca="1">_xlfn.XLOOKUP($G230,Фабрика!A:A,Фабрика!B:B,"ERR",0)</f>
        <v>Chapellerie Herman S.A.; Rue Jean Meunier, 6, 6922 Wellin, Belgium</v>
      </c>
      <c r="S230" s="80" t="str">
        <f ca="1">_xlfn.XLOOKUP(RIGHT(AA230,2),Размеры!D:D,Размеры!A:A,"ERR",0)</f>
        <v>59</v>
      </c>
      <c r="T230" s="80">
        <f ca="1">VALUE(_xlfn.XLOOKUP($AA230,Строчный!$S:$S,Строчный!U:U,"ERR",0))</f>
        <v>1</v>
      </c>
      <c r="U230" s="14" t="s">
        <v>265</v>
      </c>
      <c r="V230" s="101" t="str">
        <f t="shared" ca="1" si="18"/>
        <v>Шляпа HERMAN арт. CARTER 005 (черный)</v>
      </c>
      <c r="W230" s="100" t="str">
        <f t="shared" ca="1" si="19"/>
        <v>Шляпа HERMAN арт. CARTER 005 (черный) {black}</v>
      </c>
      <c r="X230" s="18" t="str">
        <f t="shared" ca="1" si="20"/>
        <v>черный</v>
      </c>
      <c r="Y230" s="18" t="str">
        <f t="shared" ca="1" si="21"/>
        <v>черный</v>
      </c>
      <c r="Z230" s="117" t="str">
        <f ca="1">_xlfn.LET(_xlpm.FormColors,_xlfn.XLOOKUP(A230,Строчный!A:A,Строчный!Q:Q,"",0),IF(_xlpm.FormColors=0,IFERROR(MID(I230,FIND("-",I230)+1,LEN(I230)),IFERROR(MID(I230,1,FIND("/",I230)-2),I230)),_xlpm.FormColors))</f>
        <v>черный</v>
      </c>
      <c r="AA230" s="73" t="str">
        <f ca="1"/>
        <v>80-590-09-59</v>
      </c>
      <c r="AB230" s="75" t="str">
        <f ca="1">VLOOKUP(C230,Группа!A:B,2,FALSE)</f>
        <v>Шляпа</v>
      </c>
      <c r="AC230" s="97" t="str">
        <f ca="1">IFERROR(VLOOKUP(S230,Размеры!A:C,3,FALSE),"")</f>
        <v>59 L</v>
      </c>
      <c r="AD230" s="97" t="str">
        <f ca="1">VLOOKUP(I230,ЦветПолный!A:B,2,FALSE)</f>
        <v>09</v>
      </c>
      <c r="AE230" s="97" t="str">
        <f ca="1">IFERROR(VLOOKUP(S230,Размеры!A:D,4,FALSE),"")</f>
        <v>59</v>
      </c>
      <c r="AF230" s="97">
        <f ca="1">IF(LEFT(IFERROR(VLOOKUP(LOOKUP(2,1/SEARCH(B230,Товары!A:A),Товары!A:A),Товары!A:B,2,0),""),6)=MID(AA230,1,6),1,0)</f>
        <v>1</v>
      </c>
      <c r="AH230" s="97">
        <f ca="1">SUMIF(Группа!A:A,C230,Группа!C:C)</f>
        <v>1</v>
      </c>
      <c r="AI230" s="97">
        <f ca="1">SUMIF(Группа!B:B,AB230,Группа!C:C)</f>
        <v>1</v>
      </c>
      <c r="AJ230" s="97">
        <f ca="1">SUMIF(Формы!A:A,D230,Формы!B:B)</f>
        <v>1</v>
      </c>
      <c r="AK230" s="97">
        <f ca="1">SUMIF(Материал!A:A,K230,Материал!B:B)</f>
        <v>0</v>
      </c>
      <c r="AL230" s="97">
        <f ca="1">SUMIF(Размеры!A:A,S230,Размеры!E:E)</f>
        <v>1</v>
      </c>
      <c r="AM230" s="97">
        <f ca="1">SUMIF(Сезон!A:A,F230,Сезон!B:B)</f>
        <v>1</v>
      </c>
      <c r="AN230" s="97">
        <f ca="1">SUMIF(Состав!A:A,J230,Состав!B:B)</f>
        <v>1</v>
      </c>
      <c r="AO230" s="97">
        <f ca="1">VLOOKUP(I230,ЦветПолный!A:C,3,0)</f>
        <v>1</v>
      </c>
      <c r="AP230" s="97">
        <f ca="1">SUMIF(Цвет!A:A,Z230,Цвет!B:B)</f>
        <v>1</v>
      </c>
      <c r="AQ230" s="97">
        <f ca="1">_xlfn.XLOOKUP(L230,Пол!A:A,Пол!B:B,0,0)</f>
        <v>1</v>
      </c>
      <c r="AR230" s="97">
        <f ca="1">SUMIF(Бренд!A:A,G230,Бренд!B:B)</f>
        <v>1</v>
      </c>
      <c r="AS230" s="97">
        <f ca="1">SUMIF(Страна!A:A,M230,Страна!B:B)</f>
        <v>1</v>
      </c>
      <c r="AT230" s="64" t="e">
        <f ca="1">IF(VLOOKUP(W230,Товары!A:B,2,FALSE)=A230,"Есть в 1С","ERR")</f>
        <v>#N/A</v>
      </c>
      <c r="AU230" s="65" t="e">
        <f ca="1">IF(VLOOKUP(A230,Товары!B:B,1,FALSE)=A230,"Есть в 1С","ERR")</f>
        <v>#N/A</v>
      </c>
      <c r="AV230" s="96" t="e">
        <f ca="1">VLOOKUP(W230,Товары!A:B,2,FALSE)</f>
        <v>#N/A</v>
      </c>
      <c r="AW230" s="94" t="e">
        <f ca="1">VLOOKUP(W230,Товары!A:B,1,FALSE)</f>
        <v>#N/A</v>
      </c>
    </row>
    <row r="231" spans="1:49" x14ac:dyDescent="0.25">
      <c r="A231" s="110" t="str">
        <f t="shared" ca="1" si="17"/>
        <v>80-590-09</v>
      </c>
      <c r="B231" s="107" t="str">
        <f ca="1">_xlfn.LET(_xlpm.CAPS,0,_xlpm.Style,TRIM(_xlfn.XLOOKUP($A231,Строчный!$A:$A,Строчный!B:B,"ERR",0)),IF(_xlpm.CAPS=0,_xlpm.Style,UPPER(_xlpm.Style)))</f>
        <v>CARTER 005</v>
      </c>
      <c r="C231" s="81" t="str">
        <f ca="1">TRIM(PROPER(_xlfn.XLOOKUP($A231,Строчный!$A:$A,Строчный!C:C,"ERR",0)))</f>
        <v>Шляпы</v>
      </c>
      <c r="D231" s="81" t="str">
        <f ca="1">_xlfn.LET(_xlpm.DATA,TRIM(_xlfn.XLOOKUP($A231,Строчный!$A:$A,Строчный!D:D,"ERR",0)),UPPER(MID(_xlpm.DATA,1,1))&amp;LOWER(MID(_xlpm.DATA,2,LEN(_xlpm.DATA)-1)))</f>
        <v>Шляпа трилби</v>
      </c>
      <c r="E231" s="81" t="str">
        <f ca="1">PROPER(TRIM(_xlfn.XLOOKUP($A231,Строчный!$A:$A,Строчный!E:E,"ERR",0)))</f>
        <v>Herman</v>
      </c>
      <c r="F231" s="81" t="str">
        <f ca="1">LOWER(TRIM(_xlfn.XLOOKUP($A231,Строчный!$A:$A,Строчный!F:F,"ERR",0)))</f>
        <v>всесезон</v>
      </c>
      <c r="G231" s="81" t="str">
        <f ca="1">UPPER(TRIM(_xlfn.XLOOKUP($A231,Строчный!$A:$A,Строчный!G:G,"ERR",0)))</f>
        <v>HERMAN</v>
      </c>
      <c r="H231" s="81" t="str">
        <f ca="1">LOWER(TRIM(_xlfn.XLOOKUP($A231,Строчный!$A:$A,Строчный!H:H,"ERR",0)))</f>
        <v>black</v>
      </c>
      <c r="I231" s="81" t="str">
        <f ca="1">LOWER(TRIM(_xlfn.XLOOKUP($A231,Строчный!$A:$A,Строчный!I:I,"ERR",0)))</f>
        <v>черный</v>
      </c>
      <c r="J231" s="81" t="str">
        <f ca="1">SUBSTITUTE(LOWER(TRIM(_xlfn.XLOOKUP($A231,Строчный!$A:$A,Строчный!J:J,"ERR",0))),"подклад","Подклад")</f>
        <v>50% полиэстер - 50% вискоза</v>
      </c>
      <c r="K231" s="81" t="str">
        <f ca="1">LOWER(TRIM(_xlfn.XLOOKUP($A231,Строчный!$A:$A,Строчный!K:K,"ERR",0)))</f>
        <v/>
      </c>
      <c r="L231" s="81" t="str">
        <f ca="1">PROPER(TRIM(_xlfn.XLOOKUP($A231,Строчный!$A:$A,Строчный!L:L,"ERR",0)))</f>
        <v>Унисекс</v>
      </c>
      <c r="M231" s="113" t="str">
        <f ca="1">PROPER(TRIM(_xlfn.XLOOKUP($A231,Строчный!$A:$A,Строчный!M:M,"ERR",0)))</f>
        <v>Италия</v>
      </c>
      <c r="N231" s="81" t="str">
        <f ca="1">UPPER(TRIM(_xlfn.XLOOKUP($A231,Строчный!$A:$A,Строчный!O:O,"ERR",0)))</f>
        <v/>
      </c>
      <c r="O231" s="102" t="str">
        <f ca="1">PROPER(TRIM(_xlfn.XLOOKUP($A231,Строчный!$A:$A,Строчный!P:P,"ERR",0)))</f>
        <v/>
      </c>
      <c r="P231" s="81" t="str">
        <f ca="1">PROPER(TRIM(_xlfn.XLOOKUP($A231,Строчный!$A:$A,Строчный!R:R,"ERR",0)))</f>
        <v/>
      </c>
      <c r="Q231" s="90">
        <f ca="1">VALUE(_xlfn.XLOOKUP($A231,Строчный!$A:$A,Строчный!N:N,"ERR",0))</f>
        <v>450</v>
      </c>
      <c r="R231" s="89" t="str">
        <f ca="1">_xlfn.XLOOKUP($G231,Фабрика!A:A,Фабрика!B:B,"ERR",0)</f>
        <v>Chapellerie Herman S.A.; Rue Jean Meunier, 6, 6922 Wellin, Belgium</v>
      </c>
      <c r="S231" s="80" t="str">
        <f ca="1">_xlfn.XLOOKUP(RIGHT(AA231,2),Размеры!D:D,Размеры!A:A,"ERR",0)</f>
        <v>57</v>
      </c>
      <c r="T231" s="80">
        <f ca="1">VALUE(_xlfn.XLOOKUP($AA231,Строчный!$S:$S,Строчный!U:U,"ERR",0))</f>
        <v>1</v>
      </c>
      <c r="U231" s="14" t="s">
        <v>265</v>
      </c>
      <c r="V231" s="101" t="str">
        <f t="shared" ca="1" si="18"/>
        <v>Шляпа HERMAN арт. CARTER 005 (черный)</v>
      </c>
      <c r="W231" s="100" t="str">
        <f t="shared" ca="1" si="19"/>
        <v>Шляпа HERMAN арт. CARTER 005 (черный) {black}</v>
      </c>
      <c r="X231" s="18" t="str">
        <f t="shared" ca="1" si="20"/>
        <v>черный</v>
      </c>
      <c r="Y231" s="18" t="str">
        <f t="shared" ca="1" si="21"/>
        <v>черный</v>
      </c>
      <c r="Z231" s="117" t="str">
        <f ca="1">_xlfn.LET(_xlpm.FormColors,_xlfn.XLOOKUP(A231,Строчный!A:A,Строчный!Q:Q,"",0),IF(_xlpm.FormColors=0,IFERROR(MID(I231,FIND("-",I231)+1,LEN(I231)),IFERROR(MID(I231,1,FIND("/",I231)-2),I231)),_xlpm.FormColors))</f>
        <v>черный</v>
      </c>
      <c r="AA231" s="73" t="str">
        <f ca="1"/>
        <v>80-590-09-57</v>
      </c>
      <c r="AB231" s="75" t="str">
        <f ca="1">VLOOKUP(C231,Группа!A:B,2,FALSE)</f>
        <v>Шляпа</v>
      </c>
      <c r="AC231" s="97" t="str">
        <f ca="1">IFERROR(VLOOKUP(S231,Размеры!A:C,3,FALSE),"")</f>
        <v>57 M</v>
      </c>
      <c r="AD231" s="97" t="str">
        <f ca="1">VLOOKUP(I231,ЦветПолный!A:B,2,FALSE)</f>
        <v>09</v>
      </c>
      <c r="AE231" s="97" t="str">
        <f ca="1">IFERROR(VLOOKUP(S231,Размеры!A:D,4,FALSE),"")</f>
        <v>57</v>
      </c>
      <c r="AF231" s="97">
        <f ca="1">IF(LEFT(IFERROR(VLOOKUP(LOOKUP(2,1/SEARCH(B231,Товары!A:A),Товары!A:A),Товары!A:B,2,0),""),6)=MID(AA231,1,6),1,0)</f>
        <v>1</v>
      </c>
      <c r="AH231" s="97">
        <f ca="1">SUMIF(Группа!A:A,C231,Группа!C:C)</f>
        <v>1</v>
      </c>
      <c r="AI231" s="97">
        <f ca="1">SUMIF(Группа!B:B,AB231,Группа!C:C)</f>
        <v>1</v>
      </c>
      <c r="AJ231" s="97">
        <f ca="1">SUMIF(Формы!A:A,D231,Формы!B:B)</f>
        <v>1</v>
      </c>
      <c r="AK231" s="97">
        <f ca="1">SUMIF(Материал!A:A,K231,Материал!B:B)</f>
        <v>0</v>
      </c>
      <c r="AL231" s="97">
        <f ca="1">SUMIF(Размеры!A:A,S231,Размеры!E:E)</f>
        <v>1</v>
      </c>
      <c r="AM231" s="97">
        <f ca="1">SUMIF(Сезон!A:A,F231,Сезон!B:B)</f>
        <v>1</v>
      </c>
      <c r="AN231" s="97">
        <f ca="1">SUMIF(Состав!A:A,J231,Состав!B:B)</f>
        <v>1</v>
      </c>
      <c r="AO231" s="97">
        <f ca="1">VLOOKUP(I231,ЦветПолный!A:C,3,0)</f>
        <v>1</v>
      </c>
      <c r="AP231" s="97">
        <f ca="1">SUMIF(Цвет!A:A,Z231,Цвет!B:B)</f>
        <v>1</v>
      </c>
      <c r="AQ231" s="97">
        <f ca="1">_xlfn.XLOOKUP(L231,Пол!A:A,Пол!B:B,0,0)</f>
        <v>1</v>
      </c>
      <c r="AR231" s="97">
        <f ca="1">SUMIF(Бренд!A:A,G231,Бренд!B:B)</f>
        <v>1</v>
      </c>
      <c r="AS231" s="97">
        <f ca="1">SUMIF(Страна!A:A,M231,Страна!B:B)</f>
        <v>1</v>
      </c>
      <c r="AT231" s="64" t="e">
        <f ca="1">IF(VLOOKUP(W231,Товары!A:B,2,FALSE)=A231,"Есть в 1С","ERR")</f>
        <v>#N/A</v>
      </c>
      <c r="AU231" s="65" t="e">
        <f ca="1">IF(VLOOKUP(A231,Товары!B:B,1,FALSE)=A231,"Есть в 1С","ERR")</f>
        <v>#N/A</v>
      </c>
      <c r="AV231" s="96" t="e">
        <f ca="1">VLOOKUP(W231,Товары!A:B,2,FALSE)</f>
        <v>#N/A</v>
      </c>
      <c r="AW231" s="94" t="e">
        <f ca="1">VLOOKUP(W231,Товары!A:B,1,FALSE)</f>
        <v>#N/A</v>
      </c>
    </row>
    <row r="232" spans="1:49" x14ac:dyDescent="0.25">
      <c r="A232" s="110" t="str">
        <f t="shared" ca="1" si="17"/>
        <v>80-590-09</v>
      </c>
      <c r="B232" s="107" t="str">
        <f ca="1">_xlfn.LET(_xlpm.CAPS,0,_xlpm.Style,TRIM(_xlfn.XLOOKUP($A232,Строчный!$A:$A,Строчный!B:B,"ERR",0)),IF(_xlpm.CAPS=0,_xlpm.Style,UPPER(_xlpm.Style)))</f>
        <v>CARTER 005</v>
      </c>
      <c r="C232" s="81" t="str">
        <f ca="1">TRIM(PROPER(_xlfn.XLOOKUP($A232,Строчный!$A:$A,Строчный!C:C,"ERR",0)))</f>
        <v>Шляпы</v>
      </c>
      <c r="D232" s="81" t="str">
        <f ca="1">_xlfn.LET(_xlpm.DATA,TRIM(_xlfn.XLOOKUP($A232,Строчный!$A:$A,Строчный!D:D,"ERR",0)),UPPER(MID(_xlpm.DATA,1,1))&amp;LOWER(MID(_xlpm.DATA,2,LEN(_xlpm.DATA)-1)))</f>
        <v>Шляпа трилби</v>
      </c>
      <c r="E232" s="81" t="str">
        <f ca="1">PROPER(TRIM(_xlfn.XLOOKUP($A232,Строчный!$A:$A,Строчный!E:E,"ERR",0)))</f>
        <v>Herman</v>
      </c>
      <c r="F232" s="81" t="str">
        <f ca="1">LOWER(TRIM(_xlfn.XLOOKUP($A232,Строчный!$A:$A,Строчный!F:F,"ERR",0)))</f>
        <v>всесезон</v>
      </c>
      <c r="G232" s="81" t="str">
        <f ca="1">UPPER(TRIM(_xlfn.XLOOKUP($A232,Строчный!$A:$A,Строчный!G:G,"ERR",0)))</f>
        <v>HERMAN</v>
      </c>
      <c r="H232" s="81" t="str">
        <f ca="1">LOWER(TRIM(_xlfn.XLOOKUP($A232,Строчный!$A:$A,Строчный!H:H,"ERR",0)))</f>
        <v>black</v>
      </c>
      <c r="I232" s="81" t="str">
        <f ca="1">LOWER(TRIM(_xlfn.XLOOKUP($A232,Строчный!$A:$A,Строчный!I:I,"ERR",0)))</f>
        <v>черный</v>
      </c>
      <c r="J232" s="81" t="str">
        <f ca="1">SUBSTITUTE(LOWER(TRIM(_xlfn.XLOOKUP($A232,Строчный!$A:$A,Строчный!J:J,"ERR",0))),"подклад","Подклад")</f>
        <v>50% полиэстер - 50% вискоза</v>
      </c>
      <c r="K232" s="81" t="str">
        <f ca="1">LOWER(TRIM(_xlfn.XLOOKUP($A232,Строчный!$A:$A,Строчный!K:K,"ERR",0)))</f>
        <v/>
      </c>
      <c r="L232" s="81" t="str">
        <f ca="1">PROPER(TRIM(_xlfn.XLOOKUP($A232,Строчный!$A:$A,Строчный!L:L,"ERR",0)))</f>
        <v>Унисекс</v>
      </c>
      <c r="M232" s="113" t="str">
        <f ca="1">PROPER(TRIM(_xlfn.XLOOKUP($A232,Строчный!$A:$A,Строчный!M:M,"ERR",0)))</f>
        <v>Италия</v>
      </c>
      <c r="N232" s="81" t="str">
        <f ca="1">UPPER(TRIM(_xlfn.XLOOKUP($A232,Строчный!$A:$A,Строчный!O:O,"ERR",0)))</f>
        <v/>
      </c>
      <c r="O232" s="102" t="str">
        <f ca="1">PROPER(TRIM(_xlfn.XLOOKUP($A232,Строчный!$A:$A,Строчный!P:P,"ERR",0)))</f>
        <v/>
      </c>
      <c r="P232" s="81" t="str">
        <f ca="1">PROPER(TRIM(_xlfn.XLOOKUP($A232,Строчный!$A:$A,Строчный!R:R,"ERR",0)))</f>
        <v/>
      </c>
      <c r="Q232" s="90">
        <f ca="1">VALUE(_xlfn.XLOOKUP($A232,Строчный!$A:$A,Строчный!N:N,"ERR",0))</f>
        <v>450</v>
      </c>
      <c r="R232" s="89" t="str">
        <f ca="1">_xlfn.XLOOKUP($G232,Фабрика!A:A,Фабрика!B:B,"ERR",0)</f>
        <v>Chapellerie Herman S.A.; Rue Jean Meunier, 6, 6922 Wellin, Belgium</v>
      </c>
      <c r="S232" s="80" t="str">
        <f ca="1">_xlfn.XLOOKUP(RIGHT(AA232,2),Размеры!D:D,Размеры!A:A,"ERR",0)</f>
        <v>55</v>
      </c>
      <c r="T232" s="80">
        <f ca="1">VALUE(_xlfn.XLOOKUP($AA232,Строчный!$S:$S,Строчный!U:U,"ERR",0))</f>
        <v>1</v>
      </c>
      <c r="U232" s="14" t="s">
        <v>265</v>
      </c>
      <c r="V232" s="101" t="str">
        <f t="shared" ca="1" si="18"/>
        <v>Шляпа HERMAN арт. CARTER 005 (черный)</v>
      </c>
      <c r="W232" s="100" t="str">
        <f t="shared" ca="1" si="19"/>
        <v>Шляпа HERMAN арт. CARTER 005 (черный) {black}</v>
      </c>
      <c r="X232" s="18" t="str">
        <f t="shared" ca="1" si="20"/>
        <v>черный</v>
      </c>
      <c r="Y232" s="18" t="str">
        <f t="shared" ca="1" si="21"/>
        <v>черный</v>
      </c>
      <c r="Z232" s="117" t="str">
        <f ca="1">_xlfn.LET(_xlpm.FormColors,_xlfn.XLOOKUP(A232,Строчный!A:A,Строчный!Q:Q,"",0),IF(_xlpm.FormColors=0,IFERROR(MID(I232,FIND("-",I232)+1,LEN(I232)),IFERROR(MID(I232,1,FIND("/",I232)-2),I232)),_xlpm.FormColors))</f>
        <v>черный</v>
      </c>
      <c r="AA232" s="73" t="str">
        <f ca="1"/>
        <v>80-590-09-55</v>
      </c>
      <c r="AB232" s="75" t="str">
        <f ca="1">VLOOKUP(C232,Группа!A:B,2,FALSE)</f>
        <v>Шляпа</v>
      </c>
      <c r="AC232" s="97" t="str">
        <f ca="1">IFERROR(VLOOKUP(S232,Размеры!A:C,3,FALSE),"")</f>
        <v>55 S</v>
      </c>
      <c r="AD232" s="97" t="str">
        <f ca="1">VLOOKUP(I232,ЦветПолный!A:B,2,FALSE)</f>
        <v>09</v>
      </c>
      <c r="AE232" s="97" t="str">
        <f ca="1">IFERROR(VLOOKUP(S232,Размеры!A:D,4,FALSE),"")</f>
        <v>55</v>
      </c>
      <c r="AF232" s="97">
        <f ca="1">IF(LEFT(IFERROR(VLOOKUP(LOOKUP(2,1/SEARCH(B232,Товары!A:A),Товары!A:A),Товары!A:B,2,0),""),6)=MID(AA232,1,6),1,0)</f>
        <v>1</v>
      </c>
      <c r="AH232" s="97">
        <f ca="1">SUMIF(Группа!A:A,C232,Группа!C:C)</f>
        <v>1</v>
      </c>
      <c r="AI232" s="97">
        <f ca="1">SUMIF(Группа!B:B,AB232,Группа!C:C)</f>
        <v>1</v>
      </c>
      <c r="AJ232" s="97">
        <f ca="1">SUMIF(Формы!A:A,D232,Формы!B:B)</f>
        <v>1</v>
      </c>
      <c r="AK232" s="97">
        <f ca="1">SUMIF(Материал!A:A,K232,Материал!B:B)</f>
        <v>0</v>
      </c>
      <c r="AL232" s="97">
        <f ca="1">SUMIF(Размеры!A:A,S232,Размеры!E:E)</f>
        <v>1</v>
      </c>
      <c r="AM232" s="97">
        <f ca="1">SUMIF(Сезон!A:A,F232,Сезон!B:B)</f>
        <v>1</v>
      </c>
      <c r="AN232" s="97">
        <f ca="1">SUMIF(Состав!A:A,J232,Состав!B:B)</f>
        <v>1</v>
      </c>
      <c r="AO232" s="97">
        <f ca="1">VLOOKUP(I232,ЦветПолный!A:C,3,0)</f>
        <v>1</v>
      </c>
      <c r="AP232" s="97">
        <f ca="1">SUMIF(Цвет!A:A,Z232,Цвет!B:B)</f>
        <v>1</v>
      </c>
      <c r="AQ232" s="97">
        <f ca="1">_xlfn.XLOOKUP(L232,Пол!A:A,Пол!B:B,0,0)</f>
        <v>1</v>
      </c>
      <c r="AR232" s="97">
        <f ca="1">SUMIF(Бренд!A:A,G232,Бренд!B:B)</f>
        <v>1</v>
      </c>
      <c r="AS232" s="97">
        <f ca="1">SUMIF(Страна!A:A,M232,Страна!B:B)</f>
        <v>1</v>
      </c>
      <c r="AT232" s="64" t="e">
        <f ca="1">IF(VLOOKUP(W232,Товары!A:B,2,FALSE)=A232,"Есть в 1С","ERR")</f>
        <v>#N/A</v>
      </c>
      <c r="AU232" s="65" t="e">
        <f ca="1">IF(VLOOKUP(A232,Товары!B:B,1,FALSE)=A232,"Есть в 1С","ERR")</f>
        <v>#N/A</v>
      </c>
      <c r="AV232" s="96" t="e">
        <f ca="1">VLOOKUP(W232,Товары!A:B,2,FALSE)</f>
        <v>#N/A</v>
      </c>
      <c r="AW232" s="94" t="e">
        <f ca="1">VLOOKUP(W232,Товары!A:B,1,FALSE)</f>
        <v>#N/A</v>
      </c>
    </row>
    <row r="233" spans="1:49" x14ac:dyDescent="0.25">
      <c r="A233" s="110" t="str">
        <f t="shared" ca="1" si="17"/>
        <v>80-589-08</v>
      </c>
      <c r="B233" s="107" t="str">
        <f ca="1">_xlfn.LET(_xlpm.CAPS,0,_xlpm.Style,TRIM(_xlfn.XLOOKUP($A233,Строчный!$A:$A,Строчный!B:B,"ERR",0)),IF(_xlpm.CAPS=0,_xlpm.Style,UPPER(_xlpm.Style)))</f>
        <v>CARTER 003</v>
      </c>
      <c r="C233" s="81" t="str">
        <f ca="1">TRIM(PROPER(_xlfn.XLOOKUP($A233,Строчный!$A:$A,Строчный!C:C,"ERR",0)))</f>
        <v>Шляпы</v>
      </c>
      <c r="D233" s="81" t="str">
        <f ca="1">_xlfn.LET(_xlpm.DATA,TRIM(_xlfn.XLOOKUP($A233,Строчный!$A:$A,Строчный!D:D,"ERR",0)),UPPER(MID(_xlpm.DATA,1,1))&amp;LOWER(MID(_xlpm.DATA,2,LEN(_xlpm.DATA)-1)))</f>
        <v>Шляпа трилби</v>
      </c>
      <c r="E233" s="81" t="str">
        <f ca="1">PROPER(TRIM(_xlfn.XLOOKUP($A233,Строчный!$A:$A,Строчный!E:E,"ERR",0)))</f>
        <v>Herman</v>
      </c>
      <c r="F233" s="81" t="str">
        <f ca="1">LOWER(TRIM(_xlfn.XLOOKUP($A233,Строчный!$A:$A,Строчный!F:F,"ERR",0)))</f>
        <v>всесезон</v>
      </c>
      <c r="G233" s="81" t="str">
        <f ca="1">UPPER(TRIM(_xlfn.XLOOKUP($A233,Строчный!$A:$A,Строчный!G:G,"ERR",0)))</f>
        <v>HERMAN</v>
      </c>
      <c r="H233" s="81" t="str">
        <f ca="1">LOWER(TRIM(_xlfn.XLOOKUP($A233,Строчный!$A:$A,Строчный!H:H,"ERR",0)))</f>
        <v>grey</v>
      </c>
      <c r="I233" s="81" t="str">
        <f ca="1">LOWER(TRIM(_xlfn.XLOOKUP($A233,Строчный!$A:$A,Строчный!I:I,"ERR",0)))</f>
        <v>серый</v>
      </c>
      <c r="J233" s="81" t="str">
        <f ca="1">SUBSTITUTE(LOWER(TRIM(_xlfn.XLOOKUP($A233,Строчный!$A:$A,Строчный!J:J,"ERR",0))),"подклад","Подклад")</f>
        <v>100% шерсть</v>
      </c>
      <c r="K233" s="81" t="str">
        <f ca="1">LOWER(TRIM(_xlfn.XLOOKUP($A233,Строчный!$A:$A,Строчный!K:K,"ERR",0)))</f>
        <v>шерстяные</v>
      </c>
      <c r="L233" s="81" t="str">
        <f ca="1">PROPER(TRIM(_xlfn.XLOOKUP($A233,Строчный!$A:$A,Строчный!L:L,"ERR",0)))</f>
        <v>Унисекс</v>
      </c>
      <c r="M233" s="113" t="str">
        <f ca="1">PROPER(TRIM(_xlfn.XLOOKUP($A233,Строчный!$A:$A,Строчный!M:M,"ERR",0)))</f>
        <v>Италия</v>
      </c>
      <c r="N233" s="81" t="str">
        <f ca="1">UPPER(TRIM(_xlfn.XLOOKUP($A233,Строчный!$A:$A,Строчный!O:O,"ERR",0)))</f>
        <v/>
      </c>
      <c r="O233" s="102" t="str">
        <f ca="1">PROPER(TRIM(_xlfn.XLOOKUP($A233,Строчный!$A:$A,Строчный!P:P,"ERR",0)))</f>
        <v/>
      </c>
      <c r="P233" s="81" t="str">
        <f ca="1">PROPER(TRIM(_xlfn.XLOOKUP($A233,Строчный!$A:$A,Строчный!R:R,"ERR",0)))</f>
        <v/>
      </c>
      <c r="Q233" s="90">
        <f ca="1">VALUE(_xlfn.XLOOKUP($A233,Строчный!$A:$A,Строчный!N:N,"ERR",0))</f>
        <v>450</v>
      </c>
      <c r="R233" s="89" t="str">
        <f ca="1">_xlfn.XLOOKUP($G233,Фабрика!A:A,Фабрика!B:B,"ERR",0)</f>
        <v>Chapellerie Herman S.A.; Rue Jean Meunier, 6, 6922 Wellin, Belgium</v>
      </c>
      <c r="S233" s="80" t="str">
        <f ca="1">_xlfn.XLOOKUP(RIGHT(AA233,2),Размеры!D:D,Размеры!A:A,"ERR",0)</f>
        <v>57</v>
      </c>
      <c r="T233" s="80">
        <f ca="1">VALUE(_xlfn.XLOOKUP($AA233,Строчный!$S:$S,Строчный!U:U,"ERR",0))</f>
        <v>3</v>
      </c>
      <c r="U233" s="14" t="s">
        <v>265</v>
      </c>
      <c r="V233" s="101" t="str">
        <f t="shared" ca="1" si="18"/>
        <v>Шляпа HERMAN арт. CARTER 003 (серый)</v>
      </c>
      <c r="W233" s="100" t="str">
        <f t="shared" ca="1" si="19"/>
        <v>Шляпа HERMAN арт. CARTER 003 (серый) {grey}</v>
      </c>
      <c r="X233" s="18" t="str">
        <f t="shared" ca="1" si="20"/>
        <v>серый</v>
      </c>
      <c r="Y233" s="18" t="str">
        <f t="shared" ca="1" si="21"/>
        <v>серый</v>
      </c>
      <c r="Z233" s="117" t="str">
        <f ca="1">_xlfn.LET(_xlpm.FormColors,_xlfn.XLOOKUP(A233,Строчный!A:A,Строчный!Q:Q,"",0),IF(_xlpm.FormColors=0,IFERROR(MID(I233,FIND("-",I233)+1,LEN(I233)),IFERROR(MID(I233,1,FIND("/",I233)-2),I233)),_xlpm.FormColors))</f>
        <v>серый</v>
      </c>
      <c r="AA233" s="73" t="str">
        <f ca="1"/>
        <v>80-589-08-57</v>
      </c>
      <c r="AB233" s="75" t="str">
        <f ca="1">VLOOKUP(C233,Группа!A:B,2,FALSE)</f>
        <v>Шляпа</v>
      </c>
      <c r="AC233" s="97" t="str">
        <f ca="1">IFERROR(VLOOKUP(S233,Размеры!A:C,3,FALSE),"")</f>
        <v>57 M</v>
      </c>
      <c r="AD233" s="97" t="str">
        <f ca="1">VLOOKUP(I233,ЦветПолный!A:B,2,FALSE)</f>
        <v>80</v>
      </c>
      <c r="AE233" s="97" t="str">
        <f ca="1">IFERROR(VLOOKUP(S233,Размеры!A:D,4,FALSE),"")</f>
        <v>57</v>
      </c>
      <c r="AF233" s="97">
        <f ca="1">IF(LEFT(IFERROR(VLOOKUP(LOOKUP(2,1/SEARCH(B233,Товары!A:A),Товары!A:A),Товары!A:B,2,0),""),6)=MID(AA233,1,6),1,0)</f>
        <v>1</v>
      </c>
      <c r="AH233" s="97">
        <f ca="1">SUMIF(Группа!A:A,C233,Группа!C:C)</f>
        <v>1</v>
      </c>
      <c r="AI233" s="97">
        <f ca="1">SUMIF(Группа!B:B,AB233,Группа!C:C)</f>
        <v>1</v>
      </c>
      <c r="AJ233" s="97">
        <f ca="1">SUMIF(Формы!A:A,D233,Формы!B:B)</f>
        <v>1</v>
      </c>
      <c r="AK233" s="97">
        <f ca="1">SUMIF(Материал!A:A,K233,Материал!B:B)</f>
        <v>1</v>
      </c>
      <c r="AL233" s="97">
        <f ca="1">SUMIF(Размеры!A:A,S233,Размеры!E:E)</f>
        <v>1</v>
      </c>
      <c r="AM233" s="97">
        <f ca="1">SUMIF(Сезон!A:A,F233,Сезон!B:B)</f>
        <v>1</v>
      </c>
      <c r="AN233" s="97">
        <f ca="1">SUMIF(Состав!A:A,J233,Состав!B:B)</f>
        <v>1</v>
      </c>
      <c r="AO233" s="97">
        <f ca="1">VLOOKUP(I233,ЦветПолный!A:C,3,0)</f>
        <v>1</v>
      </c>
      <c r="AP233" s="97">
        <f ca="1">SUMIF(Цвет!A:A,Z233,Цвет!B:B)</f>
        <v>1</v>
      </c>
      <c r="AQ233" s="97">
        <f ca="1">_xlfn.XLOOKUP(L233,Пол!A:A,Пол!B:B,0,0)</f>
        <v>1</v>
      </c>
      <c r="AR233" s="97">
        <f ca="1">SUMIF(Бренд!A:A,G233,Бренд!B:B)</f>
        <v>1</v>
      </c>
      <c r="AS233" s="97">
        <f ca="1">SUMIF(Страна!A:A,M233,Страна!B:B)</f>
        <v>1</v>
      </c>
      <c r="AT233" s="64" t="str">
        <f ca="1">IF(VLOOKUP(W233,Товары!A:B,2,FALSE)=A233,"Есть в 1С","ERR")</f>
        <v>Есть в 1С</v>
      </c>
      <c r="AU233" s="65" t="str">
        <f ca="1">IF(VLOOKUP(A233,Товары!B:B,1,FALSE)=A233,"Есть в 1С","ERR")</f>
        <v>Есть в 1С</v>
      </c>
      <c r="AV233" s="96" t="str">
        <f ca="1">VLOOKUP(W233,Товары!A:B,2,FALSE)</f>
        <v>80-589-08</v>
      </c>
      <c r="AW233" s="94" t="str">
        <f ca="1">VLOOKUP(W233,Товары!A:B,1,FALSE)</f>
        <v>Шляпа HERMAN арт. CARTER 003 (серый) {grey}</v>
      </c>
    </row>
    <row r="234" spans="1:49" x14ac:dyDescent="0.25">
      <c r="A234" s="110" t="str">
        <f t="shared" ca="1" si="17"/>
        <v>80-589-08</v>
      </c>
      <c r="B234" s="107" t="str">
        <f ca="1">_xlfn.LET(_xlpm.CAPS,0,_xlpm.Style,TRIM(_xlfn.XLOOKUP($A234,Строчный!$A:$A,Строчный!B:B,"ERR",0)),IF(_xlpm.CAPS=0,_xlpm.Style,UPPER(_xlpm.Style)))</f>
        <v>CARTER 003</v>
      </c>
      <c r="C234" s="81" t="str">
        <f ca="1">TRIM(PROPER(_xlfn.XLOOKUP($A234,Строчный!$A:$A,Строчный!C:C,"ERR",0)))</f>
        <v>Шляпы</v>
      </c>
      <c r="D234" s="81" t="str">
        <f ca="1">_xlfn.LET(_xlpm.DATA,TRIM(_xlfn.XLOOKUP($A234,Строчный!$A:$A,Строчный!D:D,"ERR",0)),UPPER(MID(_xlpm.DATA,1,1))&amp;LOWER(MID(_xlpm.DATA,2,LEN(_xlpm.DATA)-1)))</f>
        <v>Шляпа трилби</v>
      </c>
      <c r="E234" s="81" t="str">
        <f ca="1">PROPER(TRIM(_xlfn.XLOOKUP($A234,Строчный!$A:$A,Строчный!E:E,"ERR",0)))</f>
        <v>Herman</v>
      </c>
      <c r="F234" s="81" t="str">
        <f ca="1">LOWER(TRIM(_xlfn.XLOOKUP($A234,Строчный!$A:$A,Строчный!F:F,"ERR",0)))</f>
        <v>всесезон</v>
      </c>
      <c r="G234" s="81" t="str">
        <f ca="1">UPPER(TRIM(_xlfn.XLOOKUP($A234,Строчный!$A:$A,Строчный!G:G,"ERR",0)))</f>
        <v>HERMAN</v>
      </c>
      <c r="H234" s="81" t="str">
        <f ca="1">LOWER(TRIM(_xlfn.XLOOKUP($A234,Строчный!$A:$A,Строчный!H:H,"ERR",0)))</f>
        <v>grey</v>
      </c>
      <c r="I234" s="81" t="str">
        <f ca="1">LOWER(TRIM(_xlfn.XLOOKUP($A234,Строчный!$A:$A,Строчный!I:I,"ERR",0)))</f>
        <v>серый</v>
      </c>
      <c r="J234" s="81" t="str">
        <f ca="1">SUBSTITUTE(LOWER(TRIM(_xlfn.XLOOKUP($A234,Строчный!$A:$A,Строчный!J:J,"ERR",0))),"подклад","Подклад")</f>
        <v>100% шерсть</v>
      </c>
      <c r="K234" s="81" t="str">
        <f ca="1">LOWER(TRIM(_xlfn.XLOOKUP($A234,Строчный!$A:$A,Строчный!K:K,"ERR",0)))</f>
        <v>шерстяные</v>
      </c>
      <c r="L234" s="81" t="str">
        <f ca="1">PROPER(TRIM(_xlfn.XLOOKUP($A234,Строчный!$A:$A,Строчный!L:L,"ERR",0)))</f>
        <v>Унисекс</v>
      </c>
      <c r="M234" s="113" t="str">
        <f ca="1">PROPER(TRIM(_xlfn.XLOOKUP($A234,Строчный!$A:$A,Строчный!M:M,"ERR",0)))</f>
        <v>Италия</v>
      </c>
      <c r="N234" s="81" t="str">
        <f ca="1">UPPER(TRIM(_xlfn.XLOOKUP($A234,Строчный!$A:$A,Строчный!O:O,"ERR",0)))</f>
        <v/>
      </c>
      <c r="O234" s="102" t="str">
        <f ca="1">PROPER(TRIM(_xlfn.XLOOKUP($A234,Строчный!$A:$A,Строчный!P:P,"ERR",0)))</f>
        <v/>
      </c>
      <c r="P234" s="81" t="str">
        <f ca="1">PROPER(TRIM(_xlfn.XLOOKUP($A234,Строчный!$A:$A,Строчный!R:R,"ERR",0)))</f>
        <v/>
      </c>
      <c r="Q234" s="90">
        <f ca="1">VALUE(_xlfn.XLOOKUP($A234,Строчный!$A:$A,Строчный!N:N,"ERR",0))</f>
        <v>450</v>
      </c>
      <c r="R234" s="89" t="str">
        <f ca="1">_xlfn.XLOOKUP($G234,Фабрика!A:A,Фабрика!B:B,"ERR",0)</f>
        <v>Chapellerie Herman S.A.; Rue Jean Meunier, 6, 6922 Wellin, Belgium</v>
      </c>
      <c r="S234" s="80" t="str">
        <f ca="1">_xlfn.XLOOKUP(RIGHT(AA234,2),Размеры!D:D,Размеры!A:A,"ERR",0)</f>
        <v>55</v>
      </c>
      <c r="T234" s="80">
        <f ca="1">VALUE(_xlfn.XLOOKUP($AA234,Строчный!$S:$S,Строчный!U:U,"ERR",0))</f>
        <v>1</v>
      </c>
      <c r="U234" s="14" t="s">
        <v>265</v>
      </c>
      <c r="V234" s="101" t="str">
        <f t="shared" ca="1" si="18"/>
        <v>Шляпа HERMAN арт. CARTER 003 (серый)</v>
      </c>
      <c r="W234" s="100" t="str">
        <f t="shared" ca="1" si="19"/>
        <v>Шляпа HERMAN арт. CARTER 003 (серый) {grey}</v>
      </c>
      <c r="X234" s="18" t="str">
        <f t="shared" ca="1" si="20"/>
        <v>серый</v>
      </c>
      <c r="Y234" s="18" t="str">
        <f t="shared" ca="1" si="21"/>
        <v>серый</v>
      </c>
      <c r="Z234" s="117" t="str">
        <f ca="1">_xlfn.LET(_xlpm.FormColors,_xlfn.XLOOKUP(A234,Строчный!A:A,Строчный!Q:Q,"",0),IF(_xlpm.FormColors=0,IFERROR(MID(I234,FIND("-",I234)+1,LEN(I234)),IFERROR(MID(I234,1,FIND("/",I234)-2),I234)),_xlpm.FormColors))</f>
        <v>серый</v>
      </c>
      <c r="AA234" s="73" t="str">
        <f ca="1"/>
        <v>80-589-08-55</v>
      </c>
      <c r="AB234" s="75" t="str">
        <f ca="1">VLOOKUP(C234,Группа!A:B,2,FALSE)</f>
        <v>Шляпа</v>
      </c>
      <c r="AC234" s="97" t="str">
        <f ca="1">IFERROR(VLOOKUP(S234,Размеры!A:C,3,FALSE),"")</f>
        <v>55 S</v>
      </c>
      <c r="AD234" s="97" t="str">
        <f ca="1">VLOOKUP(I234,ЦветПолный!A:B,2,FALSE)</f>
        <v>80</v>
      </c>
      <c r="AE234" s="97" t="str">
        <f ca="1">IFERROR(VLOOKUP(S234,Размеры!A:D,4,FALSE),"")</f>
        <v>55</v>
      </c>
      <c r="AF234" s="97">
        <f ca="1">IF(LEFT(IFERROR(VLOOKUP(LOOKUP(2,1/SEARCH(B234,Товары!A:A),Товары!A:A),Товары!A:B,2,0),""),6)=MID(AA234,1,6),1,0)</f>
        <v>1</v>
      </c>
      <c r="AH234" s="97">
        <f ca="1">SUMIF(Группа!A:A,C234,Группа!C:C)</f>
        <v>1</v>
      </c>
      <c r="AI234" s="97">
        <f ca="1">SUMIF(Группа!B:B,AB234,Группа!C:C)</f>
        <v>1</v>
      </c>
      <c r="AJ234" s="97">
        <f ca="1">SUMIF(Формы!A:A,D234,Формы!B:B)</f>
        <v>1</v>
      </c>
      <c r="AK234" s="97">
        <f ca="1">SUMIF(Материал!A:A,K234,Материал!B:B)</f>
        <v>1</v>
      </c>
      <c r="AL234" s="97">
        <f ca="1">SUMIF(Размеры!A:A,S234,Размеры!E:E)</f>
        <v>1</v>
      </c>
      <c r="AM234" s="97">
        <f ca="1">SUMIF(Сезон!A:A,F234,Сезон!B:B)</f>
        <v>1</v>
      </c>
      <c r="AN234" s="97">
        <f ca="1">SUMIF(Состав!A:A,J234,Состав!B:B)</f>
        <v>1</v>
      </c>
      <c r="AO234" s="97">
        <f ca="1">VLOOKUP(I234,ЦветПолный!A:C,3,0)</f>
        <v>1</v>
      </c>
      <c r="AP234" s="97">
        <f ca="1">SUMIF(Цвет!A:A,Z234,Цвет!B:B)</f>
        <v>1</v>
      </c>
      <c r="AQ234" s="97">
        <f ca="1">_xlfn.XLOOKUP(L234,Пол!A:A,Пол!B:B,0,0)</f>
        <v>1</v>
      </c>
      <c r="AR234" s="97">
        <f ca="1">SUMIF(Бренд!A:A,G234,Бренд!B:B)</f>
        <v>1</v>
      </c>
      <c r="AS234" s="97">
        <f ca="1">SUMIF(Страна!A:A,M234,Страна!B:B)</f>
        <v>1</v>
      </c>
      <c r="AT234" s="64" t="str">
        <f ca="1">IF(VLOOKUP(W234,Товары!A:B,2,FALSE)=A234,"Есть в 1С","ERR")</f>
        <v>Есть в 1С</v>
      </c>
      <c r="AU234" s="65" t="str">
        <f ca="1">IF(VLOOKUP(A234,Товары!B:B,1,FALSE)=A234,"Есть в 1С","ERR")</f>
        <v>Есть в 1С</v>
      </c>
      <c r="AV234" s="96" t="str">
        <f ca="1">VLOOKUP(W234,Товары!A:B,2,FALSE)</f>
        <v>80-589-08</v>
      </c>
      <c r="AW234" s="94" t="str">
        <f ca="1">VLOOKUP(W234,Товары!A:B,1,FALSE)</f>
        <v>Шляпа HERMAN арт. CARTER 003 (серый) {grey}</v>
      </c>
    </row>
    <row r="235" spans="1:49" x14ac:dyDescent="0.25">
      <c r="A235" s="110" t="str">
        <f t="shared" ca="1" si="17"/>
        <v>80-588-80</v>
      </c>
      <c r="B235" s="107" t="str">
        <f ca="1">_xlfn.LET(_xlpm.CAPS,0,_xlpm.Style,TRIM(_xlfn.XLOOKUP($A235,Строчный!$A:$A,Строчный!B:B,"ERR",0)),IF(_xlpm.CAPS=0,_xlpm.Style,UPPER(_xlpm.Style)))</f>
        <v>CARTER 002</v>
      </c>
      <c r="C235" s="81" t="str">
        <f ca="1">TRIM(PROPER(_xlfn.XLOOKUP($A235,Строчный!$A:$A,Строчный!C:C,"ERR",0)))</f>
        <v>Шляпы</v>
      </c>
      <c r="D235" s="81" t="str">
        <f ca="1">_xlfn.LET(_xlpm.DATA,TRIM(_xlfn.XLOOKUP($A235,Строчный!$A:$A,Строчный!D:D,"ERR",0)),UPPER(MID(_xlpm.DATA,1,1))&amp;LOWER(MID(_xlpm.DATA,2,LEN(_xlpm.DATA)-1)))</f>
        <v>Шляпа федора</v>
      </c>
      <c r="E235" s="81" t="str">
        <f ca="1">PROPER(TRIM(_xlfn.XLOOKUP($A235,Строчный!$A:$A,Строчный!E:E,"ERR",0)))</f>
        <v>Herman</v>
      </c>
      <c r="F235" s="81" t="str">
        <f ca="1">LOWER(TRIM(_xlfn.XLOOKUP($A235,Строчный!$A:$A,Строчный!F:F,"ERR",0)))</f>
        <v>всесезон</v>
      </c>
      <c r="G235" s="81" t="str">
        <f ca="1">UPPER(TRIM(_xlfn.XLOOKUP($A235,Строчный!$A:$A,Строчный!G:G,"ERR",0)))</f>
        <v>HERMAN</v>
      </c>
      <c r="H235" s="81" t="str">
        <f ca="1">LOWER(TRIM(_xlfn.XLOOKUP($A235,Строчный!$A:$A,Строчный!H:H,"ERR",0)))</f>
        <v>grey</v>
      </c>
      <c r="I235" s="81" t="str">
        <f ca="1">LOWER(TRIM(_xlfn.XLOOKUP($A235,Строчный!$A:$A,Строчный!I:I,"ERR",0)))</f>
        <v>серый</v>
      </c>
      <c r="J235" s="81" t="str">
        <f ca="1">SUBSTITUTE(LOWER(TRIM(_xlfn.XLOOKUP($A235,Строчный!$A:$A,Строчный!J:J,"ERR",0))),"подклад","Подклад")</f>
        <v>50% полиэстер - 50% полиамид</v>
      </c>
      <c r="K235" s="81" t="str">
        <f ca="1">LOWER(TRIM(_xlfn.XLOOKUP($A235,Строчный!$A:$A,Строчный!K:K,"ERR",0)))</f>
        <v/>
      </c>
      <c r="L235" s="81" t="str">
        <f ca="1">PROPER(TRIM(_xlfn.XLOOKUP($A235,Строчный!$A:$A,Строчный!L:L,"ERR",0)))</f>
        <v>Унисекс</v>
      </c>
      <c r="M235" s="113" t="str">
        <f ca="1">PROPER(TRIM(_xlfn.XLOOKUP($A235,Строчный!$A:$A,Строчный!M:M,"ERR",0)))</f>
        <v>Италия</v>
      </c>
      <c r="N235" s="81" t="str">
        <f ca="1">UPPER(TRIM(_xlfn.XLOOKUP($A235,Строчный!$A:$A,Строчный!O:O,"ERR",0)))</f>
        <v/>
      </c>
      <c r="O235" s="102" t="str">
        <f ca="1">PROPER(TRIM(_xlfn.XLOOKUP($A235,Строчный!$A:$A,Строчный!P:P,"ERR",0)))</f>
        <v/>
      </c>
      <c r="P235" s="81" t="str">
        <f ca="1">PROPER(TRIM(_xlfn.XLOOKUP($A235,Строчный!$A:$A,Строчный!R:R,"ERR",0)))</f>
        <v/>
      </c>
      <c r="Q235" s="90">
        <f ca="1">VALUE(_xlfn.XLOOKUP($A235,Строчный!$A:$A,Строчный!N:N,"ERR",0))</f>
        <v>450</v>
      </c>
      <c r="R235" s="89" t="str">
        <f ca="1">_xlfn.XLOOKUP($G235,Фабрика!A:A,Фабрика!B:B,"ERR",0)</f>
        <v>Chapellerie Herman S.A.; Rue Jean Meunier, 6, 6922 Wellin, Belgium</v>
      </c>
      <c r="S235" s="80" t="str">
        <f ca="1">_xlfn.XLOOKUP(RIGHT(AA235,2),Размеры!D:D,Размеры!A:A,"ERR",0)</f>
        <v>59</v>
      </c>
      <c r="T235" s="80">
        <f ca="1">VALUE(_xlfn.XLOOKUP($AA235,Строчный!$S:$S,Строчный!U:U,"ERR",0))</f>
        <v>7</v>
      </c>
      <c r="U235" s="14" t="s">
        <v>265</v>
      </c>
      <c r="V235" s="101" t="str">
        <f t="shared" ca="1" si="18"/>
        <v>Шляпа HERMAN арт. CARTER 002 (серый)</v>
      </c>
      <c r="W235" s="100" t="str">
        <f t="shared" ca="1" si="19"/>
        <v>Шляпа HERMAN арт. CARTER 002 (серый) {grey}</v>
      </c>
      <c r="X235" s="18" t="str">
        <f t="shared" ca="1" si="20"/>
        <v>серый</v>
      </c>
      <c r="Y235" s="18" t="str">
        <f t="shared" ca="1" si="21"/>
        <v>серый</v>
      </c>
      <c r="Z235" s="117" t="str">
        <f ca="1">_xlfn.LET(_xlpm.FormColors,_xlfn.XLOOKUP(A235,Строчный!A:A,Строчный!Q:Q,"",0),IF(_xlpm.FormColors=0,IFERROR(MID(I235,FIND("-",I235)+1,LEN(I235)),IFERROR(MID(I235,1,FIND("/",I235)-2),I235)),_xlpm.FormColors))</f>
        <v>серый</v>
      </c>
      <c r="AA235" s="73" t="str">
        <f ca="1"/>
        <v>80-588-80-59</v>
      </c>
      <c r="AB235" s="75" t="str">
        <f ca="1">VLOOKUP(C235,Группа!A:B,2,FALSE)</f>
        <v>Шляпа</v>
      </c>
      <c r="AC235" s="97" t="str">
        <f ca="1">IFERROR(VLOOKUP(S235,Размеры!A:C,3,FALSE),"")</f>
        <v>59 L</v>
      </c>
      <c r="AD235" s="97" t="str">
        <f ca="1">VLOOKUP(I235,ЦветПолный!A:B,2,FALSE)</f>
        <v>80</v>
      </c>
      <c r="AE235" s="97" t="str">
        <f ca="1">IFERROR(VLOOKUP(S235,Размеры!A:D,4,FALSE),"")</f>
        <v>59</v>
      </c>
      <c r="AF235" s="97">
        <f ca="1">IF(LEFT(IFERROR(VLOOKUP(LOOKUP(2,1/SEARCH(B235,Товары!A:A),Товары!A:A),Товары!A:B,2,0),""),6)=MID(AA235,1,6),1,0)</f>
        <v>1</v>
      </c>
      <c r="AH235" s="97">
        <f ca="1">SUMIF(Группа!A:A,C235,Группа!C:C)</f>
        <v>1</v>
      </c>
      <c r="AI235" s="97">
        <f ca="1">SUMIF(Группа!B:B,AB235,Группа!C:C)</f>
        <v>1</v>
      </c>
      <c r="AJ235" s="97">
        <f ca="1">SUMIF(Формы!A:A,D235,Формы!B:B)</f>
        <v>1</v>
      </c>
      <c r="AK235" s="97">
        <f ca="1">SUMIF(Материал!A:A,K235,Материал!B:B)</f>
        <v>0</v>
      </c>
      <c r="AL235" s="97">
        <f ca="1">SUMIF(Размеры!A:A,S235,Размеры!E:E)</f>
        <v>1</v>
      </c>
      <c r="AM235" s="97">
        <f ca="1">SUMIF(Сезон!A:A,F235,Сезон!B:B)</f>
        <v>1</v>
      </c>
      <c r="AN235" s="97">
        <f ca="1">SUMIF(Состав!A:A,J235,Состав!B:B)</f>
        <v>1</v>
      </c>
      <c r="AO235" s="97">
        <f ca="1">VLOOKUP(I235,ЦветПолный!A:C,3,0)</f>
        <v>1</v>
      </c>
      <c r="AP235" s="97">
        <f ca="1">SUMIF(Цвет!A:A,Z235,Цвет!B:B)</f>
        <v>1</v>
      </c>
      <c r="AQ235" s="97">
        <f ca="1">_xlfn.XLOOKUP(L235,Пол!A:A,Пол!B:B,0,0)</f>
        <v>1</v>
      </c>
      <c r="AR235" s="97">
        <f ca="1">SUMIF(Бренд!A:A,G235,Бренд!B:B)</f>
        <v>1</v>
      </c>
      <c r="AS235" s="97">
        <f ca="1">SUMIF(Страна!A:A,M235,Страна!B:B)</f>
        <v>1</v>
      </c>
      <c r="AT235" s="64" t="e">
        <f ca="1">IF(VLOOKUP(W235,Товары!A:B,2,FALSE)=A235,"Есть в 1С","ERR")</f>
        <v>#N/A</v>
      </c>
      <c r="AU235" s="65" t="e">
        <f ca="1">IF(VLOOKUP(A235,Товары!B:B,1,FALSE)=A235,"Есть в 1С","ERR")</f>
        <v>#N/A</v>
      </c>
      <c r="AV235" s="96" t="e">
        <f ca="1">VLOOKUP(W235,Товары!A:B,2,FALSE)</f>
        <v>#N/A</v>
      </c>
      <c r="AW235" s="94" t="e">
        <f ca="1">VLOOKUP(W235,Товары!A:B,1,FALSE)</f>
        <v>#N/A</v>
      </c>
    </row>
    <row r="236" spans="1:49" x14ac:dyDescent="0.25">
      <c r="A236" s="110" t="str">
        <f t="shared" ca="1" si="17"/>
        <v>80-588-80</v>
      </c>
      <c r="B236" s="107" t="str">
        <f ca="1">_xlfn.LET(_xlpm.CAPS,0,_xlpm.Style,TRIM(_xlfn.XLOOKUP($A236,Строчный!$A:$A,Строчный!B:B,"ERR",0)),IF(_xlpm.CAPS=0,_xlpm.Style,UPPER(_xlpm.Style)))</f>
        <v>CARTER 002</v>
      </c>
      <c r="C236" s="81" t="str">
        <f ca="1">TRIM(PROPER(_xlfn.XLOOKUP($A236,Строчный!$A:$A,Строчный!C:C,"ERR",0)))</f>
        <v>Шляпы</v>
      </c>
      <c r="D236" s="81" t="str">
        <f ca="1">_xlfn.LET(_xlpm.DATA,TRIM(_xlfn.XLOOKUP($A236,Строчный!$A:$A,Строчный!D:D,"ERR",0)),UPPER(MID(_xlpm.DATA,1,1))&amp;LOWER(MID(_xlpm.DATA,2,LEN(_xlpm.DATA)-1)))</f>
        <v>Шляпа федора</v>
      </c>
      <c r="E236" s="81" t="str">
        <f ca="1">PROPER(TRIM(_xlfn.XLOOKUP($A236,Строчный!$A:$A,Строчный!E:E,"ERR",0)))</f>
        <v>Herman</v>
      </c>
      <c r="F236" s="81" t="str">
        <f ca="1">LOWER(TRIM(_xlfn.XLOOKUP($A236,Строчный!$A:$A,Строчный!F:F,"ERR",0)))</f>
        <v>всесезон</v>
      </c>
      <c r="G236" s="81" t="str">
        <f ca="1">UPPER(TRIM(_xlfn.XLOOKUP($A236,Строчный!$A:$A,Строчный!G:G,"ERR",0)))</f>
        <v>HERMAN</v>
      </c>
      <c r="H236" s="81" t="str">
        <f ca="1">LOWER(TRIM(_xlfn.XLOOKUP($A236,Строчный!$A:$A,Строчный!H:H,"ERR",0)))</f>
        <v>grey</v>
      </c>
      <c r="I236" s="81" t="str">
        <f ca="1">LOWER(TRIM(_xlfn.XLOOKUP($A236,Строчный!$A:$A,Строчный!I:I,"ERR",0)))</f>
        <v>серый</v>
      </c>
      <c r="J236" s="81" t="str">
        <f ca="1">SUBSTITUTE(LOWER(TRIM(_xlfn.XLOOKUP($A236,Строчный!$A:$A,Строчный!J:J,"ERR",0))),"подклад","Подклад")</f>
        <v>50% полиэстер - 50% полиамид</v>
      </c>
      <c r="K236" s="81" t="str">
        <f ca="1">LOWER(TRIM(_xlfn.XLOOKUP($A236,Строчный!$A:$A,Строчный!K:K,"ERR",0)))</f>
        <v/>
      </c>
      <c r="L236" s="81" t="str">
        <f ca="1">PROPER(TRIM(_xlfn.XLOOKUP($A236,Строчный!$A:$A,Строчный!L:L,"ERR",0)))</f>
        <v>Унисекс</v>
      </c>
      <c r="M236" s="113" t="str">
        <f ca="1">PROPER(TRIM(_xlfn.XLOOKUP($A236,Строчный!$A:$A,Строчный!M:M,"ERR",0)))</f>
        <v>Италия</v>
      </c>
      <c r="N236" s="81" t="str">
        <f ca="1">UPPER(TRIM(_xlfn.XLOOKUP($A236,Строчный!$A:$A,Строчный!O:O,"ERR",0)))</f>
        <v/>
      </c>
      <c r="O236" s="102" t="str">
        <f ca="1">PROPER(TRIM(_xlfn.XLOOKUP($A236,Строчный!$A:$A,Строчный!P:P,"ERR",0)))</f>
        <v/>
      </c>
      <c r="P236" s="81" t="str">
        <f ca="1">PROPER(TRIM(_xlfn.XLOOKUP($A236,Строчный!$A:$A,Строчный!R:R,"ERR",0)))</f>
        <v/>
      </c>
      <c r="Q236" s="90">
        <f ca="1">VALUE(_xlfn.XLOOKUP($A236,Строчный!$A:$A,Строчный!N:N,"ERR",0))</f>
        <v>450</v>
      </c>
      <c r="R236" s="89" t="str">
        <f ca="1">_xlfn.XLOOKUP($G236,Фабрика!A:A,Фабрика!B:B,"ERR",0)</f>
        <v>Chapellerie Herman S.A.; Rue Jean Meunier, 6, 6922 Wellin, Belgium</v>
      </c>
      <c r="S236" s="80" t="str">
        <f ca="1">_xlfn.XLOOKUP(RIGHT(AA236,2),Размеры!D:D,Размеры!A:A,"ERR",0)</f>
        <v>57</v>
      </c>
      <c r="T236" s="80">
        <f ca="1">VALUE(_xlfn.XLOOKUP($AA236,Строчный!$S:$S,Строчный!U:U,"ERR",0))</f>
        <v>5</v>
      </c>
      <c r="U236" s="14" t="s">
        <v>265</v>
      </c>
      <c r="V236" s="101" t="str">
        <f t="shared" ca="1" si="18"/>
        <v>Шляпа HERMAN арт. CARTER 002 (серый)</v>
      </c>
      <c r="W236" s="100" t="str">
        <f t="shared" ca="1" si="19"/>
        <v>Шляпа HERMAN арт. CARTER 002 (серый) {grey}</v>
      </c>
      <c r="X236" s="18" t="str">
        <f t="shared" ca="1" si="20"/>
        <v>серый</v>
      </c>
      <c r="Y236" s="18" t="str">
        <f t="shared" ca="1" si="21"/>
        <v>серый</v>
      </c>
      <c r="Z236" s="117" t="str">
        <f ca="1">_xlfn.LET(_xlpm.FormColors,_xlfn.XLOOKUP(A236,Строчный!A:A,Строчный!Q:Q,"",0),IF(_xlpm.FormColors=0,IFERROR(MID(I236,FIND("-",I236)+1,LEN(I236)),IFERROR(MID(I236,1,FIND("/",I236)-2),I236)),_xlpm.FormColors))</f>
        <v>серый</v>
      </c>
      <c r="AA236" s="73" t="str">
        <f ca="1"/>
        <v>80-588-80-57</v>
      </c>
      <c r="AB236" s="75" t="str">
        <f ca="1">VLOOKUP(C236,Группа!A:B,2,FALSE)</f>
        <v>Шляпа</v>
      </c>
      <c r="AC236" s="97" t="str">
        <f ca="1">IFERROR(VLOOKUP(S236,Размеры!A:C,3,FALSE),"")</f>
        <v>57 M</v>
      </c>
      <c r="AD236" s="97" t="str">
        <f ca="1">VLOOKUP(I236,ЦветПолный!A:B,2,FALSE)</f>
        <v>80</v>
      </c>
      <c r="AE236" s="97" t="str">
        <f ca="1">IFERROR(VLOOKUP(S236,Размеры!A:D,4,FALSE),"")</f>
        <v>57</v>
      </c>
      <c r="AF236" s="97">
        <f ca="1">IF(LEFT(IFERROR(VLOOKUP(LOOKUP(2,1/SEARCH(B236,Товары!A:A),Товары!A:A),Товары!A:B,2,0),""),6)=MID(AA236,1,6),1,0)</f>
        <v>1</v>
      </c>
      <c r="AH236" s="97">
        <f ca="1">SUMIF(Группа!A:A,C236,Группа!C:C)</f>
        <v>1</v>
      </c>
      <c r="AI236" s="97">
        <f ca="1">SUMIF(Группа!B:B,AB236,Группа!C:C)</f>
        <v>1</v>
      </c>
      <c r="AJ236" s="97">
        <f ca="1">SUMIF(Формы!A:A,D236,Формы!B:B)</f>
        <v>1</v>
      </c>
      <c r="AK236" s="97">
        <f ca="1">SUMIF(Материал!A:A,K236,Материал!B:B)</f>
        <v>0</v>
      </c>
      <c r="AL236" s="97">
        <f ca="1">SUMIF(Размеры!A:A,S236,Размеры!E:E)</f>
        <v>1</v>
      </c>
      <c r="AM236" s="97">
        <f ca="1">SUMIF(Сезон!A:A,F236,Сезон!B:B)</f>
        <v>1</v>
      </c>
      <c r="AN236" s="97">
        <f ca="1">SUMIF(Состав!A:A,J236,Состав!B:B)</f>
        <v>1</v>
      </c>
      <c r="AO236" s="97">
        <f ca="1">VLOOKUP(I236,ЦветПолный!A:C,3,0)</f>
        <v>1</v>
      </c>
      <c r="AP236" s="97">
        <f ca="1">SUMIF(Цвет!A:A,Z236,Цвет!B:B)</f>
        <v>1</v>
      </c>
      <c r="AQ236" s="97">
        <f ca="1">_xlfn.XLOOKUP(L236,Пол!A:A,Пол!B:B,0,0)</f>
        <v>1</v>
      </c>
      <c r="AR236" s="97">
        <f ca="1">SUMIF(Бренд!A:A,G236,Бренд!B:B)</f>
        <v>1</v>
      </c>
      <c r="AS236" s="97">
        <f ca="1">SUMIF(Страна!A:A,M236,Страна!B:B)</f>
        <v>1</v>
      </c>
      <c r="AT236" s="64" t="e">
        <f ca="1">IF(VLOOKUP(W236,Товары!A:B,2,FALSE)=A236,"Есть в 1С","ERR")</f>
        <v>#N/A</v>
      </c>
      <c r="AU236" s="65" t="e">
        <f ca="1">IF(VLOOKUP(A236,Товары!B:B,1,FALSE)=A236,"Есть в 1С","ERR")</f>
        <v>#N/A</v>
      </c>
      <c r="AV236" s="96" t="e">
        <f ca="1">VLOOKUP(W236,Товары!A:B,2,FALSE)</f>
        <v>#N/A</v>
      </c>
      <c r="AW236" s="94" t="e">
        <f ca="1">VLOOKUP(W236,Товары!A:B,1,FALSE)</f>
        <v>#N/A</v>
      </c>
    </row>
    <row r="237" spans="1:49" x14ac:dyDescent="0.25">
      <c r="A237" s="110" t="str">
        <f t="shared" ca="1" si="17"/>
        <v>80-588-14</v>
      </c>
      <c r="B237" s="107" t="str">
        <f ca="1">_xlfn.LET(_xlpm.CAPS,0,_xlpm.Style,TRIM(_xlfn.XLOOKUP($A237,Строчный!$A:$A,Строчный!B:B,"ERR",0)),IF(_xlpm.CAPS=0,_xlpm.Style,UPPER(_xlpm.Style)))</f>
        <v>CARTER 002</v>
      </c>
      <c r="C237" s="81" t="str">
        <f ca="1">TRIM(PROPER(_xlfn.XLOOKUP($A237,Строчный!$A:$A,Строчный!C:C,"ERR",0)))</f>
        <v>Шляпы</v>
      </c>
      <c r="D237" s="81" t="str">
        <f ca="1">_xlfn.LET(_xlpm.DATA,TRIM(_xlfn.XLOOKUP($A237,Строчный!$A:$A,Строчный!D:D,"ERR",0)),UPPER(MID(_xlpm.DATA,1,1))&amp;LOWER(MID(_xlpm.DATA,2,LEN(_xlpm.DATA)-1)))</f>
        <v>Шляпа федора</v>
      </c>
      <c r="E237" s="81" t="str">
        <f ca="1">PROPER(TRIM(_xlfn.XLOOKUP($A237,Строчный!$A:$A,Строчный!E:E,"ERR",0)))</f>
        <v>Herman</v>
      </c>
      <c r="F237" s="81" t="str">
        <f ca="1">LOWER(TRIM(_xlfn.XLOOKUP($A237,Строчный!$A:$A,Строчный!F:F,"ERR",0)))</f>
        <v>всесезон</v>
      </c>
      <c r="G237" s="81" t="str">
        <f ca="1">UPPER(TRIM(_xlfn.XLOOKUP($A237,Строчный!$A:$A,Строчный!G:G,"ERR",0)))</f>
        <v>HERMAN</v>
      </c>
      <c r="H237" s="81" t="str">
        <f ca="1">LOWER(TRIM(_xlfn.XLOOKUP($A237,Строчный!$A:$A,Строчный!H:H,"ERR",0)))</f>
        <v>brown</v>
      </c>
      <c r="I237" s="81" t="str">
        <f ca="1">LOWER(TRIM(_xlfn.XLOOKUP($A237,Строчный!$A:$A,Строчный!I:I,"ERR",0)))</f>
        <v>коричневый</v>
      </c>
      <c r="J237" s="81" t="str">
        <f ca="1">SUBSTITUTE(LOWER(TRIM(_xlfn.XLOOKUP($A237,Строчный!$A:$A,Строчный!J:J,"ERR",0))),"подклад","Подклад")</f>
        <v>50% полиэстер - 50% полиамид</v>
      </c>
      <c r="K237" s="81" t="str">
        <f ca="1">LOWER(TRIM(_xlfn.XLOOKUP($A237,Строчный!$A:$A,Строчный!K:K,"ERR",0)))</f>
        <v/>
      </c>
      <c r="L237" s="81" t="str">
        <f ca="1">PROPER(TRIM(_xlfn.XLOOKUP($A237,Строчный!$A:$A,Строчный!L:L,"ERR",0)))</f>
        <v>Унисекс</v>
      </c>
      <c r="M237" s="113" t="str">
        <f ca="1">PROPER(TRIM(_xlfn.XLOOKUP($A237,Строчный!$A:$A,Строчный!M:M,"ERR",0)))</f>
        <v>Италия</v>
      </c>
      <c r="N237" s="81" t="str">
        <f ca="1">UPPER(TRIM(_xlfn.XLOOKUP($A237,Строчный!$A:$A,Строчный!O:O,"ERR",0)))</f>
        <v/>
      </c>
      <c r="O237" s="102" t="str">
        <f ca="1">PROPER(TRIM(_xlfn.XLOOKUP($A237,Строчный!$A:$A,Строчный!P:P,"ERR",0)))</f>
        <v/>
      </c>
      <c r="P237" s="81" t="str">
        <f ca="1">PROPER(TRIM(_xlfn.XLOOKUP($A237,Строчный!$A:$A,Строчный!R:R,"ERR",0)))</f>
        <v/>
      </c>
      <c r="Q237" s="90">
        <f ca="1">VALUE(_xlfn.XLOOKUP($A237,Строчный!$A:$A,Строчный!N:N,"ERR",0))</f>
        <v>450</v>
      </c>
      <c r="R237" s="89" t="str">
        <f ca="1">_xlfn.XLOOKUP($G237,Фабрика!A:A,Фабрика!B:B,"ERR",0)</f>
        <v>Chapellerie Herman S.A.; Rue Jean Meunier, 6, 6922 Wellin, Belgium</v>
      </c>
      <c r="S237" s="80" t="str">
        <f ca="1">_xlfn.XLOOKUP(RIGHT(AA237,2),Размеры!D:D,Размеры!A:A,"ERR",0)</f>
        <v>61</v>
      </c>
      <c r="T237" s="80">
        <f ca="1">VALUE(_xlfn.XLOOKUP($AA237,Строчный!$S:$S,Строчный!U:U,"ERR",0))</f>
        <v>1</v>
      </c>
      <c r="U237" s="14" t="s">
        <v>265</v>
      </c>
      <c r="V237" s="101" t="str">
        <f t="shared" ca="1" si="18"/>
        <v>Шляпа HERMAN арт. CARTER 002 (коричневый)</v>
      </c>
      <c r="W237" s="100" t="str">
        <f t="shared" ca="1" si="19"/>
        <v>Шляпа HERMAN арт. CARTER 002 (коричневый) {brown}</v>
      </c>
      <c r="X237" s="18" t="str">
        <f t="shared" ca="1" si="20"/>
        <v>коричневый</v>
      </c>
      <c r="Y237" s="18" t="str">
        <f t="shared" ca="1" si="21"/>
        <v>коричневый</v>
      </c>
      <c r="Z237" s="117" t="str">
        <f ca="1">_xlfn.LET(_xlpm.FormColors,_xlfn.XLOOKUP(A237,Строчный!A:A,Строчный!Q:Q,"",0),IF(_xlpm.FormColors=0,IFERROR(MID(I237,FIND("-",I237)+1,LEN(I237)),IFERROR(MID(I237,1,FIND("/",I237)-2),I237)),_xlpm.FormColors))</f>
        <v>коричневый</v>
      </c>
      <c r="AA237" s="73" t="str">
        <f ca="1"/>
        <v>80-588-14-61</v>
      </c>
      <c r="AB237" s="75" t="str">
        <f ca="1">VLOOKUP(C237,Группа!A:B,2,FALSE)</f>
        <v>Шляпа</v>
      </c>
      <c r="AC237" s="97" t="str">
        <f ca="1">IFERROR(VLOOKUP(S237,Размеры!A:C,3,FALSE),"")</f>
        <v>61 XL</v>
      </c>
      <c r="AD237" s="97" t="str">
        <f ca="1">VLOOKUP(I237,ЦветПолный!A:B,2,FALSE)</f>
        <v>14</v>
      </c>
      <c r="AE237" s="97" t="str">
        <f ca="1">IFERROR(VLOOKUP(S237,Размеры!A:D,4,FALSE),"")</f>
        <v>61</v>
      </c>
      <c r="AF237" s="97">
        <f ca="1">IF(LEFT(IFERROR(VLOOKUP(LOOKUP(2,1/SEARCH(B237,Товары!A:A),Товары!A:A),Товары!A:B,2,0),""),6)=MID(AA237,1,6),1,0)</f>
        <v>1</v>
      </c>
      <c r="AH237" s="97">
        <f ca="1">SUMIF(Группа!A:A,C237,Группа!C:C)</f>
        <v>1</v>
      </c>
      <c r="AI237" s="97">
        <f ca="1">SUMIF(Группа!B:B,AB237,Группа!C:C)</f>
        <v>1</v>
      </c>
      <c r="AJ237" s="97">
        <f ca="1">SUMIF(Формы!A:A,D237,Формы!B:B)</f>
        <v>1</v>
      </c>
      <c r="AK237" s="97">
        <f ca="1">SUMIF(Материал!A:A,K237,Материал!B:B)</f>
        <v>0</v>
      </c>
      <c r="AL237" s="97">
        <f ca="1">SUMIF(Размеры!A:A,S237,Размеры!E:E)</f>
        <v>1</v>
      </c>
      <c r="AM237" s="97">
        <f ca="1">SUMIF(Сезон!A:A,F237,Сезон!B:B)</f>
        <v>1</v>
      </c>
      <c r="AN237" s="97">
        <f ca="1">SUMIF(Состав!A:A,J237,Состав!B:B)</f>
        <v>1</v>
      </c>
      <c r="AO237" s="97">
        <f ca="1">VLOOKUP(I237,ЦветПолный!A:C,3,0)</f>
        <v>1</v>
      </c>
      <c r="AP237" s="97">
        <f ca="1">SUMIF(Цвет!A:A,Z237,Цвет!B:B)</f>
        <v>1</v>
      </c>
      <c r="AQ237" s="97">
        <f ca="1">_xlfn.XLOOKUP(L237,Пол!A:A,Пол!B:B,0,0)</f>
        <v>1</v>
      </c>
      <c r="AR237" s="97">
        <f ca="1">SUMIF(Бренд!A:A,G237,Бренд!B:B)</f>
        <v>1</v>
      </c>
      <c r="AS237" s="97">
        <f ca="1">SUMIF(Страна!A:A,M237,Страна!B:B)</f>
        <v>1</v>
      </c>
      <c r="AT237" s="64" t="str">
        <f ca="1">IF(VLOOKUP(W237,Товары!A:B,2,FALSE)=A237,"Есть в 1С","ERR")</f>
        <v>Есть в 1С</v>
      </c>
      <c r="AU237" s="65" t="str">
        <f ca="1">IF(VLOOKUP(A237,Товары!B:B,1,FALSE)=A237,"Есть в 1С","ERR")</f>
        <v>Есть в 1С</v>
      </c>
      <c r="AV237" s="96" t="str">
        <f ca="1">VLOOKUP(W237,Товары!A:B,2,FALSE)</f>
        <v>80-588-14</v>
      </c>
      <c r="AW237" s="94" t="str">
        <f ca="1">VLOOKUP(W237,Товары!A:B,1,FALSE)</f>
        <v>Шляпа HERMAN арт. CARTER 002 (коричневый) {brown}</v>
      </c>
    </row>
    <row r="238" spans="1:49" x14ac:dyDescent="0.25">
      <c r="A238" s="110" t="str">
        <f t="shared" ca="1" si="17"/>
        <v>80-588-14</v>
      </c>
      <c r="B238" s="107" t="str">
        <f ca="1">_xlfn.LET(_xlpm.CAPS,0,_xlpm.Style,TRIM(_xlfn.XLOOKUP($A238,Строчный!$A:$A,Строчный!B:B,"ERR",0)),IF(_xlpm.CAPS=0,_xlpm.Style,UPPER(_xlpm.Style)))</f>
        <v>CARTER 002</v>
      </c>
      <c r="C238" s="81" t="str">
        <f ca="1">TRIM(PROPER(_xlfn.XLOOKUP($A238,Строчный!$A:$A,Строчный!C:C,"ERR",0)))</f>
        <v>Шляпы</v>
      </c>
      <c r="D238" s="81" t="str">
        <f ca="1">_xlfn.LET(_xlpm.DATA,TRIM(_xlfn.XLOOKUP($A238,Строчный!$A:$A,Строчный!D:D,"ERR",0)),UPPER(MID(_xlpm.DATA,1,1))&amp;LOWER(MID(_xlpm.DATA,2,LEN(_xlpm.DATA)-1)))</f>
        <v>Шляпа федора</v>
      </c>
      <c r="E238" s="81" t="str">
        <f ca="1">PROPER(TRIM(_xlfn.XLOOKUP($A238,Строчный!$A:$A,Строчный!E:E,"ERR",0)))</f>
        <v>Herman</v>
      </c>
      <c r="F238" s="81" t="str">
        <f ca="1">LOWER(TRIM(_xlfn.XLOOKUP($A238,Строчный!$A:$A,Строчный!F:F,"ERR",0)))</f>
        <v>всесезон</v>
      </c>
      <c r="G238" s="81" t="str">
        <f ca="1">UPPER(TRIM(_xlfn.XLOOKUP($A238,Строчный!$A:$A,Строчный!G:G,"ERR",0)))</f>
        <v>HERMAN</v>
      </c>
      <c r="H238" s="81" t="str">
        <f ca="1">LOWER(TRIM(_xlfn.XLOOKUP($A238,Строчный!$A:$A,Строчный!H:H,"ERR",0)))</f>
        <v>brown</v>
      </c>
      <c r="I238" s="81" t="str">
        <f ca="1">LOWER(TRIM(_xlfn.XLOOKUP($A238,Строчный!$A:$A,Строчный!I:I,"ERR",0)))</f>
        <v>коричневый</v>
      </c>
      <c r="J238" s="81" t="str">
        <f ca="1">SUBSTITUTE(LOWER(TRIM(_xlfn.XLOOKUP($A238,Строчный!$A:$A,Строчный!J:J,"ERR",0))),"подклад","Подклад")</f>
        <v>50% полиэстер - 50% полиамид</v>
      </c>
      <c r="K238" s="81" t="str">
        <f ca="1">LOWER(TRIM(_xlfn.XLOOKUP($A238,Строчный!$A:$A,Строчный!K:K,"ERR",0)))</f>
        <v/>
      </c>
      <c r="L238" s="81" t="str">
        <f ca="1">PROPER(TRIM(_xlfn.XLOOKUP($A238,Строчный!$A:$A,Строчный!L:L,"ERR",0)))</f>
        <v>Унисекс</v>
      </c>
      <c r="M238" s="113" t="str">
        <f ca="1">PROPER(TRIM(_xlfn.XLOOKUP($A238,Строчный!$A:$A,Строчный!M:M,"ERR",0)))</f>
        <v>Италия</v>
      </c>
      <c r="N238" s="81" t="str">
        <f ca="1">UPPER(TRIM(_xlfn.XLOOKUP($A238,Строчный!$A:$A,Строчный!O:O,"ERR",0)))</f>
        <v/>
      </c>
      <c r="O238" s="102" t="str">
        <f ca="1">PROPER(TRIM(_xlfn.XLOOKUP($A238,Строчный!$A:$A,Строчный!P:P,"ERR",0)))</f>
        <v/>
      </c>
      <c r="P238" s="81" t="str">
        <f ca="1">PROPER(TRIM(_xlfn.XLOOKUP($A238,Строчный!$A:$A,Строчный!R:R,"ERR",0)))</f>
        <v/>
      </c>
      <c r="Q238" s="90">
        <f ca="1">VALUE(_xlfn.XLOOKUP($A238,Строчный!$A:$A,Строчный!N:N,"ERR",0))</f>
        <v>450</v>
      </c>
      <c r="R238" s="89" t="str">
        <f ca="1">_xlfn.XLOOKUP($G238,Фабрика!A:A,Фабрика!B:B,"ERR",0)</f>
        <v>Chapellerie Herman S.A.; Rue Jean Meunier, 6, 6922 Wellin, Belgium</v>
      </c>
      <c r="S238" s="80" t="str">
        <f ca="1">_xlfn.XLOOKUP(RIGHT(AA238,2),Размеры!D:D,Размеры!A:A,"ERR",0)</f>
        <v>59</v>
      </c>
      <c r="T238" s="80">
        <f ca="1">VALUE(_xlfn.XLOOKUP($AA238,Строчный!$S:$S,Строчный!U:U,"ERR",0))</f>
        <v>1</v>
      </c>
      <c r="U238" s="14" t="s">
        <v>265</v>
      </c>
      <c r="V238" s="101" t="str">
        <f t="shared" ca="1" si="18"/>
        <v>Шляпа HERMAN арт. CARTER 002 (коричневый)</v>
      </c>
      <c r="W238" s="100" t="str">
        <f t="shared" ca="1" si="19"/>
        <v>Шляпа HERMAN арт. CARTER 002 (коричневый) {brown}</v>
      </c>
      <c r="X238" s="18" t="str">
        <f t="shared" ca="1" si="20"/>
        <v>коричневый</v>
      </c>
      <c r="Y238" s="18" t="str">
        <f t="shared" ca="1" si="21"/>
        <v>коричневый</v>
      </c>
      <c r="Z238" s="117" t="str">
        <f ca="1">_xlfn.LET(_xlpm.FormColors,_xlfn.XLOOKUP(A238,Строчный!A:A,Строчный!Q:Q,"",0),IF(_xlpm.FormColors=0,IFERROR(MID(I238,FIND("-",I238)+1,LEN(I238)),IFERROR(MID(I238,1,FIND("/",I238)-2),I238)),_xlpm.FormColors))</f>
        <v>коричневый</v>
      </c>
      <c r="AA238" s="73" t="str">
        <f ca="1"/>
        <v>80-588-14-59</v>
      </c>
      <c r="AB238" s="75" t="str">
        <f ca="1">VLOOKUP(C238,Группа!A:B,2,FALSE)</f>
        <v>Шляпа</v>
      </c>
      <c r="AC238" s="97" t="str">
        <f ca="1">IFERROR(VLOOKUP(S238,Размеры!A:C,3,FALSE),"")</f>
        <v>59 L</v>
      </c>
      <c r="AD238" s="97" t="str">
        <f ca="1">VLOOKUP(I238,ЦветПолный!A:B,2,FALSE)</f>
        <v>14</v>
      </c>
      <c r="AE238" s="97" t="str">
        <f ca="1">IFERROR(VLOOKUP(S238,Размеры!A:D,4,FALSE),"")</f>
        <v>59</v>
      </c>
      <c r="AF238" s="97">
        <f ca="1">IF(LEFT(IFERROR(VLOOKUP(LOOKUP(2,1/SEARCH(B238,Товары!A:A),Товары!A:A),Товары!A:B,2,0),""),6)=MID(AA238,1,6),1,0)</f>
        <v>1</v>
      </c>
      <c r="AH238" s="97">
        <f ca="1">SUMIF(Группа!A:A,C238,Группа!C:C)</f>
        <v>1</v>
      </c>
      <c r="AI238" s="97">
        <f ca="1">SUMIF(Группа!B:B,AB238,Группа!C:C)</f>
        <v>1</v>
      </c>
      <c r="AJ238" s="97">
        <f ca="1">SUMIF(Формы!A:A,D238,Формы!B:B)</f>
        <v>1</v>
      </c>
      <c r="AK238" s="97">
        <f ca="1">SUMIF(Материал!A:A,K238,Материал!B:B)</f>
        <v>0</v>
      </c>
      <c r="AL238" s="97">
        <f ca="1">SUMIF(Размеры!A:A,S238,Размеры!E:E)</f>
        <v>1</v>
      </c>
      <c r="AM238" s="97">
        <f ca="1">SUMIF(Сезон!A:A,F238,Сезон!B:B)</f>
        <v>1</v>
      </c>
      <c r="AN238" s="97">
        <f ca="1">SUMIF(Состав!A:A,J238,Состав!B:B)</f>
        <v>1</v>
      </c>
      <c r="AO238" s="97">
        <f ca="1">VLOOKUP(I238,ЦветПолный!A:C,3,0)</f>
        <v>1</v>
      </c>
      <c r="AP238" s="97">
        <f ca="1">SUMIF(Цвет!A:A,Z238,Цвет!B:B)</f>
        <v>1</v>
      </c>
      <c r="AQ238" s="97">
        <f ca="1">_xlfn.XLOOKUP(L238,Пол!A:A,Пол!B:B,0,0)</f>
        <v>1</v>
      </c>
      <c r="AR238" s="97">
        <f ca="1">SUMIF(Бренд!A:A,G238,Бренд!B:B)</f>
        <v>1</v>
      </c>
      <c r="AS238" s="97">
        <f ca="1">SUMIF(Страна!A:A,M238,Страна!B:B)</f>
        <v>1</v>
      </c>
      <c r="AT238" s="64" t="str">
        <f ca="1">IF(VLOOKUP(W238,Товары!A:B,2,FALSE)=A238,"Есть в 1С","ERR")</f>
        <v>Есть в 1С</v>
      </c>
      <c r="AU238" s="65" t="str">
        <f ca="1">IF(VLOOKUP(A238,Товары!B:B,1,FALSE)=A238,"Есть в 1С","ERR")</f>
        <v>Есть в 1С</v>
      </c>
      <c r="AV238" s="96" t="str">
        <f ca="1">VLOOKUP(W238,Товары!A:B,2,FALSE)</f>
        <v>80-588-14</v>
      </c>
      <c r="AW238" s="94" t="str">
        <f ca="1">VLOOKUP(W238,Товары!A:B,1,FALSE)</f>
        <v>Шляпа HERMAN арт. CARTER 002 (коричневый) {brown}</v>
      </c>
    </row>
    <row r="239" spans="1:49" x14ac:dyDescent="0.25">
      <c r="A239" s="110" t="str">
        <f t="shared" ca="1" si="17"/>
        <v>80-588-14</v>
      </c>
      <c r="B239" s="107" t="str">
        <f ca="1">_xlfn.LET(_xlpm.CAPS,0,_xlpm.Style,TRIM(_xlfn.XLOOKUP($A239,Строчный!$A:$A,Строчный!B:B,"ERR",0)),IF(_xlpm.CAPS=0,_xlpm.Style,UPPER(_xlpm.Style)))</f>
        <v>CARTER 002</v>
      </c>
      <c r="C239" s="81" t="str">
        <f ca="1">TRIM(PROPER(_xlfn.XLOOKUP($A239,Строчный!$A:$A,Строчный!C:C,"ERR",0)))</f>
        <v>Шляпы</v>
      </c>
      <c r="D239" s="81" t="str">
        <f ca="1">_xlfn.LET(_xlpm.DATA,TRIM(_xlfn.XLOOKUP($A239,Строчный!$A:$A,Строчный!D:D,"ERR",0)),UPPER(MID(_xlpm.DATA,1,1))&amp;LOWER(MID(_xlpm.DATA,2,LEN(_xlpm.DATA)-1)))</f>
        <v>Шляпа федора</v>
      </c>
      <c r="E239" s="81" t="str">
        <f ca="1">PROPER(TRIM(_xlfn.XLOOKUP($A239,Строчный!$A:$A,Строчный!E:E,"ERR",0)))</f>
        <v>Herman</v>
      </c>
      <c r="F239" s="81" t="str">
        <f ca="1">LOWER(TRIM(_xlfn.XLOOKUP($A239,Строчный!$A:$A,Строчный!F:F,"ERR",0)))</f>
        <v>всесезон</v>
      </c>
      <c r="G239" s="81" t="str">
        <f ca="1">UPPER(TRIM(_xlfn.XLOOKUP($A239,Строчный!$A:$A,Строчный!G:G,"ERR",0)))</f>
        <v>HERMAN</v>
      </c>
      <c r="H239" s="81" t="str">
        <f ca="1">LOWER(TRIM(_xlfn.XLOOKUP($A239,Строчный!$A:$A,Строчный!H:H,"ERR",0)))</f>
        <v>brown</v>
      </c>
      <c r="I239" s="81" t="str">
        <f ca="1">LOWER(TRIM(_xlfn.XLOOKUP($A239,Строчный!$A:$A,Строчный!I:I,"ERR",0)))</f>
        <v>коричневый</v>
      </c>
      <c r="J239" s="81" t="str">
        <f ca="1">SUBSTITUTE(LOWER(TRIM(_xlfn.XLOOKUP($A239,Строчный!$A:$A,Строчный!J:J,"ERR",0))),"подклад","Подклад")</f>
        <v>50% полиэстер - 50% полиамид</v>
      </c>
      <c r="K239" s="81" t="str">
        <f ca="1">LOWER(TRIM(_xlfn.XLOOKUP($A239,Строчный!$A:$A,Строчный!K:K,"ERR",0)))</f>
        <v/>
      </c>
      <c r="L239" s="81" t="str">
        <f ca="1">PROPER(TRIM(_xlfn.XLOOKUP($A239,Строчный!$A:$A,Строчный!L:L,"ERR",0)))</f>
        <v>Унисекс</v>
      </c>
      <c r="M239" s="113" t="str">
        <f ca="1">PROPER(TRIM(_xlfn.XLOOKUP($A239,Строчный!$A:$A,Строчный!M:M,"ERR",0)))</f>
        <v>Италия</v>
      </c>
      <c r="N239" s="81" t="str">
        <f ca="1">UPPER(TRIM(_xlfn.XLOOKUP($A239,Строчный!$A:$A,Строчный!O:O,"ERR",0)))</f>
        <v/>
      </c>
      <c r="O239" s="102" t="str">
        <f ca="1">PROPER(TRIM(_xlfn.XLOOKUP($A239,Строчный!$A:$A,Строчный!P:P,"ERR",0)))</f>
        <v/>
      </c>
      <c r="P239" s="81" t="str">
        <f ca="1">PROPER(TRIM(_xlfn.XLOOKUP($A239,Строчный!$A:$A,Строчный!R:R,"ERR",0)))</f>
        <v/>
      </c>
      <c r="Q239" s="90">
        <f ca="1">VALUE(_xlfn.XLOOKUP($A239,Строчный!$A:$A,Строчный!N:N,"ERR",0))</f>
        <v>450</v>
      </c>
      <c r="R239" s="89" t="str">
        <f ca="1">_xlfn.XLOOKUP($G239,Фабрика!A:A,Фабрика!B:B,"ERR",0)</f>
        <v>Chapellerie Herman S.A.; Rue Jean Meunier, 6, 6922 Wellin, Belgium</v>
      </c>
      <c r="S239" s="80" t="str">
        <f ca="1">_xlfn.XLOOKUP(RIGHT(AA239,2),Размеры!D:D,Размеры!A:A,"ERR",0)</f>
        <v>57</v>
      </c>
      <c r="T239" s="80">
        <f ca="1">VALUE(_xlfn.XLOOKUP($AA239,Строчный!$S:$S,Строчный!U:U,"ERR",0))</f>
        <v>1</v>
      </c>
      <c r="U239" s="14" t="s">
        <v>265</v>
      </c>
      <c r="V239" s="101" t="str">
        <f t="shared" ca="1" si="18"/>
        <v>Шляпа HERMAN арт. CARTER 002 (коричневый)</v>
      </c>
      <c r="W239" s="100" t="str">
        <f t="shared" ca="1" si="19"/>
        <v>Шляпа HERMAN арт. CARTER 002 (коричневый) {brown}</v>
      </c>
      <c r="X239" s="18" t="str">
        <f t="shared" ca="1" si="20"/>
        <v>коричневый</v>
      </c>
      <c r="Y239" s="18" t="str">
        <f t="shared" ca="1" si="21"/>
        <v>коричневый</v>
      </c>
      <c r="Z239" s="117" t="str">
        <f ca="1">_xlfn.LET(_xlpm.FormColors,_xlfn.XLOOKUP(A239,Строчный!A:A,Строчный!Q:Q,"",0),IF(_xlpm.FormColors=0,IFERROR(MID(I239,FIND("-",I239)+1,LEN(I239)),IFERROR(MID(I239,1,FIND("/",I239)-2),I239)),_xlpm.FormColors))</f>
        <v>коричневый</v>
      </c>
      <c r="AA239" s="73" t="str">
        <f ca="1"/>
        <v>80-588-14-57</v>
      </c>
      <c r="AB239" s="75" t="str">
        <f ca="1">VLOOKUP(C239,Группа!A:B,2,FALSE)</f>
        <v>Шляпа</v>
      </c>
      <c r="AC239" s="97" t="str">
        <f ca="1">IFERROR(VLOOKUP(S239,Размеры!A:C,3,FALSE),"")</f>
        <v>57 M</v>
      </c>
      <c r="AD239" s="97" t="str">
        <f ca="1">VLOOKUP(I239,ЦветПолный!A:B,2,FALSE)</f>
        <v>14</v>
      </c>
      <c r="AE239" s="97" t="str">
        <f ca="1">IFERROR(VLOOKUP(S239,Размеры!A:D,4,FALSE),"")</f>
        <v>57</v>
      </c>
      <c r="AF239" s="97">
        <f ca="1">IF(LEFT(IFERROR(VLOOKUP(LOOKUP(2,1/SEARCH(B239,Товары!A:A),Товары!A:A),Товары!A:B,2,0),""),6)=MID(AA239,1,6),1,0)</f>
        <v>1</v>
      </c>
      <c r="AH239" s="97">
        <f ca="1">SUMIF(Группа!A:A,C239,Группа!C:C)</f>
        <v>1</v>
      </c>
      <c r="AI239" s="97">
        <f ca="1">SUMIF(Группа!B:B,AB239,Группа!C:C)</f>
        <v>1</v>
      </c>
      <c r="AJ239" s="97">
        <f ca="1">SUMIF(Формы!A:A,D239,Формы!B:B)</f>
        <v>1</v>
      </c>
      <c r="AK239" s="97">
        <f ca="1">SUMIF(Материал!A:A,K239,Материал!B:B)</f>
        <v>0</v>
      </c>
      <c r="AL239" s="97">
        <f ca="1">SUMIF(Размеры!A:A,S239,Размеры!E:E)</f>
        <v>1</v>
      </c>
      <c r="AM239" s="97">
        <f ca="1">SUMIF(Сезон!A:A,F239,Сезон!B:B)</f>
        <v>1</v>
      </c>
      <c r="AN239" s="97">
        <f ca="1">SUMIF(Состав!A:A,J239,Состав!B:B)</f>
        <v>1</v>
      </c>
      <c r="AO239" s="97">
        <f ca="1">VLOOKUP(I239,ЦветПолный!A:C,3,0)</f>
        <v>1</v>
      </c>
      <c r="AP239" s="97">
        <f ca="1">SUMIF(Цвет!A:A,Z239,Цвет!B:B)</f>
        <v>1</v>
      </c>
      <c r="AQ239" s="97">
        <f ca="1">_xlfn.XLOOKUP(L239,Пол!A:A,Пол!B:B,0,0)</f>
        <v>1</v>
      </c>
      <c r="AR239" s="97">
        <f ca="1">SUMIF(Бренд!A:A,G239,Бренд!B:B)</f>
        <v>1</v>
      </c>
      <c r="AS239" s="97">
        <f ca="1">SUMIF(Страна!A:A,M239,Страна!B:B)</f>
        <v>1</v>
      </c>
      <c r="AT239" s="64" t="str">
        <f ca="1">IF(VLOOKUP(W239,Товары!A:B,2,FALSE)=A239,"Есть в 1С","ERR")</f>
        <v>Есть в 1С</v>
      </c>
      <c r="AU239" s="65" t="str">
        <f ca="1">IF(VLOOKUP(A239,Товары!B:B,1,FALSE)=A239,"Есть в 1С","ERR")</f>
        <v>Есть в 1С</v>
      </c>
      <c r="AV239" s="96" t="str">
        <f ca="1">VLOOKUP(W239,Товары!A:B,2,FALSE)</f>
        <v>80-588-14</v>
      </c>
      <c r="AW239" s="94" t="str">
        <f ca="1">VLOOKUP(W239,Товары!A:B,1,FALSE)</f>
        <v>Шляпа HERMAN арт. CARTER 002 (коричневый) {brown}</v>
      </c>
    </row>
    <row r="240" spans="1:49" x14ac:dyDescent="0.25">
      <c r="A240" s="110" t="str">
        <f t="shared" ca="1" si="17"/>
        <v>80-588-14</v>
      </c>
      <c r="B240" s="107" t="str">
        <f ca="1">_xlfn.LET(_xlpm.CAPS,0,_xlpm.Style,TRIM(_xlfn.XLOOKUP($A240,Строчный!$A:$A,Строчный!B:B,"ERR",0)),IF(_xlpm.CAPS=0,_xlpm.Style,UPPER(_xlpm.Style)))</f>
        <v>CARTER 002</v>
      </c>
      <c r="C240" s="81" t="str">
        <f ca="1">TRIM(PROPER(_xlfn.XLOOKUP($A240,Строчный!$A:$A,Строчный!C:C,"ERR",0)))</f>
        <v>Шляпы</v>
      </c>
      <c r="D240" s="81" t="str">
        <f ca="1">_xlfn.LET(_xlpm.DATA,TRIM(_xlfn.XLOOKUP($A240,Строчный!$A:$A,Строчный!D:D,"ERR",0)),UPPER(MID(_xlpm.DATA,1,1))&amp;LOWER(MID(_xlpm.DATA,2,LEN(_xlpm.DATA)-1)))</f>
        <v>Шляпа федора</v>
      </c>
      <c r="E240" s="81" t="str">
        <f ca="1">PROPER(TRIM(_xlfn.XLOOKUP($A240,Строчный!$A:$A,Строчный!E:E,"ERR",0)))</f>
        <v>Herman</v>
      </c>
      <c r="F240" s="81" t="str">
        <f ca="1">LOWER(TRIM(_xlfn.XLOOKUP($A240,Строчный!$A:$A,Строчный!F:F,"ERR",0)))</f>
        <v>всесезон</v>
      </c>
      <c r="G240" s="81" t="str">
        <f ca="1">UPPER(TRIM(_xlfn.XLOOKUP($A240,Строчный!$A:$A,Строчный!G:G,"ERR",0)))</f>
        <v>HERMAN</v>
      </c>
      <c r="H240" s="81" t="str">
        <f ca="1">LOWER(TRIM(_xlfn.XLOOKUP($A240,Строчный!$A:$A,Строчный!H:H,"ERR",0)))</f>
        <v>brown</v>
      </c>
      <c r="I240" s="81" t="str">
        <f ca="1">LOWER(TRIM(_xlfn.XLOOKUP($A240,Строчный!$A:$A,Строчный!I:I,"ERR",0)))</f>
        <v>коричневый</v>
      </c>
      <c r="J240" s="81" t="str">
        <f ca="1">SUBSTITUTE(LOWER(TRIM(_xlfn.XLOOKUP($A240,Строчный!$A:$A,Строчный!J:J,"ERR",0))),"подклад","Подклад")</f>
        <v>50% полиэстер - 50% полиамид</v>
      </c>
      <c r="K240" s="81" t="str">
        <f ca="1">LOWER(TRIM(_xlfn.XLOOKUP($A240,Строчный!$A:$A,Строчный!K:K,"ERR",0)))</f>
        <v/>
      </c>
      <c r="L240" s="81" t="str">
        <f ca="1">PROPER(TRIM(_xlfn.XLOOKUP($A240,Строчный!$A:$A,Строчный!L:L,"ERR",0)))</f>
        <v>Унисекс</v>
      </c>
      <c r="M240" s="113" t="str">
        <f ca="1">PROPER(TRIM(_xlfn.XLOOKUP($A240,Строчный!$A:$A,Строчный!M:M,"ERR",0)))</f>
        <v>Италия</v>
      </c>
      <c r="N240" s="81" t="str">
        <f ca="1">UPPER(TRIM(_xlfn.XLOOKUP($A240,Строчный!$A:$A,Строчный!O:O,"ERR",0)))</f>
        <v/>
      </c>
      <c r="O240" s="102" t="str">
        <f ca="1">PROPER(TRIM(_xlfn.XLOOKUP($A240,Строчный!$A:$A,Строчный!P:P,"ERR",0)))</f>
        <v/>
      </c>
      <c r="P240" s="81" t="str">
        <f ca="1">PROPER(TRIM(_xlfn.XLOOKUP($A240,Строчный!$A:$A,Строчный!R:R,"ERR",0)))</f>
        <v/>
      </c>
      <c r="Q240" s="90">
        <f ca="1">VALUE(_xlfn.XLOOKUP($A240,Строчный!$A:$A,Строчный!N:N,"ERR",0))</f>
        <v>450</v>
      </c>
      <c r="R240" s="89" t="str">
        <f ca="1">_xlfn.XLOOKUP($G240,Фабрика!A:A,Фабрика!B:B,"ERR",0)</f>
        <v>Chapellerie Herman S.A.; Rue Jean Meunier, 6, 6922 Wellin, Belgium</v>
      </c>
      <c r="S240" s="80" t="str">
        <f ca="1">_xlfn.XLOOKUP(RIGHT(AA240,2),Размеры!D:D,Размеры!A:A,"ERR",0)</f>
        <v>55</v>
      </c>
      <c r="T240" s="80">
        <f ca="1">VALUE(_xlfn.XLOOKUP($AA240,Строчный!$S:$S,Строчный!U:U,"ERR",0))</f>
        <v>1</v>
      </c>
      <c r="U240" s="14" t="s">
        <v>265</v>
      </c>
      <c r="V240" s="101" t="str">
        <f t="shared" ca="1" si="18"/>
        <v>Шляпа HERMAN арт. CARTER 002 (коричневый)</v>
      </c>
      <c r="W240" s="100" t="str">
        <f t="shared" ca="1" si="19"/>
        <v>Шляпа HERMAN арт. CARTER 002 (коричневый) {brown}</v>
      </c>
      <c r="X240" s="18" t="str">
        <f t="shared" ca="1" si="20"/>
        <v>коричневый</v>
      </c>
      <c r="Y240" s="18" t="str">
        <f t="shared" ca="1" si="21"/>
        <v>коричневый</v>
      </c>
      <c r="Z240" s="117" t="str">
        <f ca="1">_xlfn.LET(_xlpm.FormColors,_xlfn.XLOOKUP(A240,Строчный!A:A,Строчный!Q:Q,"",0),IF(_xlpm.FormColors=0,IFERROR(MID(I240,FIND("-",I240)+1,LEN(I240)),IFERROR(MID(I240,1,FIND("/",I240)-2),I240)),_xlpm.FormColors))</f>
        <v>коричневый</v>
      </c>
      <c r="AA240" s="73" t="str">
        <f ca="1"/>
        <v>80-588-14-55</v>
      </c>
      <c r="AB240" s="75" t="str">
        <f ca="1">VLOOKUP(C240,Группа!A:B,2,FALSE)</f>
        <v>Шляпа</v>
      </c>
      <c r="AC240" s="97" t="str">
        <f ca="1">IFERROR(VLOOKUP(S240,Размеры!A:C,3,FALSE),"")</f>
        <v>55 S</v>
      </c>
      <c r="AD240" s="97" t="str">
        <f ca="1">VLOOKUP(I240,ЦветПолный!A:B,2,FALSE)</f>
        <v>14</v>
      </c>
      <c r="AE240" s="97" t="str">
        <f ca="1">IFERROR(VLOOKUP(S240,Размеры!A:D,4,FALSE),"")</f>
        <v>55</v>
      </c>
      <c r="AF240" s="97">
        <f ca="1">IF(LEFT(IFERROR(VLOOKUP(LOOKUP(2,1/SEARCH(B240,Товары!A:A),Товары!A:A),Товары!A:B,2,0),""),6)=MID(AA240,1,6),1,0)</f>
        <v>1</v>
      </c>
      <c r="AH240" s="97">
        <f ca="1">SUMIF(Группа!A:A,C240,Группа!C:C)</f>
        <v>1</v>
      </c>
      <c r="AI240" s="97">
        <f ca="1">SUMIF(Группа!B:B,AB240,Группа!C:C)</f>
        <v>1</v>
      </c>
      <c r="AJ240" s="97">
        <f ca="1">SUMIF(Формы!A:A,D240,Формы!B:B)</f>
        <v>1</v>
      </c>
      <c r="AK240" s="97">
        <f ca="1">SUMIF(Материал!A:A,K240,Материал!B:B)</f>
        <v>0</v>
      </c>
      <c r="AL240" s="97">
        <f ca="1">SUMIF(Размеры!A:A,S240,Размеры!E:E)</f>
        <v>1</v>
      </c>
      <c r="AM240" s="97">
        <f ca="1">SUMIF(Сезон!A:A,F240,Сезон!B:B)</f>
        <v>1</v>
      </c>
      <c r="AN240" s="97">
        <f ca="1">SUMIF(Состав!A:A,J240,Состав!B:B)</f>
        <v>1</v>
      </c>
      <c r="AO240" s="97">
        <f ca="1">VLOOKUP(I240,ЦветПолный!A:C,3,0)</f>
        <v>1</v>
      </c>
      <c r="AP240" s="97">
        <f ca="1">SUMIF(Цвет!A:A,Z240,Цвет!B:B)</f>
        <v>1</v>
      </c>
      <c r="AQ240" s="97">
        <f ca="1">_xlfn.XLOOKUP(L240,Пол!A:A,Пол!B:B,0,0)</f>
        <v>1</v>
      </c>
      <c r="AR240" s="97">
        <f ca="1">SUMIF(Бренд!A:A,G240,Бренд!B:B)</f>
        <v>1</v>
      </c>
      <c r="AS240" s="97">
        <f ca="1">SUMIF(Страна!A:A,M240,Страна!B:B)</f>
        <v>1</v>
      </c>
      <c r="AT240" s="64" t="str">
        <f ca="1">IF(VLOOKUP(W240,Товары!A:B,2,FALSE)=A240,"Есть в 1С","ERR")</f>
        <v>Есть в 1С</v>
      </c>
      <c r="AU240" s="65" t="str">
        <f ca="1">IF(VLOOKUP(A240,Товары!B:B,1,FALSE)=A240,"Есть в 1С","ERR")</f>
        <v>Есть в 1С</v>
      </c>
      <c r="AV240" s="96" t="str">
        <f ca="1">VLOOKUP(W240,Товары!A:B,2,FALSE)</f>
        <v>80-588-14</v>
      </c>
      <c r="AW240" s="94" t="str">
        <f ca="1">VLOOKUP(W240,Товары!A:B,1,FALSE)</f>
        <v>Шляпа HERMAN арт. CARTER 002 (коричневый) {brown}</v>
      </c>
    </row>
    <row r="241" spans="1:49" x14ac:dyDescent="0.25">
      <c r="A241" s="110" t="str">
        <f t="shared" ca="1" si="17"/>
        <v>80-562-17</v>
      </c>
      <c r="B241" s="107" t="str">
        <f ca="1">_xlfn.LET(_xlpm.CAPS,0,_xlpm.Style,TRIM(_xlfn.XLOOKUP($A241,Строчный!$A:$A,Строчный!B:B,"ERR",0)),IF(_xlpm.CAPS=0,_xlpm.Style,UPPER(_xlpm.Style)))</f>
        <v>EDMOND 039</v>
      </c>
      <c r="C241" s="81" t="str">
        <f ca="1">TRIM(PROPER(_xlfn.XLOOKUP($A241,Строчный!$A:$A,Строчный!C:C,"ERR",0)))</f>
        <v>Шапки</v>
      </c>
      <c r="D241" s="81" t="str">
        <f ca="1">_xlfn.LET(_xlpm.DATA,TRIM(_xlfn.XLOOKUP($A241,Строчный!$A:$A,Строчный!D:D,"ERR",0)),UPPER(MID(_xlpm.DATA,1,1))&amp;LOWER(MID(_xlpm.DATA,2,LEN(_xlpm.DATA)-1)))</f>
        <v>Шапка вязаная</v>
      </c>
      <c r="E241" s="81" t="str">
        <f ca="1">PROPER(TRIM(_xlfn.XLOOKUP($A241,Строчный!$A:$A,Строчный!E:E,"ERR",0)))</f>
        <v>Herman</v>
      </c>
      <c r="F241" s="81" t="str">
        <f ca="1">LOWER(TRIM(_xlfn.XLOOKUP($A241,Строчный!$A:$A,Строчный!F:F,"ERR",0)))</f>
        <v>зимний</v>
      </c>
      <c r="G241" s="81" t="str">
        <f ca="1">UPPER(TRIM(_xlfn.XLOOKUP($A241,Строчный!$A:$A,Строчный!G:G,"ERR",0)))</f>
        <v>HERMAN</v>
      </c>
      <c r="H241" s="81" t="str">
        <f ca="1">LOWER(TRIM(_xlfn.XLOOKUP($A241,Строчный!$A:$A,Строчный!H:H,"ERR",0)))</f>
        <v>offwhite</v>
      </c>
      <c r="I241" s="81" t="str">
        <f ca="1">LOWER(TRIM(_xlfn.XLOOKUP($A241,Строчный!$A:$A,Строчный!I:I,"ERR",0)))</f>
        <v>белый</v>
      </c>
      <c r="J241" s="81" t="str">
        <f ca="1">SUBSTITUTE(LOWER(TRIM(_xlfn.XLOOKUP($A241,Строчный!$A:$A,Строчный!J:J,"ERR",0))),"подклад","Подклад")</f>
        <v>100% акрил</v>
      </c>
      <c r="K241" s="81" t="str">
        <f ca="1">LOWER(TRIM(_xlfn.XLOOKUP($A241,Строчный!$A:$A,Строчный!K:K,"ERR",0)))</f>
        <v/>
      </c>
      <c r="L241" s="81" t="str">
        <f ca="1">PROPER(TRIM(_xlfn.XLOOKUP($A241,Строчный!$A:$A,Строчный!L:L,"ERR",0)))</f>
        <v>Унисекс</v>
      </c>
      <c r="M241" s="113" t="str">
        <f ca="1">PROPER(TRIM(_xlfn.XLOOKUP($A241,Строчный!$A:$A,Строчный!M:M,"ERR",0)))</f>
        <v>Китай</v>
      </c>
      <c r="N241" s="81" t="str">
        <f ca="1">UPPER(TRIM(_xlfn.XLOOKUP($A241,Строчный!$A:$A,Строчный!O:O,"ERR",0)))</f>
        <v/>
      </c>
      <c r="O241" s="102" t="str">
        <f ca="1">PROPER(TRIM(_xlfn.XLOOKUP($A241,Строчный!$A:$A,Строчный!P:P,"ERR",0)))</f>
        <v/>
      </c>
      <c r="P241" s="81" t="str">
        <f ca="1">PROPER(TRIM(_xlfn.XLOOKUP($A241,Строчный!$A:$A,Строчный!R:R,"ERR",0)))</f>
        <v/>
      </c>
      <c r="Q241" s="90">
        <f ca="1">VALUE(_xlfn.XLOOKUP($A241,Строчный!$A:$A,Строчный!N:N,"ERR",0))</f>
        <v>135</v>
      </c>
      <c r="R241" s="89" t="str">
        <f ca="1">_xlfn.XLOOKUP($G241,Фабрика!A:A,Фабрика!B:B,"ERR",0)</f>
        <v>Chapellerie Herman S.A.; Rue Jean Meunier, 6, 6922 Wellin, Belgium</v>
      </c>
      <c r="S241" s="80" t="str">
        <f ca="1">_xlfn.XLOOKUP(RIGHT(AA241,2),Размеры!D:D,Размеры!A:A,"ERR",0)</f>
        <v>ONE</v>
      </c>
      <c r="T241" s="80">
        <f ca="1">VALUE(_xlfn.XLOOKUP($AA241,Строчный!$S:$S,Строчный!U:U,"ERR",0))</f>
        <v>23</v>
      </c>
      <c r="U241" s="14" t="s">
        <v>265</v>
      </c>
      <c r="V241" s="101" t="str">
        <f t="shared" ca="1" si="18"/>
        <v>Шапка HERMAN арт. EDMOND 039 (белый)</v>
      </c>
      <c r="W241" s="100" t="str">
        <f t="shared" ca="1" si="19"/>
        <v>Шапка HERMAN арт. EDMOND 039 (белый) {offwhite}</v>
      </c>
      <c r="X241" s="18" t="str">
        <f t="shared" ca="1" si="20"/>
        <v>белый</v>
      </c>
      <c r="Y241" s="18" t="str">
        <f t="shared" ca="1" si="21"/>
        <v>белый</v>
      </c>
      <c r="Z241" s="117" t="str">
        <f ca="1">_xlfn.LET(_xlpm.FormColors,_xlfn.XLOOKUP(A241,Строчный!A:A,Строчный!Q:Q,"",0),IF(_xlpm.FormColors=0,IFERROR(MID(I241,FIND("-",I241)+1,LEN(I241)),IFERROR(MID(I241,1,FIND("/",I241)-2),I241)),_xlpm.FormColors))</f>
        <v>белый</v>
      </c>
      <c r="AA241" s="73" t="str">
        <f ca="1"/>
        <v>80-562-17-00</v>
      </c>
      <c r="AB241" s="75" t="str">
        <f ca="1">VLOOKUP(C241,Группа!A:B,2,FALSE)</f>
        <v>Шапка</v>
      </c>
      <c r="AC241" s="97" t="str">
        <f ca="1">IFERROR(VLOOKUP(S241,Размеры!A:C,3,FALSE),"")</f>
        <v>ONE</v>
      </c>
      <c r="AD241" s="97" t="str">
        <f ca="1">VLOOKUP(I241,ЦветПолный!A:B,2,FALSE)</f>
        <v>17</v>
      </c>
      <c r="AE241" s="97" t="str">
        <f ca="1">IFERROR(VLOOKUP(S241,Размеры!A:D,4,FALSE),"")</f>
        <v>00</v>
      </c>
      <c r="AF241" s="97">
        <f ca="1">IF(LEFT(IFERROR(VLOOKUP(LOOKUP(2,1/SEARCH(B241,Товары!A:A),Товары!A:A),Товары!A:B,2,0),""),6)=MID(AA241,1,6),1,0)</f>
        <v>1</v>
      </c>
      <c r="AH241" s="97">
        <f ca="1">SUMIF(Группа!A:A,C241,Группа!C:C)</f>
        <v>1</v>
      </c>
      <c r="AI241" s="97">
        <f ca="1">SUMIF(Группа!B:B,AB241,Группа!C:C)</f>
        <v>1</v>
      </c>
      <c r="AJ241" s="97">
        <f ca="1">SUMIF(Формы!A:A,D241,Формы!B:B)</f>
        <v>1</v>
      </c>
      <c r="AK241" s="97">
        <f ca="1">SUMIF(Материал!A:A,K241,Материал!B:B)</f>
        <v>0</v>
      </c>
      <c r="AL241" s="97">
        <f ca="1">SUMIF(Размеры!A:A,S241,Размеры!E:E)</f>
        <v>1</v>
      </c>
      <c r="AM241" s="97">
        <f ca="1">SUMIF(Сезон!A:A,F241,Сезон!B:B)</f>
        <v>1</v>
      </c>
      <c r="AN241" s="97">
        <f ca="1">SUMIF(Состав!A:A,J241,Состав!B:B)</f>
        <v>1</v>
      </c>
      <c r="AO241" s="97">
        <f ca="1">VLOOKUP(I241,ЦветПолный!A:C,3,0)</f>
        <v>1</v>
      </c>
      <c r="AP241" s="97">
        <f ca="1">SUMIF(Цвет!A:A,Z241,Цвет!B:B)</f>
        <v>1</v>
      </c>
      <c r="AQ241" s="97">
        <f ca="1">_xlfn.XLOOKUP(L241,Пол!A:A,Пол!B:B,0,0)</f>
        <v>1</v>
      </c>
      <c r="AR241" s="97">
        <f ca="1">SUMIF(Бренд!A:A,G241,Бренд!B:B)</f>
        <v>1</v>
      </c>
      <c r="AS241" s="97">
        <f ca="1">SUMIF(Страна!A:A,M241,Страна!B:B)</f>
        <v>1</v>
      </c>
      <c r="AT241" s="64" t="e">
        <f ca="1">IF(VLOOKUP(W241,Товары!A:B,2,FALSE)=A241,"Есть в 1С","ERR")</f>
        <v>#N/A</v>
      </c>
      <c r="AU241" s="65" t="e">
        <f ca="1">IF(VLOOKUP(A241,Товары!B:B,1,FALSE)=A241,"Есть в 1С","ERR")</f>
        <v>#N/A</v>
      </c>
      <c r="AV241" s="96" t="e">
        <f ca="1">VLOOKUP(W241,Товары!A:B,2,FALSE)</f>
        <v>#N/A</v>
      </c>
      <c r="AW241" s="94" t="e">
        <f ca="1">VLOOKUP(W241,Товары!A:B,1,FALSE)</f>
        <v>#N/A</v>
      </c>
    </row>
    <row r="242" spans="1:49" x14ac:dyDescent="0.25">
      <c r="A242" s="110" t="str">
        <f t="shared" ca="1" si="17"/>
        <v>80-556-16</v>
      </c>
      <c r="B242" s="107" t="str">
        <f ca="1">_xlfn.LET(_xlpm.CAPS,0,_xlpm.Style,TRIM(_xlfn.XLOOKUP($A242,Строчный!$A:$A,Строчный!B:B,"ERR",0)),IF(_xlpm.CAPS=0,_xlpm.Style,UPPER(_xlpm.Style)))</f>
        <v>EDMOND 019</v>
      </c>
      <c r="C242" s="81" t="str">
        <f ca="1">TRIM(PROPER(_xlfn.XLOOKUP($A242,Строчный!$A:$A,Строчный!C:C,"ERR",0)))</f>
        <v>Шапки</v>
      </c>
      <c r="D242" s="81" t="str">
        <f ca="1">_xlfn.LET(_xlpm.DATA,TRIM(_xlfn.XLOOKUP($A242,Строчный!$A:$A,Строчный!D:D,"ERR",0)),UPPER(MID(_xlpm.DATA,1,1))&amp;LOWER(MID(_xlpm.DATA,2,LEN(_xlpm.DATA)-1)))</f>
        <v>Шапка вязаная</v>
      </c>
      <c r="E242" s="81" t="str">
        <f ca="1">PROPER(TRIM(_xlfn.XLOOKUP($A242,Строчный!$A:$A,Строчный!E:E,"ERR",0)))</f>
        <v>Herman</v>
      </c>
      <c r="F242" s="81" t="str">
        <f ca="1">LOWER(TRIM(_xlfn.XLOOKUP($A242,Строчный!$A:$A,Строчный!F:F,"ERR",0)))</f>
        <v>зимний</v>
      </c>
      <c r="G242" s="81" t="str">
        <f ca="1">UPPER(TRIM(_xlfn.XLOOKUP($A242,Строчный!$A:$A,Строчный!G:G,"ERR",0)))</f>
        <v>HERMAN</v>
      </c>
      <c r="H242" s="81" t="str">
        <f ca="1">LOWER(TRIM(_xlfn.XLOOKUP($A242,Строчный!$A:$A,Строчный!H:H,"ERR",0)))</f>
        <v>navy</v>
      </c>
      <c r="I242" s="81" t="str">
        <f ca="1">LOWER(TRIM(_xlfn.XLOOKUP($A242,Строчный!$A:$A,Строчный!I:I,"ERR",0)))</f>
        <v>темно-синий</v>
      </c>
      <c r="J242" s="81" t="str">
        <f ca="1">SUBSTITUTE(LOWER(TRIM(_xlfn.XLOOKUP($A242,Строчный!$A:$A,Строчный!J:J,"ERR",0))),"подклад","Подклад")</f>
        <v>100% акрил</v>
      </c>
      <c r="K242" s="81" t="str">
        <f ca="1">LOWER(TRIM(_xlfn.XLOOKUP($A242,Строчный!$A:$A,Строчный!K:K,"ERR",0)))</f>
        <v>акриловые</v>
      </c>
      <c r="L242" s="81" t="str">
        <f ca="1">PROPER(TRIM(_xlfn.XLOOKUP($A242,Строчный!$A:$A,Строчный!L:L,"ERR",0)))</f>
        <v>Мужской</v>
      </c>
      <c r="M242" s="113" t="str">
        <f ca="1">PROPER(TRIM(_xlfn.XLOOKUP($A242,Строчный!$A:$A,Строчный!M:M,"ERR",0)))</f>
        <v>Китай</v>
      </c>
      <c r="N242" s="81" t="str">
        <f ca="1">UPPER(TRIM(_xlfn.XLOOKUP($A242,Строчный!$A:$A,Строчный!O:O,"ERR",0)))</f>
        <v/>
      </c>
      <c r="O242" s="102" t="str">
        <f ca="1">PROPER(TRIM(_xlfn.XLOOKUP($A242,Строчный!$A:$A,Строчный!P:P,"ERR",0)))</f>
        <v/>
      </c>
      <c r="P242" s="81" t="str">
        <f ca="1">PROPER(TRIM(_xlfn.XLOOKUP($A242,Строчный!$A:$A,Строчный!R:R,"ERR",0)))</f>
        <v/>
      </c>
      <c r="Q242" s="90">
        <f ca="1">VALUE(_xlfn.XLOOKUP($A242,Строчный!$A:$A,Строчный!N:N,"ERR",0))</f>
        <v>345.59999999999997</v>
      </c>
      <c r="R242" s="89" t="str">
        <f ca="1">_xlfn.XLOOKUP($G242,Фабрика!A:A,Фабрика!B:B,"ERR",0)</f>
        <v>Chapellerie Herman S.A.; Rue Jean Meunier, 6, 6922 Wellin, Belgium</v>
      </c>
      <c r="S242" s="80" t="str">
        <f ca="1">_xlfn.XLOOKUP(RIGHT(AA242,2),Размеры!D:D,Размеры!A:A,"ERR",0)</f>
        <v>ONE</v>
      </c>
      <c r="T242" s="80">
        <f ca="1">VALUE(_xlfn.XLOOKUP($AA242,Строчный!$S:$S,Строчный!U:U,"ERR",0))</f>
        <v>20</v>
      </c>
      <c r="U242" s="14" t="s">
        <v>265</v>
      </c>
      <c r="V242" s="101" t="str">
        <f t="shared" ca="1" si="18"/>
        <v>Шапка HERMAN арт. EDMOND 019 (темно-синий)</v>
      </c>
      <c r="W242" s="100" t="str">
        <f t="shared" ca="1" si="19"/>
        <v>Шапка HERMAN арт. EDMOND 019 (темно-синий) {navy}</v>
      </c>
      <c r="X242" s="18" t="str">
        <f t="shared" ca="1" si="20"/>
        <v>синий</v>
      </c>
      <c r="Y242" s="18" t="str">
        <f t="shared" ca="1" si="21"/>
        <v>синий</v>
      </c>
      <c r="Z242" s="117" t="str">
        <f ca="1">_xlfn.LET(_xlpm.FormColors,_xlfn.XLOOKUP(A242,Строчный!A:A,Строчный!Q:Q,"",0),IF(_xlpm.FormColors=0,IFERROR(MID(I242,FIND("-",I242)+1,LEN(I242)),IFERROR(MID(I242,1,FIND("/",I242)-2),I242)),_xlpm.FormColors))</f>
        <v>синий</v>
      </c>
      <c r="AA242" s="73" t="str">
        <f ca="1"/>
        <v>80-556-16-00</v>
      </c>
      <c r="AB242" s="75" t="str">
        <f ca="1">VLOOKUP(C242,Группа!A:B,2,FALSE)</f>
        <v>Шапка</v>
      </c>
      <c r="AC242" s="97" t="str">
        <f ca="1">IFERROR(VLOOKUP(S242,Размеры!A:C,3,FALSE),"")</f>
        <v>ONE</v>
      </c>
      <c r="AD242" s="97" t="str">
        <f ca="1">VLOOKUP(I242,ЦветПолный!A:B,2,FALSE)</f>
        <v>16</v>
      </c>
      <c r="AE242" s="97" t="str">
        <f ca="1">IFERROR(VLOOKUP(S242,Размеры!A:D,4,FALSE),"")</f>
        <v>00</v>
      </c>
      <c r="AF242" s="97">
        <f ca="1">IF(LEFT(IFERROR(VLOOKUP(LOOKUP(2,1/SEARCH(B242,Товары!A:A),Товары!A:A),Товары!A:B,2,0),""),6)=MID(AA242,1,6),1,0)</f>
        <v>0</v>
      </c>
      <c r="AH242" s="97">
        <f ca="1">SUMIF(Группа!A:A,C242,Группа!C:C)</f>
        <v>1</v>
      </c>
      <c r="AI242" s="97">
        <f ca="1">SUMIF(Группа!B:B,AB242,Группа!C:C)</f>
        <v>1</v>
      </c>
      <c r="AJ242" s="97">
        <f ca="1">SUMIF(Формы!A:A,D242,Формы!B:B)</f>
        <v>1</v>
      </c>
      <c r="AK242" s="97">
        <f ca="1">SUMIF(Материал!A:A,K242,Материал!B:B)</f>
        <v>1</v>
      </c>
      <c r="AL242" s="97">
        <f ca="1">SUMIF(Размеры!A:A,S242,Размеры!E:E)</f>
        <v>1</v>
      </c>
      <c r="AM242" s="97">
        <f ca="1">SUMIF(Сезон!A:A,F242,Сезон!B:B)</f>
        <v>1</v>
      </c>
      <c r="AN242" s="97">
        <f ca="1">SUMIF(Состав!A:A,J242,Состав!B:B)</f>
        <v>1</v>
      </c>
      <c r="AO242" s="97">
        <f ca="1">VLOOKUP(I242,ЦветПолный!A:C,3,0)</f>
        <v>1</v>
      </c>
      <c r="AP242" s="97">
        <f ca="1">SUMIF(Цвет!A:A,Z242,Цвет!B:B)</f>
        <v>1</v>
      </c>
      <c r="AQ242" s="97">
        <f ca="1">_xlfn.XLOOKUP(L242,Пол!A:A,Пол!B:B,0,0)</f>
        <v>1</v>
      </c>
      <c r="AR242" s="97">
        <f ca="1">SUMIF(Бренд!A:A,G242,Бренд!B:B)</f>
        <v>1</v>
      </c>
      <c r="AS242" s="97">
        <f ca="1">SUMIF(Страна!A:A,M242,Страна!B:B)</f>
        <v>1</v>
      </c>
      <c r="AT242" s="64" t="str">
        <f ca="1">IF(VLOOKUP(W242,Товары!A:B,2,FALSE)=A242,"Есть в 1С","ERR")</f>
        <v>Есть в 1С</v>
      </c>
      <c r="AU242" s="65" t="str">
        <f ca="1">IF(VLOOKUP(A242,Товары!B:B,1,FALSE)=A242,"Есть в 1С","ERR")</f>
        <v>Есть в 1С</v>
      </c>
      <c r="AV242" s="96" t="str">
        <f ca="1">VLOOKUP(W242,Товары!A:B,2,FALSE)</f>
        <v>80-556-16</v>
      </c>
      <c r="AW242" s="94" t="str">
        <f ca="1">VLOOKUP(W242,Товары!A:B,1,FALSE)</f>
        <v>Шапка HERMAN арт. EDMOND 019 (темно-синий) {navy}</v>
      </c>
    </row>
    <row r="243" spans="1:49" x14ac:dyDescent="0.25">
      <c r="A243" s="110" t="str">
        <f t="shared" ca="1" si="17"/>
        <v>80-556-09</v>
      </c>
      <c r="B243" s="107" t="str">
        <f ca="1">_xlfn.LET(_xlpm.CAPS,0,_xlpm.Style,TRIM(_xlfn.XLOOKUP($A243,Строчный!$A:$A,Строчный!B:B,"ERR",0)),IF(_xlpm.CAPS=0,_xlpm.Style,UPPER(_xlpm.Style)))</f>
        <v>EDMOND 019</v>
      </c>
      <c r="C243" s="81" t="str">
        <f ca="1">TRIM(PROPER(_xlfn.XLOOKUP($A243,Строчный!$A:$A,Строчный!C:C,"ERR",0)))</f>
        <v>Шапки</v>
      </c>
      <c r="D243" s="81" t="str">
        <f ca="1">_xlfn.LET(_xlpm.DATA,TRIM(_xlfn.XLOOKUP($A243,Строчный!$A:$A,Строчный!D:D,"ERR",0)),UPPER(MID(_xlpm.DATA,1,1))&amp;LOWER(MID(_xlpm.DATA,2,LEN(_xlpm.DATA)-1)))</f>
        <v>Шапка вязаная</v>
      </c>
      <c r="E243" s="81" t="str">
        <f ca="1">PROPER(TRIM(_xlfn.XLOOKUP($A243,Строчный!$A:$A,Строчный!E:E,"ERR",0)))</f>
        <v>Herman</v>
      </c>
      <c r="F243" s="81" t="str">
        <f ca="1">LOWER(TRIM(_xlfn.XLOOKUP($A243,Строчный!$A:$A,Строчный!F:F,"ERR",0)))</f>
        <v>зимний</v>
      </c>
      <c r="G243" s="81" t="str">
        <f ca="1">UPPER(TRIM(_xlfn.XLOOKUP($A243,Строчный!$A:$A,Строчный!G:G,"ERR",0)))</f>
        <v>HERMAN</v>
      </c>
      <c r="H243" s="81" t="str">
        <f ca="1">LOWER(TRIM(_xlfn.XLOOKUP($A243,Строчный!$A:$A,Строчный!H:H,"ERR",0)))</f>
        <v>black</v>
      </c>
      <c r="I243" s="81" t="str">
        <f ca="1">LOWER(TRIM(_xlfn.XLOOKUP($A243,Строчный!$A:$A,Строчный!I:I,"ERR",0)))</f>
        <v>черный</v>
      </c>
      <c r="J243" s="81" t="str">
        <f ca="1">SUBSTITUTE(LOWER(TRIM(_xlfn.XLOOKUP($A243,Строчный!$A:$A,Строчный!J:J,"ERR",0))),"подклад","Подклад")</f>
        <v>100% акрил</v>
      </c>
      <c r="K243" s="81" t="str">
        <f ca="1">LOWER(TRIM(_xlfn.XLOOKUP($A243,Строчный!$A:$A,Строчный!K:K,"ERR",0)))</f>
        <v>акриловые</v>
      </c>
      <c r="L243" s="81" t="str">
        <f ca="1">PROPER(TRIM(_xlfn.XLOOKUP($A243,Строчный!$A:$A,Строчный!L:L,"ERR",0)))</f>
        <v>Мужской</v>
      </c>
      <c r="M243" s="113" t="str">
        <f ca="1">PROPER(TRIM(_xlfn.XLOOKUP($A243,Строчный!$A:$A,Строчный!M:M,"ERR",0)))</f>
        <v>Китай</v>
      </c>
      <c r="N243" s="81" t="str">
        <f ca="1">UPPER(TRIM(_xlfn.XLOOKUP($A243,Строчный!$A:$A,Строчный!O:O,"ERR",0)))</f>
        <v/>
      </c>
      <c r="O243" s="102" t="str">
        <f ca="1">PROPER(TRIM(_xlfn.XLOOKUP($A243,Строчный!$A:$A,Строчный!P:P,"ERR",0)))</f>
        <v/>
      </c>
      <c r="P243" s="81" t="str">
        <f ca="1">PROPER(TRIM(_xlfn.XLOOKUP($A243,Строчный!$A:$A,Строчный!R:R,"ERR",0)))</f>
        <v/>
      </c>
      <c r="Q243" s="90">
        <f ca="1">VALUE(_xlfn.XLOOKUP($A243,Строчный!$A:$A,Строчный!N:N,"ERR",0))</f>
        <v>345.59999999999997</v>
      </c>
      <c r="R243" s="89" t="str">
        <f ca="1">_xlfn.XLOOKUP($G243,Фабрика!A:A,Фабрика!B:B,"ERR",0)</f>
        <v>Chapellerie Herman S.A.; Rue Jean Meunier, 6, 6922 Wellin, Belgium</v>
      </c>
      <c r="S243" s="80" t="str">
        <f ca="1">_xlfn.XLOOKUP(RIGHT(AA243,2),Размеры!D:D,Размеры!A:A,"ERR",0)</f>
        <v>ONE</v>
      </c>
      <c r="T243" s="80">
        <f ca="1">VALUE(_xlfn.XLOOKUP($AA243,Строчный!$S:$S,Строчный!U:U,"ERR",0))</f>
        <v>20</v>
      </c>
      <c r="U243" s="14" t="s">
        <v>265</v>
      </c>
      <c r="V243" s="101" t="str">
        <f t="shared" ca="1" si="18"/>
        <v>Шапка HERMAN арт. EDMOND 019 (черный)</v>
      </c>
      <c r="W243" s="100" t="str">
        <f t="shared" ca="1" si="19"/>
        <v>Шапка HERMAN арт. EDMOND 019 (черный) {black}</v>
      </c>
      <c r="X243" s="18" t="str">
        <f t="shared" ca="1" si="20"/>
        <v>черный</v>
      </c>
      <c r="Y243" s="18" t="str">
        <f t="shared" ca="1" si="21"/>
        <v>черный</v>
      </c>
      <c r="Z243" s="117" t="str">
        <f ca="1">_xlfn.LET(_xlpm.FormColors,_xlfn.XLOOKUP(A243,Строчный!A:A,Строчный!Q:Q,"",0),IF(_xlpm.FormColors=0,IFERROR(MID(I243,FIND("-",I243)+1,LEN(I243)),IFERROR(MID(I243,1,FIND("/",I243)-2),I243)),_xlpm.FormColors))</f>
        <v>черный</v>
      </c>
      <c r="AA243" s="73" t="str">
        <f ca="1"/>
        <v>80-556-09-00</v>
      </c>
      <c r="AB243" s="75" t="str">
        <f ca="1">VLOOKUP(C243,Группа!A:B,2,FALSE)</f>
        <v>Шапка</v>
      </c>
      <c r="AC243" s="97" t="str">
        <f ca="1">IFERROR(VLOOKUP(S243,Размеры!A:C,3,FALSE),"")</f>
        <v>ONE</v>
      </c>
      <c r="AD243" s="97" t="str">
        <f ca="1">VLOOKUP(I243,ЦветПолный!A:B,2,FALSE)</f>
        <v>09</v>
      </c>
      <c r="AE243" s="97" t="str">
        <f ca="1">IFERROR(VLOOKUP(S243,Размеры!A:D,4,FALSE),"")</f>
        <v>00</v>
      </c>
      <c r="AF243" s="97">
        <f ca="1">IF(LEFT(IFERROR(VLOOKUP(LOOKUP(2,1/SEARCH(B243,Товары!A:A),Товары!A:A),Товары!A:B,2,0),""),6)=MID(AA243,1,6),1,0)</f>
        <v>0</v>
      </c>
      <c r="AH243" s="97">
        <f ca="1">SUMIF(Группа!A:A,C243,Группа!C:C)</f>
        <v>1</v>
      </c>
      <c r="AI243" s="97">
        <f ca="1">SUMIF(Группа!B:B,AB243,Группа!C:C)</f>
        <v>1</v>
      </c>
      <c r="AJ243" s="97">
        <f ca="1">SUMIF(Формы!A:A,D243,Формы!B:B)</f>
        <v>1</v>
      </c>
      <c r="AK243" s="97">
        <f ca="1">SUMIF(Материал!A:A,K243,Материал!B:B)</f>
        <v>1</v>
      </c>
      <c r="AL243" s="97">
        <f ca="1">SUMIF(Размеры!A:A,S243,Размеры!E:E)</f>
        <v>1</v>
      </c>
      <c r="AM243" s="97">
        <f ca="1">SUMIF(Сезон!A:A,F243,Сезон!B:B)</f>
        <v>1</v>
      </c>
      <c r="AN243" s="97">
        <f ca="1">SUMIF(Состав!A:A,J243,Состав!B:B)</f>
        <v>1</v>
      </c>
      <c r="AO243" s="97">
        <f ca="1">VLOOKUP(I243,ЦветПолный!A:C,3,0)</f>
        <v>1</v>
      </c>
      <c r="AP243" s="97">
        <f ca="1">SUMIF(Цвет!A:A,Z243,Цвет!B:B)</f>
        <v>1</v>
      </c>
      <c r="AQ243" s="97">
        <f ca="1">_xlfn.XLOOKUP(L243,Пол!A:A,Пол!B:B,0,0)</f>
        <v>1</v>
      </c>
      <c r="AR243" s="97">
        <f ca="1">SUMIF(Бренд!A:A,G243,Бренд!B:B)</f>
        <v>1</v>
      </c>
      <c r="AS243" s="97">
        <f ca="1">SUMIF(Страна!A:A,M243,Страна!B:B)</f>
        <v>1</v>
      </c>
      <c r="AT243" s="64" t="str">
        <f ca="1">IF(VLOOKUP(W243,Товары!A:B,2,FALSE)=A243,"Есть в 1С","ERR")</f>
        <v>Есть в 1С</v>
      </c>
      <c r="AU243" s="65" t="str">
        <f ca="1">IF(VLOOKUP(A243,Товары!B:B,1,FALSE)=A243,"Есть в 1С","ERR")</f>
        <v>Есть в 1С</v>
      </c>
      <c r="AV243" s="96" t="str">
        <f ca="1">VLOOKUP(W243,Товары!A:B,2,FALSE)</f>
        <v>80-556-09</v>
      </c>
      <c r="AW243" s="94" t="str">
        <f ca="1">VLOOKUP(W243,Товары!A:B,1,FALSE)</f>
        <v>Шапка HERMAN арт. EDMOND 019 (черный) {black}</v>
      </c>
    </row>
    <row r="244" spans="1:49" x14ac:dyDescent="0.25">
      <c r="A244" s="110" t="str">
        <f t="shared" ca="1" si="17"/>
        <v>80-556-05</v>
      </c>
      <c r="B244" s="107" t="str">
        <f ca="1">_xlfn.LET(_xlpm.CAPS,0,_xlpm.Style,TRIM(_xlfn.XLOOKUP($A244,Строчный!$A:$A,Строчный!B:B,"ERR",0)),IF(_xlpm.CAPS=0,_xlpm.Style,UPPER(_xlpm.Style)))</f>
        <v>EDMOND 019</v>
      </c>
      <c r="C244" s="81" t="str">
        <f ca="1">TRIM(PROPER(_xlfn.XLOOKUP($A244,Строчный!$A:$A,Строчный!C:C,"ERR",0)))</f>
        <v>Шапки</v>
      </c>
      <c r="D244" s="81" t="str">
        <f ca="1">_xlfn.LET(_xlpm.DATA,TRIM(_xlfn.XLOOKUP($A244,Строчный!$A:$A,Строчный!D:D,"ERR",0)),UPPER(MID(_xlpm.DATA,1,1))&amp;LOWER(MID(_xlpm.DATA,2,LEN(_xlpm.DATA)-1)))</f>
        <v>Шапка вязаная</v>
      </c>
      <c r="E244" s="81" t="str">
        <f ca="1">PROPER(TRIM(_xlfn.XLOOKUP($A244,Строчный!$A:$A,Строчный!E:E,"ERR",0)))</f>
        <v>Herman</v>
      </c>
      <c r="F244" s="81" t="str">
        <f ca="1">LOWER(TRIM(_xlfn.XLOOKUP($A244,Строчный!$A:$A,Строчный!F:F,"ERR",0)))</f>
        <v>зимний</v>
      </c>
      <c r="G244" s="81" t="str">
        <f ca="1">UPPER(TRIM(_xlfn.XLOOKUP($A244,Строчный!$A:$A,Строчный!G:G,"ERR",0)))</f>
        <v>HERMAN</v>
      </c>
      <c r="H244" s="81" t="str">
        <f ca="1">LOWER(TRIM(_xlfn.XLOOKUP($A244,Строчный!$A:$A,Строчный!H:H,"ERR",0)))</f>
        <v>dark grey</v>
      </c>
      <c r="I244" s="81" t="str">
        <f ca="1">LOWER(TRIM(_xlfn.XLOOKUP($A244,Строчный!$A:$A,Строчный!I:I,"ERR",0)))</f>
        <v>темно-серый</v>
      </c>
      <c r="J244" s="81" t="str">
        <f ca="1">SUBSTITUTE(LOWER(TRIM(_xlfn.XLOOKUP($A244,Строчный!$A:$A,Строчный!J:J,"ERR",0))),"подклад","Подклад")</f>
        <v>100% акрил</v>
      </c>
      <c r="K244" s="81" t="str">
        <f ca="1">LOWER(TRIM(_xlfn.XLOOKUP($A244,Строчный!$A:$A,Строчный!K:K,"ERR",0)))</f>
        <v>акриловые</v>
      </c>
      <c r="L244" s="81" t="str">
        <f ca="1">PROPER(TRIM(_xlfn.XLOOKUP($A244,Строчный!$A:$A,Строчный!L:L,"ERR",0)))</f>
        <v>Мужской</v>
      </c>
      <c r="M244" s="113" t="str">
        <f ca="1">PROPER(TRIM(_xlfn.XLOOKUP($A244,Строчный!$A:$A,Строчный!M:M,"ERR",0)))</f>
        <v>Китай</v>
      </c>
      <c r="N244" s="81" t="str">
        <f ca="1">UPPER(TRIM(_xlfn.XLOOKUP($A244,Строчный!$A:$A,Строчный!O:O,"ERR",0)))</f>
        <v/>
      </c>
      <c r="O244" s="102" t="str">
        <f ca="1">PROPER(TRIM(_xlfn.XLOOKUP($A244,Строчный!$A:$A,Строчный!P:P,"ERR",0)))</f>
        <v/>
      </c>
      <c r="P244" s="81" t="str">
        <f ca="1">PROPER(TRIM(_xlfn.XLOOKUP($A244,Строчный!$A:$A,Строчный!R:R,"ERR",0)))</f>
        <v/>
      </c>
      <c r="Q244" s="90">
        <f ca="1">VALUE(_xlfn.XLOOKUP($A244,Строчный!$A:$A,Строчный!N:N,"ERR",0))</f>
        <v>345.59999999999997</v>
      </c>
      <c r="R244" s="89" t="str">
        <f ca="1">_xlfn.XLOOKUP($G244,Фабрика!A:A,Фабрика!B:B,"ERR",0)</f>
        <v>Chapellerie Herman S.A.; Rue Jean Meunier, 6, 6922 Wellin, Belgium</v>
      </c>
      <c r="S244" s="80" t="str">
        <f ca="1">_xlfn.XLOOKUP(RIGHT(AA244,2),Размеры!D:D,Размеры!A:A,"ERR",0)</f>
        <v>ONE</v>
      </c>
      <c r="T244" s="80">
        <f ca="1">VALUE(_xlfn.XLOOKUP($AA244,Строчный!$S:$S,Строчный!U:U,"ERR",0))</f>
        <v>20</v>
      </c>
      <c r="U244" s="14" t="s">
        <v>265</v>
      </c>
      <c r="V244" s="101" t="str">
        <f t="shared" ca="1" si="18"/>
        <v>Шапка HERMAN арт. EDMOND 019 (темно-серый)</v>
      </c>
      <c r="W244" s="100" t="str">
        <f t="shared" ca="1" si="19"/>
        <v>Шапка HERMAN арт. EDMOND 019 (темно-серый) {dark grey}</v>
      </c>
      <c r="X244" s="18" t="str">
        <f t="shared" ca="1" si="20"/>
        <v>серый</v>
      </c>
      <c r="Y244" s="18" t="str">
        <f t="shared" ca="1" si="21"/>
        <v>серый</v>
      </c>
      <c r="Z244" s="117" t="str">
        <f ca="1">_xlfn.LET(_xlpm.FormColors,_xlfn.XLOOKUP(A244,Строчный!A:A,Строчный!Q:Q,"",0),IF(_xlpm.FormColors=0,IFERROR(MID(I244,FIND("-",I244)+1,LEN(I244)),IFERROR(MID(I244,1,FIND("/",I244)-2),I244)),_xlpm.FormColors))</f>
        <v>серый</v>
      </c>
      <c r="AA244" s="73" t="str">
        <f ca="1"/>
        <v>80-556-05-00</v>
      </c>
      <c r="AB244" s="75" t="str">
        <f ca="1">VLOOKUP(C244,Группа!A:B,2,FALSE)</f>
        <v>Шапка</v>
      </c>
      <c r="AC244" s="97" t="str">
        <f ca="1">IFERROR(VLOOKUP(S244,Размеры!A:C,3,FALSE),"")</f>
        <v>ONE</v>
      </c>
      <c r="AD244" s="97" t="str">
        <f ca="1">VLOOKUP(I244,ЦветПолный!A:B,2,FALSE)</f>
        <v>05</v>
      </c>
      <c r="AE244" s="97" t="str">
        <f ca="1">IFERROR(VLOOKUP(S244,Размеры!A:D,4,FALSE),"")</f>
        <v>00</v>
      </c>
      <c r="AF244" s="97">
        <f ca="1">IF(LEFT(IFERROR(VLOOKUP(LOOKUP(2,1/SEARCH(B244,Товары!A:A),Товары!A:A),Товары!A:B,2,0),""),6)=MID(AA244,1,6),1,0)</f>
        <v>0</v>
      </c>
      <c r="AH244" s="97">
        <f ca="1">SUMIF(Группа!A:A,C244,Группа!C:C)</f>
        <v>1</v>
      </c>
      <c r="AI244" s="97">
        <f ca="1">SUMIF(Группа!B:B,AB244,Группа!C:C)</f>
        <v>1</v>
      </c>
      <c r="AJ244" s="97">
        <f ca="1">SUMIF(Формы!A:A,D244,Формы!B:B)</f>
        <v>1</v>
      </c>
      <c r="AK244" s="97">
        <f ca="1">SUMIF(Материал!A:A,K244,Материал!B:B)</f>
        <v>1</v>
      </c>
      <c r="AL244" s="97">
        <f ca="1">SUMIF(Размеры!A:A,S244,Размеры!E:E)</f>
        <v>1</v>
      </c>
      <c r="AM244" s="97">
        <f ca="1">SUMIF(Сезон!A:A,F244,Сезон!B:B)</f>
        <v>1</v>
      </c>
      <c r="AN244" s="97">
        <f ca="1">SUMIF(Состав!A:A,J244,Состав!B:B)</f>
        <v>1</v>
      </c>
      <c r="AO244" s="97">
        <f ca="1">VLOOKUP(I244,ЦветПолный!A:C,3,0)</f>
        <v>1</v>
      </c>
      <c r="AP244" s="97">
        <f ca="1">SUMIF(Цвет!A:A,Z244,Цвет!B:B)</f>
        <v>1</v>
      </c>
      <c r="AQ244" s="97">
        <f ca="1">_xlfn.XLOOKUP(L244,Пол!A:A,Пол!B:B,0,0)</f>
        <v>1</v>
      </c>
      <c r="AR244" s="97">
        <f ca="1">SUMIF(Бренд!A:A,G244,Бренд!B:B)</f>
        <v>1</v>
      </c>
      <c r="AS244" s="97">
        <f ca="1">SUMIF(Страна!A:A,M244,Страна!B:B)</f>
        <v>1</v>
      </c>
      <c r="AT244" s="64" t="str">
        <f ca="1">IF(VLOOKUP(W244,Товары!A:B,2,FALSE)=A244,"Есть в 1С","ERR")</f>
        <v>Есть в 1С</v>
      </c>
      <c r="AU244" s="65" t="str">
        <f ca="1">IF(VLOOKUP(A244,Товары!B:B,1,FALSE)=A244,"Есть в 1С","ERR")</f>
        <v>Есть в 1С</v>
      </c>
      <c r="AV244" s="96" t="str">
        <f ca="1">VLOOKUP(W244,Товары!A:B,2,FALSE)</f>
        <v>80-556-05</v>
      </c>
      <c r="AW244" s="94" t="str">
        <f ca="1">VLOOKUP(W244,Товары!A:B,1,FALSE)</f>
        <v>Шапка HERMAN арт. EDMOND 019 (темно-серый) {dark grey}</v>
      </c>
    </row>
    <row r="245" spans="1:49" x14ac:dyDescent="0.25">
      <c r="A245" s="110" t="str">
        <f t="shared" ca="1" si="17"/>
        <v>80-506-16</v>
      </c>
      <c r="B245" s="107" t="str">
        <f ca="1">_xlfn.LET(_xlpm.CAPS,0,_xlpm.Style,TRIM(_xlfn.XLOOKUP($A245,Строчный!$A:$A,Строчный!B:B,"ERR",0)),IF(_xlpm.CAPS=0,_xlpm.Style,UPPER(_xlpm.Style)))</f>
        <v>EDMOND 005</v>
      </c>
      <c r="C245" s="81" t="str">
        <f ca="1">TRIM(PROPER(_xlfn.XLOOKUP($A245,Строчный!$A:$A,Строчный!C:C,"ERR",0)))</f>
        <v>Шарфы</v>
      </c>
      <c r="D245" s="81" t="str">
        <f ca="1">_xlfn.LET(_xlpm.DATA,TRIM(_xlfn.XLOOKUP($A245,Строчный!$A:$A,Строчный!D:D,"ERR",0)),UPPER(MID(_xlpm.DATA,1,1))&amp;LOWER(MID(_xlpm.DATA,2,LEN(_xlpm.DATA)-1)))</f>
        <v>Шарф</v>
      </c>
      <c r="E245" s="81" t="str">
        <f ca="1">PROPER(TRIM(_xlfn.XLOOKUP($A245,Строчный!$A:$A,Строчный!E:E,"ERR",0)))</f>
        <v>Herman</v>
      </c>
      <c r="F245" s="81" t="str">
        <f ca="1">LOWER(TRIM(_xlfn.XLOOKUP($A245,Строчный!$A:$A,Строчный!F:F,"ERR",0)))</f>
        <v>зимний</v>
      </c>
      <c r="G245" s="81" t="str">
        <f ca="1">UPPER(TRIM(_xlfn.XLOOKUP($A245,Строчный!$A:$A,Строчный!G:G,"ERR",0)))</f>
        <v>HERMAN</v>
      </c>
      <c r="H245" s="81" t="str">
        <f ca="1">LOWER(TRIM(_xlfn.XLOOKUP($A245,Строчный!$A:$A,Строчный!H:H,"ERR",0)))</f>
        <v>navy</v>
      </c>
      <c r="I245" s="81" t="str">
        <f ca="1">LOWER(TRIM(_xlfn.XLOOKUP($A245,Строчный!$A:$A,Строчный!I:I,"ERR",0)))</f>
        <v>темно-синий</v>
      </c>
      <c r="J245" s="81" t="str">
        <f ca="1">SUBSTITUTE(LOWER(TRIM(_xlfn.XLOOKUP($A245,Строчный!$A:$A,Строчный!J:J,"ERR",0))),"подклад","Подклад")</f>
        <v>100% шерсть</v>
      </c>
      <c r="K245" s="81" t="str">
        <f ca="1">LOWER(TRIM(_xlfn.XLOOKUP($A245,Строчный!$A:$A,Строчный!K:K,"ERR",0)))</f>
        <v>шерстяные</v>
      </c>
      <c r="L245" s="81" t="str">
        <f ca="1">PROPER(TRIM(_xlfn.XLOOKUP($A245,Строчный!$A:$A,Строчный!L:L,"ERR",0)))</f>
        <v>Унисекс</v>
      </c>
      <c r="M245" s="113" t="str">
        <f ca="1">PROPER(TRIM(_xlfn.XLOOKUP($A245,Строчный!$A:$A,Строчный!M:M,"ERR",0)))</f>
        <v>Италия</v>
      </c>
      <c r="N245" s="81" t="str">
        <f ca="1">UPPER(TRIM(_xlfn.XLOOKUP($A245,Строчный!$A:$A,Строчный!O:O,"ERR",0)))</f>
        <v/>
      </c>
      <c r="O245" s="102" t="str">
        <f ca="1">PROPER(TRIM(_xlfn.XLOOKUP($A245,Строчный!$A:$A,Строчный!P:P,"ERR",0)))</f>
        <v/>
      </c>
      <c r="P245" s="81" t="str">
        <f ca="1">PROPER(TRIM(_xlfn.XLOOKUP($A245,Строчный!$A:$A,Строчный!R:R,"ERR",0)))</f>
        <v/>
      </c>
      <c r="Q245" s="90">
        <f ca="1">VALUE(_xlfn.XLOOKUP($A245,Строчный!$A:$A,Строчный!N:N,"ERR",0))</f>
        <v>270</v>
      </c>
      <c r="R245" s="89" t="str">
        <f ca="1">_xlfn.XLOOKUP($G245,Фабрика!A:A,Фабрика!B:B,"ERR",0)</f>
        <v>Chapellerie Herman S.A.; Rue Jean Meunier, 6, 6922 Wellin, Belgium</v>
      </c>
      <c r="S245" s="80" t="str">
        <f ca="1">_xlfn.XLOOKUP(RIGHT(AA245,2),Размеры!D:D,Размеры!A:A,"ERR",0)</f>
        <v>ONE</v>
      </c>
      <c r="T245" s="80">
        <f ca="1">VALUE(_xlfn.XLOOKUP($AA245,Строчный!$S:$S,Строчный!U:U,"ERR",0))</f>
        <v>8</v>
      </c>
      <c r="U245" s="14" t="s">
        <v>265</v>
      </c>
      <c r="V245" s="101" t="str">
        <f t="shared" ca="1" si="18"/>
        <v>Шарф HERMAN арт. EDMOND 005 (темно-синий)</v>
      </c>
      <c r="W245" s="100" t="str">
        <f t="shared" ca="1" si="19"/>
        <v>Шарф HERMAN арт. EDMOND 005 (темно-синий) {navy}</v>
      </c>
      <c r="X245" s="18" t="str">
        <f t="shared" ca="1" si="20"/>
        <v>синий</v>
      </c>
      <c r="Y245" s="18" t="str">
        <f t="shared" ca="1" si="21"/>
        <v>синий</v>
      </c>
      <c r="Z245" s="117" t="str">
        <f ca="1">_xlfn.LET(_xlpm.FormColors,_xlfn.XLOOKUP(A245,Строчный!A:A,Строчный!Q:Q,"",0),IF(_xlpm.FormColors=0,IFERROR(MID(I245,FIND("-",I245)+1,LEN(I245)),IFERROR(MID(I245,1,FIND("/",I245)-2),I245)),_xlpm.FormColors))</f>
        <v>синий</v>
      </c>
      <c r="AA245" s="73" t="str">
        <f ca="1"/>
        <v>80-506-16-00</v>
      </c>
      <c r="AB245" s="75" t="str">
        <f ca="1">VLOOKUP(C245,Группа!A:B,2,FALSE)</f>
        <v>Шарф</v>
      </c>
      <c r="AC245" s="97" t="str">
        <f ca="1">IFERROR(VLOOKUP(S245,Размеры!A:C,3,FALSE),"")</f>
        <v>ONE</v>
      </c>
      <c r="AD245" s="97" t="str">
        <f ca="1">VLOOKUP(I245,ЦветПолный!A:B,2,FALSE)</f>
        <v>16</v>
      </c>
      <c r="AE245" s="97" t="str">
        <f ca="1">IFERROR(VLOOKUP(S245,Размеры!A:D,4,FALSE),"")</f>
        <v>00</v>
      </c>
      <c r="AF245" s="97">
        <f ca="1">IF(LEFT(IFERROR(VLOOKUP(LOOKUP(2,1/SEARCH(B245,Товары!A:A),Товары!A:A),Товары!A:B,2,0),""),6)=MID(AA245,1,6),1,0)</f>
        <v>1</v>
      </c>
      <c r="AH245" s="97">
        <f ca="1">SUMIF(Группа!A:A,C245,Группа!C:C)</f>
        <v>1</v>
      </c>
      <c r="AI245" s="97">
        <f ca="1">SUMIF(Группа!B:B,AB245,Группа!C:C)</f>
        <v>1</v>
      </c>
      <c r="AJ245" s="97">
        <f ca="1">SUMIF(Формы!A:A,D245,Формы!B:B)</f>
        <v>1</v>
      </c>
      <c r="AK245" s="97">
        <f ca="1">SUMIF(Материал!A:A,K245,Материал!B:B)</f>
        <v>1</v>
      </c>
      <c r="AL245" s="97">
        <f ca="1">SUMIF(Размеры!A:A,S245,Размеры!E:E)</f>
        <v>1</v>
      </c>
      <c r="AM245" s="97">
        <f ca="1">SUMIF(Сезон!A:A,F245,Сезон!B:B)</f>
        <v>1</v>
      </c>
      <c r="AN245" s="97">
        <f ca="1">SUMIF(Состав!A:A,J245,Состав!B:B)</f>
        <v>1</v>
      </c>
      <c r="AO245" s="97">
        <f ca="1">VLOOKUP(I245,ЦветПолный!A:C,3,0)</f>
        <v>1</v>
      </c>
      <c r="AP245" s="97">
        <f ca="1">SUMIF(Цвет!A:A,Z245,Цвет!B:B)</f>
        <v>1</v>
      </c>
      <c r="AQ245" s="97">
        <f ca="1">_xlfn.XLOOKUP(L245,Пол!A:A,Пол!B:B,0,0)</f>
        <v>1</v>
      </c>
      <c r="AR245" s="97">
        <f ca="1">SUMIF(Бренд!A:A,G245,Бренд!B:B)</f>
        <v>1</v>
      </c>
      <c r="AS245" s="97">
        <f ca="1">SUMIF(Страна!A:A,M245,Страна!B:B)</f>
        <v>1</v>
      </c>
      <c r="AT245" s="64" t="str">
        <f ca="1">IF(VLOOKUP(W245,Товары!A:B,2,FALSE)=A245,"Есть в 1С","ERR")</f>
        <v>Есть в 1С</v>
      </c>
      <c r="AU245" s="65" t="str">
        <f ca="1">IF(VLOOKUP(A245,Товары!B:B,1,FALSE)=A245,"Есть в 1С","ERR")</f>
        <v>Есть в 1С</v>
      </c>
      <c r="AV245" s="96" t="str">
        <f ca="1">VLOOKUP(W245,Товары!A:B,2,FALSE)</f>
        <v>80-506-16</v>
      </c>
      <c r="AW245" s="94" t="str">
        <f ca="1">VLOOKUP(W245,Товары!A:B,1,FALSE)</f>
        <v>Шарф HERMAN арт. EDMOND 005 (темно-синий) {navy}</v>
      </c>
    </row>
    <row r="246" spans="1:49" x14ac:dyDescent="0.25">
      <c r="A246" s="110" t="str">
        <f t="shared" ca="1" si="17"/>
        <v>80-506-14</v>
      </c>
      <c r="B246" s="107" t="str">
        <f ca="1">_xlfn.LET(_xlpm.CAPS,0,_xlpm.Style,TRIM(_xlfn.XLOOKUP($A246,Строчный!$A:$A,Строчный!B:B,"ERR",0)),IF(_xlpm.CAPS=0,_xlpm.Style,UPPER(_xlpm.Style)))</f>
        <v>EDMOND 005</v>
      </c>
      <c r="C246" s="81" t="str">
        <f ca="1">TRIM(PROPER(_xlfn.XLOOKUP($A246,Строчный!$A:$A,Строчный!C:C,"ERR",0)))</f>
        <v>Шарфы</v>
      </c>
      <c r="D246" s="81" t="str">
        <f ca="1">_xlfn.LET(_xlpm.DATA,TRIM(_xlfn.XLOOKUP($A246,Строчный!$A:$A,Строчный!D:D,"ERR",0)),UPPER(MID(_xlpm.DATA,1,1))&amp;LOWER(MID(_xlpm.DATA,2,LEN(_xlpm.DATA)-1)))</f>
        <v>Шарф</v>
      </c>
      <c r="E246" s="81" t="str">
        <f ca="1">PROPER(TRIM(_xlfn.XLOOKUP($A246,Строчный!$A:$A,Строчный!E:E,"ERR",0)))</f>
        <v>Herman</v>
      </c>
      <c r="F246" s="81" t="str">
        <f ca="1">LOWER(TRIM(_xlfn.XLOOKUP($A246,Строчный!$A:$A,Строчный!F:F,"ERR",0)))</f>
        <v>зимний</v>
      </c>
      <c r="G246" s="81" t="str">
        <f ca="1">UPPER(TRIM(_xlfn.XLOOKUP($A246,Строчный!$A:$A,Строчный!G:G,"ERR",0)))</f>
        <v>HERMAN</v>
      </c>
      <c r="H246" s="81" t="str">
        <f ca="1">LOWER(TRIM(_xlfn.XLOOKUP($A246,Строчный!$A:$A,Строчный!H:H,"ERR",0)))</f>
        <v>brown</v>
      </c>
      <c r="I246" s="81" t="str">
        <f ca="1">LOWER(TRIM(_xlfn.XLOOKUP($A246,Строчный!$A:$A,Строчный!I:I,"ERR",0)))</f>
        <v>коричневый</v>
      </c>
      <c r="J246" s="81" t="str">
        <f ca="1">SUBSTITUTE(LOWER(TRIM(_xlfn.XLOOKUP($A246,Строчный!$A:$A,Строчный!J:J,"ERR",0))),"подклад","Подклад")</f>
        <v>100% шерсть</v>
      </c>
      <c r="K246" s="81" t="str">
        <f ca="1">LOWER(TRIM(_xlfn.XLOOKUP($A246,Строчный!$A:$A,Строчный!K:K,"ERR",0)))</f>
        <v>шерстяные</v>
      </c>
      <c r="L246" s="81" t="str">
        <f ca="1">PROPER(TRIM(_xlfn.XLOOKUP($A246,Строчный!$A:$A,Строчный!L:L,"ERR",0)))</f>
        <v>Унисекс</v>
      </c>
      <c r="M246" s="113" t="str">
        <f ca="1">PROPER(TRIM(_xlfn.XLOOKUP($A246,Строчный!$A:$A,Строчный!M:M,"ERR",0)))</f>
        <v>Италия</v>
      </c>
      <c r="N246" s="81" t="str">
        <f ca="1">UPPER(TRIM(_xlfn.XLOOKUP($A246,Строчный!$A:$A,Строчный!O:O,"ERR",0)))</f>
        <v/>
      </c>
      <c r="O246" s="102" t="str">
        <f ca="1">PROPER(TRIM(_xlfn.XLOOKUP($A246,Строчный!$A:$A,Строчный!P:P,"ERR",0)))</f>
        <v/>
      </c>
      <c r="P246" s="81" t="str">
        <f ca="1">PROPER(TRIM(_xlfn.XLOOKUP($A246,Строчный!$A:$A,Строчный!R:R,"ERR",0)))</f>
        <v/>
      </c>
      <c r="Q246" s="90">
        <f ca="1">VALUE(_xlfn.XLOOKUP($A246,Строчный!$A:$A,Строчный!N:N,"ERR",0))</f>
        <v>270</v>
      </c>
      <c r="R246" s="89" t="str">
        <f ca="1">_xlfn.XLOOKUP($G246,Фабрика!A:A,Фабрика!B:B,"ERR",0)</f>
        <v>Chapellerie Herman S.A.; Rue Jean Meunier, 6, 6922 Wellin, Belgium</v>
      </c>
      <c r="S246" s="80" t="str">
        <f ca="1">_xlfn.XLOOKUP(RIGHT(AA246,2),Размеры!D:D,Размеры!A:A,"ERR",0)</f>
        <v>ONE</v>
      </c>
      <c r="T246" s="80">
        <f ca="1">VALUE(_xlfn.XLOOKUP($AA246,Строчный!$S:$S,Строчный!U:U,"ERR",0))</f>
        <v>4</v>
      </c>
      <c r="U246" s="14" t="s">
        <v>265</v>
      </c>
      <c r="V246" s="101" t="str">
        <f t="shared" ca="1" si="18"/>
        <v>Шарф HERMAN арт. EDMOND 005 (коричневый)</v>
      </c>
      <c r="W246" s="100" t="str">
        <f t="shared" ca="1" si="19"/>
        <v>Шарф HERMAN арт. EDMOND 005 (коричневый) {brown}</v>
      </c>
      <c r="X246" s="18" t="str">
        <f t="shared" ca="1" si="20"/>
        <v>коричневый</v>
      </c>
      <c r="Y246" s="18" t="str">
        <f t="shared" ca="1" si="21"/>
        <v>коричневый</v>
      </c>
      <c r="Z246" s="117" t="str">
        <f ca="1">_xlfn.LET(_xlpm.FormColors,_xlfn.XLOOKUP(A246,Строчный!A:A,Строчный!Q:Q,"",0),IF(_xlpm.FormColors=0,IFERROR(MID(I246,FIND("-",I246)+1,LEN(I246)),IFERROR(MID(I246,1,FIND("/",I246)-2),I246)),_xlpm.FormColors))</f>
        <v>коричневый</v>
      </c>
      <c r="AA246" s="73" t="str">
        <f ca="1"/>
        <v>80-506-14-00</v>
      </c>
      <c r="AB246" s="75" t="str">
        <f ca="1">VLOOKUP(C246,Группа!A:B,2,FALSE)</f>
        <v>Шарф</v>
      </c>
      <c r="AC246" s="97" t="str">
        <f ca="1">IFERROR(VLOOKUP(S246,Размеры!A:C,3,FALSE),"")</f>
        <v>ONE</v>
      </c>
      <c r="AD246" s="97" t="str">
        <f ca="1">VLOOKUP(I246,ЦветПолный!A:B,2,FALSE)</f>
        <v>14</v>
      </c>
      <c r="AE246" s="97" t="str">
        <f ca="1">IFERROR(VLOOKUP(S246,Размеры!A:D,4,FALSE),"")</f>
        <v>00</v>
      </c>
      <c r="AF246" s="97">
        <f ca="1">IF(LEFT(IFERROR(VLOOKUP(LOOKUP(2,1/SEARCH(B246,Товары!A:A),Товары!A:A),Товары!A:B,2,0),""),6)=MID(AA246,1,6),1,0)</f>
        <v>1</v>
      </c>
      <c r="AH246" s="97">
        <f ca="1">SUMIF(Группа!A:A,C246,Группа!C:C)</f>
        <v>1</v>
      </c>
      <c r="AI246" s="97">
        <f ca="1">SUMIF(Группа!B:B,AB246,Группа!C:C)</f>
        <v>1</v>
      </c>
      <c r="AJ246" s="97">
        <f ca="1">SUMIF(Формы!A:A,D246,Формы!B:B)</f>
        <v>1</v>
      </c>
      <c r="AK246" s="97">
        <f ca="1">SUMIF(Материал!A:A,K246,Материал!B:B)</f>
        <v>1</v>
      </c>
      <c r="AL246" s="97">
        <f ca="1">SUMIF(Размеры!A:A,S246,Размеры!E:E)</f>
        <v>1</v>
      </c>
      <c r="AM246" s="97">
        <f ca="1">SUMIF(Сезон!A:A,F246,Сезон!B:B)</f>
        <v>1</v>
      </c>
      <c r="AN246" s="97">
        <f ca="1">SUMIF(Состав!A:A,J246,Состав!B:B)</f>
        <v>1</v>
      </c>
      <c r="AO246" s="97">
        <f ca="1">VLOOKUP(I246,ЦветПолный!A:C,3,0)</f>
        <v>1</v>
      </c>
      <c r="AP246" s="97">
        <f ca="1">SUMIF(Цвет!A:A,Z246,Цвет!B:B)</f>
        <v>1</v>
      </c>
      <c r="AQ246" s="97">
        <f ca="1">_xlfn.XLOOKUP(L246,Пол!A:A,Пол!B:B,0,0)</f>
        <v>1</v>
      </c>
      <c r="AR246" s="97">
        <f ca="1">SUMIF(Бренд!A:A,G246,Бренд!B:B)</f>
        <v>1</v>
      </c>
      <c r="AS246" s="97">
        <f ca="1">SUMIF(Страна!A:A,M246,Страна!B:B)</f>
        <v>1</v>
      </c>
      <c r="AT246" s="64" t="e">
        <f ca="1">IF(VLOOKUP(W246,Товары!A:B,2,FALSE)=A246,"Есть в 1С","ERR")</f>
        <v>#N/A</v>
      </c>
      <c r="AU246" s="65" t="e">
        <f ca="1">IF(VLOOKUP(A246,Товары!B:B,1,FALSE)=A246,"Есть в 1С","ERR")</f>
        <v>#N/A</v>
      </c>
      <c r="AV246" s="96" t="e">
        <f ca="1">VLOOKUP(W246,Товары!A:B,2,FALSE)</f>
        <v>#N/A</v>
      </c>
      <c r="AW246" s="94" t="e">
        <f ca="1">VLOOKUP(W246,Товары!A:B,1,FALSE)</f>
        <v>#N/A</v>
      </c>
    </row>
    <row r="247" spans="1:49" x14ac:dyDescent="0.25">
      <c r="A247" s="110" t="str">
        <f t="shared" ca="1" si="17"/>
        <v>80-506-09</v>
      </c>
      <c r="B247" s="107" t="str">
        <f ca="1">_xlfn.LET(_xlpm.CAPS,0,_xlpm.Style,TRIM(_xlfn.XLOOKUP($A247,Строчный!$A:$A,Строчный!B:B,"ERR",0)),IF(_xlpm.CAPS=0,_xlpm.Style,UPPER(_xlpm.Style)))</f>
        <v>EDMOND 005</v>
      </c>
      <c r="C247" s="81" t="str">
        <f ca="1">TRIM(PROPER(_xlfn.XLOOKUP($A247,Строчный!$A:$A,Строчный!C:C,"ERR",0)))</f>
        <v>Шарфы</v>
      </c>
      <c r="D247" s="81" t="str">
        <f ca="1">_xlfn.LET(_xlpm.DATA,TRIM(_xlfn.XLOOKUP($A247,Строчный!$A:$A,Строчный!D:D,"ERR",0)),UPPER(MID(_xlpm.DATA,1,1))&amp;LOWER(MID(_xlpm.DATA,2,LEN(_xlpm.DATA)-1)))</f>
        <v>Шарф</v>
      </c>
      <c r="E247" s="81" t="str">
        <f ca="1">PROPER(TRIM(_xlfn.XLOOKUP($A247,Строчный!$A:$A,Строчный!E:E,"ERR",0)))</f>
        <v>Herman</v>
      </c>
      <c r="F247" s="81" t="str">
        <f ca="1">LOWER(TRIM(_xlfn.XLOOKUP($A247,Строчный!$A:$A,Строчный!F:F,"ERR",0)))</f>
        <v>зимний</v>
      </c>
      <c r="G247" s="81" t="str">
        <f ca="1">UPPER(TRIM(_xlfn.XLOOKUP($A247,Строчный!$A:$A,Строчный!G:G,"ERR",0)))</f>
        <v>HERMAN</v>
      </c>
      <c r="H247" s="81" t="str">
        <f ca="1">LOWER(TRIM(_xlfn.XLOOKUP($A247,Строчный!$A:$A,Строчный!H:H,"ERR",0)))</f>
        <v>black</v>
      </c>
      <c r="I247" s="81" t="str">
        <f ca="1">LOWER(TRIM(_xlfn.XLOOKUP($A247,Строчный!$A:$A,Строчный!I:I,"ERR",0)))</f>
        <v>черный</v>
      </c>
      <c r="J247" s="81" t="str">
        <f ca="1">SUBSTITUTE(LOWER(TRIM(_xlfn.XLOOKUP($A247,Строчный!$A:$A,Строчный!J:J,"ERR",0))),"подклад","Подклад")</f>
        <v>100% шерсть</v>
      </c>
      <c r="K247" s="81" t="str">
        <f ca="1">LOWER(TRIM(_xlfn.XLOOKUP($A247,Строчный!$A:$A,Строчный!K:K,"ERR",0)))</f>
        <v>шерстяные</v>
      </c>
      <c r="L247" s="81" t="str">
        <f ca="1">PROPER(TRIM(_xlfn.XLOOKUP($A247,Строчный!$A:$A,Строчный!L:L,"ERR",0)))</f>
        <v>Унисекс</v>
      </c>
      <c r="M247" s="113" t="str">
        <f ca="1">PROPER(TRIM(_xlfn.XLOOKUP($A247,Строчный!$A:$A,Строчный!M:M,"ERR",0)))</f>
        <v>Италия</v>
      </c>
      <c r="N247" s="81" t="str">
        <f ca="1">UPPER(TRIM(_xlfn.XLOOKUP($A247,Строчный!$A:$A,Строчный!O:O,"ERR",0)))</f>
        <v/>
      </c>
      <c r="O247" s="102" t="str">
        <f ca="1">PROPER(TRIM(_xlfn.XLOOKUP($A247,Строчный!$A:$A,Строчный!P:P,"ERR",0)))</f>
        <v/>
      </c>
      <c r="P247" s="81" t="str">
        <f ca="1">PROPER(TRIM(_xlfn.XLOOKUP($A247,Строчный!$A:$A,Строчный!R:R,"ERR",0)))</f>
        <v/>
      </c>
      <c r="Q247" s="90">
        <f ca="1">VALUE(_xlfn.XLOOKUP($A247,Строчный!$A:$A,Строчный!N:N,"ERR",0))</f>
        <v>270</v>
      </c>
      <c r="R247" s="89" t="str">
        <f ca="1">_xlfn.XLOOKUP($G247,Фабрика!A:A,Фабрика!B:B,"ERR",0)</f>
        <v>Chapellerie Herman S.A.; Rue Jean Meunier, 6, 6922 Wellin, Belgium</v>
      </c>
      <c r="S247" s="80" t="str">
        <f ca="1">_xlfn.XLOOKUP(RIGHT(AA247,2),Размеры!D:D,Размеры!A:A,"ERR",0)</f>
        <v>ONE</v>
      </c>
      <c r="T247" s="80">
        <f ca="1">VALUE(_xlfn.XLOOKUP($AA247,Строчный!$S:$S,Строчный!U:U,"ERR",0))</f>
        <v>20</v>
      </c>
      <c r="U247" s="14" t="s">
        <v>265</v>
      </c>
      <c r="V247" s="101" t="str">
        <f t="shared" ca="1" si="18"/>
        <v>Шарф HERMAN арт. EDMOND 005 (черный)</v>
      </c>
      <c r="W247" s="100" t="str">
        <f t="shared" ca="1" si="19"/>
        <v>Шарф HERMAN арт. EDMOND 005 (черный) {black}</v>
      </c>
      <c r="X247" s="18" t="str">
        <f t="shared" ca="1" si="20"/>
        <v>черный</v>
      </c>
      <c r="Y247" s="18" t="str">
        <f t="shared" ca="1" si="21"/>
        <v>черный</v>
      </c>
      <c r="Z247" s="117" t="str">
        <f ca="1">_xlfn.LET(_xlpm.FormColors,_xlfn.XLOOKUP(A247,Строчный!A:A,Строчный!Q:Q,"",0),IF(_xlpm.FormColors=0,IFERROR(MID(I247,FIND("-",I247)+1,LEN(I247)),IFERROR(MID(I247,1,FIND("/",I247)-2),I247)),_xlpm.FormColors))</f>
        <v>черный</v>
      </c>
      <c r="AA247" s="73" t="str">
        <f ca="1"/>
        <v>80-506-09-00</v>
      </c>
      <c r="AB247" s="75" t="str">
        <f ca="1">VLOOKUP(C247,Группа!A:B,2,FALSE)</f>
        <v>Шарф</v>
      </c>
      <c r="AC247" s="97" t="str">
        <f ca="1">IFERROR(VLOOKUP(S247,Размеры!A:C,3,FALSE),"")</f>
        <v>ONE</v>
      </c>
      <c r="AD247" s="97" t="str">
        <f ca="1">VLOOKUP(I247,ЦветПолный!A:B,2,FALSE)</f>
        <v>09</v>
      </c>
      <c r="AE247" s="97" t="str">
        <f ca="1">IFERROR(VLOOKUP(S247,Размеры!A:D,4,FALSE),"")</f>
        <v>00</v>
      </c>
      <c r="AF247" s="97">
        <f ca="1">IF(LEFT(IFERROR(VLOOKUP(LOOKUP(2,1/SEARCH(B247,Товары!A:A),Товары!A:A),Товары!A:B,2,0),""),6)=MID(AA247,1,6),1,0)</f>
        <v>1</v>
      </c>
      <c r="AH247" s="97">
        <f ca="1">SUMIF(Группа!A:A,C247,Группа!C:C)</f>
        <v>1</v>
      </c>
      <c r="AI247" s="97">
        <f ca="1">SUMIF(Группа!B:B,AB247,Группа!C:C)</f>
        <v>1</v>
      </c>
      <c r="AJ247" s="97">
        <f ca="1">SUMIF(Формы!A:A,D247,Формы!B:B)</f>
        <v>1</v>
      </c>
      <c r="AK247" s="97">
        <f ca="1">SUMIF(Материал!A:A,K247,Материал!B:B)</f>
        <v>1</v>
      </c>
      <c r="AL247" s="97">
        <f ca="1">SUMIF(Размеры!A:A,S247,Размеры!E:E)</f>
        <v>1</v>
      </c>
      <c r="AM247" s="97">
        <f ca="1">SUMIF(Сезон!A:A,F247,Сезон!B:B)</f>
        <v>1</v>
      </c>
      <c r="AN247" s="97">
        <f ca="1">SUMIF(Состав!A:A,J247,Состав!B:B)</f>
        <v>1</v>
      </c>
      <c r="AO247" s="97">
        <f ca="1">VLOOKUP(I247,ЦветПолный!A:C,3,0)</f>
        <v>1</v>
      </c>
      <c r="AP247" s="97">
        <f ca="1">SUMIF(Цвет!A:A,Z247,Цвет!B:B)</f>
        <v>1</v>
      </c>
      <c r="AQ247" s="97">
        <f ca="1">_xlfn.XLOOKUP(L247,Пол!A:A,Пол!B:B,0,0)</f>
        <v>1</v>
      </c>
      <c r="AR247" s="97">
        <f ca="1">SUMIF(Бренд!A:A,G247,Бренд!B:B)</f>
        <v>1</v>
      </c>
      <c r="AS247" s="97">
        <f ca="1">SUMIF(Страна!A:A,M247,Страна!B:B)</f>
        <v>1</v>
      </c>
      <c r="AT247" s="64" t="str">
        <f ca="1">IF(VLOOKUP(W247,Товары!A:B,2,FALSE)=A247,"Есть в 1С","ERR")</f>
        <v>Есть в 1С</v>
      </c>
      <c r="AU247" s="65" t="str">
        <f ca="1">IF(VLOOKUP(A247,Товары!B:B,1,FALSE)=A247,"Есть в 1С","ERR")</f>
        <v>Есть в 1С</v>
      </c>
      <c r="AV247" s="96" t="str">
        <f ca="1">VLOOKUP(W247,Товары!A:B,2,FALSE)</f>
        <v>80-506-09</v>
      </c>
      <c r="AW247" s="94" t="str">
        <f ca="1">VLOOKUP(W247,Товары!A:B,1,FALSE)</f>
        <v>Шарф HERMAN арт. EDMOND 005 (черный) {black}</v>
      </c>
    </row>
    <row r="248" spans="1:49" x14ac:dyDescent="0.25">
      <c r="A248" s="110" t="str">
        <f t="shared" ca="1" si="17"/>
        <v>80-494-08</v>
      </c>
      <c r="B248" s="107" t="str">
        <f ca="1">_xlfn.LET(_xlpm.CAPS,0,_xlpm.Style,TRIM(_xlfn.XLOOKUP($A248,Строчный!$A:$A,Строчный!B:B,"ERR",0)),IF(_xlpm.CAPS=0,_xlpm.Style,UPPER(_xlpm.Style)))</f>
        <v>JUSTIN 8533</v>
      </c>
      <c r="C248" s="81" t="str">
        <f ca="1">TRIM(PROPER(_xlfn.XLOOKUP($A248,Строчный!$A:$A,Строчный!C:C,"ERR",0)))</f>
        <v>Шапки</v>
      </c>
      <c r="D248" s="81" t="str">
        <f ca="1">_xlfn.LET(_xlpm.DATA,TRIM(_xlfn.XLOOKUP($A248,Строчный!$A:$A,Строчный!D:D,"ERR",0)),UPPER(MID(_xlpm.DATA,1,1))&amp;LOWER(MID(_xlpm.DATA,2,LEN(_xlpm.DATA)-1)))</f>
        <v>Шапка вязаная</v>
      </c>
      <c r="E248" s="81" t="str">
        <f ca="1">PROPER(TRIM(_xlfn.XLOOKUP($A248,Строчный!$A:$A,Строчный!E:E,"ERR",0)))</f>
        <v>Herman</v>
      </c>
      <c r="F248" s="81" t="str">
        <f ca="1">LOWER(TRIM(_xlfn.XLOOKUP($A248,Строчный!$A:$A,Строчный!F:F,"ERR",0)))</f>
        <v>зимний</v>
      </c>
      <c r="G248" s="81" t="str">
        <f ca="1">UPPER(TRIM(_xlfn.XLOOKUP($A248,Строчный!$A:$A,Строчный!G:G,"ERR",0)))</f>
        <v>HERMAN</v>
      </c>
      <c r="H248" s="81" t="str">
        <f ca="1">LOWER(TRIM(_xlfn.XLOOKUP($A248,Строчный!$A:$A,Строчный!H:H,"ERR",0)))</f>
        <v>grey</v>
      </c>
      <c r="I248" s="81" t="str">
        <f ca="1">LOWER(TRIM(_xlfn.XLOOKUP($A248,Строчный!$A:$A,Строчный!I:I,"ERR",0)))</f>
        <v>серый</v>
      </c>
      <c r="J248" s="81" t="str">
        <f ca="1">SUBSTITUTE(LOWER(TRIM(_xlfn.XLOOKUP($A248,Строчный!$A:$A,Строчный!J:J,"ERR",0))),"подклад","Подклад")</f>
        <v>70% акрил - 30% шерсть</v>
      </c>
      <c r="K248" s="81" t="str">
        <f ca="1">LOWER(TRIM(_xlfn.XLOOKUP($A248,Строчный!$A:$A,Строчный!K:K,"ERR",0)))</f>
        <v>шерстяные</v>
      </c>
      <c r="L248" s="81" t="str">
        <f ca="1">PROPER(TRIM(_xlfn.XLOOKUP($A248,Строчный!$A:$A,Строчный!L:L,"ERR",0)))</f>
        <v>Унисекс</v>
      </c>
      <c r="M248" s="113" t="str">
        <f ca="1">PROPER(TRIM(_xlfn.XLOOKUP($A248,Строчный!$A:$A,Строчный!M:M,"ERR",0)))</f>
        <v>Китай</v>
      </c>
      <c r="N248" s="81" t="str">
        <f ca="1">UPPER(TRIM(_xlfn.XLOOKUP($A248,Строчный!$A:$A,Строчный!O:O,"ERR",0)))</f>
        <v/>
      </c>
      <c r="O248" s="102" t="str">
        <f ca="1">PROPER(TRIM(_xlfn.XLOOKUP($A248,Строчный!$A:$A,Строчный!P:P,"ERR",0)))</f>
        <v/>
      </c>
      <c r="P248" s="81" t="str">
        <f ca="1">PROPER(TRIM(_xlfn.XLOOKUP($A248,Строчный!$A:$A,Строчный!R:R,"ERR",0)))</f>
        <v/>
      </c>
      <c r="Q248" s="90">
        <f ca="1">VALUE(_xlfn.XLOOKUP($A248,Строчный!$A:$A,Строчный!N:N,"ERR",0))</f>
        <v>180</v>
      </c>
      <c r="R248" s="89" t="str">
        <f ca="1">_xlfn.XLOOKUP($G248,Фабрика!A:A,Фабрика!B:B,"ERR",0)</f>
        <v>Chapellerie Herman S.A.; Rue Jean Meunier, 6, 6922 Wellin, Belgium</v>
      </c>
      <c r="S248" s="80" t="str">
        <f ca="1">_xlfn.XLOOKUP(RIGHT(AA248,2),Размеры!D:D,Размеры!A:A,"ERR",0)</f>
        <v>ONE</v>
      </c>
      <c r="T248" s="80">
        <f ca="1">VALUE(_xlfn.XLOOKUP($AA248,Строчный!$S:$S,Строчный!U:U,"ERR",0))</f>
        <v>20</v>
      </c>
      <c r="U248" s="14" t="s">
        <v>265</v>
      </c>
      <c r="V248" s="101" t="str">
        <f t="shared" ca="1" si="18"/>
        <v>Шапка HERMAN арт. JUSTIN 8533 (серый)</v>
      </c>
      <c r="W248" s="100" t="str">
        <f t="shared" ca="1" si="19"/>
        <v>Шапка HERMAN арт. JUSTIN 8533 (серый) {grey}</v>
      </c>
      <c r="X248" s="18" t="str">
        <f t="shared" ca="1" si="20"/>
        <v>серый</v>
      </c>
      <c r="Y248" s="18" t="str">
        <f t="shared" ca="1" si="21"/>
        <v>серый</v>
      </c>
      <c r="Z248" s="117" t="str">
        <f ca="1">_xlfn.LET(_xlpm.FormColors,_xlfn.XLOOKUP(A248,Строчный!A:A,Строчный!Q:Q,"",0),IF(_xlpm.FormColors=0,IFERROR(MID(I248,FIND("-",I248)+1,LEN(I248)),IFERROR(MID(I248,1,FIND("/",I248)-2),I248)),_xlpm.FormColors))</f>
        <v>серый</v>
      </c>
      <c r="AA248" s="73" t="str">
        <f ca="1"/>
        <v>80-494-08-00</v>
      </c>
      <c r="AB248" s="75" t="str">
        <f ca="1">VLOOKUP(C248,Группа!A:B,2,FALSE)</f>
        <v>Шапка</v>
      </c>
      <c r="AC248" s="97" t="str">
        <f ca="1">IFERROR(VLOOKUP(S248,Размеры!A:C,3,FALSE),"")</f>
        <v>ONE</v>
      </c>
      <c r="AD248" s="97" t="str">
        <f ca="1">VLOOKUP(I248,ЦветПолный!A:B,2,FALSE)</f>
        <v>80</v>
      </c>
      <c r="AE248" s="97" t="str">
        <f ca="1">IFERROR(VLOOKUP(S248,Размеры!A:D,4,FALSE),"")</f>
        <v>00</v>
      </c>
      <c r="AF248" s="97">
        <f ca="1">IF(LEFT(IFERROR(VLOOKUP(LOOKUP(2,1/SEARCH(B248,Товары!A:A),Товары!A:A),Товары!A:B,2,0),""),6)=MID(AA248,1,6),1,0)</f>
        <v>1</v>
      </c>
      <c r="AH248" s="97">
        <f ca="1">SUMIF(Группа!A:A,C248,Группа!C:C)</f>
        <v>1</v>
      </c>
      <c r="AI248" s="97">
        <f ca="1">SUMIF(Группа!B:B,AB248,Группа!C:C)</f>
        <v>1</v>
      </c>
      <c r="AJ248" s="97">
        <f ca="1">SUMIF(Формы!A:A,D248,Формы!B:B)</f>
        <v>1</v>
      </c>
      <c r="AK248" s="97">
        <f ca="1">SUMIF(Материал!A:A,K248,Материал!B:B)</f>
        <v>1</v>
      </c>
      <c r="AL248" s="97">
        <f ca="1">SUMIF(Размеры!A:A,S248,Размеры!E:E)</f>
        <v>1</v>
      </c>
      <c r="AM248" s="97">
        <f ca="1">SUMIF(Сезон!A:A,F248,Сезон!B:B)</f>
        <v>1</v>
      </c>
      <c r="AN248" s="97">
        <f ca="1">SUMIF(Состав!A:A,J248,Состав!B:B)</f>
        <v>1</v>
      </c>
      <c r="AO248" s="97">
        <f ca="1">VLOOKUP(I248,ЦветПолный!A:C,3,0)</f>
        <v>1</v>
      </c>
      <c r="AP248" s="97">
        <f ca="1">SUMIF(Цвет!A:A,Z248,Цвет!B:B)</f>
        <v>1</v>
      </c>
      <c r="AQ248" s="97">
        <f ca="1">_xlfn.XLOOKUP(L248,Пол!A:A,Пол!B:B,0,0)</f>
        <v>1</v>
      </c>
      <c r="AR248" s="97">
        <f ca="1">SUMIF(Бренд!A:A,G248,Бренд!B:B)</f>
        <v>1</v>
      </c>
      <c r="AS248" s="97">
        <f ca="1">SUMIF(Страна!A:A,M248,Страна!B:B)</f>
        <v>1</v>
      </c>
      <c r="AT248" s="64" t="str">
        <f ca="1">IF(VLOOKUP(W248,Товары!A:B,2,FALSE)=A248,"Есть в 1С","ERR")</f>
        <v>Есть в 1С</v>
      </c>
      <c r="AU248" s="65" t="str">
        <f ca="1">IF(VLOOKUP(A248,Товары!B:B,1,FALSE)=A248,"Есть в 1С","ERR")</f>
        <v>Есть в 1С</v>
      </c>
      <c r="AV248" s="96" t="str">
        <f ca="1">VLOOKUP(W248,Товары!A:B,2,FALSE)</f>
        <v>80-494-08</v>
      </c>
      <c r="AW248" s="94" t="str">
        <f ca="1">VLOOKUP(W248,Товары!A:B,1,FALSE)</f>
        <v>Шапка HERMAN арт. JUSTIN 8533 (серый) {grey}</v>
      </c>
    </row>
    <row r="249" spans="1:49" x14ac:dyDescent="0.25">
      <c r="A249" s="110" t="str">
        <f t="shared" ca="1" si="17"/>
        <v>80-483-16</v>
      </c>
      <c r="B249" s="107" t="str">
        <f ca="1">_xlfn.LET(_xlpm.CAPS,0,_xlpm.Style,TRIM(_xlfn.XLOOKUP($A249,Строчный!$A:$A,Строчный!B:B,"ERR",0)),IF(_xlpm.CAPS=0,_xlpm.Style,UPPER(_xlpm.Style)))</f>
        <v>EDMOND 001</v>
      </c>
      <c r="C249" s="81" t="str">
        <f ca="1">TRIM(PROPER(_xlfn.XLOOKUP($A249,Строчный!$A:$A,Строчный!C:C,"ERR",0)))</f>
        <v>Шапки</v>
      </c>
      <c r="D249" s="81" t="str">
        <f ca="1">_xlfn.LET(_xlpm.DATA,TRIM(_xlfn.XLOOKUP($A249,Строчный!$A:$A,Строчный!D:D,"ERR",0)),UPPER(MID(_xlpm.DATA,1,1))&amp;LOWER(MID(_xlpm.DATA,2,LEN(_xlpm.DATA)-1)))</f>
        <v>Шапка вязаная</v>
      </c>
      <c r="E249" s="81" t="str">
        <f ca="1">PROPER(TRIM(_xlfn.XLOOKUP($A249,Строчный!$A:$A,Строчный!E:E,"ERR",0)))</f>
        <v>Herman</v>
      </c>
      <c r="F249" s="81" t="str">
        <f ca="1">LOWER(TRIM(_xlfn.XLOOKUP($A249,Строчный!$A:$A,Строчный!F:F,"ERR",0)))</f>
        <v>зимний</v>
      </c>
      <c r="G249" s="81" t="str">
        <f ca="1">UPPER(TRIM(_xlfn.XLOOKUP($A249,Строчный!$A:$A,Строчный!G:G,"ERR",0)))</f>
        <v>HERMAN</v>
      </c>
      <c r="H249" s="81" t="str">
        <f ca="1">LOWER(TRIM(_xlfn.XLOOKUP($A249,Строчный!$A:$A,Строчный!H:H,"ERR",0)))</f>
        <v>navy</v>
      </c>
      <c r="I249" s="81" t="str">
        <f ca="1">LOWER(TRIM(_xlfn.XLOOKUP($A249,Строчный!$A:$A,Строчный!I:I,"ERR",0)))</f>
        <v>темно-синий</v>
      </c>
      <c r="J249" s="81" t="str">
        <f ca="1">SUBSTITUTE(LOWER(TRIM(_xlfn.XLOOKUP($A249,Строчный!$A:$A,Строчный!J:J,"ERR",0))),"подклад","Подклад")</f>
        <v>100% шерсть</v>
      </c>
      <c r="K249" s="81" t="str">
        <f ca="1">LOWER(TRIM(_xlfn.XLOOKUP($A249,Строчный!$A:$A,Строчный!K:K,"ERR",0)))</f>
        <v>шерстяные</v>
      </c>
      <c r="L249" s="81" t="str">
        <f ca="1">PROPER(TRIM(_xlfn.XLOOKUP($A249,Строчный!$A:$A,Строчный!L:L,"ERR",0)))</f>
        <v>Унисекс</v>
      </c>
      <c r="M249" s="113" t="str">
        <f ca="1">PROPER(TRIM(_xlfn.XLOOKUP($A249,Строчный!$A:$A,Строчный!M:M,"ERR",0)))</f>
        <v>Италия</v>
      </c>
      <c r="N249" s="81" t="str">
        <f ca="1">UPPER(TRIM(_xlfn.XLOOKUP($A249,Строчный!$A:$A,Строчный!O:O,"ERR",0)))</f>
        <v/>
      </c>
      <c r="O249" s="102" t="str">
        <f ca="1">PROPER(TRIM(_xlfn.XLOOKUP($A249,Строчный!$A:$A,Строчный!P:P,"ERR",0)))</f>
        <v/>
      </c>
      <c r="P249" s="81" t="str">
        <f ca="1">PROPER(TRIM(_xlfn.XLOOKUP($A249,Строчный!$A:$A,Строчный!R:R,"ERR",0)))</f>
        <v/>
      </c>
      <c r="Q249" s="90">
        <f ca="1">VALUE(_xlfn.XLOOKUP($A249,Строчный!$A:$A,Строчный!N:N,"ERR",0))</f>
        <v>180</v>
      </c>
      <c r="R249" s="89" t="str">
        <f ca="1">_xlfn.XLOOKUP($G249,Фабрика!A:A,Фабрика!B:B,"ERR",0)</f>
        <v>Chapellerie Herman S.A.; Rue Jean Meunier, 6, 6922 Wellin, Belgium</v>
      </c>
      <c r="S249" s="80" t="str">
        <f ca="1">_xlfn.XLOOKUP(RIGHT(AA249,2),Размеры!D:D,Размеры!A:A,"ERR",0)</f>
        <v>ONE</v>
      </c>
      <c r="T249" s="80">
        <f ca="1">VALUE(_xlfn.XLOOKUP($AA249,Строчный!$S:$S,Строчный!U:U,"ERR",0))</f>
        <v>30</v>
      </c>
      <c r="U249" s="14" t="s">
        <v>265</v>
      </c>
      <c r="V249" s="101" t="str">
        <f t="shared" ca="1" si="18"/>
        <v>Шапка HERMAN арт. EDMOND 001 (темно-синий)</v>
      </c>
      <c r="W249" s="100" t="str">
        <f t="shared" ca="1" si="19"/>
        <v>Шапка HERMAN арт. EDMOND 001 (темно-синий) {navy}</v>
      </c>
      <c r="X249" s="18" t="str">
        <f t="shared" ca="1" si="20"/>
        <v>синий</v>
      </c>
      <c r="Y249" s="18" t="str">
        <f t="shared" ca="1" si="21"/>
        <v>синий</v>
      </c>
      <c r="Z249" s="117" t="str">
        <f ca="1">_xlfn.LET(_xlpm.FormColors,_xlfn.XLOOKUP(A249,Строчный!A:A,Строчный!Q:Q,"",0),IF(_xlpm.FormColors=0,IFERROR(MID(I249,FIND("-",I249)+1,LEN(I249)),IFERROR(MID(I249,1,FIND("/",I249)-2),I249)),_xlpm.FormColors))</f>
        <v>синий</v>
      </c>
      <c r="AA249" s="73" t="str">
        <f ca="1"/>
        <v>80-483-16-00</v>
      </c>
      <c r="AB249" s="75" t="str">
        <f ca="1">VLOOKUP(C249,Группа!A:B,2,FALSE)</f>
        <v>Шапка</v>
      </c>
      <c r="AC249" s="97" t="str">
        <f ca="1">IFERROR(VLOOKUP(S249,Размеры!A:C,3,FALSE),"")</f>
        <v>ONE</v>
      </c>
      <c r="AD249" s="97" t="str">
        <f ca="1">VLOOKUP(I249,ЦветПолный!A:B,2,FALSE)</f>
        <v>16</v>
      </c>
      <c r="AE249" s="97" t="str">
        <f ca="1">IFERROR(VLOOKUP(S249,Размеры!A:D,4,FALSE),"")</f>
        <v>00</v>
      </c>
      <c r="AF249" s="97">
        <f ca="1">IF(LEFT(IFERROR(VLOOKUP(LOOKUP(2,1/SEARCH(B249,Товары!A:A),Товары!A:A),Товары!A:B,2,0),""),6)=MID(AA249,1,6),1,0)</f>
        <v>1</v>
      </c>
      <c r="AH249" s="97">
        <f ca="1">SUMIF(Группа!A:A,C249,Группа!C:C)</f>
        <v>1</v>
      </c>
      <c r="AI249" s="97">
        <f ca="1">SUMIF(Группа!B:B,AB249,Группа!C:C)</f>
        <v>1</v>
      </c>
      <c r="AJ249" s="97">
        <f ca="1">SUMIF(Формы!A:A,D249,Формы!B:B)</f>
        <v>1</v>
      </c>
      <c r="AK249" s="97">
        <f ca="1">SUMIF(Материал!A:A,K249,Материал!B:B)</f>
        <v>1</v>
      </c>
      <c r="AL249" s="97">
        <f ca="1">SUMIF(Размеры!A:A,S249,Размеры!E:E)</f>
        <v>1</v>
      </c>
      <c r="AM249" s="97">
        <f ca="1">SUMIF(Сезон!A:A,F249,Сезон!B:B)</f>
        <v>1</v>
      </c>
      <c r="AN249" s="97">
        <f ca="1">SUMIF(Состав!A:A,J249,Состав!B:B)</f>
        <v>1</v>
      </c>
      <c r="AO249" s="97">
        <f ca="1">VLOOKUP(I249,ЦветПолный!A:C,3,0)</f>
        <v>1</v>
      </c>
      <c r="AP249" s="97">
        <f ca="1">SUMIF(Цвет!A:A,Z249,Цвет!B:B)</f>
        <v>1</v>
      </c>
      <c r="AQ249" s="97">
        <f ca="1">_xlfn.XLOOKUP(L249,Пол!A:A,Пол!B:B,0,0)</f>
        <v>1</v>
      </c>
      <c r="AR249" s="97">
        <f ca="1">SUMIF(Бренд!A:A,G249,Бренд!B:B)</f>
        <v>1</v>
      </c>
      <c r="AS249" s="97">
        <f ca="1">SUMIF(Страна!A:A,M249,Страна!B:B)</f>
        <v>1</v>
      </c>
      <c r="AT249" s="64" t="str">
        <f ca="1">IF(VLOOKUP(W249,Товары!A:B,2,FALSE)=A249,"Есть в 1С","ERR")</f>
        <v>Есть в 1С</v>
      </c>
      <c r="AU249" s="65" t="str">
        <f ca="1">IF(VLOOKUP(A249,Товары!B:B,1,FALSE)=A249,"Есть в 1С","ERR")</f>
        <v>Есть в 1С</v>
      </c>
      <c r="AV249" s="96" t="str">
        <f ca="1">VLOOKUP(W249,Товары!A:B,2,FALSE)</f>
        <v>80-483-16</v>
      </c>
      <c r="AW249" s="94" t="str">
        <f ca="1">VLOOKUP(W249,Товары!A:B,1,FALSE)</f>
        <v>Шапка HERMAN арт. EDMOND 001 (темно-синий) {navy}</v>
      </c>
    </row>
    <row r="250" spans="1:49" x14ac:dyDescent="0.25">
      <c r="A250" s="110" t="str">
        <f t="shared" ca="1" si="17"/>
        <v>80-372-52</v>
      </c>
      <c r="B250" s="107" t="str">
        <f ca="1">_xlfn.LET(_xlpm.CAPS,0,_xlpm.Style,TRIM(_xlfn.XLOOKUP($A250,Строчный!$A:$A,Строчный!B:B,"ERR",0)),IF(_xlpm.CAPS=0,_xlpm.Style,UPPER(_xlpm.Style)))</f>
        <v>QUEEN EVITA</v>
      </c>
      <c r="C250" s="81" t="str">
        <f ca="1">TRIM(PROPER(_xlfn.XLOOKUP($A250,Строчный!$A:$A,Строчный!C:C,"ERR",0)))</f>
        <v>Шляпы</v>
      </c>
      <c r="D250" s="81" t="str">
        <f ca="1">_xlfn.LET(_xlpm.DATA,TRIM(_xlfn.XLOOKUP($A250,Строчный!$A:$A,Строчный!D:D,"ERR",0)),UPPER(MID(_xlpm.DATA,1,1))&amp;LOWER(MID(_xlpm.DATA,2,LEN(_xlpm.DATA)-1)))</f>
        <v>Шляпа с широкими полями</v>
      </c>
      <c r="E250" s="81" t="str">
        <f ca="1">PROPER(TRIM(_xlfn.XLOOKUP($A250,Строчный!$A:$A,Строчный!E:E,"ERR",0)))</f>
        <v>Herman</v>
      </c>
      <c r="F250" s="81" t="str">
        <f ca="1">LOWER(TRIM(_xlfn.XLOOKUP($A250,Строчный!$A:$A,Строчный!F:F,"ERR",0)))</f>
        <v>всесезон</v>
      </c>
      <c r="G250" s="81" t="str">
        <f ca="1">UPPER(TRIM(_xlfn.XLOOKUP($A250,Строчный!$A:$A,Строчный!G:G,"ERR",0)))</f>
        <v>HERMAN</v>
      </c>
      <c r="H250" s="81" t="str">
        <f ca="1">LOWER(TRIM(_xlfn.XLOOKUP($A250,Строчный!$A:$A,Строчный!H:H,"ERR",0)))</f>
        <v>black</v>
      </c>
      <c r="I250" s="81" t="str">
        <f ca="1">LOWER(TRIM(_xlfn.XLOOKUP($A250,Строчный!$A:$A,Строчный!I:I,"ERR",0)))</f>
        <v>черный</v>
      </c>
      <c r="J250" s="81" t="str">
        <f ca="1">SUBSTITUTE(LOWER(TRIM(_xlfn.XLOOKUP($A250,Строчный!$A:$A,Строчный!J:J,"ERR",0))),"подклад","Подклад")</f>
        <v>100% шерсть</v>
      </c>
      <c r="K250" s="81" t="str">
        <f ca="1">LOWER(TRIM(_xlfn.XLOOKUP($A250,Строчный!$A:$A,Строчный!K:K,"ERR",0)))</f>
        <v>фетровые</v>
      </c>
      <c r="L250" s="81" t="str">
        <f ca="1">PROPER(TRIM(_xlfn.XLOOKUP($A250,Строчный!$A:$A,Строчный!L:L,"ERR",0)))</f>
        <v>Женский</v>
      </c>
      <c r="M250" s="113" t="str">
        <f ca="1">PROPER(TRIM(_xlfn.XLOOKUP($A250,Строчный!$A:$A,Строчный!M:M,"ERR",0)))</f>
        <v>Китай</v>
      </c>
      <c r="N250" s="81" t="str">
        <f ca="1">UPPER(TRIM(_xlfn.XLOOKUP($A250,Строчный!$A:$A,Строчный!O:O,"ERR",0)))</f>
        <v/>
      </c>
      <c r="O250" s="102" t="str">
        <f ca="1">PROPER(TRIM(_xlfn.XLOOKUP($A250,Строчный!$A:$A,Строчный!P:P,"ERR",0)))</f>
        <v/>
      </c>
      <c r="P250" s="81" t="str">
        <f ca="1">PROPER(TRIM(_xlfn.XLOOKUP($A250,Строчный!$A:$A,Строчный!R:R,"ERR",0)))</f>
        <v/>
      </c>
      <c r="Q250" s="90">
        <f ca="1">VALUE(_xlfn.XLOOKUP($A250,Строчный!$A:$A,Строчный!N:N,"ERR",0))</f>
        <v>450</v>
      </c>
      <c r="R250" s="89" t="str">
        <f ca="1">_xlfn.XLOOKUP($G250,Фабрика!A:A,Фабрика!B:B,"ERR",0)</f>
        <v>Chapellerie Herman S.A.; Rue Jean Meunier, 6, 6922 Wellin, Belgium</v>
      </c>
      <c r="S250" s="80" t="str">
        <f ca="1">_xlfn.XLOOKUP(RIGHT(AA250,2),Размеры!D:D,Размеры!A:A,"ERR",0)</f>
        <v>57</v>
      </c>
      <c r="T250" s="80">
        <f ca="1">VALUE(_xlfn.XLOOKUP($AA250,Строчный!$S:$S,Строчный!U:U,"ERR",0))</f>
        <v>5</v>
      </c>
      <c r="U250" s="14" t="s">
        <v>265</v>
      </c>
      <c r="V250" s="101" t="str">
        <f t="shared" ca="1" si="18"/>
        <v>Шляпа HERMAN арт. QUEEN EVITA (черный)</v>
      </c>
      <c r="W250" s="100" t="str">
        <f t="shared" ca="1" si="19"/>
        <v>Шляпа HERMAN арт. QUEEN EVITA (черный) {black}</v>
      </c>
      <c r="X250" s="18" t="str">
        <f t="shared" ca="1" si="20"/>
        <v>черный</v>
      </c>
      <c r="Y250" s="18" t="str">
        <f t="shared" ca="1" si="21"/>
        <v>черный</v>
      </c>
      <c r="Z250" s="117" t="str">
        <f ca="1">_xlfn.LET(_xlpm.FormColors,_xlfn.XLOOKUP(A250,Строчный!A:A,Строчный!Q:Q,"",0),IF(_xlpm.FormColors=0,IFERROR(MID(I250,FIND("-",I250)+1,LEN(I250)),IFERROR(MID(I250,1,FIND("/",I250)-2),I250)),_xlpm.FormColors))</f>
        <v>черный</v>
      </c>
      <c r="AA250" s="73" t="str">
        <f ca="1"/>
        <v>80-372-52-57</v>
      </c>
      <c r="AB250" s="75" t="str">
        <f ca="1">VLOOKUP(C250,Группа!A:B,2,FALSE)</f>
        <v>Шляпа</v>
      </c>
      <c r="AC250" s="97" t="str">
        <f ca="1">IFERROR(VLOOKUP(S250,Размеры!A:C,3,FALSE),"")</f>
        <v>57 M</v>
      </c>
      <c r="AD250" s="97" t="str">
        <f ca="1">VLOOKUP(I250,ЦветПолный!A:B,2,FALSE)</f>
        <v>09</v>
      </c>
      <c r="AE250" s="97" t="str">
        <f ca="1">IFERROR(VLOOKUP(S250,Размеры!A:D,4,FALSE),"")</f>
        <v>57</v>
      </c>
      <c r="AF250" s="97">
        <f ca="1">IF(LEFT(IFERROR(VLOOKUP(LOOKUP(2,1/SEARCH(B250,Товары!A:A),Товары!A:A),Товары!A:B,2,0),""),6)=MID(AA250,1,6),1,0)</f>
        <v>1</v>
      </c>
      <c r="AH250" s="97">
        <f ca="1">SUMIF(Группа!A:A,C250,Группа!C:C)</f>
        <v>1</v>
      </c>
      <c r="AI250" s="97">
        <f ca="1">SUMIF(Группа!B:B,AB250,Группа!C:C)</f>
        <v>1</v>
      </c>
      <c r="AJ250" s="97">
        <f ca="1">SUMIF(Формы!A:A,D250,Формы!B:B)</f>
        <v>1</v>
      </c>
      <c r="AK250" s="97">
        <f ca="1">SUMIF(Материал!A:A,K250,Материал!B:B)</f>
        <v>1</v>
      </c>
      <c r="AL250" s="97">
        <f ca="1">SUMIF(Размеры!A:A,S250,Размеры!E:E)</f>
        <v>1</v>
      </c>
      <c r="AM250" s="97">
        <f ca="1">SUMIF(Сезон!A:A,F250,Сезон!B:B)</f>
        <v>1</v>
      </c>
      <c r="AN250" s="97">
        <f ca="1">SUMIF(Состав!A:A,J250,Состав!B:B)</f>
        <v>1</v>
      </c>
      <c r="AO250" s="97">
        <f ca="1">VLOOKUP(I250,ЦветПолный!A:C,3,0)</f>
        <v>1</v>
      </c>
      <c r="AP250" s="97">
        <f ca="1">SUMIF(Цвет!A:A,Z250,Цвет!B:B)</f>
        <v>1</v>
      </c>
      <c r="AQ250" s="97">
        <f ca="1">_xlfn.XLOOKUP(L250,Пол!A:A,Пол!B:B,0,0)</f>
        <v>1</v>
      </c>
      <c r="AR250" s="97">
        <f ca="1">SUMIF(Бренд!A:A,G250,Бренд!B:B)</f>
        <v>1</v>
      </c>
      <c r="AS250" s="97">
        <f ca="1">SUMIF(Страна!A:A,M250,Страна!B:B)</f>
        <v>1</v>
      </c>
      <c r="AT250" s="64" t="str">
        <f ca="1">IF(VLOOKUP(W250,Товары!A:B,2,FALSE)=A250,"Есть в 1С","ERR")</f>
        <v>Есть в 1С</v>
      </c>
      <c r="AU250" s="65" t="str">
        <f ca="1">IF(VLOOKUP(A250,Товары!B:B,1,FALSE)=A250,"Есть в 1С","ERR")</f>
        <v>Есть в 1С</v>
      </c>
      <c r="AV250" s="96" t="str">
        <f ca="1">VLOOKUP(W250,Товары!A:B,2,FALSE)</f>
        <v>80-372-52</v>
      </c>
      <c r="AW250" s="94" t="str">
        <f ca="1">VLOOKUP(W250,Товары!A:B,1,FALSE)</f>
        <v>Шляпа HERMAN арт. QUEEN EVITA (черный) {black}</v>
      </c>
    </row>
    <row r="251" spans="1:49" x14ac:dyDescent="0.25">
      <c r="A251" s="110" t="str">
        <f t="shared" ca="1" si="17"/>
        <v>80-369-50</v>
      </c>
      <c r="B251" s="107" t="str">
        <f ca="1">_xlfn.LET(_xlpm.CAPS,0,_xlpm.Style,TRIM(_xlfn.XLOOKUP($A251,Строчный!$A:$A,Строчный!B:B,"ERR",0)),IF(_xlpm.CAPS=0,_xlpm.Style,UPPER(_xlpm.Style)))</f>
        <v>MAC SOFT</v>
      </c>
      <c r="C251" s="81" t="str">
        <f ca="1">TRIM(PROPER(_xlfn.XLOOKUP($A251,Строчный!$A:$A,Строчный!C:C,"ERR",0)))</f>
        <v>Шляпы</v>
      </c>
      <c r="D251" s="81" t="str">
        <f ca="1">_xlfn.LET(_xlpm.DATA,TRIM(_xlfn.XLOOKUP($A251,Строчный!$A:$A,Строчный!D:D,"ERR",0)),UPPER(MID(_xlpm.DATA,1,1))&amp;LOWER(MID(_xlpm.DATA,2,LEN(_xlpm.DATA)-1)))</f>
        <v>Шляпа федора</v>
      </c>
      <c r="E251" s="81" t="str">
        <f ca="1">PROPER(TRIM(_xlfn.XLOOKUP($A251,Строчный!$A:$A,Строчный!E:E,"ERR",0)))</f>
        <v>Herman</v>
      </c>
      <c r="F251" s="81" t="str">
        <f ca="1">LOWER(TRIM(_xlfn.XLOOKUP($A251,Строчный!$A:$A,Строчный!F:F,"ERR",0)))</f>
        <v>всесезон</v>
      </c>
      <c r="G251" s="81" t="str">
        <f ca="1">UPPER(TRIM(_xlfn.XLOOKUP($A251,Строчный!$A:$A,Строчный!G:G,"ERR",0)))</f>
        <v>HERMAN</v>
      </c>
      <c r="H251" s="81" t="str">
        <f ca="1">LOWER(TRIM(_xlfn.XLOOKUP($A251,Строчный!$A:$A,Строчный!H:H,"ERR",0)))</f>
        <v>beige</v>
      </c>
      <c r="I251" s="81" t="str">
        <f ca="1">LOWER(TRIM(_xlfn.XLOOKUP($A251,Строчный!$A:$A,Строчный!I:I,"ERR",0)))</f>
        <v>белый / серый</v>
      </c>
      <c r="J251" s="81" t="str">
        <f ca="1">SUBSTITUTE(LOWER(TRIM(_xlfn.XLOOKUP($A251,Строчный!$A:$A,Строчный!J:J,"ERR",0))),"подклад","Подклад")</f>
        <v>100% шерсть</v>
      </c>
      <c r="K251" s="81" t="str">
        <f ca="1">LOWER(TRIM(_xlfn.XLOOKUP($A251,Строчный!$A:$A,Строчный!K:K,"ERR",0)))</f>
        <v>фетровые</v>
      </c>
      <c r="L251" s="81" t="str">
        <f ca="1">PROPER(TRIM(_xlfn.XLOOKUP($A251,Строчный!$A:$A,Строчный!L:L,"ERR",0)))</f>
        <v>Женский</v>
      </c>
      <c r="M251" s="113" t="str">
        <f ca="1">PROPER(TRIM(_xlfn.XLOOKUP($A251,Строчный!$A:$A,Строчный!M:M,"ERR",0)))</f>
        <v>Китай</v>
      </c>
      <c r="N251" s="81" t="str">
        <f ca="1">UPPER(TRIM(_xlfn.XLOOKUP($A251,Строчный!$A:$A,Строчный!O:O,"ERR",0)))</f>
        <v/>
      </c>
      <c r="O251" s="102" t="str">
        <f ca="1">PROPER(TRIM(_xlfn.XLOOKUP($A251,Строчный!$A:$A,Строчный!P:P,"ERR",0)))</f>
        <v/>
      </c>
      <c r="P251" s="81" t="str">
        <f ca="1">PROPER(TRIM(_xlfn.XLOOKUP($A251,Строчный!$A:$A,Строчный!R:R,"ERR",0)))</f>
        <v/>
      </c>
      <c r="Q251" s="90">
        <f ca="1">VALUE(_xlfn.XLOOKUP($A251,Строчный!$A:$A,Строчный!N:N,"ERR",0))</f>
        <v>1398.6</v>
      </c>
      <c r="R251" s="89" t="str">
        <f ca="1">_xlfn.XLOOKUP($G251,Фабрика!A:A,Фабрика!B:B,"ERR",0)</f>
        <v>Chapellerie Herman S.A.; Rue Jean Meunier, 6, 6922 Wellin, Belgium</v>
      </c>
      <c r="S251" s="80" t="str">
        <f ca="1">_xlfn.XLOOKUP(RIGHT(AA251,2),Размеры!D:D,Размеры!A:A,"ERR",0)</f>
        <v>59</v>
      </c>
      <c r="T251" s="80">
        <f ca="1">VALUE(_xlfn.XLOOKUP($AA251,Строчный!$S:$S,Строчный!U:U,"ERR",0))</f>
        <v>1</v>
      </c>
      <c r="U251" s="14" t="s">
        <v>265</v>
      </c>
      <c r="V251" s="101" t="str">
        <f t="shared" ca="1" si="18"/>
        <v>Шляпа HERMAN арт. MAC SOFT (белый / серый)</v>
      </c>
      <c r="W251" s="100" t="str">
        <f t="shared" ca="1" si="19"/>
        <v>Шляпа HERMAN арт. MAC SOFT (белый / серый) {beige}</v>
      </c>
      <c r="X251" s="18" t="str">
        <f t="shared" ca="1" si="20"/>
        <v>белый</v>
      </c>
      <c r="Y251" s="18" t="str">
        <f t="shared" ca="1" si="21"/>
        <v>серый</v>
      </c>
      <c r="Z251" s="117" t="str">
        <f ca="1">_xlfn.LET(_xlpm.FormColors,_xlfn.XLOOKUP(A251,Строчный!A:A,Строчный!Q:Q,"",0),IF(_xlpm.FormColors=0,IFERROR(MID(I251,FIND("-",I251)+1,LEN(I251)),IFERROR(MID(I251,1,FIND("/",I251)-2),I251)),_xlpm.FormColors))</f>
        <v>белый</v>
      </c>
      <c r="AA251" s="73" t="str">
        <f ca="1"/>
        <v>80-369-50-59</v>
      </c>
      <c r="AB251" s="75" t="str">
        <f ca="1">VLOOKUP(C251,Группа!A:B,2,FALSE)</f>
        <v>Шляпа</v>
      </c>
      <c r="AC251" s="97" t="str">
        <f ca="1">IFERROR(VLOOKUP(S251,Размеры!A:C,3,FALSE),"")</f>
        <v>59 L</v>
      </c>
      <c r="AD251" s="97" t="str">
        <f ca="1">VLOOKUP(I251,ЦветПолный!A:B,2,FALSE)</f>
        <v>50</v>
      </c>
      <c r="AE251" s="97" t="str">
        <f ca="1">IFERROR(VLOOKUP(S251,Размеры!A:D,4,FALSE),"")</f>
        <v>59</v>
      </c>
      <c r="AF251" s="97">
        <f ca="1">IF(LEFT(IFERROR(VLOOKUP(LOOKUP(2,1/SEARCH(B251,Товары!A:A),Товары!A:A),Товары!A:B,2,0),""),6)=MID(AA251,1,6),1,0)</f>
        <v>0</v>
      </c>
      <c r="AH251" s="97">
        <f ca="1">SUMIF(Группа!A:A,C251,Группа!C:C)</f>
        <v>1</v>
      </c>
      <c r="AI251" s="97">
        <f ca="1">SUMIF(Группа!B:B,AB251,Группа!C:C)</f>
        <v>1</v>
      </c>
      <c r="AJ251" s="97">
        <f ca="1">SUMIF(Формы!A:A,D251,Формы!B:B)</f>
        <v>1</v>
      </c>
      <c r="AK251" s="97">
        <f ca="1">SUMIF(Материал!A:A,K251,Материал!B:B)</f>
        <v>1</v>
      </c>
      <c r="AL251" s="97">
        <f ca="1">SUMIF(Размеры!A:A,S251,Размеры!E:E)</f>
        <v>1</v>
      </c>
      <c r="AM251" s="97">
        <f ca="1">SUMIF(Сезон!A:A,F251,Сезон!B:B)</f>
        <v>1</v>
      </c>
      <c r="AN251" s="97">
        <f ca="1">SUMIF(Состав!A:A,J251,Состав!B:B)</f>
        <v>1</v>
      </c>
      <c r="AO251" s="97">
        <f ca="1">VLOOKUP(I251,ЦветПолный!A:C,3,0)</f>
        <v>1</v>
      </c>
      <c r="AP251" s="97">
        <f ca="1">SUMIF(Цвет!A:A,Z251,Цвет!B:B)</f>
        <v>1</v>
      </c>
      <c r="AQ251" s="97">
        <f ca="1">_xlfn.XLOOKUP(L251,Пол!A:A,Пол!B:B,0,0)</f>
        <v>1</v>
      </c>
      <c r="AR251" s="97">
        <f ca="1">SUMIF(Бренд!A:A,G251,Бренд!B:B)</f>
        <v>1</v>
      </c>
      <c r="AS251" s="97">
        <f ca="1">SUMIF(Страна!A:A,M251,Страна!B:B)</f>
        <v>1</v>
      </c>
      <c r="AT251" s="64" t="str">
        <f ca="1">IF(VLOOKUP(W251,Товары!A:B,2,FALSE)=A251,"Есть в 1С","ERR")</f>
        <v>Есть в 1С</v>
      </c>
      <c r="AU251" s="65" t="str">
        <f ca="1">IF(VLOOKUP(A251,Товары!B:B,1,FALSE)=A251,"Есть в 1С","ERR")</f>
        <v>Есть в 1С</v>
      </c>
      <c r="AV251" s="96" t="str">
        <f ca="1">VLOOKUP(W251,Товары!A:B,2,FALSE)</f>
        <v>80-369-50</v>
      </c>
      <c r="AW251" s="94" t="str">
        <f ca="1">VLOOKUP(W251,Товары!A:B,1,FALSE)</f>
        <v>Шляпа HERMAN арт. MAC SOFT (белый / серый) {beige}</v>
      </c>
    </row>
    <row r="252" spans="1:49" x14ac:dyDescent="0.25">
      <c r="A252" s="110" t="str">
        <f t="shared" ca="1" si="17"/>
        <v>80-369-50</v>
      </c>
      <c r="B252" s="107" t="str">
        <f ca="1">_xlfn.LET(_xlpm.CAPS,0,_xlpm.Style,TRIM(_xlfn.XLOOKUP($A252,Строчный!$A:$A,Строчный!B:B,"ERR",0)),IF(_xlpm.CAPS=0,_xlpm.Style,UPPER(_xlpm.Style)))</f>
        <v>MAC SOFT</v>
      </c>
      <c r="C252" s="81" t="str">
        <f ca="1">TRIM(PROPER(_xlfn.XLOOKUP($A252,Строчный!$A:$A,Строчный!C:C,"ERR",0)))</f>
        <v>Шляпы</v>
      </c>
      <c r="D252" s="81" t="str">
        <f ca="1">_xlfn.LET(_xlpm.DATA,TRIM(_xlfn.XLOOKUP($A252,Строчный!$A:$A,Строчный!D:D,"ERR",0)),UPPER(MID(_xlpm.DATA,1,1))&amp;LOWER(MID(_xlpm.DATA,2,LEN(_xlpm.DATA)-1)))</f>
        <v>Шляпа федора</v>
      </c>
      <c r="E252" s="81" t="str">
        <f ca="1">PROPER(TRIM(_xlfn.XLOOKUP($A252,Строчный!$A:$A,Строчный!E:E,"ERR",0)))</f>
        <v>Herman</v>
      </c>
      <c r="F252" s="81" t="str">
        <f ca="1">LOWER(TRIM(_xlfn.XLOOKUP($A252,Строчный!$A:$A,Строчный!F:F,"ERR",0)))</f>
        <v>всесезон</v>
      </c>
      <c r="G252" s="81" t="str">
        <f ca="1">UPPER(TRIM(_xlfn.XLOOKUP($A252,Строчный!$A:$A,Строчный!G:G,"ERR",0)))</f>
        <v>HERMAN</v>
      </c>
      <c r="H252" s="81" t="str">
        <f ca="1">LOWER(TRIM(_xlfn.XLOOKUP($A252,Строчный!$A:$A,Строчный!H:H,"ERR",0)))</f>
        <v>beige</v>
      </c>
      <c r="I252" s="81" t="str">
        <f ca="1">LOWER(TRIM(_xlfn.XLOOKUP($A252,Строчный!$A:$A,Строчный!I:I,"ERR",0)))</f>
        <v>белый / серый</v>
      </c>
      <c r="J252" s="81" t="str">
        <f ca="1">SUBSTITUTE(LOWER(TRIM(_xlfn.XLOOKUP($A252,Строчный!$A:$A,Строчный!J:J,"ERR",0))),"подклад","Подклад")</f>
        <v>100% шерсть</v>
      </c>
      <c r="K252" s="81" t="str">
        <f ca="1">LOWER(TRIM(_xlfn.XLOOKUP($A252,Строчный!$A:$A,Строчный!K:K,"ERR",0)))</f>
        <v>фетровые</v>
      </c>
      <c r="L252" s="81" t="str">
        <f ca="1">PROPER(TRIM(_xlfn.XLOOKUP($A252,Строчный!$A:$A,Строчный!L:L,"ERR",0)))</f>
        <v>Женский</v>
      </c>
      <c r="M252" s="113" t="str">
        <f ca="1">PROPER(TRIM(_xlfn.XLOOKUP($A252,Строчный!$A:$A,Строчный!M:M,"ERR",0)))</f>
        <v>Китай</v>
      </c>
      <c r="N252" s="81" t="str">
        <f ca="1">UPPER(TRIM(_xlfn.XLOOKUP($A252,Строчный!$A:$A,Строчный!O:O,"ERR",0)))</f>
        <v/>
      </c>
      <c r="O252" s="102" t="str">
        <f ca="1">PROPER(TRIM(_xlfn.XLOOKUP($A252,Строчный!$A:$A,Строчный!P:P,"ERR",0)))</f>
        <v/>
      </c>
      <c r="P252" s="81" t="str">
        <f ca="1">PROPER(TRIM(_xlfn.XLOOKUP($A252,Строчный!$A:$A,Строчный!R:R,"ERR",0)))</f>
        <v/>
      </c>
      <c r="Q252" s="90">
        <f ca="1">VALUE(_xlfn.XLOOKUP($A252,Строчный!$A:$A,Строчный!N:N,"ERR",0))</f>
        <v>1398.6</v>
      </c>
      <c r="R252" s="89" t="str">
        <f ca="1">_xlfn.XLOOKUP($G252,Фабрика!A:A,Фабрика!B:B,"ERR",0)</f>
        <v>Chapellerie Herman S.A.; Rue Jean Meunier, 6, 6922 Wellin, Belgium</v>
      </c>
      <c r="S252" s="80" t="str">
        <f ca="1">_xlfn.XLOOKUP(RIGHT(AA252,2),Размеры!D:D,Размеры!A:A,"ERR",0)</f>
        <v>57</v>
      </c>
      <c r="T252" s="80">
        <f ca="1">VALUE(_xlfn.XLOOKUP($AA252,Строчный!$S:$S,Строчный!U:U,"ERR",0))</f>
        <v>6</v>
      </c>
      <c r="U252" s="14" t="s">
        <v>265</v>
      </c>
      <c r="V252" s="101" t="str">
        <f t="shared" ca="1" si="18"/>
        <v>Шляпа HERMAN арт. MAC SOFT (белый / серый)</v>
      </c>
      <c r="W252" s="100" t="str">
        <f t="shared" ca="1" si="19"/>
        <v>Шляпа HERMAN арт. MAC SOFT (белый / серый) {beige}</v>
      </c>
      <c r="X252" s="18" t="str">
        <f t="shared" ca="1" si="20"/>
        <v>белый</v>
      </c>
      <c r="Y252" s="18" t="str">
        <f t="shared" ca="1" si="21"/>
        <v>серый</v>
      </c>
      <c r="Z252" s="117" t="str">
        <f ca="1">_xlfn.LET(_xlpm.FormColors,_xlfn.XLOOKUP(A252,Строчный!A:A,Строчный!Q:Q,"",0),IF(_xlpm.FormColors=0,IFERROR(MID(I252,FIND("-",I252)+1,LEN(I252)),IFERROR(MID(I252,1,FIND("/",I252)-2),I252)),_xlpm.FormColors))</f>
        <v>белый</v>
      </c>
      <c r="AA252" s="73" t="str">
        <f ca="1"/>
        <v>80-369-50-57</v>
      </c>
      <c r="AB252" s="75" t="str">
        <f ca="1">VLOOKUP(C252,Группа!A:B,2,FALSE)</f>
        <v>Шляпа</v>
      </c>
      <c r="AC252" s="97" t="str">
        <f ca="1">IFERROR(VLOOKUP(S252,Размеры!A:C,3,FALSE),"")</f>
        <v>57 M</v>
      </c>
      <c r="AD252" s="97" t="str">
        <f ca="1">VLOOKUP(I252,ЦветПолный!A:B,2,FALSE)</f>
        <v>50</v>
      </c>
      <c r="AE252" s="97" t="str">
        <f ca="1">IFERROR(VLOOKUP(S252,Размеры!A:D,4,FALSE),"")</f>
        <v>57</v>
      </c>
      <c r="AF252" s="97">
        <f ca="1">IF(LEFT(IFERROR(VLOOKUP(LOOKUP(2,1/SEARCH(B252,Товары!A:A),Товары!A:A),Товары!A:B,2,0),""),6)=MID(AA252,1,6),1,0)</f>
        <v>0</v>
      </c>
      <c r="AH252" s="97">
        <f ca="1">SUMIF(Группа!A:A,C252,Группа!C:C)</f>
        <v>1</v>
      </c>
      <c r="AI252" s="97">
        <f ca="1">SUMIF(Группа!B:B,AB252,Группа!C:C)</f>
        <v>1</v>
      </c>
      <c r="AJ252" s="97">
        <f ca="1">SUMIF(Формы!A:A,D252,Формы!B:B)</f>
        <v>1</v>
      </c>
      <c r="AK252" s="97">
        <f ca="1">SUMIF(Материал!A:A,K252,Материал!B:B)</f>
        <v>1</v>
      </c>
      <c r="AL252" s="97">
        <f ca="1">SUMIF(Размеры!A:A,S252,Размеры!E:E)</f>
        <v>1</v>
      </c>
      <c r="AM252" s="97">
        <f ca="1">SUMIF(Сезон!A:A,F252,Сезон!B:B)</f>
        <v>1</v>
      </c>
      <c r="AN252" s="97">
        <f ca="1">SUMIF(Состав!A:A,J252,Состав!B:B)</f>
        <v>1</v>
      </c>
      <c r="AO252" s="97">
        <f ca="1">VLOOKUP(I252,ЦветПолный!A:C,3,0)</f>
        <v>1</v>
      </c>
      <c r="AP252" s="97">
        <f ca="1">SUMIF(Цвет!A:A,Z252,Цвет!B:B)</f>
        <v>1</v>
      </c>
      <c r="AQ252" s="97">
        <f ca="1">_xlfn.XLOOKUP(L252,Пол!A:A,Пол!B:B,0,0)</f>
        <v>1</v>
      </c>
      <c r="AR252" s="97">
        <f ca="1">SUMIF(Бренд!A:A,G252,Бренд!B:B)</f>
        <v>1</v>
      </c>
      <c r="AS252" s="97">
        <f ca="1">SUMIF(Страна!A:A,M252,Страна!B:B)</f>
        <v>1</v>
      </c>
      <c r="AT252" s="64" t="str">
        <f ca="1">IF(VLOOKUP(W252,Товары!A:B,2,FALSE)=A252,"Есть в 1С","ERR")</f>
        <v>Есть в 1С</v>
      </c>
      <c r="AU252" s="65" t="str">
        <f ca="1">IF(VLOOKUP(A252,Товары!B:B,1,FALSE)=A252,"Есть в 1С","ERR")</f>
        <v>Есть в 1С</v>
      </c>
      <c r="AV252" s="96" t="str">
        <f ca="1">VLOOKUP(W252,Товары!A:B,2,FALSE)</f>
        <v>80-369-50</v>
      </c>
      <c r="AW252" s="94" t="str">
        <f ca="1">VLOOKUP(W252,Товары!A:B,1,FALSE)</f>
        <v>Шляпа HERMAN арт. MAC SOFT (белый / серый) {beige}</v>
      </c>
    </row>
    <row r="253" spans="1:49" x14ac:dyDescent="0.25">
      <c r="A253" s="110" t="str">
        <f t="shared" ca="1" si="17"/>
        <v>80-369-50</v>
      </c>
      <c r="B253" s="107" t="str">
        <f ca="1">_xlfn.LET(_xlpm.CAPS,0,_xlpm.Style,TRIM(_xlfn.XLOOKUP($A253,Строчный!$A:$A,Строчный!B:B,"ERR",0)),IF(_xlpm.CAPS=0,_xlpm.Style,UPPER(_xlpm.Style)))</f>
        <v>MAC SOFT</v>
      </c>
      <c r="C253" s="81" t="str">
        <f ca="1">TRIM(PROPER(_xlfn.XLOOKUP($A253,Строчный!$A:$A,Строчный!C:C,"ERR",0)))</f>
        <v>Шляпы</v>
      </c>
      <c r="D253" s="81" t="str">
        <f ca="1">_xlfn.LET(_xlpm.DATA,TRIM(_xlfn.XLOOKUP($A253,Строчный!$A:$A,Строчный!D:D,"ERR",0)),UPPER(MID(_xlpm.DATA,1,1))&amp;LOWER(MID(_xlpm.DATA,2,LEN(_xlpm.DATA)-1)))</f>
        <v>Шляпа федора</v>
      </c>
      <c r="E253" s="81" t="str">
        <f ca="1">PROPER(TRIM(_xlfn.XLOOKUP($A253,Строчный!$A:$A,Строчный!E:E,"ERR",0)))</f>
        <v>Herman</v>
      </c>
      <c r="F253" s="81" t="str">
        <f ca="1">LOWER(TRIM(_xlfn.XLOOKUP($A253,Строчный!$A:$A,Строчный!F:F,"ERR",0)))</f>
        <v>всесезон</v>
      </c>
      <c r="G253" s="81" t="str">
        <f ca="1">UPPER(TRIM(_xlfn.XLOOKUP($A253,Строчный!$A:$A,Строчный!G:G,"ERR",0)))</f>
        <v>HERMAN</v>
      </c>
      <c r="H253" s="81" t="str">
        <f ca="1">LOWER(TRIM(_xlfn.XLOOKUP($A253,Строчный!$A:$A,Строчный!H:H,"ERR",0)))</f>
        <v>beige</v>
      </c>
      <c r="I253" s="81" t="str">
        <f ca="1">LOWER(TRIM(_xlfn.XLOOKUP($A253,Строчный!$A:$A,Строчный!I:I,"ERR",0)))</f>
        <v>белый / серый</v>
      </c>
      <c r="J253" s="81" t="str">
        <f ca="1">SUBSTITUTE(LOWER(TRIM(_xlfn.XLOOKUP($A253,Строчный!$A:$A,Строчный!J:J,"ERR",0))),"подклад","Подклад")</f>
        <v>100% шерсть</v>
      </c>
      <c r="K253" s="81" t="str">
        <f ca="1">LOWER(TRIM(_xlfn.XLOOKUP($A253,Строчный!$A:$A,Строчный!K:K,"ERR",0)))</f>
        <v>фетровые</v>
      </c>
      <c r="L253" s="81" t="str">
        <f ca="1">PROPER(TRIM(_xlfn.XLOOKUP($A253,Строчный!$A:$A,Строчный!L:L,"ERR",0)))</f>
        <v>Женский</v>
      </c>
      <c r="M253" s="113" t="str">
        <f ca="1">PROPER(TRIM(_xlfn.XLOOKUP($A253,Строчный!$A:$A,Строчный!M:M,"ERR",0)))</f>
        <v>Китай</v>
      </c>
      <c r="N253" s="81" t="str">
        <f ca="1">UPPER(TRIM(_xlfn.XLOOKUP($A253,Строчный!$A:$A,Строчный!O:O,"ERR",0)))</f>
        <v/>
      </c>
      <c r="O253" s="102" t="str">
        <f ca="1">PROPER(TRIM(_xlfn.XLOOKUP($A253,Строчный!$A:$A,Строчный!P:P,"ERR",0)))</f>
        <v/>
      </c>
      <c r="P253" s="81" t="str">
        <f ca="1">PROPER(TRIM(_xlfn.XLOOKUP($A253,Строчный!$A:$A,Строчный!R:R,"ERR",0)))</f>
        <v/>
      </c>
      <c r="Q253" s="90">
        <f ca="1">VALUE(_xlfn.XLOOKUP($A253,Строчный!$A:$A,Строчный!N:N,"ERR",0))</f>
        <v>1398.6</v>
      </c>
      <c r="R253" s="89" t="str">
        <f ca="1">_xlfn.XLOOKUP($G253,Фабрика!A:A,Фабрика!B:B,"ERR",0)</f>
        <v>Chapellerie Herman S.A.; Rue Jean Meunier, 6, 6922 Wellin, Belgium</v>
      </c>
      <c r="S253" s="80" t="str">
        <f ca="1">_xlfn.XLOOKUP(RIGHT(AA253,2),Размеры!D:D,Размеры!A:A,"ERR",0)</f>
        <v>55</v>
      </c>
      <c r="T253" s="80">
        <f ca="1">VALUE(_xlfn.XLOOKUP($AA253,Строчный!$S:$S,Строчный!U:U,"ERR",0))</f>
        <v>7</v>
      </c>
      <c r="U253" s="14" t="s">
        <v>265</v>
      </c>
      <c r="V253" s="101" t="str">
        <f t="shared" ca="1" si="18"/>
        <v>Шляпа HERMAN арт. MAC SOFT (белый / серый)</v>
      </c>
      <c r="W253" s="100" t="str">
        <f t="shared" ca="1" si="19"/>
        <v>Шляпа HERMAN арт. MAC SOFT (белый / серый) {beige}</v>
      </c>
      <c r="X253" s="18" t="str">
        <f t="shared" ca="1" si="20"/>
        <v>белый</v>
      </c>
      <c r="Y253" s="18" t="str">
        <f t="shared" ca="1" si="21"/>
        <v>серый</v>
      </c>
      <c r="Z253" s="117" t="str">
        <f ca="1">_xlfn.LET(_xlpm.FormColors,_xlfn.XLOOKUP(A253,Строчный!A:A,Строчный!Q:Q,"",0),IF(_xlpm.FormColors=0,IFERROR(MID(I253,FIND("-",I253)+1,LEN(I253)),IFERROR(MID(I253,1,FIND("/",I253)-2),I253)),_xlpm.FormColors))</f>
        <v>белый</v>
      </c>
      <c r="AA253" s="73" t="str">
        <f ca="1"/>
        <v>80-369-50-55</v>
      </c>
      <c r="AB253" s="75" t="str">
        <f ca="1">VLOOKUP(C253,Группа!A:B,2,FALSE)</f>
        <v>Шляпа</v>
      </c>
      <c r="AC253" s="97" t="str">
        <f ca="1">IFERROR(VLOOKUP(S253,Размеры!A:C,3,FALSE),"")</f>
        <v>55 S</v>
      </c>
      <c r="AD253" s="97" t="str">
        <f ca="1">VLOOKUP(I253,ЦветПолный!A:B,2,FALSE)</f>
        <v>50</v>
      </c>
      <c r="AE253" s="97" t="str">
        <f ca="1">IFERROR(VLOOKUP(S253,Размеры!A:D,4,FALSE),"")</f>
        <v>55</v>
      </c>
      <c r="AF253" s="97">
        <f ca="1">IF(LEFT(IFERROR(VLOOKUP(LOOKUP(2,1/SEARCH(B253,Товары!A:A),Товары!A:A),Товары!A:B,2,0),""),6)=MID(AA253,1,6),1,0)</f>
        <v>0</v>
      </c>
      <c r="AH253" s="97">
        <f ca="1">SUMIF(Группа!A:A,C253,Группа!C:C)</f>
        <v>1</v>
      </c>
      <c r="AI253" s="97">
        <f ca="1">SUMIF(Группа!B:B,AB253,Группа!C:C)</f>
        <v>1</v>
      </c>
      <c r="AJ253" s="97">
        <f ca="1">SUMIF(Формы!A:A,D253,Формы!B:B)</f>
        <v>1</v>
      </c>
      <c r="AK253" s="97">
        <f ca="1">SUMIF(Материал!A:A,K253,Материал!B:B)</f>
        <v>1</v>
      </c>
      <c r="AL253" s="97">
        <f ca="1">SUMIF(Размеры!A:A,S253,Размеры!E:E)</f>
        <v>1</v>
      </c>
      <c r="AM253" s="97">
        <f ca="1">SUMIF(Сезон!A:A,F253,Сезон!B:B)</f>
        <v>1</v>
      </c>
      <c r="AN253" s="97">
        <f ca="1">SUMIF(Состав!A:A,J253,Состав!B:B)</f>
        <v>1</v>
      </c>
      <c r="AO253" s="97">
        <f ca="1">VLOOKUP(I253,ЦветПолный!A:C,3,0)</f>
        <v>1</v>
      </c>
      <c r="AP253" s="97">
        <f ca="1">SUMIF(Цвет!A:A,Z253,Цвет!B:B)</f>
        <v>1</v>
      </c>
      <c r="AQ253" s="97">
        <f ca="1">_xlfn.XLOOKUP(L253,Пол!A:A,Пол!B:B,0,0)</f>
        <v>1</v>
      </c>
      <c r="AR253" s="97">
        <f ca="1">SUMIF(Бренд!A:A,G253,Бренд!B:B)</f>
        <v>1</v>
      </c>
      <c r="AS253" s="97">
        <f ca="1">SUMIF(Страна!A:A,M253,Страна!B:B)</f>
        <v>1</v>
      </c>
      <c r="AT253" s="64" t="str">
        <f ca="1">IF(VLOOKUP(W253,Товары!A:B,2,FALSE)=A253,"Есть в 1С","ERR")</f>
        <v>Есть в 1С</v>
      </c>
      <c r="AU253" s="65" t="str">
        <f ca="1">IF(VLOOKUP(A253,Товары!B:B,1,FALSE)=A253,"Есть в 1С","ERR")</f>
        <v>Есть в 1С</v>
      </c>
      <c r="AV253" s="96" t="str">
        <f ca="1">VLOOKUP(W253,Товары!A:B,2,FALSE)</f>
        <v>80-369-50</v>
      </c>
      <c r="AW253" s="94" t="str">
        <f ca="1">VLOOKUP(W253,Товары!A:B,1,FALSE)</f>
        <v>Шляпа HERMAN арт. MAC SOFT (белый / серый) {beige}</v>
      </c>
    </row>
    <row r="254" spans="1:49" x14ac:dyDescent="0.25">
      <c r="A254" s="110" t="str">
        <f t="shared" ca="1" si="17"/>
        <v>80-369-34</v>
      </c>
      <c r="B254" s="107" t="str">
        <f ca="1">_xlfn.LET(_xlpm.CAPS,0,_xlpm.Style,TRIM(_xlfn.XLOOKUP($A254,Строчный!$A:$A,Строчный!B:B,"ERR",0)),IF(_xlpm.CAPS=0,_xlpm.Style,UPPER(_xlpm.Style)))</f>
        <v>MAC SOFT</v>
      </c>
      <c r="C254" s="81" t="str">
        <f ca="1">TRIM(PROPER(_xlfn.XLOOKUP($A254,Строчный!$A:$A,Строчный!C:C,"ERR",0)))</f>
        <v>Шляпы</v>
      </c>
      <c r="D254" s="81" t="str">
        <f ca="1">_xlfn.LET(_xlpm.DATA,TRIM(_xlfn.XLOOKUP($A254,Строчный!$A:$A,Строчный!D:D,"ERR",0)),UPPER(MID(_xlpm.DATA,1,1))&amp;LOWER(MID(_xlpm.DATA,2,LEN(_xlpm.DATA)-1)))</f>
        <v>Шляпа федора</v>
      </c>
      <c r="E254" s="81" t="str">
        <f ca="1">PROPER(TRIM(_xlfn.XLOOKUP($A254,Строчный!$A:$A,Строчный!E:E,"ERR",0)))</f>
        <v>Herman</v>
      </c>
      <c r="F254" s="81" t="str">
        <f ca="1">LOWER(TRIM(_xlfn.XLOOKUP($A254,Строчный!$A:$A,Строчный!F:F,"ERR",0)))</f>
        <v>всесезон</v>
      </c>
      <c r="G254" s="81" t="str">
        <f ca="1">UPPER(TRIM(_xlfn.XLOOKUP($A254,Строчный!$A:$A,Строчный!G:G,"ERR",0)))</f>
        <v>HERMAN</v>
      </c>
      <c r="H254" s="81" t="str">
        <f ca="1">LOWER(TRIM(_xlfn.XLOOKUP($A254,Строчный!$A:$A,Строчный!H:H,"ERR",0)))</f>
        <v>pink</v>
      </c>
      <c r="I254" s="81" t="str">
        <f ca="1">LOWER(TRIM(_xlfn.XLOOKUP($A254,Строчный!$A:$A,Строчный!I:I,"ERR",0)))</f>
        <v>розовый</v>
      </c>
      <c r="J254" s="81" t="str">
        <f ca="1">SUBSTITUTE(LOWER(TRIM(_xlfn.XLOOKUP($A254,Строчный!$A:$A,Строчный!J:J,"ERR",0))),"подклад","Подклад")</f>
        <v>100% шерсть</v>
      </c>
      <c r="K254" s="81" t="str">
        <f ca="1">LOWER(TRIM(_xlfn.XLOOKUP($A254,Строчный!$A:$A,Строчный!K:K,"ERR",0)))</f>
        <v>фетровые</v>
      </c>
      <c r="L254" s="81" t="str">
        <f ca="1">PROPER(TRIM(_xlfn.XLOOKUP($A254,Строчный!$A:$A,Строчный!L:L,"ERR",0)))</f>
        <v>Женский</v>
      </c>
      <c r="M254" s="113" t="str">
        <f ca="1">PROPER(TRIM(_xlfn.XLOOKUP($A254,Строчный!$A:$A,Строчный!M:M,"ERR",0)))</f>
        <v>Китай</v>
      </c>
      <c r="N254" s="81" t="str">
        <f ca="1">UPPER(TRIM(_xlfn.XLOOKUP($A254,Строчный!$A:$A,Строчный!O:O,"ERR",0)))</f>
        <v/>
      </c>
      <c r="O254" s="102" t="str">
        <f ca="1">PROPER(TRIM(_xlfn.XLOOKUP($A254,Строчный!$A:$A,Строчный!P:P,"ERR",0)))</f>
        <v/>
      </c>
      <c r="P254" s="81" t="str">
        <f ca="1">PROPER(TRIM(_xlfn.XLOOKUP($A254,Строчный!$A:$A,Строчный!R:R,"ERR",0)))</f>
        <v/>
      </c>
      <c r="Q254" s="90">
        <f ca="1">VALUE(_xlfn.XLOOKUP($A254,Строчный!$A:$A,Строчный!N:N,"ERR",0))</f>
        <v>1398.6</v>
      </c>
      <c r="R254" s="89" t="str">
        <f ca="1">_xlfn.XLOOKUP($G254,Фабрика!A:A,Фабрика!B:B,"ERR",0)</f>
        <v>Chapellerie Herman S.A.; Rue Jean Meunier, 6, 6922 Wellin, Belgium</v>
      </c>
      <c r="S254" s="80" t="str">
        <f ca="1">_xlfn.XLOOKUP(RIGHT(AA254,2),Размеры!D:D,Размеры!A:A,"ERR",0)</f>
        <v>59</v>
      </c>
      <c r="T254" s="80">
        <f ca="1">VALUE(_xlfn.XLOOKUP($AA254,Строчный!$S:$S,Строчный!U:U,"ERR",0))</f>
        <v>4</v>
      </c>
      <c r="U254" s="14" t="s">
        <v>265</v>
      </c>
      <c r="V254" s="101" t="str">
        <f t="shared" ca="1" si="18"/>
        <v>Шляпа HERMAN арт. MAC SOFT (розовый)</v>
      </c>
      <c r="W254" s="100" t="str">
        <f t="shared" ca="1" si="19"/>
        <v>Шляпа HERMAN арт. MAC SOFT (розовый) {pink}</v>
      </c>
      <c r="X254" s="18" t="str">
        <f t="shared" ca="1" si="20"/>
        <v>розовый</v>
      </c>
      <c r="Y254" s="18" t="str">
        <f t="shared" ca="1" si="21"/>
        <v>розовый</v>
      </c>
      <c r="Z254" s="117" t="str">
        <f ca="1">_xlfn.LET(_xlpm.FormColors,_xlfn.XLOOKUP(A254,Строчный!A:A,Строчный!Q:Q,"",0),IF(_xlpm.FormColors=0,IFERROR(MID(I254,FIND("-",I254)+1,LEN(I254)),IFERROR(MID(I254,1,FIND("/",I254)-2),I254)),_xlpm.FormColors))</f>
        <v>розовый</v>
      </c>
      <c r="AA254" s="73" t="str">
        <f ca="1"/>
        <v>80-369-34-59</v>
      </c>
      <c r="AB254" s="75" t="str">
        <f ca="1">VLOOKUP(C254,Группа!A:B,2,FALSE)</f>
        <v>Шляпа</v>
      </c>
      <c r="AC254" s="97" t="str">
        <f ca="1">IFERROR(VLOOKUP(S254,Размеры!A:C,3,FALSE),"")</f>
        <v>59 L</v>
      </c>
      <c r="AD254" s="97" t="str">
        <f ca="1">VLOOKUP(I254,ЦветПолный!A:B,2,FALSE)</f>
        <v>34</v>
      </c>
      <c r="AE254" s="97" t="str">
        <f ca="1">IFERROR(VLOOKUP(S254,Размеры!A:D,4,FALSE),"")</f>
        <v>59</v>
      </c>
      <c r="AF254" s="97">
        <f ca="1">IF(LEFT(IFERROR(VLOOKUP(LOOKUP(2,1/SEARCH(B254,Товары!A:A),Товары!A:A),Товары!A:B,2,0),""),6)=MID(AA254,1,6),1,0)</f>
        <v>0</v>
      </c>
      <c r="AH254" s="97">
        <f ca="1">SUMIF(Группа!A:A,C254,Группа!C:C)</f>
        <v>1</v>
      </c>
      <c r="AI254" s="97">
        <f ca="1">SUMIF(Группа!B:B,AB254,Группа!C:C)</f>
        <v>1</v>
      </c>
      <c r="AJ254" s="97">
        <f ca="1">SUMIF(Формы!A:A,D254,Формы!B:B)</f>
        <v>1</v>
      </c>
      <c r="AK254" s="97">
        <f ca="1">SUMIF(Материал!A:A,K254,Материал!B:B)</f>
        <v>1</v>
      </c>
      <c r="AL254" s="97">
        <f ca="1">SUMIF(Размеры!A:A,S254,Размеры!E:E)</f>
        <v>1</v>
      </c>
      <c r="AM254" s="97">
        <f ca="1">SUMIF(Сезон!A:A,F254,Сезон!B:B)</f>
        <v>1</v>
      </c>
      <c r="AN254" s="97">
        <f ca="1">SUMIF(Состав!A:A,J254,Состав!B:B)</f>
        <v>1</v>
      </c>
      <c r="AO254" s="97">
        <f ca="1">VLOOKUP(I254,ЦветПолный!A:C,3,0)</f>
        <v>1</v>
      </c>
      <c r="AP254" s="97">
        <f ca="1">SUMIF(Цвет!A:A,Z254,Цвет!B:B)</f>
        <v>1</v>
      </c>
      <c r="AQ254" s="97">
        <f ca="1">_xlfn.XLOOKUP(L254,Пол!A:A,Пол!B:B,0,0)</f>
        <v>1</v>
      </c>
      <c r="AR254" s="97">
        <f ca="1">SUMIF(Бренд!A:A,G254,Бренд!B:B)</f>
        <v>1</v>
      </c>
      <c r="AS254" s="97">
        <f ca="1">SUMIF(Страна!A:A,M254,Страна!B:B)</f>
        <v>1</v>
      </c>
      <c r="AT254" s="64" t="str">
        <f ca="1">IF(VLOOKUP(W254,Товары!A:B,2,FALSE)=A254,"Есть в 1С","ERR")</f>
        <v>Есть в 1С</v>
      </c>
      <c r="AU254" s="65" t="str">
        <f ca="1">IF(VLOOKUP(A254,Товары!B:B,1,FALSE)=A254,"Есть в 1С","ERR")</f>
        <v>Есть в 1С</v>
      </c>
      <c r="AV254" s="96" t="str">
        <f ca="1">VLOOKUP(W254,Товары!A:B,2,FALSE)</f>
        <v>80-369-34</v>
      </c>
      <c r="AW254" s="94" t="str">
        <f ca="1">VLOOKUP(W254,Товары!A:B,1,FALSE)</f>
        <v>Шляпа HERMAN арт. MAC SOFT (розовый) {pink}</v>
      </c>
    </row>
    <row r="255" spans="1:49" x14ac:dyDescent="0.25">
      <c r="A255" s="110" t="str">
        <f t="shared" ca="1" si="17"/>
        <v>80-369-34</v>
      </c>
      <c r="B255" s="107" t="str">
        <f ca="1">_xlfn.LET(_xlpm.CAPS,0,_xlpm.Style,TRIM(_xlfn.XLOOKUP($A255,Строчный!$A:$A,Строчный!B:B,"ERR",0)),IF(_xlpm.CAPS=0,_xlpm.Style,UPPER(_xlpm.Style)))</f>
        <v>MAC SOFT</v>
      </c>
      <c r="C255" s="81" t="str">
        <f ca="1">TRIM(PROPER(_xlfn.XLOOKUP($A255,Строчный!$A:$A,Строчный!C:C,"ERR",0)))</f>
        <v>Шляпы</v>
      </c>
      <c r="D255" s="81" t="str">
        <f ca="1">_xlfn.LET(_xlpm.DATA,TRIM(_xlfn.XLOOKUP($A255,Строчный!$A:$A,Строчный!D:D,"ERR",0)),UPPER(MID(_xlpm.DATA,1,1))&amp;LOWER(MID(_xlpm.DATA,2,LEN(_xlpm.DATA)-1)))</f>
        <v>Шляпа федора</v>
      </c>
      <c r="E255" s="81" t="str">
        <f ca="1">PROPER(TRIM(_xlfn.XLOOKUP($A255,Строчный!$A:$A,Строчный!E:E,"ERR",0)))</f>
        <v>Herman</v>
      </c>
      <c r="F255" s="81" t="str">
        <f ca="1">LOWER(TRIM(_xlfn.XLOOKUP($A255,Строчный!$A:$A,Строчный!F:F,"ERR",0)))</f>
        <v>всесезон</v>
      </c>
      <c r="G255" s="81" t="str">
        <f ca="1">UPPER(TRIM(_xlfn.XLOOKUP($A255,Строчный!$A:$A,Строчный!G:G,"ERR",0)))</f>
        <v>HERMAN</v>
      </c>
      <c r="H255" s="81" t="str">
        <f ca="1">LOWER(TRIM(_xlfn.XLOOKUP($A255,Строчный!$A:$A,Строчный!H:H,"ERR",0)))</f>
        <v>pink</v>
      </c>
      <c r="I255" s="81" t="str">
        <f ca="1">LOWER(TRIM(_xlfn.XLOOKUP($A255,Строчный!$A:$A,Строчный!I:I,"ERR",0)))</f>
        <v>розовый</v>
      </c>
      <c r="J255" s="81" t="str">
        <f ca="1">SUBSTITUTE(LOWER(TRIM(_xlfn.XLOOKUP($A255,Строчный!$A:$A,Строчный!J:J,"ERR",0))),"подклад","Подклад")</f>
        <v>100% шерсть</v>
      </c>
      <c r="K255" s="81" t="str">
        <f ca="1">LOWER(TRIM(_xlfn.XLOOKUP($A255,Строчный!$A:$A,Строчный!K:K,"ERR",0)))</f>
        <v>фетровые</v>
      </c>
      <c r="L255" s="81" t="str">
        <f ca="1">PROPER(TRIM(_xlfn.XLOOKUP($A255,Строчный!$A:$A,Строчный!L:L,"ERR",0)))</f>
        <v>Женский</v>
      </c>
      <c r="M255" s="113" t="str">
        <f ca="1">PROPER(TRIM(_xlfn.XLOOKUP($A255,Строчный!$A:$A,Строчный!M:M,"ERR",0)))</f>
        <v>Китай</v>
      </c>
      <c r="N255" s="81" t="str">
        <f ca="1">UPPER(TRIM(_xlfn.XLOOKUP($A255,Строчный!$A:$A,Строчный!O:O,"ERR",0)))</f>
        <v/>
      </c>
      <c r="O255" s="102" t="str">
        <f ca="1">PROPER(TRIM(_xlfn.XLOOKUP($A255,Строчный!$A:$A,Строчный!P:P,"ERR",0)))</f>
        <v/>
      </c>
      <c r="P255" s="81" t="str">
        <f ca="1">PROPER(TRIM(_xlfn.XLOOKUP($A255,Строчный!$A:$A,Строчный!R:R,"ERR",0)))</f>
        <v/>
      </c>
      <c r="Q255" s="90">
        <f ca="1">VALUE(_xlfn.XLOOKUP($A255,Строчный!$A:$A,Строчный!N:N,"ERR",0))</f>
        <v>1398.6</v>
      </c>
      <c r="R255" s="89" t="str">
        <f ca="1">_xlfn.XLOOKUP($G255,Фабрика!A:A,Фабрика!B:B,"ERR",0)</f>
        <v>Chapellerie Herman S.A.; Rue Jean Meunier, 6, 6922 Wellin, Belgium</v>
      </c>
      <c r="S255" s="80" t="str">
        <f ca="1">_xlfn.XLOOKUP(RIGHT(AA255,2),Размеры!D:D,Размеры!A:A,"ERR",0)</f>
        <v>57</v>
      </c>
      <c r="T255" s="80">
        <f ca="1">VALUE(_xlfn.XLOOKUP($AA255,Строчный!$S:$S,Строчный!U:U,"ERR",0))</f>
        <v>7</v>
      </c>
      <c r="U255" s="14" t="s">
        <v>265</v>
      </c>
      <c r="V255" s="101" t="str">
        <f t="shared" ca="1" si="18"/>
        <v>Шляпа HERMAN арт. MAC SOFT (розовый)</v>
      </c>
      <c r="W255" s="100" t="str">
        <f t="shared" ca="1" si="19"/>
        <v>Шляпа HERMAN арт. MAC SOFT (розовый) {pink}</v>
      </c>
      <c r="X255" s="18" t="str">
        <f t="shared" ca="1" si="20"/>
        <v>розовый</v>
      </c>
      <c r="Y255" s="18" t="str">
        <f t="shared" ca="1" si="21"/>
        <v>розовый</v>
      </c>
      <c r="Z255" s="117" t="str">
        <f ca="1">_xlfn.LET(_xlpm.FormColors,_xlfn.XLOOKUP(A255,Строчный!A:A,Строчный!Q:Q,"",0),IF(_xlpm.FormColors=0,IFERROR(MID(I255,FIND("-",I255)+1,LEN(I255)),IFERROR(MID(I255,1,FIND("/",I255)-2),I255)),_xlpm.FormColors))</f>
        <v>розовый</v>
      </c>
      <c r="AA255" s="73" t="str">
        <f ca="1"/>
        <v>80-369-34-57</v>
      </c>
      <c r="AB255" s="75" t="str">
        <f ca="1">VLOOKUP(C255,Группа!A:B,2,FALSE)</f>
        <v>Шляпа</v>
      </c>
      <c r="AC255" s="97" t="str">
        <f ca="1">IFERROR(VLOOKUP(S255,Размеры!A:C,3,FALSE),"")</f>
        <v>57 M</v>
      </c>
      <c r="AD255" s="97" t="str">
        <f ca="1">VLOOKUP(I255,ЦветПолный!A:B,2,FALSE)</f>
        <v>34</v>
      </c>
      <c r="AE255" s="97" t="str">
        <f ca="1">IFERROR(VLOOKUP(S255,Размеры!A:D,4,FALSE),"")</f>
        <v>57</v>
      </c>
      <c r="AF255" s="97">
        <f ca="1">IF(LEFT(IFERROR(VLOOKUP(LOOKUP(2,1/SEARCH(B255,Товары!A:A),Товары!A:A),Товары!A:B,2,0),""),6)=MID(AA255,1,6),1,0)</f>
        <v>0</v>
      </c>
      <c r="AH255" s="97">
        <f ca="1">SUMIF(Группа!A:A,C255,Группа!C:C)</f>
        <v>1</v>
      </c>
      <c r="AI255" s="97">
        <f ca="1">SUMIF(Группа!B:B,AB255,Группа!C:C)</f>
        <v>1</v>
      </c>
      <c r="AJ255" s="97">
        <f ca="1">SUMIF(Формы!A:A,D255,Формы!B:B)</f>
        <v>1</v>
      </c>
      <c r="AK255" s="97">
        <f ca="1">SUMIF(Материал!A:A,K255,Материал!B:B)</f>
        <v>1</v>
      </c>
      <c r="AL255" s="97">
        <f ca="1">SUMIF(Размеры!A:A,S255,Размеры!E:E)</f>
        <v>1</v>
      </c>
      <c r="AM255" s="97">
        <f ca="1">SUMIF(Сезон!A:A,F255,Сезон!B:B)</f>
        <v>1</v>
      </c>
      <c r="AN255" s="97">
        <f ca="1">SUMIF(Состав!A:A,J255,Состав!B:B)</f>
        <v>1</v>
      </c>
      <c r="AO255" s="97">
        <f ca="1">VLOOKUP(I255,ЦветПолный!A:C,3,0)</f>
        <v>1</v>
      </c>
      <c r="AP255" s="97">
        <f ca="1">SUMIF(Цвет!A:A,Z255,Цвет!B:B)</f>
        <v>1</v>
      </c>
      <c r="AQ255" s="97">
        <f ca="1">_xlfn.XLOOKUP(L255,Пол!A:A,Пол!B:B,0,0)</f>
        <v>1</v>
      </c>
      <c r="AR255" s="97">
        <f ca="1">SUMIF(Бренд!A:A,G255,Бренд!B:B)</f>
        <v>1</v>
      </c>
      <c r="AS255" s="97">
        <f ca="1">SUMIF(Страна!A:A,M255,Страна!B:B)</f>
        <v>1</v>
      </c>
      <c r="AT255" s="64" t="str">
        <f ca="1">IF(VLOOKUP(W255,Товары!A:B,2,FALSE)=A255,"Есть в 1С","ERR")</f>
        <v>Есть в 1С</v>
      </c>
      <c r="AU255" s="65" t="str">
        <f ca="1">IF(VLOOKUP(A255,Товары!B:B,1,FALSE)=A255,"Есть в 1С","ERR")</f>
        <v>Есть в 1С</v>
      </c>
      <c r="AV255" s="96" t="str">
        <f ca="1">VLOOKUP(W255,Товары!A:B,2,FALSE)</f>
        <v>80-369-34</v>
      </c>
      <c r="AW255" s="94" t="str">
        <f ca="1">VLOOKUP(W255,Товары!A:B,1,FALSE)</f>
        <v>Шляпа HERMAN арт. MAC SOFT (розовый) {pink}</v>
      </c>
    </row>
    <row r="256" spans="1:49" x14ac:dyDescent="0.25">
      <c r="A256" s="110" t="str">
        <f t="shared" ca="1" si="17"/>
        <v>80-369-34</v>
      </c>
      <c r="B256" s="107" t="str">
        <f ca="1">_xlfn.LET(_xlpm.CAPS,0,_xlpm.Style,TRIM(_xlfn.XLOOKUP($A256,Строчный!$A:$A,Строчный!B:B,"ERR",0)),IF(_xlpm.CAPS=0,_xlpm.Style,UPPER(_xlpm.Style)))</f>
        <v>MAC SOFT</v>
      </c>
      <c r="C256" s="81" t="str">
        <f ca="1">TRIM(PROPER(_xlfn.XLOOKUP($A256,Строчный!$A:$A,Строчный!C:C,"ERR",0)))</f>
        <v>Шляпы</v>
      </c>
      <c r="D256" s="81" t="str">
        <f ca="1">_xlfn.LET(_xlpm.DATA,TRIM(_xlfn.XLOOKUP($A256,Строчный!$A:$A,Строчный!D:D,"ERR",0)),UPPER(MID(_xlpm.DATA,1,1))&amp;LOWER(MID(_xlpm.DATA,2,LEN(_xlpm.DATA)-1)))</f>
        <v>Шляпа федора</v>
      </c>
      <c r="E256" s="81" t="str">
        <f ca="1">PROPER(TRIM(_xlfn.XLOOKUP($A256,Строчный!$A:$A,Строчный!E:E,"ERR",0)))</f>
        <v>Herman</v>
      </c>
      <c r="F256" s="81" t="str">
        <f ca="1">LOWER(TRIM(_xlfn.XLOOKUP($A256,Строчный!$A:$A,Строчный!F:F,"ERR",0)))</f>
        <v>всесезон</v>
      </c>
      <c r="G256" s="81" t="str">
        <f ca="1">UPPER(TRIM(_xlfn.XLOOKUP($A256,Строчный!$A:$A,Строчный!G:G,"ERR",0)))</f>
        <v>HERMAN</v>
      </c>
      <c r="H256" s="81" t="str">
        <f ca="1">LOWER(TRIM(_xlfn.XLOOKUP($A256,Строчный!$A:$A,Строчный!H:H,"ERR",0)))</f>
        <v>pink</v>
      </c>
      <c r="I256" s="81" t="str">
        <f ca="1">LOWER(TRIM(_xlfn.XLOOKUP($A256,Строчный!$A:$A,Строчный!I:I,"ERR",0)))</f>
        <v>розовый</v>
      </c>
      <c r="J256" s="81" t="str">
        <f ca="1">SUBSTITUTE(LOWER(TRIM(_xlfn.XLOOKUP($A256,Строчный!$A:$A,Строчный!J:J,"ERR",0))),"подклад","Подклад")</f>
        <v>100% шерсть</v>
      </c>
      <c r="K256" s="81" t="str">
        <f ca="1">LOWER(TRIM(_xlfn.XLOOKUP($A256,Строчный!$A:$A,Строчный!K:K,"ERR",0)))</f>
        <v>фетровые</v>
      </c>
      <c r="L256" s="81" t="str">
        <f ca="1">PROPER(TRIM(_xlfn.XLOOKUP($A256,Строчный!$A:$A,Строчный!L:L,"ERR",0)))</f>
        <v>Женский</v>
      </c>
      <c r="M256" s="113" t="str">
        <f ca="1">PROPER(TRIM(_xlfn.XLOOKUP($A256,Строчный!$A:$A,Строчный!M:M,"ERR",0)))</f>
        <v>Китай</v>
      </c>
      <c r="N256" s="81" t="str">
        <f ca="1">UPPER(TRIM(_xlfn.XLOOKUP($A256,Строчный!$A:$A,Строчный!O:O,"ERR",0)))</f>
        <v/>
      </c>
      <c r="O256" s="102" t="str">
        <f ca="1">PROPER(TRIM(_xlfn.XLOOKUP($A256,Строчный!$A:$A,Строчный!P:P,"ERR",0)))</f>
        <v/>
      </c>
      <c r="P256" s="81" t="str">
        <f ca="1">PROPER(TRIM(_xlfn.XLOOKUP($A256,Строчный!$A:$A,Строчный!R:R,"ERR",0)))</f>
        <v/>
      </c>
      <c r="Q256" s="90">
        <f ca="1">VALUE(_xlfn.XLOOKUP($A256,Строчный!$A:$A,Строчный!N:N,"ERR",0))</f>
        <v>1398.6</v>
      </c>
      <c r="R256" s="89" t="str">
        <f ca="1">_xlfn.XLOOKUP($G256,Фабрика!A:A,Фабрика!B:B,"ERR",0)</f>
        <v>Chapellerie Herman S.A.; Rue Jean Meunier, 6, 6922 Wellin, Belgium</v>
      </c>
      <c r="S256" s="80" t="str">
        <f ca="1">_xlfn.XLOOKUP(RIGHT(AA256,2),Размеры!D:D,Размеры!A:A,"ERR",0)</f>
        <v>55</v>
      </c>
      <c r="T256" s="80">
        <f ca="1">VALUE(_xlfn.XLOOKUP($AA256,Строчный!$S:$S,Строчный!U:U,"ERR",0))</f>
        <v>5</v>
      </c>
      <c r="U256" s="14" t="s">
        <v>265</v>
      </c>
      <c r="V256" s="101" t="str">
        <f t="shared" ca="1" si="18"/>
        <v>Шляпа HERMAN арт. MAC SOFT (розовый)</v>
      </c>
      <c r="W256" s="100" t="str">
        <f t="shared" ca="1" si="19"/>
        <v>Шляпа HERMAN арт. MAC SOFT (розовый) {pink}</v>
      </c>
      <c r="X256" s="18" t="str">
        <f t="shared" ca="1" si="20"/>
        <v>розовый</v>
      </c>
      <c r="Y256" s="18" t="str">
        <f t="shared" ca="1" si="21"/>
        <v>розовый</v>
      </c>
      <c r="Z256" s="117" t="str">
        <f ca="1">_xlfn.LET(_xlpm.FormColors,_xlfn.XLOOKUP(A256,Строчный!A:A,Строчный!Q:Q,"",0),IF(_xlpm.FormColors=0,IFERROR(MID(I256,FIND("-",I256)+1,LEN(I256)),IFERROR(MID(I256,1,FIND("/",I256)-2),I256)),_xlpm.FormColors))</f>
        <v>розовый</v>
      </c>
      <c r="AA256" s="73" t="str">
        <f ca="1"/>
        <v>80-369-34-55</v>
      </c>
      <c r="AB256" s="75" t="str">
        <f ca="1">VLOOKUP(C256,Группа!A:B,2,FALSE)</f>
        <v>Шляпа</v>
      </c>
      <c r="AC256" s="97" t="str">
        <f ca="1">IFERROR(VLOOKUP(S256,Размеры!A:C,3,FALSE),"")</f>
        <v>55 S</v>
      </c>
      <c r="AD256" s="97" t="str">
        <f ca="1">VLOOKUP(I256,ЦветПолный!A:B,2,FALSE)</f>
        <v>34</v>
      </c>
      <c r="AE256" s="97" t="str">
        <f ca="1">IFERROR(VLOOKUP(S256,Размеры!A:D,4,FALSE),"")</f>
        <v>55</v>
      </c>
      <c r="AF256" s="97">
        <f ca="1">IF(LEFT(IFERROR(VLOOKUP(LOOKUP(2,1/SEARCH(B256,Товары!A:A),Товары!A:A),Товары!A:B,2,0),""),6)=MID(AA256,1,6),1,0)</f>
        <v>0</v>
      </c>
      <c r="AH256" s="97">
        <f ca="1">SUMIF(Группа!A:A,C256,Группа!C:C)</f>
        <v>1</v>
      </c>
      <c r="AI256" s="97">
        <f ca="1">SUMIF(Группа!B:B,AB256,Группа!C:C)</f>
        <v>1</v>
      </c>
      <c r="AJ256" s="97">
        <f ca="1">SUMIF(Формы!A:A,D256,Формы!B:B)</f>
        <v>1</v>
      </c>
      <c r="AK256" s="97">
        <f ca="1">SUMIF(Материал!A:A,K256,Материал!B:B)</f>
        <v>1</v>
      </c>
      <c r="AL256" s="97">
        <f ca="1">SUMIF(Размеры!A:A,S256,Размеры!E:E)</f>
        <v>1</v>
      </c>
      <c r="AM256" s="97">
        <f ca="1">SUMIF(Сезон!A:A,F256,Сезон!B:B)</f>
        <v>1</v>
      </c>
      <c r="AN256" s="97">
        <f ca="1">SUMIF(Состав!A:A,J256,Состав!B:B)</f>
        <v>1</v>
      </c>
      <c r="AO256" s="97">
        <f ca="1">VLOOKUP(I256,ЦветПолный!A:C,3,0)</f>
        <v>1</v>
      </c>
      <c r="AP256" s="97">
        <f ca="1">SUMIF(Цвет!A:A,Z256,Цвет!B:B)</f>
        <v>1</v>
      </c>
      <c r="AQ256" s="97">
        <f ca="1">_xlfn.XLOOKUP(L256,Пол!A:A,Пол!B:B,0,0)</f>
        <v>1</v>
      </c>
      <c r="AR256" s="97">
        <f ca="1">SUMIF(Бренд!A:A,G256,Бренд!B:B)</f>
        <v>1</v>
      </c>
      <c r="AS256" s="97">
        <f ca="1">SUMIF(Страна!A:A,M256,Страна!B:B)</f>
        <v>1</v>
      </c>
      <c r="AT256" s="64" t="str">
        <f ca="1">IF(VLOOKUP(W256,Товары!A:B,2,FALSE)=A256,"Есть в 1С","ERR")</f>
        <v>Есть в 1С</v>
      </c>
      <c r="AU256" s="65" t="str">
        <f ca="1">IF(VLOOKUP(A256,Товары!B:B,1,FALSE)=A256,"Есть в 1С","ERR")</f>
        <v>Есть в 1С</v>
      </c>
      <c r="AV256" s="96" t="str">
        <f ca="1">VLOOKUP(W256,Товары!A:B,2,FALSE)</f>
        <v>80-369-34</v>
      </c>
      <c r="AW256" s="94" t="str">
        <f ca="1">VLOOKUP(W256,Товары!A:B,1,FALSE)</f>
        <v>Шляпа HERMAN арт. MAC SOFT (розовый) {pink}</v>
      </c>
    </row>
    <row r="257" spans="1:49" x14ac:dyDescent="0.25">
      <c r="A257" s="110" t="str">
        <f t="shared" ca="1" si="17"/>
        <v>80-369-08</v>
      </c>
      <c r="B257" s="107" t="str">
        <f ca="1">_xlfn.LET(_xlpm.CAPS,0,_xlpm.Style,TRIM(_xlfn.XLOOKUP($A257,Строчный!$A:$A,Строчный!B:B,"ERR",0)),IF(_xlpm.CAPS=0,_xlpm.Style,UPPER(_xlpm.Style)))</f>
        <v>MAC SOFT</v>
      </c>
      <c r="C257" s="81" t="str">
        <f ca="1">TRIM(PROPER(_xlfn.XLOOKUP($A257,Строчный!$A:$A,Строчный!C:C,"ERR",0)))</f>
        <v>Шляпы</v>
      </c>
      <c r="D257" s="81" t="str">
        <f ca="1">_xlfn.LET(_xlpm.DATA,TRIM(_xlfn.XLOOKUP($A257,Строчный!$A:$A,Строчный!D:D,"ERR",0)),UPPER(MID(_xlpm.DATA,1,1))&amp;LOWER(MID(_xlpm.DATA,2,LEN(_xlpm.DATA)-1)))</f>
        <v>Шляпа федора</v>
      </c>
      <c r="E257" s="81" t="str">
        <f ca="1">PROPER(TRIM(_xlfn.XLOOKUP($A257,Строчный!$A:$A,Строчный!E:E,"ERR",0)))</f>
        <v>Herman</v>
      </c>
      <c r="F257" s="81" t="str">
        <f ca="1">LOWER(TRIM(_xlfn.XLOOKUP($A257,Строчный!$A:$A,Строчный!F:F,"ERR",0)))</f>
        <v>всесезон</v>
      </c>
      <c r="G257" s="81" t="str">
        <f ca="1">UPPER(TRIM(_xlfn.XLOOKUP($A257,Строчный!$A:$A,Строчный!G:G,"ERR",0)))</f>
        <v>HERMAN</v>
      </c>
      <c r="H257" s="81" t="str">
        <f ca="1">LOWER(TRIM(_xlfn.XLOOKUP($A257,Строчный!$A:$A,Строчный!H:H,"ERR",0)))</f>
        <v>grey</v>
      </c>
      <c r="I257" s="81" t="str">
        <f ca="1">LOWER(TRIM(_xlfn.XLOOKUP($A257,Строчный!$A:$A,Строчный!I:I,"ERR",0)))</f>
        <v>серый</v>
      </c>
      <c r="J257" s="81" t="str">
        <f ca="1">SUBSTITUTE(LOWER(TRIM(_xlfn.XLOOKUP($A257,Строчный!$A:$A,Строчный!J:J,"ERR",0))),"подклад","Подклад")</f>
        <v>100% шерсть</v>
      </c>
      <c r="K257" s="81" t="str">
        <f ca="1">LOWER(TRIM(_xlfn.XLOOKUP($A257,Строчный!$A:$A,Строчный!K:K,"ERR",0)))</f>
        <v>фетровые</v>
      </c>
      <c r="L257" s="81" t="str">
        <f ca="1">PROPER(TRIM(_xlfn.XLOOKUP($A257,Строчный!$A:$A,Строчный!L:L,"ERR",0)))</f>
        <v>Женский</v>
      </c>
      <c r="M257" s="113" t="str">
        <f ca="1">PROPER(TRIM(_xlfn.XLOOKUP($A257,Строчный!$A:$A,Строчный!M:M,"ERR",0)))</f>
        <v>Китай</v>
      </c>
      <c r="N257" s="81" t="str">
        <f ca="1">UPPER(TRIM(_xlfn.XLOOKUP($A257,Строчный!$A:$A,Строчный!O:O,"ERR",0)))</f>
        <v/>
      </c>
      <c r="O257" s="102" t="str">
        <f ca="1">PROPER(TRIM(_xlfn.XLOOKUP($A257,Строчный!$A:$A,Строчный!P:P,"ERR",0)))</f>
        <v/>
      </c>
      <c r="P257" s="81" t="str">
        <f ca="1">PROPER(TRIM(_xlfn.XLOOKUP($A257,Строчный!$A:$A,Строчный!R:R,"ERR",0)))</f>
        <v/>
      </c>
      <c r="Q257" s="90">
        <f ca="1">VALUE(_xlfn.XLOOKUP($A257,Строчный!$A:$A,Строчный!N:N,"ERR",0))</f>
        <v>1398.6</v>
      </c>
      <c r="R257" s="89" t="str">
        <f ca="1">_xlfn.XLOOKUP($G257,Фабрика!A:A,Фабрика!B:B,"ERR",0)</f>
        <v>Chapellerie Herman S.A.; Rue Jean Meunier, 6, 6922 Wellin, Belgium</v>
      </c>
      <c r="S257" s="80" t="str">
        <f ca="1">_xlfn.XLOOKUP(RIGHT(AA257,2),Размеры!D:D,Размеры!A:A,"ERR",0)</f>
        <v>59</v>
      </c>
      <c r="T257" s="80">
        <f ca="1">VALUE(_xlfn.XLOOKUP($AA257,Строчный!$S:$S,Строчный!U:U,"ERR",0))</f>
        <v>5</v>
      </c>
      <c r="U257" s="14" t="s">
        <v>265</v>
      </c>
      <c r="V257" s="101" t="str">
        <f t="shared" ca="1" si="18"/>
        <v>Шляпа HERMAN арт. MAC SOFT (серый)</v>
      </c>
      <c r="W257" s="100" t="str">
        <f t="shared" ca="1" si="19"/>
        <v>Шляпа HERMAN арт. MAC SOFT (серый) {grey}</v>
      </c>
      <c r="X257" s="18" t="str">
        <f t="shared" ca="1" si="20"/>
        <v>серый</v>
      </c>
      <c r="Y257" s="18" t="str">
        <f t="shared" ca="1" si="21"/>
        <v>серый</v>
      </c>
      <c r="Z257" s="117" t="str">
        <f ca="1">_xlfn.LET(_xlpm.FormColors,_xlfn.XLOOKUP(A257,Строчный!A:A,Строчный!Q:Q,"",0),IF(_xlpm.FormColors=0,IFERROR(MID(I257,FIND("-",I257)+1,LEN(I257)),IFERROR(MID(I257,1,FIND("/",I257)-2),I257)),_xlpm.FormColors))</f>
        <v>серый</v>
      </c>
      <c r="AA257" s="73" t="str">
        <f ca="1"/>
        <v>80-369-08-59</v>
      </c>
      <c r="AB257" s="75" t="str">
        <f ca="1">VLOOKUP(C257,Группа!A:B,2,FALSE)</f>
        <v>Шляпа</v>
      </c>
      <c r="AC257" s="97" t="str">
        <f ca="1">IFERROR(VLOOKUP(S257,Размеры!A:C,3,FALSE),"")</f>
        <v>59 L</v>
      </c>
      <c r="AD257" s="97" t="str">
        <f ca="1">VLOOKUP(I257,ЦветПолный!A:B,2,FALSE)</f>
        <v>80</v>
      </c>
      <c r="AE257" s="97" t="str">
        <f ca="1">IFERROR(VLOOKUP(S257,Размеры!A:D,4,FALSE),"")</f>
        <v>59</v>
      </c>
      <c r="AF257" s="97">
        <f ca="1">IF(LEFT(IFERROR(VLOOKUP(LOOKUP(2,1/SEARCH(B257,Товары!A:A),Товары!A:A),Товары!A:B,2,0),""),6)=MID(AA257,1,6),1,0)</f>
        <v>0</v>
      </c>
      <c r="AH257" s="97">
        <f ca="1">SUMIF(Группа!A:A,C257,Группа!C:C)</f>
        <v>1</v>
      </c>
      <c r="AI257" s="97">
        <f ca="1">SUMIF(Группа!B:B,AB257,Группа!C:C)</f>
        <v>1</v>
      </c>
      <c r="AJ257" s="97">
        <f ca="1">SUMIF(Формы!A:A,D257,Формы!B:B)</f>
        <v>1</v>
      </c>
      <c r="AK257" s="97">
        <f ca="1">SUMIF(Материал!A:A,K257,Материал!B:B)</f>
        <v>1</v>
      </c>
      <c r="AL257" s="97">
        <f ca="1">SUMIF(Размеры!A:A,S257,Размеры!E:E)</f>
        <v>1</v>
      </c>
      <c r="AM257" s="97">
        <f ca="1">SUMIF(Сезон!A:A,F257,Сезон!B:B)</f>
        <v>1</v>
      </c>
      <c r="AN257" s="97">
        <f ca="1">SUMIF(Состав!A:A,J257,Состав!B:B)</f>
        <v>1</v>
      </c>
      <c r="AO257" s="97">
        <f ca="1">VLOOKUP(I257,ЦветПолный!A:C,3,0)</f>
        <v>1</v>
      </c>
      <c r="AP257" s="97">
        <f ca="1">SUMIF(Цвет!A:A,Z257,Цвет!B:B)</f>
        <v>1</v>
      </c>
      <c r="AQ257" s="97">
        <f ca="1">_xlfn.XLOOKUP(L257,Пол!A:A,Пол!B:B,0,0)</f>
        <v>1</v>
      </c>
      <c r="AR257" s="97">
        <f ca="1">SUMIF(Бренд!A:A,G257,Бренд!B:B)</f>
        <v>1</v>
      </c>
      <c r="AS257" s="97">
        <f ca="1">SUMIF(Страна!A:A,M257,Страна!B:B)</f>
        <v>1</v>
      </c>
      <c r="AT257" s="64" t="str">
        <f ca="1">IF(VLOOKUP(W257,Товары!A:B,2,FALSE)=A257,"Есть в 1С","ERR")</f>
        <v>Есть в 1С</v>
      </c>
      <c r="AU257" s="65" t="str">
        <f ca="1">IF(VLOOKUP(A257,Товары!B:B,1,FALSE)=A257,"Есть в 1С","ERR")</f>
        <v>Есть в 1С</v>
      </c>
      <c r="AV257" s="96" t="str">
        <f ca="1">VLOOKUP(W257,Товары!A:B,2,FALSE)</f>
        <v>80-369-08</v>
      </c>
      <c r="AW257" s="94" t="str">
        <f ca="1">VLOOKUP(W257,Товары!A:B,1,FALSE)</f>
        <v>Шляпа HERMAN арт. MAC SOFT (серый) {grey}</v>
      </c>
    </row>
    <row r="258" spans="1:49" x14ac:dyDescent="0.25">
      <c r="A258" s="110" t="str">
        <f t="shared" ca="1" si="17"/>
        <v>80-369-08</v>
      </c>
      <c r="B258" s="107" t="str">
        <f ca="1">_xlfn.LET(_xlpm.CAPS,0,_xlpm.Style,TRIM(_xlfn.XLOOKUP($A258,Строчный!$A:$A,Строчный!B:B,"ERR",0)),IF(_xlpm.CAPS=0,_xlpm.Style,UPPER(_xlpm.Style)))</f>
        <v>MAC SOFT</v>
      </c>
      <c r="C258" s="81" t="str">
        <f ca="1">TRIM(PROPER(_xlfn.XLOOKUP($A258,Строчный!$A:$A,Строчный!C:C,"ERR",0)))</f>
        <v>Шляпы</v>
      </c>
      <c r="D258" s="81" t="str">
        <f ca="1">_xlfn.LET(_xlpm.DATA,TRIM(_xlfn.XLOOKUP($A258,Строчный!$A:$A,Строчный!D:D,"ERR",0)),UPPER(MID(_xlpm.DATA,1,1))&amp;LOWER(MID(_xlpm.DATA,2,LEN(_xlpm.DATA)-1)))</f>
        <v>Шляпа федора</v>
      </c>
      <c r="E258" s="81" t="str">
        <f ca="1">PROPER(TRIM(_xlfn.XLOOKUP($A258,Строчный!$A:$A,Строчный!E:E,"ERR",0)))</f>
        <v>Herman</v>
      </c>
      <c r="F258" s="81" t="str">
        <f ca="1">LOWER(TRIM(_xlfn.XLOOKUP($A258,Строчный!$A:$A,Строчный!F:F,"ERR",0)))</f>
        <v>всесезон</v>
      </c>
      <c r="G258" s="81" t="str">
        <f ca="1">UPPER(TRIM(_xlfn.XLOOKUP($A258,Строчный!$A:$A,Строчный!G:G,"ERR",0)))</f>
        <v>HERMAN</v>
      </c>
      <c r="H258" s="81" t="str">
        <f ca="1">LOWER(TRIM(_xlfn.XLOOKUP($A258,Строчный!$A:$A,Строчный!H:H,"ERR",0)))</f>
        <v>grey</v>
      </c>
      <c r="I258" s="81" t="str">
        <f ca="1">LOWER(TRIM(_xlfn.XLOOKUP($A258,Строчный!$A:$A,Строчный!I:I,"ERR",0)))</f>
        <v>серый</v>
      </c>
      <c r="J258" s="81" t="str">
        <f ca="1">SUBSTITUTE(LOWER(TRIM(_xlfn.XLOOKUP($A258,Строчный!$A:$A,Строчный!J:J,"ERR",0))),"подклад","Подклад")</f>
        <v>100% шерсть</v>
      </c>
      <c r="K258" s="81" t="str">
        <f ca="1">LOWER(TRIM(_xlfn.XLOOKUP($A258,Строчный!$A:$A,Строчный!K:K,"ERR",0)))</f>
        <v>фетровые</v>
      </c>
      <c r="L258" s="81" t="str">
        <f ca="1">PROPER(TRIM(_xlfn.XLOOKUP($A258,Строчный!$A:$A,Строчный!L:L,"ERR",0)))</f>
        <v>Женский</v>
      </c>
      <c r="M258" s="113" t="str">
        <f ca="1">PROPER(TRIM(_xlfn.XLOOKUP($A258,Строчный!$A:$A,Строчный!M:M,"ERR",0)))</f>
        <v>Китай</v>
      </c>
      <c r="N258" s="81" t="str">
        <f ca="1">UPPER(TRIM(_xlfn.XLOOKUP($A258,Строчный!$A:$A,Строчный!O:O,"ERR",0)))</f>
        <v/>
      </c>
      <c r="O258" s="102" t="str">
        <f ca="1">PROPER(TRIM(_xlfn.XLOOKUP($A258,Строчный!$A:$A,Строчный!P:P,"ERR",0)))</f>
        <v/>
      </c>
      <c r="P258" s="81" t="str">
        <f ca="1">PROPER(TRIM(_xlfn.XLOOKUP($A258,Строчный!$A:$A,Строчный!R:R,"ERR",0)))</f>
        <v/>
      </c>
      <c r="Q258" s="90">
        <f ca="1">VALUE(_xlfn.XLOOKUP($A258,Строчный!$A:$A,Строчный!N:N,"ERR",0))</f>
        <v>1398.6</v>
      </c>
      <c r="R258" s="89" t="str">
        <f ca="1">_xlfn.XLOOKUP($G258,Фабрика!A:A,Фабрика!B:B,"ERR",0)</f>
        <v>Chapellerie Herman S.A.; Rue Jean Meunier, 6, 6922 Wellin, Belgium</v>
      </c>
      <c r="S258" s="80" t="str">
        <f ca="1">_xlfn.XLOOKUP(RIGHT(AA258,2),Размеры!D:D,Размеры!A:A,"ERR",0)</f>
        <v>57</v>
      </c>
      <c r="T258" s="80">
        <f ca="1">VALUE(_xlfn.XLOOKUP($AA258,Строчный!$S:$S,Строчный!U:U,"ERR",0))</f>
        <v>5</v>
      </c>
      <c r="U258" s="14" t="s">
        <v>265</v>
      </c>
      <c r="V258" s="101" t="str">
        <f t="shared" ca="1" si="18"/>
        <v>Шляпа HERMAN арт. MAC SOFT (серый)</v>
      </c>
      <c r="W258" s="100" t="str">
        <f t="shared" ca="1" si="19"/>
        <v>Шляпа HERMAN арт. MAC SOFT (серый) {grey}</v>
      </c>
      <c r="X258" s="18" t="str">
        <f t="shared" ca="1" si="20"/>
        <v>серый</v>
      </c>
      <c r="Y258" s="18" t="str">
        <f t="shared" ca="1" si="21"/>
        <v>серый</v>
      </c>
      <c r="Z258" s="117" t="str">
        <f ca="1">_xlfn.LET(_xlpm.FormColors,_xlfn.XLOOKUP(A258,Строчный!A:A,Строчный!Q:Q,"",0),IF(_xlpm.FormColors=0,IFERROR(MID(I258,FIND("-",I258)+1,LEN(I258)),IFERROR(MID(I258,1,FIND("/",I258)-2),I258)),_xlpm.FormColors))</f>
        <v>серый</v>
      </c>
      <c r="AA258" s="73" t="str">
        <f ca="1"/>
        <v>80-369-08-57</v>
      </c>
      <c r="AB258" s="75" t="str">
        <f ca="1">VLOOKUP(C258,Группа!A:B,2,FALSE)</f>
        <v>Шляпа</v>
      </c>
      <c r="AC258" s="97" t="str">
        <f ca="1">IFERROR(VLOOKUP(S258,Размеры!A:C,3,FALSE),"")</f>
        <v>57 M</v>
      </c>
      <c r="AD258" s="97" t="str">
        <f ca="1">VLOOKUP(I258,ЦветПолный!A:B,2,FALSE)</f>
        <v>80</v>
      </c>
      <c r="AE258" s="97" t="str">
        <f ca="1">IFERROR(VLOOKUP(S258,Размеры!A:D,4,FALSE),"")</f>
        <v>57</v>
      </c>
      <c r="AF258" s="97">
        <f ca="1">IF(LEFT(IFERROR(VLOOKUP(LOOKUP(2,1/SEARCH(B258,Товары!A:A),Товары!A:A),Товары!A:B,2,0),""),6)=MID(AA258,1,6),1,0)</f>
        <v>0</v>
      </c>
      <c r="AH258" s="97">
        <f ca="1">SUMIF(Группа!A:A,C258,Группа!C:C)</f>
        <v>1</v>
      </c>
      <c r="AI258" s="97">
        <f ca="1">SUMIF(Группа!B:B,AB258,Группа!C:C)</f>
        <v>1</v>
      </c>
      <c r="AJ258" s="97">
        <f ca="1">SUMIF(Формы!A:A,D258,Формы!B:B)</f>
        <v>1</v>
      </c>
      <c r="AK258" s="97">
        <f ca="1">SUMIF(Материал!A:A,K258,Материал!B:B)</f>
        <v>1</v>
      </c>
      <c r="AL258" s="97">
        <f ca="1">SUMIF(Размеры!A:A,S258,Размеры!E:E)</f>
        <v>1</v>
      </c>
      <c r="AM258" s="97">
        <f ca="1">SUMIF(Сезон!A:A,F258,Сезон!B:B)</f>
        <v>1</v>
      </c>
      <c r="AN258" s="97">
        <f ca="1">SUMIF(Состав!A:A,J258,Состав!B:B)</f>
        <v>1</v>
      </c>
      <c r="AO258" s="97">
        <f ca="1">VLOOKUP(I258,ЦветПолный!A:C,3,0)</f>
        <v>1</v>
      </c>
      <c r="AP258" s="97">
        <f ca="1">SUMIF(Цвет!A:A,Z258,Цвет!B:B)</f>
        <v>1</v>
      </c>
      <c r="AQ258" s="97">
        <f ca="1">_xlfn.XLOOKUP(L258,Пол!A:A,Пол!B:B,0,0)</f>
        <v>1</v>
      </c>
      <c r="AR258" s="97">
        <f ca="1">SUMIF(Бренд!A:A,G258,Бренд!B:B)</f>
        <v>1</v>
      </c>
      <c r="AS258" s="97">
        <f ca="1">SUMIF(Страна!A:A,M258,Страна!B:B)</f>
        <v>1</v>
      </c>
      <c r="AT258" s="64" t="str">
        <f ca="1">IF(VLOOKUP(W258,Товары!A:B,2,FALSE)=A258,"Есть в 1С","ERR")</f>
        <v>Есть в 1С</v>
      </c>
      <c r="AU258" s="65" t="str">
        <f ca="1">IF(VLOOKUP(A258,Товары!B:B,1,FALSE)=A258,"Есть в 1С","ERR")</f>
        <v>Есть в 1С</v>
      </c>
      <c r="AV258" s="96" t="str">
        <f ca="1">VLOOKUP(W258,Товары!A:B,2,FALSE)</f>
        <v>80-369-08</v>
      </c>
      <c r="AW258" s="94" t="str">
        <f ca="1">VLOOKUP(W258,Товары!A:B,1,FALSE)</f>
        <v>Шляпа HERMAN арт. MAC SOFT (серый) {grey}</v>
      </c>
    </row>
    <row r="259" spans="1:49" x14ac:dyDescent="0.25">
      <c r="A259" s="110" t="str">
        <f t="shared" ref="A259:A318" ca="1" si="22">LEFT(AA259,9)</f>
        <v>80-369-08</v>
      </c>
      <c r="B259" s="107" t="str">
        <f ca="1">_xlfn.LET(_xlpm.CAPS,0,_xlpm.Style,TRIM(_xlfn.XLOOKUP($A259,Строчный!$A:$A,Строчный!B:B,"ERR",0)),IF(_xlpm.CAPS=0,_xlpm.Style,UPPER(_xlpm.Style)))</f>
        <v>MAC SOFT</v>
      </c>
      <c r="C259" s="81" t="str">
        <f ca="1">TRIM(PROPER(_xlfn.XLOOKUP($A259,Строчный!$A:$A,Строчный!C:C,"ERR",0)))</f>
        <v>Шляпы</v>
      </c>
      <c r="D259" s="81" t="str">
        <f ca="1">_xlfn.LET(_xlpm.DATA,TRIM(_xlfn.XLOOKUP($A259,Строчный!$A:$A,Строчный!D:D,"ERR",0)),UPPER(MID(_xlpm.DATA,1,1))&amp;LOWER(MID(_xlpm.DATA,2,LEN(_xlpm.DATA)-1)))</f>
        <v>Шляпа федора</v>
      </c>
      <c r="E259" s="81" t="str">
        <f ca="1">PROPER(TRIM(_xlfn.XLOOKUP($A259,Строчный!$A:$A,Строчный!E:E,"ERR",0)))</f>
        <v>Herman</v>
      </c>
      <c r="F259" s="81" t="str">
        <f ca="1">LOWER(TRIM(_xlfn.XLOOKUP($A259,Строчный!$A:$A,Строчный!F:F,"ERR",0)))</f>
        <v>всесезон</v>
      </c>
      <c r="G259" s="81" t="str">
        <f ca="1">UPPER(TRIM(_xlfn.XLOOKUP($A259,Строчный!$A:$A,Строчный!G:G,"ERR",0)))</f>
        <v>HERMAN</v>
      </c>
      <c r="H259" s="81" t="str">
        <f ca="1">LOWER(TRIM(_xlfn.XLOOKUP($A259,Строчный!$A:$A,Строчный!H:H,"ERR",0)))</f>
        <v>grey</v>
      </c>
      <c r="I259" s="81" t="str">
        <f ca="1">LOWER(TRIM(_xlfn.XLOOKUP($A259,Строчный!$A:$A,Строчный!I:I,"ERR",0)))</f>
        <v>серый</v>
      </c>
      <c r="J259" s="81" t="str">
        <f ca="1">SUBSTITUTE(LOWER(TRIM(_xlfn.XLOOKUP($A259,Строчный!$A:$A,Строчный!J:J,"ERR",0))),"подклад","Подклад")</f>
        <v>100% шерсть</v>
      </c>
      <c r="K259" s="81" t="str">
        <f ca="1">LOWER(TRIM(_xlfn.XLOOKUP($A259,Строчный!$A:$A,Строчный!K:K,"ERR",0)))</f>
        <v>фетровые</v>
      </c>
      <c r="L259" s="81" t="str">
        <f ca="1">PROPER(TRIM(_xlfn.XLOOKUP($A259,Строчный!$A:$A,Строчный!L:L,"ERR",0)))</f>
        <v>Женский</v>
      </c>
      <c r="M259" s="113" t="str">
        <f ca="1">PROPER(TRIM(_xlfn.XLOOKUP($A259,Строчный!$A:$A,Строчный!M:M,"ERR",0)))</f>
        <v>Китай</v>
      </c>
      <c r="N259" s="81" t="str">
        <f ca="1">UPPER(TRIM(_xlfn.XLOOKUP($A259,Строчный!$A:$A,Строчный!O:O,"ERR",0)))</f>
        <v/>
      </c>
      <c r="O259" s="102" t="str">
        <f ca="1">PROPER(TRIM(_xlfn.XLOOKUP($A259,Строчный!$A:$A,Строчный!P:P,"ERR",0)))</f>
        <v/>
      </c>
      <c r="P259" s="81" t="str">
        <f ca="1">PROPER(TRIM(_xlfn.XLOOKUP($A259,Строчный!$A:$A,Строчный!R:R,"ERR",0)))</f>
        <v/>
      </c>
      <c r="Q259" s="90">
        <f ca="1">VALUE(_xlfn.XLOOKUP($A259,Строчный!$A:$A,Строчный!N:N,"ERR",0))</f>
        <v>1398.6</v>
      </c>
      <c r="R259" s="89" t="str">
        <f ca="1">_xlfn.XLOOKUP($G259,Фабрика!A:A,Фабрика!B:B,"ERR",0)</f>
        <v>Chapellerie Herman S.A.; Rue Jean Meunier, 6, 6922 Wellin, Belgium</v>
      </c>
      <c r="S259" s="80" t="str">
        <f ca="1">_xlfn.XLOOKUP(RIGHT(AA259,2),Размеры!D:D,Размеры!A:A,"ERR",0)</f>
        <v>55</v>
      </c>
      <c r="T259" s="80">
        <f ca="1">VALUE(_xlfn.XLOOKUP($AA259,Строчный!$S:$S,Строчный!U:U,"ERR",0))</f>
        <v>5</v>
      </c>
      <c r="U259" s="14" t="s">
        <v>265</v>
      </c>
      <c r="V259" s="101" t="str">
        <f t="shared" ref="V259:V318" ca="1" si="23">TRIM(CONCATENATE(AB259," ",G259," арт. ",B259," (",I259,")"))</f>
        <v>Шляпа HERMAN арт. MAC SOFT (серый)</v>
      </c>
      <c r="W259" s="100" t="str">
        <f t="shared" ref="W259:W318" ca="1" si="24">TRIM(CONCATENATE(AB259," ",G259," арт. ",B259," (",I259,") {",H259,"}"))</f>
        <v>Шляпа HERMAN арт. MAC SOFT (серый) {grey}</v>
      </c>
      <c r="X259" s="18" t="str">
        <f t="shared" ref="X259:X318" ca="1" si="25">IFERROR(MID(I259,FIND("-",I259)+1,LEN(I259)),IFERROR(MID(I259,1,FIND("/",I259)-2),I259))</f>
        <v>серый</v>
      </c>
      <c r="Y259" s="18" t="str">
        <f t="shared" ref="Y259:Y318" ca="1" si="26">IFERROR(MID(I259,FIND("-",I259)+1,LEN(I259)),IFERROR(MID(I259,FIND("/",I259)+2,LEN(I259)),I259))</f>
        <v>серый</v>
      </c>
      <c r="Z259" s="117" t="str">
        <f ca="1">_xlfn.LET(_xlpm.FormColors,_xlfn.XLOOKUP(A259,Строчный!A:A,Строчный!Q:Q,"",0),IF(_xlpm.FormColors=0,IFERROR(MID(I259,FIND("-",I259)+1,LEN(I259)),IFERROR(MID(I259,1,FIND("/",I259)-2),I259)),_xlpm.FormColors))</f>
        <v>серый</v>
      </c>
      <c r="AA259" s="73" t="str">
        <f ca="1"/>
        <v>80-369-08-55</v>
      </c>
      <c r="AB259" s="75" t="str">
        <f ca="1">VLOOKUP(C259,Группа!A:B,2,FALSE)</f>
        <v>Шляпа</v>
      </c>
      <c r="AC259" s="97" t="str">
        <f ca="1">IFERROR(VLOOKUP(S259,Размеры!A:C,3,FALSE),"")</f>
        <v>55 S</v>
      </c>
      <c r="AD259" s="97" t="str">
        <f ca="1">VLOOKUP(I259,ЦветПолный!A:B,2,FALSE)</f>
        <v>80</v>
      </c>
      <c r="AE259" s="97" t="str">
        <f ca="1">IFERROR(VLOOKUP(S259,Размеры!A:D,4,FALSE),"")</f>
        <v>55</v>
      </c>
      <c r="AF259" s="97">
        <f ca="1">IF(LEFT(IFERROR(VLOOKUP(LOOKUP(2,1/SEARCH(B259,Товары!A:A),Товары!A:A),Товары!A:B,2,0),""),6)=MID(AA259,1,6),1,0)</f>
        <v>0</v>
      </c>
      <c r="AH259" s="97">
        <f ca="1">SUMIF(Группа!A:A,C259,Группа!C:C)</f>
        <v>1</v>
      </c>
      <c r="AI259" s="97">
        <f ca="1">SUMIF(Группа!B:B,AB259,Группа!C:C)</f>
        <v>1</v>
      </c>
      <c r="AJ259" s="97">
        <f ca="1">SUMIF(Формы!A:A,D259,Формы!B:B)</f>
        <v>1</v>
      </c>
      <c r="AK259" s="97">
        <f ca="1">SUMIF(Материал!A:A,K259,Материал!B:B)</f>
        <v>1</v>
      </c>
      <c r="AL259" s="97">
        <f ca="1">SUMIF(Размеры!A:A,S259,Размеры!E:E)</f>
        <v>1</v>
      </c>
      <c r="AM259" s="97">
        <f ca="1">SUMIF(Сезон!A:A,F259,Сезон!B:B)</f>
        <v>1</v>
      </c>
      <c r="AN259" s="97">
        <f ca="1">SUMIF(Состав!A:A,J259,Состав!B:B)</f>
        <v>1</v>
      </c>
      <c r="AO259" s="97">
        <f ca="1">VLOOKUP(I259,ЦветПолный!A:C,3,0)</f>
        <v>1</v>
      </c>
      <c r="AP259" s="97">
        <f ca="1">SUMIF(Цвет!A:A,Z259,Цвет!B:B)</f>
        <v>1</v>
      </c>
      <c r="AQ259" s="97">
        <f ca="1">_xlfn.XLOOKUP(L259,Пол!A:A,Пол!B:B,0,0)</f>
        <v>1</v>
      </c>
      <c r="AR259" s="97">
        <f ca="1">SUMIF(Бренд!A:A,G259,Бренд!B:B)</f>
        <v>1</v>
      </c>
      <c r="AS259" s="97">
        <f ca="1">SUMIF(Страна!A:A,M259,Страна!B:B)</f>
        <v>1</v>
      </c>
      <c r="AT259" s="64" t="str">
        <f ca="1">IF(VLOOKUP(W259,Товары!A:B,2,FALSE)=A259,"Есть в 1С","ERR")</f>
        <v>Есть в 1С</v>
      </c>
      <c r="AU259" s="65" t="str">
        <f ca="1">IF(VLOOKUP(A259,Товары!B:B,1,FALSE)=A259,"Есть в 1С","ERR")</f>
        <v>Есть в 1С</v>
      </c>
      <c r="AV259" s="96" t="str">
        <f ca="1">VLOOKUP(W259,Товары!A:B,2,FALSE)</f>
        <v>80-369-08</v>
      </c>
      <c r="AW259" s="94" t="str">
        <f ca="1">VLOOKUP(W259,Товары!A:B,1,FALSE)</f>
        <v>Шляпа HERMAN арт. MAC SOFT (серый) {grey}</v>
      </c>
    </row>
    <row r="260" spans="1:49" x14ac:dyDescent="0.25">
      <c r="A260" s="110" t="str">
        <f t="shared" ca="1" si="22"/>
        <v>80-369-06</v>
      </c>
      <c r="B260" s="107" t="str">
        <f ca="1">_xlfn.LET(_xlpm.CAPS,0,_xlpm.Style,TRIM(_xlfn.XLOOKUP($A260,Строчный!$A:$A,Строчный!B:B,"ERR",0)),IF(_xlpm.CAPS=0,_xlpm.Style,UPPER(_xlpm.Style)))</f>
        <v>MAC SOFT</v>
      </c>
      <c r="C260" s="81" t="str">
        <f ca="1">TRIM(PROPER(_xlfn.XLOOKUP($A260,Строчный!$A:$A,Строчный!C:C,"ERR",0)))</f>
        <v>Шляпы</v>
      </c>
      <c r="D260" s="81" t="str">
        <f ca="1">_xlfn.LET(_xlpm.DATA,TRIM(_xlfn.XLOOKUP($A260,Строчный!$A:$A,Строчный!D:D,"ERR",0)),UPPER(MID(_xlpm.DATA,1,1))&amp;LOWER(MID(_xlpm.DATA,2,LEN(_xlpm.DATA)-1)))</f>
        <v>Шляпа федора</v>
      </c>
      <c r="E260" s="81" t="str">
        <f ca="1">PROPER(TRIM(_xlfn.XLOOKUP($A260,Строчный!$A:$A,Строчный!E:E,"ERR",0)))</f>
        <v>Herman</v>
      </c>
      <c r="F260" s="81" t="str">
        <f ca="1">LOWER(TRIM(_xlfn.XLOOKUP($A260,Строчный!$A:$A,Строчный!F:F,"ERR",0)))</f>
        <v>всесезон</v>
      </c>
      <c r="G260" s="81" t="str">
        <f ca="1">UPPER(TRIM(_xlfn.XLOOKUP($A260,Строчный!$A:$A,Строчный!G:G,"ERR",0)))</f>
        <v>HERMAN</v>
      </c>
      <c r="H260" s="81" t="str">
        <f ca="1">LOWER(TRIM(_xlfn.XLOOKUP($A260,Строчный!$A:$A,Строчный!H:H,"ERR",0)))</f>
        <v>blue</v>
      </c>
      <c r="I260" s="81" t="str">
        <f ca="1">LOWER(TRIM(_xlfn.XLOOKUP($A260,Строчный!$A:$A,Строчный!I:I,"ERR",0)))</f>
        <v>синий</v>
      </c>
      <c r="J260" s="81" t="str">
        <f ca="1">SUBSTITUTE(LOWER(TRIM(_xlfn.XLOOKUP($A260,Строчный!$A:$A,Строчный!J:J,"ERR",0))),"подклад","Подклад")</f>
        <v>100% шерсть</v>
      </c>
      <c r="K260" s="81" t="str">
        <f ca="1">LOWER(TRIM(_xlfn.XLOOKUP($A260,Строчный!$A:$A,Строчный!K:K,"ERR",0)))</f>
        <v>фетровые</v>
      </c>
      <c r="L260" s="81" t="str">
        <f ca="1">PROPER(TRIM(_xlfn.XLOOKUP($A260,Строчный!$A:$A,Строчный!L:L,"ERR",0)))</f>
        <v>Женский</v>
      </c>
      <c r="M260" s="113" t="str">
        <f ca="1">PROPER(TRIM(_xlfn.XLOOKUP($A260,Строчный!$A:$A,Строчный!M:M,"ERR",0)))</f>
        <v>Китай</v>
      </c>
      <c r="N260" s="81" t="str">
        <f ca="1">UPPER(TRIM(_xlfn.XLOOKUP($A260,Строчный!$A:$A,Строчный!O:O,"ERR",0)))</f>
        <v/>
      </c>
      <c r="O260" s="102" t="str">
        <f ca="1">PROPER(TRIM(_xlfn.XLOOKUP($A260,Строчный!$A:$A,Строчный!P:P,"ERR",0)))</f>
        <v/>
      </c>
      <c r="P260" s="81" t="str">
        <f ca="1">PROPER(TRIM(_xlfn.XLOOKUP($A260,Строчный!$A:$A,Строчный!R:R,"ERR",0)))</f>
        <v/>
      </c>
      <c r="Q260" s="90">
        <f ca="1">VALUE(_xlfn.XLOOKUP($A260,Строчный!$A:$A,Строчный!N:N,"ERR",0))</f>
        <v>1398.6</v>
      </c>
      <c r="R260" s="89" t="str">
        <f ca="1">_xlfn.XLOOKUP($G260,Фабрика!A:A,Фабрика!B:B,"ERR",0)</f>
        <v>Chapellerie Herman S.A.; Rue Jean Meunier, 6, 6922 Wellin, Belgium</v>
      </c>
      <c r="S260" s="80" t="str">
        <f ca="1">_xlfn.XLOOKUP(RIGHT(AA260,2),Размеры!D:D,Размеры!A:A,"ERR",0)</f>
        <v>59</v>
      </c>
      <c r="T260" s="80">
        <f ca="1">VALUE(_xlfn.XLOOKUP($AA260,Строчный!$S:$S,Строчный!U:U,"ERR",0))</f>
        <v>3</v>
      </c>
      <c r="U260" s="14" t="s">
        <v>265</v>
      </c>
      <c r="V260" s="101" t="str">
        <f t="shared" ca="1" si="23"/>
        <v>Шляпа HERMAN арт. MAC SOFT (синий)</v>
      </c>
      <c r="W260" s="100" t="str">
        <f t="shared" ca="1" si="24"/>
        <v>Шляпа HERMAN арт. MAC SOFT (синий) {blue}</v>
      </c>
      <c r="X260" s="18" t="str">
        <f t="shared" ca="1" si="25"/>
        <v>синий</v>
      </c>
      <c r="Y260" s="18" t="str">
        <f t="shared" ca="1" si="26"/>
        <v>синий</v>
      </c>
      <c r="Z260" s="117" t="str">
        <f ca="1">_xlfn.LET(_xlpm.FormColors,_xlfn.XLOOKUP(A260,Строчный!A:A,Строчный!Q:Q,"",0),IF(_xlpm.FormColors=0,IFERROR(MID(I260,FIND("-",I260)+1,LEN(I260)),IFERROR(MID(I260,1,FIND("/",I260)-2),I260)),_xlpm.FormColors))</f>
        <v>синий</v>
      </c>
      <c r="AA260" s="73" t="str">
        <f ca="1"/>
        <v>80-369-06-59</v>
      </c>
      <c r="AB260" s="75" t="str">
        <f ca="1">VLOOKUP(C260,Группа!A:B,2,FALSE)</f>
        <v>Шляпа</v>
      </c>
      <c r="AC260" s="97" t="str">
        <f ca="1">IFERROR(VLOOKUP(S260,Размеры!A:C,3,FALSE),"")</f>
        <v>59 L</v>
      </c>
      <c r="AD260" s="97" t="str">
        <f ca="1">VLOOKUP(I260,ЦветПолный!A:B,2,FALSE)</f>
        <v>06</v>
      </c>
      <c r="AE260" s="97" t="str">
        <f ca="1">IFERROR(VLOOKUP(S260,Размеры!A:D,4,FALSE),"")</f>
        <v>59</v>
      </c>
      <c r="AF260" s="97">
        <f ca="1">IF(LEFT(IFERROR(VLOOKUP(LOOKUP(2,1/SEARCH(B260,Товары!A:A),Товары!A:A),Товары!A:B,2,0),""),6)=MID(AA260,1,6),1,0)</f>
        <v>0</v>
      </c>
      <c r="AH260" s="97">
        <f ca="1">SUMIF(Группа!A:A,C260,Группа!C:C)</f>
        <v>1</v>
      </c>
      <c r="AI260" s="97">
        <f ca="1">SUMIF(Группа!B:B,AB260,Группа!C:C)</f>
        <v>1</v>
      </c>
      <c r="AJ260" s="97">
        <f ca="1">SUMIF(Формы!A:A,D260,Формы!B:B)</f>
        <v>1</v>
      </c>
      <c r="AK260" s="97">
        <f ca="1">SUMIF(Материал!A:A,K260,Материал!B:B)</f>
        <v>1</v>
      </c>
      <c r="AL260" s="97">
        <f ca="1">SUMIF(Размеры!A:A,S260,Размеры!E:E)</f>
        <v>1</v>
      </c>
      <c r="AM260" s="97">
        <f ca="1">SUMIF(Сезон!A:A,F260,Сезон!B:B)</f>
        <v>1</v>
      </c>
      <c r="AN260" s="97">
        <f ca="1">SUMIF(Состав!A:A,J260,Состав!B:B)</f>
        <v>1</v>
      </c>
      <c r="AO260" s="97">
        <f ca="1">VLOOKUP(I260,ЦветПолный!A:C,3,0)</f>
        <v>1</v>
      </c>
      <c r="AP260" s="97">
        <f ca="1">SUMIF(Цвет!A:A,Z260,Цвет!B:B)</f>
        <v>1</v>
      </c>
      <c r="AQ260" s="97">
        <f ca="1">_xlfn.XLOOKUP(L260,Пол!A:A,Пол!B:B,0,0)</f>
        <v>1</v>
      </c>
      <c r="AR260" s="97">
        <f ca="1">SUMIF(Бренд!A:A,G260,Бренд!B:B)</f>
        <v>1</v>
      </c>
      <c r="AS260" s="97">
        <f ca="1">SUMIF(Страна!A:A,M260,Страна!B:B)</f>
        <v>1</v>
      </c>
      <c r="AT260" s="64" t="str">
        <f ca="1">IF(VLOOKUP(W260,Товары!A:B,2,FALSE)=A260,"Есть в 1С","ERR")</f>
        <v>Есть в 1С</v>
      </c>
      <c r="AU260" s="65" t="str">
        <f ca="1">IF(VLOOKUP(A260,Товары!B:B,1,FALSE)=A260,"Есть в 1С","ERR")</f>
        <v>Есть в 1С</v>
      </c>
      <c r="AV260" s="96" t="str">
        <f ca="1">VLOOKUP(W260,Товары!A:B,2,FALSE)</f>
        <v>80-369-06</v>
      </c>
      <c r="AW260" s="94" t="str">
        <f ca="1">VLOOKUP(W260,Товары!A:B,1,FALSE)</f>
        <v>Шляпа HERMAN арт. MAC SOFT (синий) {blue}</v>
      </c>
    </row>
    <row r="261" spans="1:49" x14ac:dyDescent="0.25">
      <c r="A261" s="110" t="str">
        <f t="shared" ca="1" si="22"/>
        <v>80-369-06</v>
      </c>
      <c r="B261" s="107" t="str">
        <f ca="1">_xlfn.LET(_xlpm.CAPS,0,_xlpm.Style,TRIM(_xlfn.XLOOKUP($A261,Строчный!$A:$A,Строчный!B:B,"ERR",0)),IF(_xlpm.CAPS=0,_xlpm.Style,UPPER(_xlpm.Style)))</f>
        <v>MAC SOFT</v>
      </c>
      <c r="C261" s="81" t="str">
        <f ca="1">TRIM(PROPER(_xlfn.XLOOKUP($A261,Строчный!$A:$A,Строчный!C:C,"ERR",0)))</f>
        <v>Шляпы</v>
      </c>
      <c r="D261" s="81" t="str">
        <f ca="1">_xlfn.LET(_xlpm.DATA,TRIM(_xlfn.XLOOKUP($A261,Строчный!$A:$A,Строчный!D:D,"ERR",0)),UPPER(MID(_xlpm.DATA,1,1))&amp;LOWER(MID(_xlpm.DATA,2,LEN(_xlpm.DATA)-1)))</f>
        <v>Шляпа федора</v>
      </c>
      <c r="E261" s="81" t="str">
        <f ca="1">PROPER(TRIM(_xlfn.XLOOKUP($A261,Строчный!$A:$A,Строчный!E:E,"ERR",0)))</f>
        <v>Herman</v>
      </c>
      <c r="F261" s="81" t="str">
        <f ca="1">LOWER(TRIM(_xlfn.XLOOKUP($A261,Строчный!$A:$A,Строчный!F:F,"ERR",0)))</f>
        <v>всесезон</v>
      </c>
      <c r="G261" s="81" t="str">
        <f ca="1">UPPER(TRIM(_xlfn.XLOOKUP($A261,Строчный!$A:$A,Строчный!G:G,"ERR",0)))</f>
        <v>HERMAN</v>
      </c>
      <c r="H261" s="81" t="str">
        <f ca="1">LOWER(TRIM(_xlfn.XLOOKUP($A261,Строчный!$A:$A,Строчный!H:H,"ERR",0)))</f>
        <v>blue</v>
      </c>
      <c r="I261" s="81" t="str">
        <f ca="1">LOWER(TRIM(_xlfn.XLOOKUP($A261,Строчный!$A:$A,Строчный!I:I,"ERR",0)))</f>
        <v>синий</v>
      </c>
      <c r="J261" s="81" t="str">
        <f ca="1">SUBSTITUTE(LOWER(TRIM(_xlfn.XLOOKUP($A261,Строчный!$A:$A,Строчный!J:J,"ERR",0))),"подклад","Подклад")</f>
        <v>100% шерсть</v>
      </c>
      <c r="K261" s="81" t="str">
        <f ca="1">LOWER(TRIM(_xlfn.XLOOKUP($A261,Строчный!$A:$A,Строчный!K:K,"ERR",0)))</f>
        <v>фетровые</v>
      </c>
      <c r="L261" s="81" t="str">
        <f ca="1">PROPER(TRIM(_xlfn.XLOOKUP($A261,Строчный!$A:$A,Строчный!L:L,"ERR",0)))</f>
        <v>Женский</v>
      </c>
      <c r="M261" s="113" t="str">
        <f ca="1">PROPER(TRIM(_xlfn.XLOOKUP($A261,Строчный!$A:$A,Строчный!M:M,"ERR",0)))</f>
        <v>Китай</v>
      </c>
      <c r="N261" s="81" t="str">
        <f ca="1">UPPER(TRIM(_xlfn.XLOOKUP($A261,Строчный!$A:$A,Строчный!O:O,"ERR",0)))</f>
        <v/>
      </c>
      <c r="O261" s="102" t="str">
        <f ca="1">PROPER(TRIM(_xlfn.XLOOKUP($A261,Строчный!$A:$A,Строчный!P:P,"ERR",0)))</f>
        <v/>
      </c>
      <c r="P261" s="81" t="str">
        <f ca="1">PROPER(TRIM(_xlfn.XLOOKUP($A261,Строчный!$A:$A,Строчный!R:R,"ERR",0)))</f>
        <v/>
      </c>
      <c r="Q261" s="90">
        <f ca="1">VALUE(_xlfn.XLOOKUP($A261,Строчный!$A:$A,Строчный!N:N,"ERR",0))</f>
        <v>1398.6</v>
      </c>
      <c r="R261" s="89" t="str">
        <f ca="1">_xlfn.XLOOKUP($G261,Фабрика!A:A,Фабрика!B:B,"ERR",0)</f>
        <v>Chapellerie Herman S.A.; Rue Jean Meunier, 6, 6922 Wellin, Belgium</v>
      </c>
      <c r="S261" s="80" t="str">
        <f ca="1">_xlfn.XLOOKUP(RIGHT(AA261,2),Размеры!D:D,Размеры!A:A,"ERR",0)</f>
        <v>57</v>
      </c>
      <c r="T261" s="80">
        <f ca="1">VALUE(_xlfn.XLOOKUP($AA261,Строчный!$S:$S,Строчный!U:U,"ERR",0))</f>
        <v>5</v>
      </c>
      <c r="U261" s="14" t="s">
        <v>265</v>
      </c>
      <c r="V261" s="101" t="str">
        <f t="shared" ca="1" si="23"/>
        <v>Шляпа HERMAN арт. MAC SOFT (синий)</v>
      </c>
      <c r="W261" s="100" t="str">
        <f t="shared" ca="1" si="24"/>
        <v>Шляпа HERMAN арт. MAC SOFT (синий) {blue}</v>
      </c>
      <c r="X261" s="18" t="str">
        <f t="shared" ca="1" si="25"/>
        <v>синий</v>
      </c>
      <c r="Y261" s="18" t="str">
        <f t="shared" ca="1" si="26"/>
        <v>синий</v>
      </c>
      <c r="Z261" s="117" t="str">
        <f ca="1">_xlfn.LET(_xlpm.FormColors,_xlfn.XLOOKUP(A261,Строчный!A:A,Строчный!Q:Q,"",0),IF(_xlpm.FormColors=0,IFERROR(MID(I261,FIND("-",I261)+1,LEN(I261)),IFERROR(MID(I261,1,FIND("/",I261)-2),I261)),_xlpm.FormColors))</f>
        <v>синий</v>
      </c>
      <c r="AA261" s="73" t="str">
        <f ca="1"/>
        <v>80-369-06-57</v>
      </c>
      <c r="AB261" s="75" t="str">
        <f ca="1">VLOOKUP(C261,Группа!A:B,2,FALSE)</f>
        <v>Шляпа</v>
      </c>
      <c r="AC261" s="97" t="str">
        <f ca="1">IFERROR(VLOOKUP(S261,Размеры!A:C,3,FALSE),"")</f>
        <v>57 M</v>
      </c>
      <c r="AD261" s="97" t="str">
        <f ca="1">VLOOKUP(I261,ЦветПолный!A:B,2,FALSE)</f>
        <v>06</v>
      </c>
      <c r="AE261" s="97" t="str">
        <f ca="1">IFERROR(VLOOKUP(S261,Размеры!A:D,4,FALSE),"")</f>
        <v>57</v>
      </c>
      <c r="AF261" s="97">
        <f ca="1">IF(LEFT(IFERROR(VLOOKUP(LOOKUP(2,1/SEARCH(B261,Товары!A:A),Товары!A:A),Товары!A:B,2,0),""),6)=MID(AA261,1,6),1,0)</f>
        <v>0</v>
      </c>
      <c r="AH261" s="97">
        <f ca="1">SUMIF(Группа!A:A,C261,Группа!C:C)</f>
        <v>1</v>
      </c>
      <c r="AI261" s="97">
        <f ca="1">SUMIF(Группа!B:B,AB261,Группа!C:C)</f>
        <v>1</v>
      </c>
      <c r="AJ261" s="97">
        <f ca="1">SUMIF(Формы!A:A,D261,Формы!B:B)</f>
        <v>1</v>
      </c>
      <c r="AK261" s="97">
        <f ca="1">SUMIF(Материал!A:A,K261,Материал!B:B)</f>
        <v>1</v>
      </c>
      <c r="AL261" s="97">
        <f ca="1">SUMIF(Размеры!A:A,S261,Размеры!E:E)</f>
        <v>1</v>
      </c>
      <c r="AM261" s="97">
        <f ca="1">SUMIF(Сезон!A:A,F261,Сезон!B:B)</f>
        <v>1</v>
      </c>
      <c r="AN261" s="97">
        <f ca="1">SUMIF(Состав!A:A,J261,Состав!B:B)</f>
        <v>1</v>
      </c>
      <c r="AO261" s="97">
        <f ca="1">VLOOKUP(I261,ЦветПолный!A:C,3,0)</f>
        <v>1</v>
      </c>
      <c r="AP261" s="97">
        <f ca="1">SUMIF(Цвет!A:A,Z261,Цвет!B:B)</f>
        <v>1</v>
      </c>
      <c r="AQ261" s="97">
        <f ca="1">_xlfn.XLOOKUP(L261,Пол!A:A,Пол!B:B,0,0)</f>
        <v>1</v>
      </c>
      <c r="AR261" s="97">
        <f ca="1">SUMIF(Бренд!A:A,G261,Бренд!B:B)</f>
        <v>1</v>
      </c>
      <c r="AS261" s="97">
        <f ca="1">SUMIF(Страна!A:A,M261,Страна!B:B)</f>
        <v>1</v>
      </c>
      <c r="AT261" s="64" t="str">
        <f ca="1">IF(VLOOKUP(W261,Товары!A:B,2,FALSE)=A261,"Есть в 1С","ERR")</f>
        <v>Есть в 1С</v>
      </c>
      <c r="AU261" s="65" t="str">
        <f ca="1">IF(VLOOKUP(A261,Товары!B:B,1,FALSE)=A261,"Есть в 1С","ERR")</f>
        <v>Есть в 1С</v>
      </c>
      <c r="AV261" s="96" t="str">
        <f ca="1">VLOOKUP(W261,Товары!A:B,2,FALSE)</f>
        <v>80-369-06</v>
      </c>
      <c r="AW261" s="94" t="str">
        <f ca="1">VLOOKUP(W261,Товары!A:B,1,FALSE)</f>
        <v>Шляпа HERMAN арт. MAC SOFT (синий) {blue}</v>
      </c>
    </row>
    <row r="262" spans="1:49" x14ac:dyDescent="0.25">
      <c r="A262" s="110" t="str">
        <f t="shared" ca="1" si="22"/>
        <v>80-369-05</v>
      </c>
      <c r="B262" s="107" t="str">
        <f ca="1">_xlfn.LET(_xlpm.CAPS,0,_xlpm.Style,TRIM(_xlfn.XLOOKUP($A262,Строчный!$A:$A,Строчный!B:B,"ERR",0)),IF(_xlpm.CAPS=0,_xlpm.Style,UPPER(_xlpm.Style)))</f>
        <v>MAC SOFT</v>
      </c>
      <c r="C262" s="81" t="str">
        <f ca="1">TRIM(PROPER(_xlfn.XLOOKUP($A262,Строчный!$A:$A,Строчный!C:C,"ERR",0)))</f>
        <v>Шляпы</v>
      </c>
      <c r="D262" s="81" t="str">
        <f ca="1">_xlfn.LET(_xlpm.DATA,TRIM(_xlfn.XLOOKUP($A262,Строчный!$A:$A,Строчный!D:D,"ERR",0)),UPPER(MID(_xlpm.DATA,1,1))&amp;LOWER(MID(_xlpm.DATA,2,LEN(_xlpm.DATA)-1)))</f>
        <v>Шляпа федора</v>
      </c>
      <c r="E262" s="81" t="str">
        <f ca="1">PROPER(TRIM(_xlfn.XLOOKUP($A262,Строчный!$A:$A,Строчный!E:E,"ERR",0)))</f>
        <v>Herman</v>
      </c>
      <c r="F262" s="81" t="str">
        <f ca="1">LOWER(TRIM(_xlfn.XLOOKUP($A262,Строчный!$A:$A,Строчный!F:F,"ERR",0)))</f>
        <v>всесезон</v>
      </c>
      <c r="G262" s="81" t="str">
        <f ca="1">UPPER(TRIM(_xlfn.XLOOKUP($A262,Строчный!$A:$A,Строчный!G:G,"ERR",0)))</f>
        <v>HERMAN</v>
      </c>
      <c r="H262" s="81" t="str">
        <f ca="1">LOWER(TRIM(_xlfn.XLOOKUP($A262,Строчный!$A:$A,Строчный!H:H,"ERR",0)))</f>
        <v>dark grey</v>
      </c>
      <c r="I262" s="81" t="str">
        <f ca="1">LOWER(TRIM(_xlfn.XLOOKUP($A262,Строчный!$A:$A,Строчный!I:I,"ERR",0)))</f>
        <v>темно-серый</v>
      </c>
      <c r="J262" s="81" t="str">
        <f ca="1">SUBSTITUTE(LOWER(TRIM(_xlfn.XLOOKUP($A262,Строчный!$A:$A,Строчный!J:J,"ERR",0))),"подклад","Подклад")</f>
        <v>100% шерсть</v>
      </c>
      <c r="K262" s="81" t="str">
        <f ca="1">LOWER(TRIM(_xlfn.XLOOKUP($A262,Строчный!$A:$A,Строчный!K:K,"ERR",0)))</f>
        <v>фетровые</v>
      </c>
      <c r="L262" s="81" t="str">
        <f ca="1">PROPER(TRIM(_xlfn.XLOOKUP($A262,Строчный!$A:$A,Строчный!L:L,"ERR",0)))</f>
        <v>Женский</v>
      </c>
      <c r="M262" s="113" t="str">
        <f ca="1">PROPER(TRIM(_xlfn.XLOOKUP($A262,Строчный!$A:$A,Строчный!M:M,"ERR",0)))</f>
        <v>Китай</v>
      </c>
      <c r="N262" s="81" t="str">
        <f ca="1">UPPER(TRIM(_xlfn.XLOOKUP($A262,Строчный!$A:$A,Строчный!O:O,"ERR",0)))</f>
        <v/>
      </c>
      <c r="O262" s="102" t="str">
        <f ca="1">PROPER(TRIM(_xlfn.XLOOKUP($A262,Строчный!$A:$A,Строчный!P:P,"ERR",0)))</f>
        <v/>
      </c>
      <c r="P262" s="81" t="str">
        <f ca="1">PROPER(TRIM(_xlfn.XLOOKUP($A262,Строчный!$A:$A,Строчный!R:R,"ERR",0)))</f>
        <v/>
      </c>
      <c r="Q262" s="90">
        <f ca="1">VALUE(_xlfn.XLOOKUP($A262,Строчный!$A:$A,Строчный!N:N,"ERR",0))</f>
        <v>1398.6</v>
      </c>
      <c r="R262" s="89" t="str">
        <f ca="1">_xlfn.XLOOKUP($G262,Фабрика!A:A,Фабрика!B:B,"ERR",0)</f>
        <v>Chapellerie Herman S.A.; Rue Jean Meunier, 6, 6922 Wellin, Belgium</v>
      </c>
      <c r="S262" s="80" t="str">
        <f ca="1">_xlfn.XLOOKUP(RIGHT(AA262,2),Размеры!D:D,Размеры!A:A,"ERR",0)</f>
        <v>61</v>
      </c>
      <c r="T262" s="80">
        <f ca="1">VALUE(_xlfn.XLOOKUP($AA262,Строчный!$S:$S,Строчный!U:U,"ERR",0))</f>
        <v>2</v>
      </c>
      <c r="U262" s="14" t="s">
        <v>265</v>
      </c>
      <c r="V262" s="101" t="str">
        <f t="shared" ca="1" si="23"/>
        <v>Шляпа HERMAN арт. MAC SOFT (темно-серый)</v>
      </c>
      <c r="W262" s="100" t="str">
        <f t="shared" ca="1" si="24"/>
        <v>Шляпа HERMAN арт. MAC SOFT (темно-серый) {dark grey}</v>
      </c>
      <c r="X262" s="18" t="str">
        <f t="shared" ca="1" si="25"/>
        <v>серый</v>
      </c>
      <c r="Y262" s="18" t="str">
        <f t="shared" ca="1" si="26"/>
        <v>серый</v>
      </c>
      <c r="Z262" s="117" t="str">
        <f ca="1">_xlfn.LET(_xlpm.FormColors,_xlfn.XLOOKUP(A262,Строчный!A:A,Строчный!Q:Q,"",0),IF(_xlpm.FormColors=0,IFERROR(MID(I262,FIND("-",I262)+1,LEN(I262)),IFERROR(MID(I262,1,FIND("/",I262)-2),I262)),_xlpm.FormColors))</f>
        <v>серый</v>
      </c>
      <c r="AA262" s="73" t="str">
        <f ca="1"/>
        <v>80-369-05-61</v>
      </c>
      <c r="AB262" s="75" t="str">
        <f ca="1">VLOOKUP(C262,Группа!A:B,2,FALSE)</f>
        <v>Шляпа</v>
      </c>
      <c r="AC262" s="97" t="str">
        <f ca="1">IFERROR(VLOOKUP(S262,Размеры!A:C,3,FALSE),"")</f>
        <v>61 XL</v>
      </c>
      <c r="AD262" s="97" t="str">
        <f ca="1">VLOOKUP(I262,ЦветПолный!A:B,2,FALSE)</f>
        <v>05</v>
      </c>
      <c r="AE262" s="97" t="str">
        <f ca="1">IFERROR(VLOOKUP(S262,Размеры!A:D,4,FALSE),"")</f>
        <v>61</v>
      </c>
      <c r="AF262" s="97">
        <f ca="1">IF(LEFT(IFERROR(VLOOKUP(LOOKUP(2,1/SEARCH(B262,Товары!A:A),Товары!A:A),Товары!A:B,2,0),""),6)=MID(AA262,1,6),1,0)</f>
        <v>0</v>
      </c>
      <c r="AH262" s="97">
        <f ca="1">SUMIF(Группа!A:A,C262,Группа!C:C)</f>
        <v>1</v>
      </c>
      <c r="AI262" s="97">
        <f ca="1">SUMIF(Группа!B:B,AB262,Группа!C:C)</f>
        <v>1</v>
      </c>
      <c r="AJ262" s="97">
        <f ca="1">SUMIF(Формы!A:A,D262,Формы!B:B)</f>
        <v>1</v>
      </c>
      <c r="AK262" s="97">
        <f ca="1">SUMIF(Материал!A:A,K262,Материал!B:B)</f>
        <v>1</v>
      </c>
      <c r="AL262" s="97">
        <f ca="1">SUMIF(Размеры!A:A,S262,Размеры!E:E)</f>
        <v>1</v>
      </c>
      <c r="AM262" s="97">
        <f ca="1">SUMIF(Сезон!A:A,F262,Сезон!B:B)</f>
        <v>1</v>
      </c>
      <c r="AN262" s="97">
        <f ca="1">SUMIF(Состав!A:A,J262,Состав!B:B)</f>
        <v>1</v>
      </c>
      <c r="AO262" s="97">
        <f ca="1">VLOOKUP(I262,ЦветПолный!A:C,3,0)</f>
        <v>1</v>
      </c>
      <c r="AP262" s="97">
        <f ca="1">SUMIF(Цвет!A:A,Z262,Цвет!B:B)</f>
        <v>1</v>
      </c>
      <c r="AQ262" s="97">
        <f ca="1">_xlfn.XLOOKUP(L262,Пол!A:A,Пол!B:B,0,0)</f>
        <v>1</v>
      </c>
      <c r="AR262" s="97">
        <f ca="1">SUMIF(Бренд!A:A,G262,Бренд!B:B)</f>
        <v>1</v>
      </c>
      <c r="AS262" s="97">
        <f ca="1">SUMIF(Страна!A:A,M262,Страна!B:B)</f>
        <v>1</v>
      </c>
      <c r="AT262" s="64" t="str">
        <f ca="1">IF(VLOOKUP(W262,Товары!A:B,2,FALSE)=A262,"Есть в 1С","ERR")</f>
        <v>Есть в 1С</v>
      </c>
      <c r="AU262" s="65" t="str">
        <f ca="1">IF(VLOOKUP(A262,Товары!B:B,1,FALSE)=A262,"Есть в 1С","ERR")</f>
        <v>Есть в 1С</v>
      </c>
      <c r="AV262" s="96" t="str">
        <f ca="1">VLOOKUP(W262,Товары!A:B,2,FALSE)</f>
        <v>80-369-05</v>
      </c>
      <c r="AW262" s="94" t="str">
        <f ca="1">VLOOKUP(W262,Товары!A:B,1,FALSE)</f>
        <v>Шляпа HERMAN арт. MAC SOFT (темно-серый) {dark grey}</v>
      </c>
    </row>
    <row r="263" spans="1:49" x14ac:dyDescent="0.25">
      <c r="A263" s="110" t="str">
        <f t="shared" ca="1" si="22"/>
        <v>80-369-05</v>
      </c>
      <c r="B263" s="107" t="str">
        <f ca="1">_xlfn.LET(_xlpm.CAPS,0,_xlpm.Style,TRIM(_xlfn.XLOOKUP($A263,Строчный!$A:$A,Строчный!B:B,"ERR",0)),IF(_xlpm.CAPS=0,_xlpm.Style,UPPER(_xlpm.Style)))</f>
        <v>MAC SOFT</v>
      </c>
      <c r="C263" s="81" t="str">
        <f ca="1">TRIM(PROPER(_xlfn.XLOOKUP($A263,Строчный!$A:$A,Строчный!C:C,"ERR",0)))</f>
        <v>Шляпы</v>
      </c>
      <c r="D263" s="81" t="str">
        <f ca="1">_xlfn.LET(_xlpm.DATA,TRIM(_xlfn.XLOOKUP($A263,Строчный!$A:$A,Строчный!D:D,"ERR",0)),UPPER(MID(_xlpm.DATA,1,1))&amp;LOWER(MID(_xlpm.DATA,2,LEN(_xlpm.DATA)-1)))</f>
        <v>Шляпа федора</v>
      </c>
      <c r="E263" s="81" t="str">
        <f ca="1">PROPER(TRIM(_xlfn.XLOOKUP($A263,Строчный!$A:$A,Строчный!E:E,"ERR",0)))</f>
        <v>Herman</v>
      </c>
      <c r="F263" s="81" t="str">
        <f ca="1">LOWER(TRIM(_xlfn.XLOOKUP($A263,Строчный!$A:$A,Строчный!F:F,"ERR",0)))</f>
        <v>всесезон</v>
      </c>
      <c r="G263" s="81" t="str">
        <f ca="1">UPPER(TRIM(_xlfn.XLOOKUP($A263,Строчный!$A:$A,Строчный!G:G,"ERR",0)))</f>
        <v>HERMAN</v>
      </c>
      <c r="H263" s="81" t="str">
        <f ca="1">LOWER(TRIM(_xlfn.XLOOKUP($A263,Строчный!$A:$A,Строчный!H:H,"ERR",0)))</f>
        <v>dark grey</v>
      </c>
      <c r="I263" s="81" t="str">
        <f ca="1">LOWER(TRIM(_xlfn.XLOOKUP($A263,Строчный!$A:$A,Строчный!I:I,"ERR",0)))</f>
        <v>темно-серый</v>
      </c>
      <c r="J263" s="81" t="str">
        <f ca="1">SUBSTITUTE(LOWER(TRIM(_xlfn.XLOOKUP($A263,Строчный!$A:$A,Строчный!J:J,"ERR",0))),"подклад","Подклад")</f>
        <v>100% шерсть</v>
      </c>
      <c r="K263" s="81" t="str">
        <f ca="1">LOWER(TRIM(_xlfn.XLOOKUP($A263,Строчный!$A:$A,Строчный!K:K,"ERR",0)))</f>
        <v>фетровые</v>
      </c>
      <c r="L263" s="81" t="str">
        <f ca="1">PROPER(TRIM(_xlfn.XLOOKUP($A263,Строчный!$A:$A,Строчный!L:L,"ERR",0)))</f>
        <v>Женский</v>
      </c>
      <c r="M263" s="113" t="str">
        <f ca="1">PROPER(TRIM(_xlfn.XLOOKUP($A263,Строчный!$A:$A,Строчный!M:M,"ERR",0)))</f>
        <v>Китай</v>
      </c>
      <c r="N263" s="81" t="str">
        <f ca="1">UPPER(TRIM(_xlfn.XLOOKUP($A263,Строчный!$A:$A,Строчный!O:O,"ERR",0)))</f>
        <v/>
      </c>
      <c r="O263" s="102" t="str">
        <f ca="1">PROPER(TRIM(_xlfn.XLOOKUP($A263,Строчный!$A:$A,Строчный!P:P,"ERR",0)))</f>
        <v/>
      </c>
      <c r="P263" s="81" t="str">
        <f ca="1">PROPER(TRIM(_xlfn.XLOOKUP($A263,Строчный!$A:$A,Строчный!R:R,"ERR",0)))</f>
        <v/>
      </c>
      <c r="Q263" s="90">
        <f ca="1">VALUE(_xlfn.XLOOKUP($A263,Строчный!$A:$A,Строчный!N:N,"ERR",0))</f>
        <v>1398.6</v>
      </c>
      <c r="R263" s="89" t="str">
        <f ca="1">_xlfn.XLOOKUP($G263,Фабрика!A:A,Фабрика!B:B,"ERR",0)</f>
        <v>Chapellerie Herman S.A.; Rue Jean Meunier, 6, 6922 Wellin, Belgium</v>
      </c>
      <c r="S263" s="80" t="str">
        <f ca="1">_xlfn.XLOOKUP(RIGHT(AA263,2),Размеры!D:D,Размеры!A:A,"ERR",0)</f>
        <v>59</v>
      </c>
      <c r="T263" s="80">
        <f ca="1">VALUE(_xlfn.XLOOKUP($AA263,Строчный!$S:$S,Строчный!U:U,"ERR",0))</f>
        <v>8</v>
      </c>
      <c r="U263" s="14" t="s">
        <v>265</v>
      </c>
      <c r="V263" s="101" t="str">
        <f t="shared" ca="1" si="23"/>
        <v>Шляпа HERMAN арт. MAC SOFT (темно-серый)</v>
      </c>
      <c r="W263" s="100" t="str">
        <f t="shared" ca="1" si="24"/>
        <v>Шляпа HERMAN арт. MAC SOFT (темно-серый) {dark grey}</v>
      </c>
      <c r="X263" s="18" t="str">
        <f t="shared" ca="1" si="25"/>
        <v>серый</v>
      </c>
      <c r="Y263" s="18" t="str">
        <f t="shared" ca="1" si="26"/>
        <v>серый</v>
      </c>
      <c r="Z263" s="117" t="str">
        <f ca="1">_xlfn.LET(_xlpm.FormColors,_xlfn.XLOOKUP(A263,Строчный!A:A,Строчный!Q:Q,"",0),IF(_xlpm.FormColors=0,IFERROR(MID(I263,FIND("-",I263)+1,LEN(I263)),IFERROR(MID(I263,1,FIND("/",I263)-2),I263)),_xlpm.FormColors))</f>
        <v>серый</v>
      </c>
      <c r="AA263" s="73" t="str">
        <f ca="1"/>
        <v>80-369-05-59</v>
      </c>
      <c r="AB263" s="75" t="str">
        <f ca="1">VLOOKUP(C263,Группа!A:B,2,FALSE)</f>
        <v>Шляпа</v>
      </c>
      <c r="AC263" s="97" t="str">
        <f ca="1">IFERROR(VLOOKUP(S263,Размеры!A:C,3,FALSE),"")</f>
        <v>59 L</v>
      </c>
      <c r="AD263" s="97" t="str">
        <f ca="1">VLOOKUP(I263,ЦветПолный!A:B,2,FALSE)</f>
        <v>05</v>
      </c>
      <c r="AE263" s="97" t="str">
        <f ca="1">IFERROR(VLOOKUP(S263,Размеры!A:D,4,FALSE),"")</f>
        <v>59</v>
      </c>
      <c r="AF263" s="97">
        <f ca="1">IF(LEFT(IFERROR(VLOOKUP(LOOKUP(2,1/SEARCH(B263,Товары!A:A),Товары!A:A),Товары!A:B,2,0),""),6)=MID(AA263,1,6),1,0)</f>
        <v>0</v>
      </c>
      <c r="AH263" s="97">
        <f ca="1">SUMIF(Группа!A:A,C263,Группа!C:C)</f>
        <v>1</v>
      </c>
      <c r="AI263" s="97">
        <f ca="1">SUMIF(Группа!B:B,AB263,Группа!C:C)</f>
        <v>1</v>
      </c>
      <c r="AJ263" s="97">
        <f ca="1">SUMIF(Формы!A:A,D263,Формы!B:B)</f>
        <v>1</v>
      </c>
      <c r="AK263" s="97">
        <f ca="1">SUMIF(Материал!A:A,K263,Материал!B:B)</f>
        <v>1</v>
      </c>
      <c r="AL263" s="97">
        <f ca="1">SUMIF(Размеры!A:A,S263,Размеры!E:E)</f>
        <v>1</v>
      </c>
      <c r="AM263" s="97">
        <f ca="1">SUMIF(Сезон!A:A,F263,Сезон!B:B)</f>
        <v>1</v>
      </c>
      <c r="AN263" s="97">
        <f ca="1">SUMIF(Состав!A:A,J263,Состав!B:B)</f>
        <v>1</v>
      </c>
      <c r="AO263" s="97">
        <f ca="1">VLOOKUP(I263,ЦветПолный!A:C,3,0)</f>
        <v>1</v>
      </c>
      <c r="AP263" s="97">
        <f ca="1">SUMIF(Цвет!A:A,Z263,Цвет!B:B)</f>
        <v>1</v>
      </c>
      <c r="AQ263" s="97">
        <f ca="1">_xlfn.XLOOKUP(L263,Пол!A:A,Пол!B:B,0,0)</f>
        <v>1</v>
      </c>
      <c r="AR263" s="97">
        <f ca="1">SUMIF(Бренд!A:A,G263,Бренд!B:B)</f>
        <v>1</v>
      </c>
      <c r="AS263" s="97">
        <f ca="1">SUMIF(Страна!A:A,M263,Страна!B:B)</f>
        <v>1</v>
      </c>
      <c r="AT263" s="64" t="str">
        <f ca="1">IF(VLOOKUP(W263,Товары!A:B,2,FALSE)=A263,"Есть в 1С","ERR")</f>
        <v>Есть в 1С</v>
      </c>
      <c r="AU263" s="65" t="str">
        <f ca="1">IF(VLOOKUP(A263,Товары!B:B,1,FALSE)=A263,"Есть в 1С","ERR")</f>
        <v>Есть в 1С</v>
      </c>
      <c r="AV263" s="96" t="str">
        <f ca="1">VLOOKUP(W263,Товары!A:B,2,FALSE)</f>
        <v>80-369-05</v>
      </c>
      <c r="AW263" s="94" t="str">
        <f ca="1">VLOOKUP(W263,Товары!A:B,1,FALSE)</f>
        <v>Шляпа HERMAN арт. MAC SOFT (темно-серый) {dark grey}</v>
      </c>
    </row>
    <row r="264" spans="1:49" x14ac:dyDescent="0.25">
      <c r="A264" s="110" t="str">
        <f t="shared" ca="1" si="22"/>
        <v>80-369-05</v>
      </c>
      <c r="B264" s="107" t="str">
        <f ca="1">_xlfn.LET(_xlpm.CAPS,0,_xlpm.Style,TRIM(_xlfn.XLOOKUP($A264,Строчный!$A:$A,Строчный!B:B,"ERR",0)),IF(_xlpm.CAPS=0,_xlpm.Style,UPPER(_xlpm.Style)))</f>
        <v>MAC SOFT</v>
      </c>
      <c r="C264" s="81" t="str">
        <f ca="1">TRIM(PROPER(_xlfn.XLOOKUP($A264,Строчный!$A:$A,Строчный!C:C,"ERR",0)))</f>
        <v>Шляпы</v>
      </c>
      <c r="D264" s="81" t="str">
        <f ca="1">_xlfn.LET(_xlpm.DATA,TRIM(_xlfn.XLOOKUP($A264,Строчный!$A:$A,Строчный!D:D,"ERR",0)),UPPER(MID(_xlpm.DATA,1,1))&amp;LOWER(MID(_xlpm.DATA,2,LEN(_xlpm.DATA)-1)))</f>
        <v>Шляпа федора</v>
      </c>
      <c r="E264" s="81" t="str">
        <f ca="1">PROPER(TRIM(_xlfn.XLOOKUP($A264,Строчный!$A:$A,Строчный!E:E,"ERR",0)))</f>
        <v>Herman</v>
      </c>
      <c r="F264" s="81" t="str">
        <f ca="1">LOWER(TRIM(_xlfn.XLOOKUP($A264,Строчный!$A:$A,Строчный!F:F,"ERR",0)))</f>
        <v>всесезон</v>
      </c>
      <c r="G264" s="81" t="str">
        <f ca="1">UPPER(TRIM(_xlfn.XLOOKUP($A264,Строчный!$A:$A,Строчный!G:G,"ERR",0)))</f>
        <v>HERMAN</v>
      </c>
      <c r="H264" s="81" t="str">
        <f ca="1">LOWER(TRIM(_xlfn.XLOOKUP($A264,Строчный!$A:$A,Строчный!H:H,"ERR",0)))</f>
        <v>dark grey</v>
      </c>
      <c r="I264" s="81" t="str">
        <f ca="1">LOWER(TRIM(_xlfn.XLOOKUP($A264,Строчный!$A:$A,Строчный!I:I,"ERR",0)))</f>
        <v>темно-серый</v>
      </c>
      <c r="J264" s="81" t="str">
        <f ca="1">SUBSTITUTE(LOWER(TRIM(_xlfn.XLOOKUP($A264,Строчный!$A:$A,Строчный!J:J,"ERR",0))),"подклад","Подклад")</f>
        <v>100% шерсть</v>
      </c>
      <c r="K264" s="81" t="str">
        <f ca="1">LOWER(TRIM(_xlfn.XLOOKUP($A264,Строчный!$A:$A,Строчный!K:K,"ERR",0)))</f>
        <v>фетровые</v>
      </c>
      <c r="L264" s="81" t="str">
        <f ca="1">PROPER(TRIM(_xlfn.XLOOKUP($A264,Строчный!$A:$A,Строчный!L:L,"ERR",0)))</f>
        <v>Женский</v>
      </c>
      <c r="M264" s="113" t="str">
        <f ca="1">PROPER(TRIM(_xlfn.XLOOKUP($A264,Строчный!$A:$A,Строчный!M:M,"ERR",0)))</f>
        <v>Китай</v>
      </c>
      <c r="N264" s="81" t="str">
        <f ca="1">UPPER(TRIM(_xlfn.XLOOKUP($A264,Строчный!$A:$A,Строчный!O:O,"ERR",0)))</f>
        <v/>
      </c>
      <c r="O264" s="102" t="str">
        <f ca="1">PROPER(TRIM(_xlfn.XLOOKUP($A264,Строчный!$A:$A,Строчный!P:P,"ERR",0)))</f>
        <v/>
      </c>
      <c r="P264" s="81" t="str">
        <f ca="1">PROPER(TRIM(_xlfn.XLOOKUP($A264,Строчный!$A:$A,Строчный!R:R,"ERR",0)))</f>
        <v/>
      </c>
      <c r="Q264" s="90">
        <f ca="1">VALUE(_xlfn.XLOOKUP($A264,Строчный!$A:$A,Строчный!N:N,"ERR",0))</f>
        <v>1398.6</v>
      </c>
      <c r="R264" s="89" t="str">
        <f ca="1">_xlfn.XLOOKUP($G264,Фабрика!A:A,Фабрика!B:B,"ERR",0)</f>
        <v>Chapellerie Herman S.A.; Rue Jean Meunier, 6, 6922 Wellin, Belgium</v>
      </c>
      <c r="S264" s="80" t="str">
        <f ca="1">_xlfn.XLOOKUP(RIGHT(AA264,2),Размеры!D:D,Размеры!A:A,"ERR",0)</f>
        <v>57</v>
      </c>
      <c r="T264" s="80">
        <f ca="1">VALUE(_xlfn.XLOOKUP($AA264,Строчный!$S:$S,Строчный!U:U,"ERR",0))</f>
        <v>9</v>
      </c>
      <c r="U264" s="14" t="s">
        <v>265</v>
      </c>
      <c r="V264" s="101" t="str">
        <f t="shared" ca="1" si="23"/>
        <v>Шляпа HERMAN арт. MAC SOFT (темно-серый)</v>
      </c>
      <c r="W264" s="100" t="str">
        <f t="shared" ca="1" si="24"/>
        <v>Шляпа HERMAN арт. MAC SOFT (темно-серый) {dark grey}</v>
      </c>
      <c r="X264" s="18" t="str">
        <f t="shared" ca="1" si="25"/>
        <v>серый</v>
      </c>
      <c r="Y264" s="18" t="str">
        <f t="shared" ca="1" si="26"/>
        <v>серый</v>
      </c>
      <c r="Z264" s="117" t="str">
        <f ca="1">_xlfn.LET(_xlpm.FormColors,_xlfn.XLOOKUP(A264,Строчный!A:A,Строчный!Q:Q,"",0),IF(_xlpm.FormColors=0,IFERROR(MID(I264,FIND("-",I264)+1,LEN(I264)),IFERROR(MID(I264,1,FIND("/",I264)-2),I264)),_xlpm.FormColors))</f>
        <v>серый</v>
      </c>
      <c r="AA264" s="73" t="str">
        <f ca="1"/>
        <v>80-369-05-57</v>
      </c>
      <c r="AB264" s="75" t="str">
        <f ca="1">VLOOKUP(C264,Группа!A:B,2,FALSE)</f>
        <v>Шляпа</v>
      </c>
      <c r="AC264" s="97" t="str">
        <f ca="1">IFERROR(VLOOKUP(S264,Размеры!A:C,3,FALSE),"")</f>
        <v>57 M</v>
      </c>
      <c r="AD264" s="97" t="str">
        <f ca="1">VLOOKUP(I264,ЦветПолный!A:B,2,FALSE)</f>
        <v>05</v>
      </c>
      <c r="AE264" s="97" t="str">
        <f ca="1">IFERROR(VLOOKUP(S264,Размеры!A:D,4,FALSE),"")</f>
        <v>57</v>
      </c>
      <c r="AF264" s="97">
        <f ca="1">IF(LEFT(IFERROR(VLOOKUP(LOOKUP(2,1/SEARCH(B264,Товары!A:A),Товары!A:A),Товары!A:B,2,0),""),6)=MID(AA264,1,6),1,0)</f>
        <v>0</v>
      </c>
      <c r="AH264" s="97">
        <f ca="1">SUMIF(Группа!A:A,C264,Группа!C:C)</f>
        <v>1</v>
      </c>
      <c r="AI264" s="97">
        <f ca="1">SUMIF(Группа!B:B,AB264,Группа!C:C)</f>
        <v>1</v>
      </c>
      <c r="AJ264" s="97">
        <f ca="1">SUMIF(Формы!A:A,D264,Формы!B:B)</f>
        <v>1</v>
      </c>
      <c r="AK264" s="97">
        <f ca="1">SUMIF(Материал!A:A,K264,Материал!B:B)</f>
        <v>1</v>
      </c>
      <c r="AL264" s="97">
        <f ca="1">SUMIF(Размеры!A:A,S264,Размеры!E:E)</f>
        <v>1</v>
      </c>
      <c r="AM264" s="97">
        <f ca="1">SUMIF(Сезон!A:A,F264,Сезон!B:B)</f>
        <v>1</v>
      </c>
      <c r="AN264" s="97">
        <f ca="1">SUMIF(Состав!A:A,J264,Состав!B:B)</f>
        <v>1</v>
      </c>
      <c r="AO264" s="97">
        <f ca="1">VLOOKUP(I264,ЦветПолный!A:C,3,0)</f>
        <v>1</v>
      </c>
      <c r="AP264" s="97">
        <f ca="1">SUMIF(Цвет!A:A,Z264,Цвет!B:B)</f>
        <v>1</v>
      </c>
      <c r="AQ264" s="97">
        <f ca="1">_xlfn.XLOOKUP(L264,Пол!A:A,Пол!B:B,0,0)</f>
        <v>1</v>
      </c>
      <c r="AR264" s="97">
        <f ca="1">SUMIF(Бренд!A:A,G264,Бренд!B:B)</f>
        <v>1</v>
      </c>
      <c r="AS264" s="97">
        <f ca="1">SUMIF(Страна!A:A,M264,Страна!B:B)</f>
        <v>1</v>
      </c>
      <c r="AT264" s="64" t="str">
        <f ca="1">IF(VLOOKUP(W264,Товары!A:B,2,FALSE)=A264,"Есть в 1С","ERR")</f>
        <v>Есть в 1С</v>
      </c>
      <c r="AU264" s="65" t="str">
        <f ca="1">IF(VLOOKUP(A264,Товары!B:B,1,FALSE)=A264,"Есть в 1С","ERR")</f>
        <v>Есть в 1С</v>
      </c>
      <c r="AV264" s="96" t="str">
        <f ca="1">VLOOKUP(W264,Товары!A:B,2,FALSE)</f>
        <v>80-369-05</v>
      </c>
      <c r="AW264" s="94" t="str">
        <f ca="1">VLOOKUP(W264,Товары!A:B,1,FALSE)</f>
        <v>Шляпа HERMAN арт. MAC SOFT (темно-серый) {dark grey}</v>
      </c>
    </row>
    <row r="265" spans="1:49" x14ac:dyDescent="0.25">
      <c r="A265" s="110" t="str">
        <f t="shared" ca="1" si="22"/>
        <v>80-369-05</v>
      </c>
      <c r="B265" s="107" t="str">
        <f ca="1">_xlfn.LET(_xlpm.CAPS,0,_xlpm.Style,TRIM(_xlfn.XLOOKUP($A265,Строчный!$A:$A,Строчный!B:B,"ERR",0)),IF(_xlpm.CAPS=0,_xlpm.Style,UPPER(_xlpm.Style)))</f>
        <v>MAC SOFT</v>
      </c>
      <c r="C265" s="81" t="str">
        <f ca="1">TRIM(PROPER(_xlfn.XLOOKUP($A265,Строчный!$A:$A,Строчный!C:C,"ERR",0)))</f>
        <v>Шляпы</v>
      </c>
      <c r="D265" s="81" t="str">
        <f ca="1">_xlfn.LET(_xlpm.DATA,TRIM(_xlfn.XLOOKUP($A265,Строчный!$A:$A,Строчный!D:D,"ERR",0)),UPPER(MID(_xlpm.DATA,1,1))&amp;LOWER(MID(_xlpm.DATA,2,LEN(_xlpm.DATA)-1)))</f>
        <v>Шляпа федора</v>
      </c>
      <c r="E265" s="81" t="str">
        <f ca="1">PROPER(TRIM(_xlfn.XLOOKUP($A265,Строчный!$A:$A,Строчный!E:E,"ERR",0)))</f>
        <v>Herman</v>
      </c>
      <c r="F265" s="81" t="str">
        <f ca="1">LOWER(TRIM(_xlfn.XLOOKUP($A265,Строчный!$A:$A,Строчный!F:F,"ERR",0)))</f>
        <v>всесезон</v>
      </c>
      <c r="G265" s="81" t="str">
        <f ca="1">UPPER(TRIM(_xlfn.XLOOKUP($A265,Строчный!$A:$A,Строчный!G:G,"ERR",0)))</f>
        <v>HERMAN</v>
      </c>
      <c r="H265" s="81" t="str">
        <f ca="1">LOWER(TRIM(_xlfn.XLOOKUP($A265,Строчный!$A:$A,Строчный!H:H,"ERR",0)))</f>
        <v>dark grey</v>
      </c>
      <c r="I265" s="81" t="str">
        <f ca="1">LOWER(TRIM(_xlfn.XLOOKUP($A265,Строчный!$A:$A,Строчный!I:I,"ERR",0)))</f>
        <v>темно-серый</v>
      </c>
      <c r="J265" s="81" t="str">
        <f ca="1">SUBSTITUTE(LOWER(TRIM(_xlfn.XLOOKUP($A265,Строчный!$A:$A,Строчный!J:J,"ERR",0))),"подклад","Подклад")</f>
        <v>100% шерсть</v>
      </c>
      <c r="K265" s="81" t="str">
        <f ca="1">LOWER(TRIM(_xlfn.XLOOKUP($A265,Строчный!$A:$A,Строчный!K:K,"ERR",0)))</f>
        <v>фетровые</v>
      </c>
      <c r="L265" s="81" t="str">
        <f ca="1">PROPER(TRIM(_xlfn.XLOOKUP($A265,Строчный!$A:$A,Строчный!L:L,"ERR",0)))</f>
        <v>Женский</v>
      </c>
      <c r="M265" s="113" t="str">
        <f ca="1">PROPER(TRIM(_xlfn.XLOOKUP($A265,Строчный!$A:$A,Строчный!M:M,"ERR",0)))</f>
        <v>Китай</v>
      </c>
      <c r="N265" s="81" t="str">
        <f ca="1">UPPER(TRIM(_xlfn.XLOOKUP($A265,Строчный!$A:$A,Строчный!O:O,"ERR",0)))</f>
        <v/>
      </c>
      <c r="O265" s="102" t="str">
        <f ca="1">PROPER(TRIM(_xlfn.XLOOKUP($A265,Строчный!$A:$A,Строчный!P:P,"ERR",0)))</f>
        <v/>
      </c>
      <c r="P265" s="81" t="str">
        <f ca="1">PROPER(TRIM(_xlfn.XLOOKUP($A265,Строчный!$A:$A,Строчный!R:R,"ERR",0)))</f>
        <v/>
      </c>
      <c r="Q265" s="90">
        <f ca="1">VALUE(_xlfn.XLOOKUP($A265,Строчный!$A:$A,Строчный!N:N,"ERR",0))</f>
        <v>1398.6</v>
      </c>
      <c r="R265" s="89" t="str">
        <f ca="1">_xlfn.XLOOKUP($G265,Фабрика!A:A,Фабрика!B:B,"ERR",0)</f>
        <v>Chapellerie Herman S.A.; Rue Jean Meunier, 6, 6922 Wellin, Belgium</v>
      </c>
      <c r="S265" s="80" t="str">
        <f ca="1">_xlfn.XLOOKUP(RIGHT(AA265,2),Размеры!D:D,Размеры!A:A,"ERR",0)</f>
        <v>55</v>
      </c>
      <c r="T265" s="80">
        <f ca="1">VALUE(_xlfn.XLOOKUP($AA265,Строчный!$S:$S,Строчный!U:U,"ERR",0))</f>
        <v>7</v>
      </c>
      <c r="U265" s="14" t="s">
        <v>265</v>
      </c>
      <c r="V265" s="101" t="str">
        <f t="shared" ca="1" si="23"/>
        <v>Шляпа HERMAN арт. MAC SOFT (темно-серый)</v>
      </c>
      <c r="W265" s="100" t="str">
        <f t="shared" ca="1" si="24"/>
        <v>Шляпа HERMAN арт. MAC SOFT (темно-серый) {dark grey}</v>
      </c>
      <c r="X265" s="18" t="str">
        <f t="shared" ca="1" si="25"/>
        <v>серый</v>
      </c>
      <c r="Y265" s="18" t="str">
        <f t="shared" ca="1" si="26"/>
        <v>серый</v>
      </c>
      <c r="Z265" s="117" t="str">
        <f ca="1">_xlfn.LET(_xlpm.FormColors,_xlfn.XLOOKUP(A265,Строчный!A:A,Строчный!Q:Q,"",0),IF(_xlpm.FormColors=0,IFERROR(MID(I265,FIND("-",I265)+1,LEN(I265)),IFERROR(MID(I265,1,FIND("/",I265)-2),I265)),_xlpm.FormColors))</f>
        <v>серый</v>
      </c>
      <c r="AA265" s="73" t="str">
        <f ca="1"/>
        <v>80-369-05-55</v>
      </c>
      <c r="AB265" s="75" t="str">
        <f ca="1">VLOOKUP(C265,Группа!A:B,2,FALSE)</f>
        <v>Шляпа</v>
      </c>
      <c r="AC265" s="97" t="str">
        <f ca="1">IFERROR(VLOOKUP(S265,Размеры!A:C,3,FALSE),"")</f>
        <v>55 S</v>
      </c>
      <c r="AD265" s="97" t="str">
        <f ca="1">VLOOKUP(I265,ЦветПолный!A:B,2,FALSE)</f>
        <v>05</v>
      </c>
      <c r="AE265" s="97" t="str">
        <f ca="1">IFERROR(VLOOKUP(S265,Размеры!A:D,4,FALSE),"")</f>
        <v>55</v>
      </c>
      <c r="AF265" s="97">
        <f ca="1">IF(LEFT(IFERROR(VLOOKUP(LOOKUP(2,1/SEARCH(B265,Товары!A:A),Товары!A:A),Товары!A:B,2,0),""),6)=MID(AA265,1,6),1,0)</f>
        <v>0</v>
      </c>
      <c r="AH265" s="97">
        <f ca="1">SUMIF(Группа!A:A,C265,Группа!C:C)</f>
        <v>1</v>
      </c>
      <c r="AI265" s="97">
        <f ca="1">SUMIF(Группа!B:B,AB265,Группа!C:C)</f>
        <v>1</v>
      </c>
      <c r="AJ265" s="97">
        <f ca="1">SUMIF(Формы!A:A,D265,Формы!B:B)</f>
        <v>1</v>
      </c>
      <c r="AK265" s="97">
        <f ca="1">SUMIF(Материал!A:A,K265,Материал!B:B)</f>
        <v>1</v>
      </c>
      <c r="AL265" s="97">
        <f ca="1">SUMIF(Размеры!A:A,S265,Размеры!E:E)</f>
        <v>1</v>
      </c>
      <c r="AM265" s="97">
        <f ca="1">SUMIF(Сезон!A:A,F265,Сезон!B:B)</f>
        <v>1</v>
      </c>
      <c r="AN265" s="97">
        <f ca="1">SUMIF(Состав!A:A,J265,Состав!B:B)</f>
        <v>1</v>
      </c>
      <c r="AO265" s="97">
        <f ca="1">VLOOKUP(I265,ЦветПолный!A:C,3,0)</f>
        <v>1</v>
      </c>
      <c r="AP265" s="97">
        <f ca="1">SUMIF(Цвет!A:A,Z265,Цвет!B:B)</f>
        <v>1</v>
      </c>
      <c r="AQ265" s="97">
        <f ca="1">_xlfn.XLOOKUP(L265,Пол!A:A,Пол!B:B,0,0)</f>
        <v>1</v>
      </c>
      <c r="AR265" s="97">
        <f ca="1">SUMIF(Бренд!A:A,G265,Бренд!B:B)</f>
        <v>1</v>
      </c>
      <c r="AS265" s="97">
        <f ca="1">SUMIF(Страна!A:A,M265,Страна!B:B)</f>
        <v>1</v>
      </c>
      <c r="AT265" s="64" t="str">
        <f ca="1">IF(VLOOKUP(W265,Товары!A:B,2,FALSE)=A265,"Есть в 1С","ERR")</f>
        <v>Есть в 1С</v>
      </c>
      <c r="AU265" s="65" t="str">
        <f ca="1">IF(VLOOKUP(A265,Товары!B:B,1,FALSE)=A265,"Есть в 1С","ERR")</f>
        <v>Есть в 1С</v>
      </c>
      <c r="AV265" s="96" t="str">
        <f ca="1">VLOOKUP(W265,Товары!A:B,2,FALSE)</f>
        <v>80-369-05</v>
      </c>
      <c r="AW265" s="94" t="str">
        <f ca="1">VLOOKUP(W265,Товары!A:B,1,FALSE)</f>
        <v>Шляпа HERMAN арт. MAC SOFT (темно-серый) {dark grey}</v>
      </c>
    </row>
    <row r="266" spans="1:49" x14ac:dyDescent="0.25">
      <c r="A266" s="110" t="str">
        <f t="shared" ca="1" si="22"/>
        <v>80-368-14</v>
      </c>
      <c r="B266" s="107" t="str">
        <f ca="1">_xlfn.LET(_xlpm.CAPS,0,_xlpm.Style,TRIM(_xlfn.XLOOKUP($A266,Строчный!$A:$A,Строчный!B:B,"ERR",0)),IF(_xlpm.CAPS=0,_xlpm.Style,UPPER(_xlpm.Style)))</f>
        <v>MACKINSLEY</v>
      </c>
      <c r="C266" s="81" t="str">
        <f ca="1">TRIM(PROPER(_xlfn.XLOOKUP($A266,Строчный!$A:$A,Строчный!C:C,"ERR",0)))</f>
        <v>Шляпы</v>
      </c>
      <c r="D266" s="81" t="str">
        <f ca="1">_xlfn.LET(_xlpm.DATA,TRIM(_xlfn.XLOOKUP($A266,Строчный!$A:$A,Строчный!D:D,"ERR",0)),UPPER(MID(_xlpm.DATA,1,1))&amp;LOWER(MID(_xlpm.DATA,2,LEN(_xlpm.DATA)-1)))</f>
        <v>Шляпа федора</v>
      </c>
      <c r="E266" s="81" t="str">
        <f ca="1">PROPER(TRIM(_xlfn.XLOOKUP($A266,Строчный!$A:$A,Строчный!E:E,"ERR",0)))</f>
        <v>Herman</v>
      </c>
      <c r="F266" s="81" t="str">
        <f ca="1">LOWER(TRIM(_xlfn.XLOOKUP($A266,Строчный!$A:$A,Строчный!F:F,"ERR",0)))</f>
        <v>всесезон</v>
      </c>
      <c r="G266" s="81" t="str">
        <f ca="1">UPPER(TRIM(_xlfn.XLOOKUP($A266,Строчный!$A:$A,Строчный!G:G,"ERR",0)))</f>
        <v>HERMAN</v>
      </c>
      <c r="H266" s="81" t="str">
        <f ca="1">LOWER(TRIM(_xlfn.XLOOKUP($A266,Строчный!$A:$A,Строчный!H:H,"ERR",0)))</f>
        <v>brown</v>
      </c>
      <c r="I266" s="81" t="str">
        <f ca="1">LOWER(TRIM(_xlfn.XLOOKUP($A266,Строчный!$A:$A,Строчный!I:I,"ERR",0)))</f>
        <v>коричневый</v>
      </c>
      <c r="J266" s="81" t="str">
        <f ca="1">SUBSTITUTE(LOWER(TRIM(_xlfn.XLOOKUP($A266,Строчный!$A:$A,Строчный!J:J,"ERR",0))),"подклад","Подклад")</f>
        <v>100% шерсть</v>
      </c>
      <c r="K266" s="81" t="str">
        <f ca="1">LOWER(TRIM(_xlfn.XLOOKUP($A266,Строчный!$A:$A,Строчный!K:K,"ERR",0)))</f>
        <v>фетровые</v>
      </c>
      <c r="L266" s="81" t="str">
        <f ca="1">PROPER(TRIM(_xlfn.XLOOKUP($A266,Строчный!$A:$A,Строчный!L:L,"ERR",0)))</f>
        <v>Унисекс</v>
      </c>
      <c r="M266" s="113" t="str">
        <f ca="1">PROPER(TRIM(_xlfn.XLOOKUP($A266,Строчный!$A:$A,Строчный!M:M,"ERR",0)))</f>
        <v>Китай</v>
      </c>
      <c r="N266" s="81" t="str">
        <f ca="1">UPPER(TRIM(_xlfn.XLOOKUP($A266,Строчный!$A:$A,Строчный!O:O,"ERR",0)))</f>
        <v/>
      </c>
      <c r="O266" s="102" t="str">
        <f ca="1">PROPER(TRIM(_xlfn.XLOOKUP($A266,Строчный!$A:$A,Строчный!P:P,"ERR",0)))</f>
        <v/>
      </c>
      <c r="P266" s="81" t="str">
        <f ca="1">PROPER(TRIM(_xlfn.XLOOKUP($A266,Строчный!$A:$A,Строчный!R:R,"ERR",0)))</f>
        <v/>
      </c>
      <c r="Q266" s="90">
        <f ca="1">VALUE(_xlfn.XLOOKUP($A266,Строчный!$A:$A,Строчный!N:N,"ERR",0))</f>
        <v>450</v>
      </c>
      <c r="R266" s="89" t="str">
        <f ca="1">_xlfn.XLOOKUP($G266,Фабрика!A:A,Фабрика!B:B,"ERR",0)</f>
        <v>Chapellerie Herman S.A.; Rue Jean Meunier, 6, 6922 Wellin, Belgium</v>
      </c>
      <c r="S266" s="80" t="str">
        <f ca="1">_xlfn.XLOOKUP(RIGHT(AA266,2),Размеры!D:D,Размеры!A:A,"ERR",0)</f>
        <v>59</v>
      </c>
      <c r="T266" s="80">
        <f ca="1">VALUE(_xlfn.XLOOKUP($AA266,Строчный!$S:$S,Строчный!U:U,"ERR",0))</f>
        <v>2</v>
      </c>
      <c r="U266" s="14" t="s">
        <v>265</v>
      </c>
      <c r="V266" s="101" t="str">
        <f t="shared" ca="1" si="23"/>
        <v>Шляпа HERMAN арт. MACKINSLEY (коричневый)</v>
      </c>
      <c r="W266" s="100" t="str">
        <f t="shared" ca="1" si="24"/>
        <v>Шляпа HERMAN арт. MACKINSLEY (коричневый) {brown}</v>
      </c>
      <c r="X266" s="18" t="str">
        <f t="shared" ca="1" si="25"/>
        <v>коричневый</v>
      </c>
      <c r="Y266" s="18" t="str">
        <f t="shared" ca="1" si="26"/>
        <v>коричневый</v>
      </c>
      <c r="Z266" s="117" t="str">
        <f ca="1">_xlfn.LET(_xlpm.FormColors,_xlfn.XLOOKUP(A266,Строчный!A:A,Строчный!Q:Q,"",0),IF(_xlpm.FormColors=0,IFERROR(MID(I266,FIND("-",I266)+1,LEN(I266)),IFERROR(MID(I266,1,FIND("/",I266)-2),I266)),_xlpm.FormColors))</f>
        <v>коричневый</v>
      </c>
      <c r="AA266" s="73" t="str">
        <f ca="1"/>
        <v>80-368-14-59</v>
      </c>
      <c r="AB266" s="75" t="str">
        <f ca="1">VLOOKUP(C266,Группа!A:B,2,FALSE)</f>
        <v>Шляпа</v>
      </c>
      <c r="AC266" s="97" t="str">
        <f ca="1">IFERROR(VLOOKUP(S266,Размеры!A:C,3,FALSE),"")</f>
        <v>59 L</v>
      </c>
      <c r="AD266" s="97" t="str">
        <f ca="1">VLOOKUP(I266,ЦветПолный!A:B,2,FALSE)</f>
        <v>14</v>
      </c>
      <c r="AE266" s="97" t="str">
        <f ca="1">IFERROR(VLOOKUP(S266,Размеры!A:D,4,FALSE),"")</f>
        <v>59</v>
      </c>
      <c r="AF266" s="97">
        <f ca="1">IF(LEFT(IFERROR(VLOOKUP(LOOKUP(2,1/SEARCH(B266,Товары!A:A),Товары!A:A),Товары!A:B,2,0),""),6)=MID(AA266,1,6),1,0)</f>
        <v>1</v>
      </c>
      <c r="AH266" s="97">
        <f ca="1">SUMIF(Группа!A:A,C266,Группа!C:C)</f>
        <v>1</v>
      </c>
      <c r="AI266" s="97">
        <f ca="1">SUMIF(Группа!B:B,AB266,Группа!C:C)</f>
        <v>1</v>
      </c>
      <c r="AJ266" s="97">
        <f ca="1">SUMIF(Формы!A:A,D266,Формы!B:B)</f>
        <v>1</v>
      </c>
      <c r="AK266" s="97">
        <f ca="1">SUMIF(Материал!A:A,K266,Материал!B:B)</f>
        <v>1</v>
      </c>
      <c r="AL266" s="97">
        <f ca="1">SUMIF(Размеры!A:A,S266,Размеры!E:E)</f>
        <v>1</v>
      </c>
      <c r="AM266" s="97">
        <f ca="1">SUMIF(Сезон!A:A,F266,Сезон!B:B)</f>
        <v>1</v>
      </c>
      <c r="AN266" s="97">
        <f ca="1">SUMIF(Состав!A:A,J266,Состав!B:B)</f>
        <v>1</v>
      </c>
      <c r="AO266" s="97">
        <f ca="1">VLOOKUP(I266,ЦветПолный!A:C,3,0)</f>
        <v>1</v>
      </c>
      <c r="AP266" s="97">
        <f ca="1">SUMIF(Цвет!A:A,Z266,Цвет!B:B)</f>
        <v>1</v>
      </c>
      <c r="AQ266" s="97">
        <f ca="1">_xlfn.XLOOKUP(L266,Пол!A:A,Пол!B:B,0,0)</f>
        <v>1</v>
      </c>
      <c r="AR266" s="97">
        <f ca="1">SUMIF(Бренд!A:A,G266,Бренд!B:B)</f>
        <v>1</v>
      </c>
      <c r="AS266" s="97">
        <f ca="1">SUMIF(Страна!A:A,M266,Страна!B:B)</f>
        <v>1</v>
      </c>
      <c r="AT266" s="64" t="str">
        <f ca="1">IF(VLOOKUP(W266,Товары!A:B,2,FALSE)=A266,"Есть в 1С","ERR")</f>
        <v>Есть в 1С</v>
      </c>
      <c r="AU266" s="65" t="str">
        <f ca="1">IF(VLOOKUP(A266,Товары!B:B,1,FALSE)=A266,"Есть в 1С","ERR")</f>
        <v>Есть в 1С</v>
      </c>
      <c r="AV266" s="96" t="str">
        <f ca="1">VLOOKUP(W266,Товары!A:B,2,FALSE)</f>
        <v>80-368-14</v>
      </c>
      <c r="AW266" s="94" t="str">
        <f ca="1">VLOOKUP(W266,Товары!A:B,1,FALSE)</f>
        <v>Шляпа HERMAN арт. MACKINSLEY (коричневый) {brown}</v>
      </c>
    </row>
    <row r="267" spans="1:49" x14ac:dyDescent="0.25">
      <c r="A267" s="110" t="str">
        <f t="shared" ca="1" si="22"/>
        <v>80-368-14</v>
      </c>
      <c r="B267" s="107" t="str">
        <f ca="1">_xlfn.LET(_xlpm.CAPS,0,_xlpm.Style,TRIM(_xlfn.XLOOKUP($A267,Строчный!$A:$A,Строчный!B:B,"ERR",0)),IF(_xlpm.CAPS=0,_xlpm.Style,UPPER(_xlpm.Style)))</f>
        <v>MACKINSLEY</v>
      </c>
      <c r="C267" s="81" t="str">
        <f ca="1">TRIM(PROPER(_xlfn.XLOOKUP($A267,Строчный!$A:$A,Строчный!C:C,"ERR",0)))</f>
        <v>Шляпы</v>
      </c>
      <c r="D267" s="81" t="str">
        <f ca="1">_xlfn.LET(_xlpm.DATA,TRIM(_xlfn.XLOOKUP($A267,Строчный!$A:$A,Строчный!D:D,"ERR",0)),UPPER(MID(_xlpm.DATA,1,1))&amp;LOWER(MID(_xlpm.DATA,2,LEN(_xlpm.DATA)-1)))</f>
        <v>Шляпа федора</v>
      </c>
      <c r="E267" s="81" t="str">
        <f ca="1">PROPER(TRIM(_xlfn.XLOOKUP($A267,Строчный!$A:$A,Строчный!E:E,"ERR",0)))</f>
        <v>Herman</v>
      </c>
      <c r="F267" s="81" t="str">
        <f ca="1">LOWER(TRIM(_xlfn.XLOOKUP($A267,Строчный!$A:$A,Строчный!F:F,"ERR",0)))</f>
        <v>всесезон</v>
      </c>
      <c r="G267" s="81" t="str">
        <f ca="1">UPPER(TRIM(_xlfn.XLOOKUP($A267,Строчный!$A:$A,Строчный!G:G,"ERR",0)))</f>
        <v>HERMAN</v>
      </c>
      <c r="H267" s="81" t="str">
        <f ca="1">LOWER(TRIM(_xlfn.XLOOKUP($A267,Строчный!$A:$A,Строчный!H:H,"ERR",0)))</f>
        <v>brown</v>
      </c>
      <c r="I267" s="81" t="str">
        <f ca="1">LOWER(TRIM(_xlfn.XLOOKUP($A267,Строчный!$A:$A,Строчный!I:I,"ERR",0)))</f>
        <v>коричневый</v>
      </c>
      <c r="J267" s="81" t="str">
        <f ca="1">SUBSTITUTE(LOWER(TRIM(_xlfn.XLOOKUP($A267,Строчный!$A:$A,Строчный!J:J,"ERR",0))),"подклад","Подклад")</f>
        <v>100% шерсть</v>
      </c>
      <c r="K267" s="81" t="str">
        <f ca="1">LOWER(TRIM(_xlfn.XLOOKUP($A267,Строчный!$A:$A,Строчный!K:K,"ERR",0)))</f>
        <v>фетровые</v>
      </c>
      <c r="L267" s="81" t="str">
        <f ca="1">PROPER(TRIM(_xlfn.XLOOKUP($A267,Строчный!$A:$A,Строчный!L:L,"ERR",0)))</f>
        <v>Унисекс</v>
      </c>
      <c r="M267" s="113" t="str">
        <f ca="1">PROPER(TRIM(_xlfn.XLOOKUP($A267,Строчный!$A:$A,Строчный!M:M,"ERR",0)))</f>
        <v>Китай</v>
      </c>
      <c r="N267" s="81" t="str">
        <f ca="1">UPPER(TRIM(_xlfn.XLOOKUP($A267,Строчный!$A:$A,Строчный!O:O,"ERR",0)))</f>
        <v/>
      </c>
      <c r="O267" s="102" t="str">
        <f ca="1">PROPER(TRIM(_xlfn.XLOOKUP($A267,Строчный!$A:$A,Строчный!P:P,"ERR",0)))</f>
        <v/>
      </c>
      <c r="P267" s="81" t="str">
        <f ca="1">PROPER(TRIM(_xlfn.XLOOKUP($A267,Строчный!$A:$A,Строчный!R:R,"ERR",0)))</f>
        <v/>
      </c>
      <c r="Q267" s="90">
        <f ca="1">VALUE(_xlfn.XLOOKUP($A267,Строчный!$A:$A,Строчный!N:N,"ERR",0))</f>
        <v>450</v>
      </c>
      <c r="R267" s="89" t="str">
        <f ca="1">_xlfn.XLOOKUP($G267,Фабрика!A:A,Фабрика!B:B,"ERR",0)</f>
        <v>Chapellerie Herman S.A.; Rue Jean Meunier, 6, 6922 Wellin, Belgium</v>
      </c>
      <c r="S267" s="80" t="str">
        <f ca="1">_xlfn.XLOOKUP(RIGHT(AA267,2),Размеры!D:D,Размеры!A:A,"ERR",0)</f>
        <v>55</v>
      </c>
      <c r="T267" s="80">
        <f ca="1">VALUE(_xlfn.XLOOKUP($AA267,Строчный!$S:$S,Строчный!U:U,"ERR",0))</f>
        <v>2</v>
      </c>
      <c r="U267" s="14" t="s">
        <v>265</v>
      </c>
      <c r="V267" s="101" t="str">
        <f t="shared" ca="1" si="23"/>
        <v>Шляпа HERMAN арт. MACKINSLEY (коричневый)</v>
      </c>
      <c r="W267" s="100" t="str">
        <f t="shared" ca="1" si="24"/>
        <v>Шляпа HERMAN арт. MACKINSLEY (коричневый) {brown}</v>
      </c>
      <c r="X267" s="18" t="str">
        <f t="shared" ca="1" si="25"/>
        <v>коричневый</v>
      </c>
      <c r="Y267" s="18" t="str">
        <f t="shared" ca="1" si="26"/>
        <v>коричневый</v>
      </c>
      <c r="Z267" s="117" t="str">
        <f ca="1">_xlfn.LET(_xlpm.FormColors,_xlfn.XLOOKUP(A267,Строчный!A:A,Строчный!Q:Q,"",0),IF(_xlpm.FormColors=0,IFERROR(MID(I267,FIND("-",I267)+1,LEN(I267)),IFERROR(MID(I267,1,FIND("/",I267)-2),I267)),_xlpm.FormColors))</f>
        <v>коричневый</v>
      </c>
      <c r="AA267" s="73" t="str">
        <f ca="1"/>
        <v>80-368-14-55</v>
      </c>
      <c r="AB267" s="75" t="str">
        <f ca="1">VLOOKUP(C267,Группа!A:B,2,FALSE)</f>
        <v>Шляпа</v>
      </c>
      <c r="AC267" s="97" t="str">
        <f ca="1">IFERROR(VLOOKUP(S267,Размеры!A:C,3,FALSE),"")</f>
        <v>55 S</v>
      </c>
      <c r="AD267" s="97" t="str">
        <f ca="1">VLOOKUP(I267,ЦветПолный!A:B,2,FALSE)</f>
        <v>14</v>
      </c>
      <c r="AE267" s="97" t="str">
        <f ca="1">IFERROR(VLOOKUP(S267,Размеры!A:D,4,FALSE),"")</f>
        <v>55</v>
      </c>
      <c r="AF267" s="97">
        <f ca="1">IF(LEFT(IFERROR(VLOOKUP(LOOKUP(2,1/SEARCH(B267,Товары!A:A),Товары!A:A),Товары!A:B,2,0),""),6)=MID(AA267,1,6),1,0)</f>
        <v>1</v>
      </c>
      <c r="AH267" s="97">
        <f ca="1">SUMIF(Группа!A:A,C267,Группа!C:C)</f>
        <v>1</v>
      </c>
      <c r="AI267" s="97">
        <f ca="1">SUMIF(Группа!B:B,AB267,Группа!C:C)</f>
        <v>1</v>
      </c>
      <c r="AJ267" s="97">
        <f ca="1">SUMIF(Формы!A:A,D267,Формы!B:B)</f>
        <v>1</v>
      </c>
      <c r="AK267" s="97">
        <f ca="1">SUMIF(Материал!A:A,K267,Материал!B:B)</f>
        <v>1</v>
      </c>
      <c r="AL267" s="97">
        <f ca="1">SUMIF(Размеры!A:A,S267,Размеры!E:E)</f>
        <v>1</v>
      </c>
      <c r="AM267" s="97">
        <f ca="1">SUMIF(Сезон!A:A,F267,Сезон!B:B)</f>
        <v>1</v>
      </c>
      <c r="AN267" s="97">
        <f ca="1">SUMIF(Состав!A:A,J267,Состав!B:B)</f>
        <v>1</v>
      </c>
      <c r="AO267" s="97">
        <f ca="1">VLOOKUP(I267,ЦветПолный!A:C,3,0)</f>
        <v>1</v>
      </c>
      <c r="AP267" s="97">
        <f ca="1">SUMIF(Цвет!A:A,Z267,Цвет!B:B)</f>
        <v>1</v>
      </c>
      <c r="AQ267" s="97">
        <f ca="1">_xlfn.XLOOKUP(L267,Пол!A:A,Пол!B:B,0,0)</f>
        <v>1</v>
      </c>
      <c r="AR267" s="97">
        <f ca="1">SUMIF(Бренд!A:A,G267,Бренд!B:B)</f>
        <v>1</v>
      </c>
      <c r="AS267" s="97">
        <f ca="1">SUMIF(Страна!A:A,M267,Страна!B:B)</f>
        <v>1</v>
      </c>
      <c r="AT267" s="64" t="str">
        <f ca="1">IF(VLOOKUP(W267,Товары!A:B,2,FALSE)=A267,"Есть в 1С","ERR")</f>
        <v>Есть в 1С</v>
      </c>
      <c r="AU267" s="65" t="str">
        <f ca="1">IF(VLOOKUP(A267,Товары!B:B,1,FALSE)=A267,"Есть в 1С","ERR")</f>
        <v>Есть в 1С</v>
      </c>
      <c r="AV267" s="96" t="str">
        <f ca="1">VLOOKUP(W267,Товары!A:B,2,FALSE)</f>
        <v>80-368-14</v>
      </c>
      <c r="AW267" s="94" t="str">
        <f ca="1">VLOOKUP(W267,Товары!A:B,1,FALSE)</f>
        <v>Шляпа HERMAN арт. MACKINSLEY (коричневый) {brown}</v>
      </c>
    </row>
    <row r="268" spans="1:49" x14ac:dyDescent="0.25">
      <c r="A268" s="110" t="str">
        <f t="shared" ca="1" si="22"/>
        <v>80-368-09</v>
      </c>
      <c r="B268" s="107" t="str">
        <f ca="1">_xlfn.LET(_xlpm.CAPS,0,_xlpm.Style,TRIM(_xlfn.XLOOKUP($A268,Строчный!$A:$A,Строчный!B:B,"ERR",0)),IF(_xlpm.CAPS=0,_xlpm.Style,UPPER(_xlpm.Style)))</f>
        <v>MACKINSLEY</v>
      </c>
      <c r="C268" s="81" t="str">
        <f ca="1">TRIM(PROPER(_xlfn.XLOOKUP($A268,Строчный!$A:$A,Строчный!C:C,"ERR",0)))</f>
        <v>Шляпы</v>
      </c>
      <c r="D268" s="81" t="str">
        <f ca="1">_xlfn.LET(_xlpm.DATA,TRIM(_xlfn.XLOOKUP($A268,Строчный!$A:$A,Строчный!D:D,"ERR",0)),UPPER(MID(_xlpm.DATA,1,1))&amp;LOWER(MID(_xlpm.DATA,2,LEN(_xlpm.DATA)-1)))</f>
        <v>Шляпа федора</v>
      </c>
      <c r="E268" s="81" t="str">
        <f ca="1">PROPER(TRIM(_xlfn.XLOOKUP($A268,Строчный!$A:$A,Строчный!E:E,"ERR",0)))</f>
        <v>Herman</v>
      </c>
      <c r="F268" s="81" t="str">
        <f ca="1">LOWER(TRIM(_xlfn.XLOOKUP($A268,Строчный!$A:$A,Строчный!F:F,"ERR",0)))</f>
        <v>всесезон</v>
      </c>
      <c r="G268" s="81" t="str">
        <f ca="1">UPPER(TRIM(_xlfn.XLOOKUP($A268,Строчный!$A:$A,Строчный!G:G,"ERR",0)))</f>
        <v>HERMAN</v>
      </c>
      <c r="H268" s="81" t="str">
        <f ca="1">LOWER(TRIM(_xlfn.XLOOKUP($A268,Строчный!$A:$A,Строчный!H:H,"ERR",0)))</f>
        <v>black</v>
      </c>
      <c r="I268" s="81" t="str">
        <f ca="1">LOWER(TRIM(_xlfn.XLOOKUP($A268,Строчный!$A:$A,Строчный!I:I,"ERR",0)))</f>
        <v>черный</v>
      </c>
      <c r="J268" s="81" t="str">
        <f ca="1">SUBSTITUTE(LOWER(TRIM(_xlfn.XLOOKUP($A268,Строчный!$A:$A,Строчный!J:J,"ERR",0))),"подклад","Подклад")</f>
        <v>100% шерсть</v>
      </c>
      <c r="K268" s="81" t="str">
        <f ca="1">LOWER(TRIM(_xlfn.XLOOKUP($A268,Строчный!$A:$A,Строчный!K:K,"ERR",0)))</f>
        <v>фетровые</v>
      </c>
      <c r="L268" s="81" t="str">
        <f ca="1">PROPER(TRIM(_xlfn.XLOOKUP($A268,Строчный!$A:$A,Строчный!L:L,"ERR",0)))</f>
        <v>Унисекс</v>
      </c>
      <c r="M268" s="113" t="str">
        <f ca="1">PROPER(TRIM(_xlfn.XLOOKUP($A268,Строчный!$A:$A,Строчный!M:M,"ERR",0)))</f>
        <v>Китай</v>
      </c>
      <c r="N268" s="81" t="str">
        <f ca="1">UPPER(TRIM(_xlfn.XLOOKUP($A268,Строчный!$A:$A,Строчный!O:O,"ERR",0)))</f>
        <v/>
      </c>
      <c r="O268" s="102" t="str">
        <f ca="1">PROPER(TRIM(_xlfn.XLOOKUP($A268,Строчный!$A:$A,Строчный!P:P,"ERR",0)))</f>
        <v/>
      </c>
      <c r="P268" s="81" t="str">
        <f ca="1">PROPER(TRIM(_xlfn.XLOOKUP($A268,Строчный!$A:$A,Строчный!R:R,"ERR",0)))</f>
        <v/>
      </c>
      <c r="Q268" s="90">
        <f ca="1">VALUE(_xlfn.XLOOKUP($A268,Строчный!$A:$A,Строчный!N:N,"ERR",0))</f>
        <v>450</v>
      </c>
      <c r="R268" s="89" t="str">
        <f ca="1">_xlfn.XLOOKUP($G268,Фабрика!A:A,Фабрика!B:B,"ERR",0)</f>
        <v>Chapellerie Herman S.A.; Rue Jean Meunier, 6, 6922 Wellin, Belgium</v>
      </c>
      <c r="S268" s="80" t="str">
        <f ca="1">_xlfn.XLOOKUP(RIGHT(AA268,2),Размеры!D:D,Размеры!A:A,"ERR",0)</f>
        <v>61</v>
      </c>
      <c r="T268" s="80">
        <f ca="1">VALUE(_xlfn.XLOOKUP($AA268,Строчный!$S:$S,Строчный!U:U,"ERR",0))</f>
        <v>4</v>
      </c>
      <c r="U268" s="14" t="s">
        <v>265</v>
      </c>
      <c r="V268" s="101" t="str">
        <f t="shared" ca="1" si="23"/>
        <v>Шляпа HERMAN арт. MACKINSLEY (черный)</v>
      </c>
      <c r="W268" s="100" t="str">
        <f t="shared" ca="1" si="24"/>
        <v>Шляпа HERMAN арт. MACKINSLEY (черный) {black}</v>
      </c>
      <c r="X268" s="18" t="str">
        <f t="shared" ca="1" si="25"/>
        <v>черный</v>
      </c>
      <c r="Y268" s="18" t="str">
        <f t="shared" ca="1" si="26"/>
        <v>черный</v>
      </c>
      <c r="Z268" s="117" t="str">
        <f ca="1">_xlfn.LET(_xlpm.FormColors,_xlfn.XLOOKUP(A268,Строчный!A:A,Строчный!Q:Q,"",0),IF(_xlpm.FormColors=0,IFERROR(MID(I268,FIND("-",I268)+1,LEN(I268)),IFERROR(MID(I268,1,FIND("/",I268)-2),I268)),_xlpm.FormColors))</f>
        <v>черный</v>
      </c>
      <c r="AA268" s="73" t="str">
        <f ca="1"/>
        <v>80-368-09-61</v>
      </c>
      <c r="AB268" s="75" t="str">
        <f ca="1">VLOOKUP(C268,Группа!A:B,2,FALSE)</f>
        <v>Шляпа</v>
      </c>
      <c r="AC268" s="97" t="str">
        <f ca="1">IFERROR(VLOOKUP(S268,Размеры!A:C,3,FALSE),"")</f>
        <v>61 XL</v>
      </c>
      <c r="AD268" s="97" t="str">
        <f ca="1">VLOOKUP(I268,ЦветПолный!A:B,2,FALSE)</f>
        <v>09</v>
      </c>
      <c r="AE268" s="97" t="str">
        <f ca="1">IFERROR(VLOOKUP(S268,Размеры!A:D,4,FALSE),"")</f>
        <v>61</v>
      </c>
      <c r="AF268" s="97">
        <f ca="1">IF(LEFT(IFERROR(VLOOKUP(LOOKUP(2,1/SEARCH(B268,Товары!A:A),Товары!A:A),Товары!A:B,2,0),""),6)=MID(AA268,1,6),1,0)</f>
        <v>1</v>
      </c>
      <c r="AH268" s="97">
        <f ca="1">SUMIF(Группа!A:A,C268,Группа!C:C)</f>
        <v>1</v>
      </c>
      <c r="AI268" s="97">
        <f ca="1">SUMIF(Группа!B:B,AB268,Группа!C:C)</f>
        <v>1</v>
      </c>
      <c r="AJ268" s="97">
        <f ca="1">SUMIF(Формы!A:A,D268,Формы!B:B)</f>
        <v>1</v>
      </c>
      <c r="AK268" s="97">
        <f ca="1">SUMIF(Материал!A:A,K268,Материал!B:B)</f>
        <v>1</v>
      </c>
      <c r="AL268" s="97">
        <f ca="1">SUMIF(Размеры!A:A,S268,Размеры!E:E)</f>
        <v>1</v>
      </c>
      <c r="AM268" s="97">
        <f ca="1">SUMIF(Сезон!A:A,F268,Сезон!B:B)</f>
        <v>1</v>
      </c>
      <c r="AN268" s="97">
        <f ca="1">SUMIF(Состав!A:A,J268,Состав!B:B)</f>
        <v>1</v>
      </c>
      <c r="AO268" s="97">
        <f ca="1">VLOOKUP(I268,ЦветПолный!A:C,3,0)</f>
        <v>1</v>
      </c>
      <c r="AP268" s="97">
        <f ca="1">SUMIF(Цвет!A:A,Z268,Цвет!B:B)</f>
        <v>1</v>
      </c>
      <c r="AQ268" s="97">
        <f ca="1">_xlfn.XLOOKUP(L268,Пол!A:A,Пол!B:B,0,0)</f>
        <v>1</v>
      </c>
      <c r="AR268" s="97">
        <f ca="1">SUMIF(Бренд!A:A,G268,Бренд!B:B)</f>
        <v>1</v>
      </c>
      <c r="AS268" s="97">
        <f ca="1">SUMIF(Страна!A:A,M268,Страна!B:B)</f>
        <v>1</v>
      </c>
      <c r="AT268" s="64" t="str">
        <f ca="1">IF(VLOOKUP(W268,Товары!A:B,2,FALSE)=A268,"Есть в 1С","ERR")</f>
        <v>Есть в 1С</v>
      </c>
      <c r="AU268" s="65" t="str">
        <f ca="1">IF(VLOOKUP(A268,Товары!B:B,1,FALSE)=A268,"Есть в 1С","ERR")</f>
        <v>Есть в 1С</v>
      </c>
      <c r="AV268" s="96" t="str">
        <f ca="1">VLOOKUP(W268,Товары!A:B,2,FALSE)</f>
        <v>80-368-09</v>
      </c>
      <c r="AW268" s="94" t="str">
        <f ca="1">VLOOKUP(W268,Товары!A:B,1,FALSE)</f>
        <v>Шляпа HERMAN арт. MACKINSLEY (черный) {black}</v>
      </c>
    </row>
    <row r="269" spans="1:49" x14ac:dyDescent="0.25">
      <c r="A269" s="110" t="str">
        <f t="shared" ca="1" si="22"/>
        <v>80-365-41</v>
      </c>
      <c r="B269" s="107" t="str">
        <f ca="1">_xlfn.LET(_xlpm.CAPS,0,_xlpm.Style,TRIM(_xlfn.XLOOKUP($A269,Строчный!$A:$A,Строчный!B:B,"ERR",0)),IF(_xlpm.CAPS=0,_xlpm.Style,UPPER(_xlpm.Style)))</f>
        <v>MAC FLEMISH</v>
      </c>
      <c r="C269" s="81" t="str">
        <f ca="1">TRIM(PROPER(_xlfn.XLOOKUP($A269,Строчный!$A:$A,Строчный!C:C,"ERR",0)))</f>
        <v>Шляпы</v>
      </c>
      <c r="D269" s="81" t="str">
        <f ca="1">_xlfn.LET(_xlpm.DATA,TRIM(_xlfn.XLOOKUP($A269,Строчный!$A:$A,Строчный!D:D,"ERR",0)),UPPER(MID(_xlpm.DATA,1,1))&amp;LOWER(MID(_xlpm.DATA,2,LEN(_xlpm.DATA)-1)))</f>
        <v>Шляпа федора</v>
      </c>
      <c r="E269" s="81" t="str">
        <f ca="1">PROPER(TRIM(_xlfn.XLOOKUP($A269,Строчный!$A:$A,Строчный!E:E,"ERR",0)))</f>
        <v>Herman</v>
      </c>
      <c r="F269" s="81" t="str">
        <f ca="1">LOWER(TRIM(_xlfn.XLOOKUP($A269,Строчный!$A:$A,Строчный!F:F,"ERR",0)))</f>
        <v>всесезон</v>
      </c>
      <c r="G269" s="81" t="str">
        <f ca="1">UPPER(TRIM(_xlfn.XLOOKUP($A269,Строчный!$A:$A,Строчный!G:G,"ERR",0)))</f>
        <v>HERMAN</v>
      </c>
      <c r="H269" s="81" t="str">
        <f ca="1">LOWER(TRIM(_xlfn.XLOOKUP($A269,Строчный!$A:$A,Строчный!H:H,"ERR",0)))</f>
        <v>burgundy</v>
      </c>
      <c r="I269" s="81" t="str">
        <f ca="1">LOWER(TRIM(_xlfn.XLOOKUP($A269,Строчный!$A:$A,Строчный!I:I,"ERR",0)))</f>
        <v>бордовый</v>
      </c>
      <c r="J269" s="81" t="str">
        <f ca="1">SUBSTITUTE(LOWER(TRIM(_xlfn.XLOOKUP($A269,Строчный!$A:$A,Строчный!J:J,"ERR",0))),"подклад","Подклад")</f>
        <v>100% шерсть</v>
      </c>
      <c r="K269" s="81" t="str">
        <f ca="1">LOWER(TRIM(_xlfn.XLOOKUP($A269,Строчный!$A:$A,Строчный!K:K,"ERR",0)))</f>
        <v>фетровые</v>
      </c>
      <c r="L269" s="81" t="str">
        <f ca="1">PROPER(TRIM(_xlfn.XLOOKUP($A269,Строчный!$A:$A,Строчный!L:L,"ERR",0)))</f>
        <v>Женский</v>
      </c>
      <c r="M269" s="113" t="str">
        <f ca="1">PROPER(TRIM(_xlfn.XLOOKUP($A269,Строчный!$A:$A,Строчный!M:M,"ERR",0)))</f>
        <v>Италия</v>
      </c>
      <c r="N269" s="81" t="str">
        <f ca="1">UPPER(TRIM(_xlfn.XLOOKUP($A269,Строчный!$A:$A,Строчный!O:O,"ERR",0)))</f>
        <v/>
      </c>
      <c r="O269" s="102" t="str">
        <f ca="1">PROPER(TRIM(_xlfn.XLOOKUP($A269,Строчный!$A:$A,Строчный!P:P,"ERR",0)))</f>
        <v/>
      </c>
      <c r="P269" s="81" t="str">
        <f ca="1">PROPER(TRIM(_xlfn.XLOOKUP($A269,Строчный!$A:$A,Строчный!R:R,"ERR",0)))</f>
        <v/>
      </c>
      <c r="Q269" s="90">
        <f ca="1">VALUE(_xlfn.XLOOKUP($A269,Строчный!$A:$A,Строчный!N:N,"ERR",0))</f>
        <v>450</v>
      </c>
      <c r="R269" s="89" t="str">
        <f ca="1">_xlfn.XLOOKUP($G269,Фабрика!A:A,Фабрика!B:B,"ERR",0)</f>
        <v>Chapellerie Herman S.A.; Rue Jean Meunier, 6, 6922 Wellin, Belgium</v>
      </c>
      <c r="S269" s="80" t="str">
        <f ca="1">_xlfn.XLOOKUP(RIGHT(AA269,2),Размеры!D:D,Размеры!A:A,"ERR",0)</f>
        <v>59</v>
      </c>
      <c r="T269" s="80">
        <f ca="1">VALUE(_xlfn.XLOOKUP($AA269,Строчный!$S:$S,Строчный!U:U,"ERR",0))</f>
        <v>1</v>
      </c>
      <c r="U269" s="14" t="s">
        <v>265</v>
      </c>
      <c r="V269" s="101" t="str">
        <f t="shared" ca="1" si="23"/>
        <v>Шляпа HERMAN арт. MAC FLEMISH (бордовый)</v>
      </c>
      <c r="W269" s="100" t="str">
        <f t="shared" ca="1" si="24"/>
        <v>Шляпа HERMAN арт. MAC FLEMISH (бордовый) {burgundy}</v>
      </c>
      <c r="X269" s="18" t="str">
        <f t="shared" ca="1" si="25"/>
        <v>бордовый</v>
      </c>
      <c r="Y269" s="18" t="str">
        <f t="shared" ca="1" si="26"/>
        <v>бордовый</v>
      </c>
      <c r="Z269" s="117" t="str">
        <f ca="1">_xlfn.LET(_xlpm.FormColors,_xlfn.XLOOKUP(A269,Строчный!A:A,Строчный!Q:Q,"",0),IF(_xlpm.FormColors=0,IFERROR(MID(I269,FIND("-",I269)+1,LEN(I269)),IFERROR(MID(I269,1,FIND("/",I269)-2),I269)),_xlpm.FormColors))</f>
        <v>бордовый</v>
      </c>
      <c r="AA269" s="73" t="str">
        <f ca="1"/>
        <v>80-365-41-59</v>
      </c>
      <c r="AB269" s="75" t="str">
        <f ca="1">VLOOKUP(C269,Группа!A:B,2,FALSE)</f>
        <v>Шляпа</v>
      </c>
      <c r="AC269" s="97" t="str">
        <f ca="1">IFERROR(VLOOKUP(S269,Размеры!A:C,3,FALSE),"")</f>
        <v>59 L</v>
      </c>
      <c r="AD269" s="97" t="str">
        <f ca="1">VLOOKUP(I269,ЦветПолный!A:B,2,FALSE)</f>
        <v>12</v>
      </c>
      <c r="AE269" s="97" t="str">
        <f ca="1">IFERROR(VLOOKUP(S269,Размеры!A:D,4,FALSE),"")</f>
        <v>59</v>
      </c>
      <c r="AF269" s="97">
        <f ca="1">IF(LEFT(IFERROR(VLOOKUP(LOOKUP(2,1/SEARCH(B269,Товары!A:A),Товары!A:A),Товары!A:B,2,0),""),6)=MID(AA269,1,6),1,0)</f>
        <v>1</v>
      </c>
      <c r="AH269" s="97">
        <f ca="1">SUMIF(Группа!A:A,C269,Группа!C:C)</f>
        <v>1</v>
      </c>
      <c r="AI269" s="97">
        <f ca="1">SUMIF(Группа!B:B,AB269,Группа!C:C)</f>
        <v>1</v>
      </c>
      <c r="AJ269" s="97">
        <f ca="1">SUMIF(Формы!A:A,D269,Формы!B:B)</f>
        <v>1</v>
      </c>
      <c r="AK269" s="97">
        <f ca="1">SUMIF(Материал!A:A,K269,Материал!B:B)</f>
        <v>1</v>
      </c>
      <c r="AL269" s="97">
        <f ca="1">SUMIF(Размеры!A:A,S269,Размеры!E:E)</f>
        <v>1</v>
      </c>
      <c r="AM269" s="97">
        <f ca="1">SUMIF(Сезон!A:A,F269,Сезон!B:B)</f>
        <v>1</v>
      </c>
      <c r="AN269" s="97">
        <f ca="1">SUMIF(Состав!A:A,J269,Состав!B:B)</f>
        <v>1</v>
      </c>
      <c r="AO269" s="97">
        <f ca="1">VLOOKUP(I269,ЦветПолный!A:C,3,0)</f>
        <v>1</v>
      </c>
      <c r="AP269" s="97">
        <f ca="1">SUMIF(Цвет!A:A,Z269,Цвет!B:B)</f>
        <v>1</v>
      </c>
      <c r="AQ269" s="97">
        <f ca="1">_xlfn.XLOOKUP(L269,Пол!A:A,Пол!B:B,0,0)</f>
        <v>1</v>
      </c>
      <c r="AR269" s="97">
        <f ca="1">SUMIF(Бренд!A:A,G269,Бренд!B:B)</f>
        <v>1</v>
      </c>
      <c r="AS269" s="97">
        <f ca="1">SUMIF(Страна!A:A,M269,Страна!B:B)</f>
        <v>1</v>
      </c>
      <c r="AT269" s="64" t="str">
        <f ca="1">IF(VLOOKUP(W269,Товары!A:B,2,FALSE)=A269,"Есть в 1С","ERR")</f>
        <v>Есть в 1С</v>
      </c>
      <c r="AU269" s="65" t="str">
        <f ca="1">IF(VLOOKUP(A269,Товары!B:B,1,FALSE)=A269,"Есть в 1С","ERR")</f>
        <v>Есть в 1С</v>
      </c>
      <c r="AV269" s="96" t="str">
        <f ca="1">VLOOKUP(W269,Товары!A:B,2,FALSE)</f>
        <v>80-365-41</v>
      </c>
      <c r="AW269" s="94" t="str">
        <f ca="1">VLOOKUP(W269,Товары!A:B,1,FALSE)</f>
        <v>Шляпа HERMAN арт. MAC FLEMISH (бордовый) {burgundy}</v>
      </c>
    </row>
    <row r="270" spans="1:49" x14ac:dyDescent="0.25">
      <c r="A270" s="110" t="str">
        <f t="shared" ca="1" si="22"/>
        <v>80-365-41</v>
      </c>
      <c r="B270" s="107" t="str">
        <f ca="1">_xlfn.LET(_xlpm.CAPS,0,_xlpm.Style,TRIM(_xlfn.XLOOKUP($A270,Строчный!$A:$A,Строчный!B:B,"ERR",0)),IF(_xlpm.CAPS=0,_xlpm.Style,UPPER(_xlpm.Style)))</f>
        <v>MAC FLEMISH</v>
      </c>
      <c r="C270" s="81" t="str">
        <f ca="1">TRIM(PROPER(_xlfn.XLOOKUP($A270,Строчный!$A:$A,Строчный!C:C,"ERR",0)))</f>
        <v>Шляпы</v>
      </c>
      <c r="D270" s="81" t="str">
        <f ca="1">_xlfn.LET(_xlpm.DATA,TRIM(_xlfn.XLOOKUP($A270,Строчный!$A:$A,Строчный!D:D,"ERR",0)),UPPER(MID(_xlpm.DATA,1,1))&amp;LOWER(MID(_xlpm.DATA,2,LEN(_xlpm.DATA)-1)))</f>
        <v>Шляпа федора</v>
      </c>
      <c r="E270" s="81" t="str">
        <f ca="1">PROPER(TRIM(_xlfn.XLOOKUP($A270,Строчный!$A:$A,Строчный!E:E,"ERR",0)))</f>
        <v>Herman</v>
      </c>
      <c r="F270" s="81" t="str">
        <f ca="1">LOWER(TRIM(_xlfn.XLOOKUP($A270,Строчный!$A:$A,Строчный!F:F,"ERR",0)))</f>
        <v>всесезон</v>
      </c>
      <c r="G270" s="81" t="str">
        <f ca="1">UPPER(TRIM(_xlfn.XLOOKUP($A270,Строчный!$A:$A,Строчный!G:G,"ERR",0)))</f>
        <v>HERMAN</v>
      </c>
      <c r="H270" s="81" t="str">
        <f ca="1">LOWER(TRIM(_xlfn.XLOOKUP($A270,Строчный!$A:$A,Строчный!H:H,"ERR",0)))</f>
        <v>burgundy</v>
      </c>
      <c r="I270" s="81" t="str">
        <f ca="1">LOWER(TRIM(_xlfn.XLOOKUP($A270,Строчный!$A:$A,Строчный!I:I,"ERR",0)))</f>
        <v>бордовый</v>
      </c>
      <c r="J270" s="81" t="str">
        <f ca="1">SUBSTITUTE(LOWER(TRIM(_xlfn.XLOOKUP($A270,Строчный!$A:$A,Строчный!J:J,"ERR",0))),"подклад","Подклад")</f>
        <v>100% шерсть</v>
      </c>
      <c r="K270" s="81" t="str">
        <f ca="1">LOWER(TRIM(_xlfn.XLOOKUP($A270,Строчный!$A:$A,Строчный!K:K,"ERR",0)))</f>
        <v>фетровые</v>
      </c>
      <c r="L270" s="81" t="str">
        <f ca="1">PROPER(TRIM(_xlfn.XLOOKUP($A270,Строчный!$A:$A,Строчный!L:L,"ERR",0)))</f>
        <v>Женский</v>
      </c>
      <c r="M270" s="113" t="str">
        <f ca="1">PROPER(TRIM(_xlfn.XLOOKUP($A270,Строчный!$A:$A,Строчный!M:M,"ERR",0)))</f>
        <v>Италия</v>
      </c>
      <c r="N270" s="81" t="str">
        <f ca="1">UPPER(TRIM(_xlfn.XLOOKUP($A270,Строчный!$A:$A,Строчный!O:O,"ERR",0)))</f>
        <v/>
      </c>
      <c r="O270" s="102" t="str">
        <f ca="1">PROPER(TRIM(_xlfn.XLOOKUP($A270,Строчный!$A:$A,Строчный!P:P,"ERR",0)))</f>
        <v/>
      </c>
      <c r="P270" s="81" t="str">
        <f ca="1">PROPER(TRIM(_xlfn.XLOOKUP($A270,Строчный!$A:$A,Строчный!R:R,"ERR",0)))</f>
        <v/>
      </c>
      <c r="Q270" s="90">
        <f ca="1">VALUE(_xlfn.XLOOKUP($A270,Строчный!$A:$A,Строчный!N:N,"ERR",0))</f>
        <v>450</v>
      </c>
      <c r="R270" s="89" t="str">
        <f ca="1">_xlfn.XLOOKUP($G270,Фабрика!A:A,Фабрика!B:B,"ERR",0)</f>
        <v>Chapellerie Herman S.A.; Rue Jean Meunier, 6, 6922 Wellin, Belgium</v>
      </c>
      <c r="S270" s="80" t="str">
        <f ca="1">_xlfn.XLOOKUP(RIGHT(AA270,2),Размеры!D:D,Размеры!A:A,"ERR",0)</f>
        <v>57</v>
      </c>
      <c r="T270" s="80">
        <f ca="1">VALUE(_xlfn.XLOOKUP($AA270,Строчный!$S:$S,Строчный!U:U,"ERR",0))</f>
        <v>3</v>
      </c>
      <c r="U270" s="14" t="s">
        <v>265</v>
      </c>
      <c r="V270" s="101" t="str">
        <f t="shared" ca="1" si="23"/>
        <v>Шляпа HERMAN арт. MAC FLEMISH (бордовый)</v>
      </c>
      <c r="W270" s="100" t="str">
        <f t="shared" ca="1" si="24"/>
        <v>Шляпа HERMAN арт. MAC FLEMISH (бордовый) {burgundy}</v>
      </c>
      <c r="X270" s="18" t="str">
        <f t="shared" ca="1" si="25"/>
        <v>бордовый</v>
      </c>
      <c r="Y270" s="18" t="str">
        <f t="shared" ca="1" si="26"/>
        <v>бордовый</v>
      </c>
      <c r="Z270" s="117" t="str">
        <f ca="1">_xlfn.LET(_xlpm.FormColors,_xlfn.XLOOKUP(A270,Строчный!A:A,Строчный!Q:Q,"",0),IF(_xlpm.FormColors=0,IFERROR(MID(I270,FIND("-",I270)+1,LEN(I270)),IFERROR(MID(I270,1,FIND("/",I270)-2),I270)),_xlpm.FormColors))</f>
        <v>бордовый</v>
      </c>
      <c r="AA270" s="73" t="str">
        <f ca="1"/>
        <v>80-365-41-57</v>
      </c>
      <c r="AB270" s="75" t="str">
        <f ca="1">VLOOKUP(C270,Группа!A:B,2,FALSE)</f>
        <v>Шляпа</v>
      </c>
      <c r="AC270" s="97" t="str">
        <f ca="1">IFERROR(VLOOKUP(S270,Размеры!A:C,3,FALSE),"")</f>
        <v>57 M</v>
      </c>
      <c r="AD270" s="97" t="str">
        <f ca="1">VLOOKUP(I270,ЦветПолный!A:B,2,FALSE)</f>
        <v>12</v>
      </c>
      <c r="AE270" s="97" t="str">
        <f ca="1">IFERROR(VLOOKUP(S270,Размеры!A:D,4,FALSE),"")</f>
        <v>57</v>
      </c>
      <c r="AF270" s="97">
        <f ca="1">IF(LEFT(IFERROR(VLOOKUP(LOOKUP(2,1/SEARCH(B270,Товары!A:A),Товары!A:A),Товары!A:B,2,0),""),6)=MID(AA270,1,6),1,0)</f>
        <v>1</v>
      </c>
      <c r="AH270" s="97">
        <f ca="1">SUMIF(Группа!A:A,C270,Группа!C:C)</f>
        <v>1</v>
      </c>
      <c r="AI270" s="97">
        <f ca="1">SUMIF(Группа!B:B,AB270,Группа!C:C)</f>
        <v>1</v>
      </c>
      <c r="AJ270" s="97">
        <f ca="1">SUMIF(Формы!A:A,D270,Формы!B:B)</f>
        <v>1</v>
      </c>
      <c r="AK270" s="97">
        <f ca="1">SUMIF(Материал!A:A,K270,Материал!B:B)</f>
        <v>1</v>
      </c>
      <c r="AL270" s="97">
        <f ca="1">SUMIF(Размеры!A:A,S270,Размеры!E:E)</f>
        <v>1</v>
      </c>
      <c r="AM270" s="97">
        <f ca="1">SUMIF(Сезон!A:A,F270,Сезон!B:B)</f>
        <v>1</v>
      </c>
      <c r="AN270" s="97">
        <f ca="1">SUMIF(Состав!A:A,J270,Состав!B:B)</f>
        <v>1</v>
      </c>
      <c r="AO270" s="97">
        <f ca="1">VLOOKUP(I270,ЦветПолный!A:C,3,0)</f>
        <v>1</v>
      </c>
      <c r="AP270" s="97">
        <f ca="1">SUMIF(Цвет!A:A,Z270,Цвет!B:B)</f>
        <v>1</v>
      </c>
      <c r="AQ270" s="97">
        <f ca="1">_xlfn.XLOOKUP(L270,Пол!A:A,Пол!B:B,0,0)</f>
        <v>1</v>
      </c>
      <c r="AR270" s="97">
        <f ca="1">SUMIF(Бренд!A:A,G270,Бренд!B:B)</f>
        <v>1</v>
      </c>
      <c r="AS270" s="97">
        <f ca="1">SUMIF(Страна!A:A,M270,Страна!B:B)</f>
        <v>1</v>
      </c>
      <c r="AT270" s="64" t="str">
        <f ca="1">IF(VLOOKUP(W270,Товары!A:B,2,FALSE)=A270,"Есть в 1С","ERR")</f>
        <v>Есть в 1С</v>
      </c>
      <c r="AU270" s="65" t="str">
        <f ca="1">IF(VLOOKUP(A270,Товары!B:B,1,FALSE)=A270,"Есть в 1С","ERR")</f>
        <v>Есть в 1С</v>
      </c>
      <c r="AV270" s="96" t="str">
        <f ca="1">VLOOKUP(W270,Товары!A:B,2,FALSE)</f>
        <v>80-365-41</v>
      </c>
      <c r="AW270" s="94" t="str">
        <f ca="1">VLOOKUP(W270,Товары!A:B,1,FALSE)</f>
        <v>Шляпа HERMAN арт. MAC FLEMISH (бордовый) {burgundy}</v>
      </c>
    </row>
    <row r="271" spans="1:49" x14ac:dyDescent="0.25">
      <c r="A271" s="110" t="str">
        <f t="shared" ca="1" si="22"/>
        <v>80-365-16</v>
      </c>
      <c r="B271" s="107" t="str">
        <f ca="1">_xlfn.LET(_xlpm.CAPS,0,_xlpm.Style,TRIM(_xlfn.XLOOKUP($A271,Строчный!$A:$A,Строчный!B:B,"ERR",0)),IF(_xlpm.CAPS=0,_xlpm.Style,UPPER(_xlpm.Style)))</f>
        <v>MAC FLEMISH</v>
      </c>
      <c r="C271" s="81" t="str">
        <f ca="1">TRIM(PROPER(_xlfn.XLOOKUP($A271,Строчный!$A:$A,Строчный!C:C,"ERR",0)))</f>
        <v>Шляпы</v>
      </c>
      <c r="D271" s="81" t="str">
        <f ca="1">_xlfn.LET(_xlpm.DATA,TRIM(_xlfn.XLOOKUP($A271,Строчный!$A:$A,Строчный!D:D,"ERR",0)),UPPER(MID(_xlpm.DATA,1,1))&amp;LOWER(MID(_xlpm.DATA,2,LEN(_xlpm.DATA)-1)))</f>
        <v>Шляпа федора</v>
      </c>
      <c r="E271" s="81" t="str">
        <f ca="1">PROPER(TRIM(_xlfn.XLOOKUP($A271,Строчный!$A:$A,Строчный!E:E,"ERR",0)))</f>
        <v>Herman</v>
      </c>
      <c r="F271" s="81" t="str">
        <f ca="1">LOWER(TRIM(_xlfn.XLOOKUP($A271,Строчный!$A:$A,Строчный!F:F,"ERR",0)))</f>
        <v>всесезон</v>
      </c>
      <c r="G271" s="81" t="str">
        <f ca="1">UPPER(TRIM(_xlfn.XLOOKUP($A271,Строчный!$A:$A,Строчный!G:G,"ERR",0)))</f>
        <v>HERMAN</v>
      </c>
      <c r="H271" s="81" t="str">
        <f ca="1">LOWER(TRIM(_xlfn.XLOOKUP($A271,Строчный!$A:$A,Строчный!H:H,"ERR",0)))</f>
        <v>navy</v>
      </c>
      <c r="I271" s="81" t="str">
        <f ca="1">LOWER(TRIM(_xlfn.XLOOKUP($A271,Строчный!$A:$A,Строчный!I:I,"ERR",0)))</f>
        <v>темно-синий</v>
      </c>
      <c r="J271" s="81" t="str">
        <f ca="1">SUBSTITUTE(LOWER(TRIM(_xlfn.XLOOKUP($A271,Строчный!$A:$A,Строчный!J:J,"ERR",0))),"подклад","Подклад")</f>
        <v>100% шерсть</v>
      </c>
      <c r="K271" s="81" t="str">
        <f ca="1">LOWER(TRIM(_xlfn.XLOOKUP($A271,Строчный!$A:$A,Строчный!K:K,"ERR",0)))</f>
        <v>фетровые</v>
      </c>
      <c r="L271" s="81" t="str">
        <f ca="1">PROPER(TRIM(_xlfn.XLOOKUP($A271,Строчный!$A:$A,Строчный!L:L,"ERR",0)))</f>
        <v>Женский</v>
      </c>
      <c r="M271" s="113" t="str">
        <f ca="1">PROPER(TRIM(_xlfn.XLOOKUP($A271,Строчный!$A:$A,Строчный!M:M,"ERR",0)))</f>
        <v>Италия</v>
      </c>
      <c r="N271" s="81" t="str">
        <f ca="1">UPPER(TRIM(_xlfn.XLOOKUP($A271,Строчный!$A:$A,Строчный!O:O,"ERR",0)))</f>
        <v/>
      </c>
      <c r="O271" s="102" t="str">
        <f ca="1">PROPER(TRIM(_xlfn.XLOOKUP($A271,Строчный!$A:$A,Строчный!P:P,"ERR",0)))</f>
        <v/>
      </c>
      <c r="P271" s="81" t="str">
        <f ca="1">PROPER(TRIM(_xlfn.XLOOKUP($A271,Строчный!$A:$A,Строчный!R:R,"ERR",0)))</f>
        <v/>
      </c>
      <c r="Q271" s="90">
        <f ca="1">VALUE(_xlfn.XLOOKUP($A271,Строчный!$A:$A,Строчный!N:N,"ERR",0))</f>
        <v>450</v>
      </c>
      <c r="R271" s="89" t="str">
        <f ca="1">_xlfn.XLOOKUP($G271,Фабрика!A:A,Фабрика!B:B,"ERR",0)</f>
        <v>Chapellerie Herman S.A.; Rue Jean Meunier, 6, 6922 Wellin, Belgium</v>
      </c>
      <c r="S271" s="80" t="str">
        <f ca="1">_xlfn.XLOOKUP(RIGHT(AA271,2),Размеры!D:D,Размеры!A:A,"ERR",0)</f>
        <v>59</v>
      </c>
      <c r="T271" s="80">
        <f ca="1">VALUE(_xlfn.XLOOKUP($AA271,Строчный!$S:$S,Строчный!U:U,"ERR",0))</f>
        <v>2</v>
      </c>
      <c r="U271" s="14" t="s">
        <v>265</v>
      </c>
      <c r="V271" s="101" t="str">
        <f t="shared" ca="1" si="23"/>
        <v>Шляпа HERMAN арт. MAC FLEMISH (темно-синий)</v>
      </c>
      <c r="W271" s="100" t="str">
        <f t="shared" ca="1" si="24"/>
        <v>Шляпа HERMAN арт. MAC FLEMISH (темно-синий) {navy}</v>
      </c>
      <c r="X271" s="18" t="str">
        <f t="shared" ca="1" si="25"/>
        <v>синий</v>
      </c>
      <c r="Y271" s="18" t="str">
        <f t="shared" ca="1" si="26"/>
        <v>синий</v>
      </c>
      <c r="Z271" s="117" t="str">
        <f ca="1">_xlfn.LET(_xlpm.FormColors,_xlfn.XLOOKUP(A271,Строчный!A:A,Строчный!Q:Q,"",0),IF(_xlpm.FormColors=0,IFERROR(MID(I271,FIND("-",I271)+1,LEN(I271)),IFERROR(MID(I271,1,FIND("/",I271)-2),I271)),_xlpm.FormColors))</f>
        <v>синий</v>
      </c>
      <c r="AA271" s="73" t="str">
        <f ca="1"/>
        <v>80-365-16-59</v>
      </c>
      <c r="AB271" s="75" t="str">
        <f ca="1">VLOOKUP(C271,Группа!A:B,2,FALSE)</f>
        <v>Шляпа</v>
      </c>
      <c r="AC271" s="97" t="str">
        <f ca="1">IFERROR(VLOOKUP(S271,Размеры!A:C,3,FALSE),"")</f>
        <v>59 L</v>
      </c>
      <c r="AD271" s="97" t="str">
        <f ca="1">VLOOKUP(I271,ЦветПолный!A:B,2,FALSE)</f>
        <v>16</v>
      </c>
      <c r="AE271" s="97" t="str">
        <f ca="1">IFERROR(VLOOKUP(S271,Размеры!A:D,4,FALSE),"")</f>
        <v>59</v>
      </c>
      <c r="AF271" s="97">
        <f ca="1">IF(LEFT(IFERROR(VLOOKUP(LOOKUP(2,1/SEARCH(B271,Товары!A:A),Товары!A:A),Товары!A:B,2,0),""),6)=MID(AA271,1,6),1,0)</f>
        <v>1</v>
      </c>
      <c r="AH271" s="97">
        <f ca="1">SUMIF(Группа!A:A,C271,Группа!C:C)</f>
        <v>1</v>
      </c>
      <c r="AI271" s="97">
        <f ca="1">SUMIF(Группа!B:B,AB271,Группа!C:C)</f>
        <v>1</v>
      </c>
      <c r="AJ271" s="97">
        <f ca="1">SUMIF(Формы!A:A,D271,Формы!B:B)</f>
        <v>1</v>
      </c>
      <c r="AK271" s="97">
        <f ca="1">SUMIF(Материал!A:A,K271,Материал!B:B)</f>
        <v>1</v>
      </c>
      <c r="AL271" s="97">
        <f ca="1">SUMIF(Размеры!A:A,S271,Размеры!E:E)</f>
        <v>1</v>
      </c>
      <c r="AM271" s="97">
        <f ca="1">SUMIF(Сезон!A:A,F271,Сезон!B:B)</f>
        <v>1</v>
      </c>
      <c r="AN271" s="97">
        <f ca="1">SUMIF(Состав!A:A,J271,Состав!B:B)</f>
        <v>1</v>
      </c>
      <c r="AO271" s="97">
        <f ca="1">VLOOKUP(I271,ЦветПолный!A:C,3,0)</f>
        <v>1</v>
      </c>
      <c r="AP271" s="97">
        <f ca="1">SUMIF(Цвет!A:A,Z271,Цвет!B:B)</f>
        <v>1</v>
      </c>
      <c r="AQ271" s="97">
        <f ca="1">_xlfn.XLOOKUP(L271,Пол!A:A,Пол!B:B,0,0)</f>
        <v>1</v>
      </c>
      <c r="AR271" s="97">
        <f ca="1">SUMIF(Бренд!A:A,G271,Бренд!B:B)</f>
        <v>1</v>
      </c>
      <c r="AS271" s="97">
        <f ca="1">SUMIF(Страна!A:A,M271,Страна!B:B)</f>
        <v>1</v>
      </c>
      <c r="AT271" s="64" t="str">
        <f ca="1">IF(VLOOKUP(W271,Товары!A:B,2,FALSE)=A271,"Есть в 1С","ERR")</f>
        <v>Есть в 1С</v>
      </c>
      <c r="AU271" s="65" t="str">
        <f ca="1">IF(VLOOKUP(A271,Товары!B:B,1,FALSE)=A271,"Есть в 1С","ERR")</f>
        <v>Есть в 1С</v>
      </c>
      <c r="AV271" s="96" t="str">
        <f ca="1">VLOOKUP(W271,Товары!A:B,2,FALSE)</f>
        <v>80-365-16</v>
      </c>
      <c r="AW271" s="94" t="str">
        <f ca="1">VLOOKUP(W271,Товары!A:B,1,FALSE)</f>
        <v>Шляпа HERMAN арт. MAC FLEMISH (темно-синий) {navy}</v>
      </c>
    </row>
    <row r="272" spans="1:49" x14ac:dyDescent="0.25">
      <c r="A272" s="110" t="str">
        <f t="shared" ca="1" si="22"/>
        <v>80-365-16</v>
      </c>
      <c r="B272" s="107" t="str">
        <f ca="1">_xlfn.LET(_xlpm.CAPS,0,_xlpm.Style,TRIM(_xlfn.XLOOKUP($A272,Строчный!$A:$A,Строчный!B:B,"ERR",0)),IF(_xlpm.CAPS=0,_xlpm.Style,UPPER(_xlpm.Style)))</f>
        <v>MAC FLEMISH</v>
      </c>
      <c r="C272" s="81" t="str">
        <f ca="1">TRIM(PROPER(_xlfn.XLOOKUP($A272,Строчный!$A:$A,Строчный!C:C,"ERR",0)))</f>
        <v>Шляпы</v>
      </c>
      <c r="D272" s="81" t="str">
        <f ca="1">_xlfn.LET(_xlpm.DATA,TRIM(_xlfn.XLOOKUP($A272,Строчный!$A:$A,Строчный!D:D,"ERR",0)),UPPER(MID(_xlpm.DATA,1,1))&amp;LOWER(MID(_xlpm.DATA,2,LEN(_xlpm.DATA)-1)))</f>
        <v>Шляпа федора</v>
      </c>
      <c r="E272" s="81" t="str">
        <f ca="1">PROPER(TRIM(_xlfn.XLOOKUP($A272,Строчный!$A:$A,Строчный!E:E,"ERR",0)))</f>
        <v>Herman</v>
      </c>
      <c r="F272" s="81" t="str">
        <f ca="1">LOWER(TRIM(_xlfn.XLOOKUP($A272,Строчный!$A:$A,Строчный!F:F,"ERR",0)))</f>
        <v>всесезон</v>
      </c>
      <c r="G272" s="81" t="str">
        <f ca="1">UPPER(TRIM(_xlfn.XLOOKUP($A272,Строчный!$A:$A,Строчный!G:G,"ERR",0)))</f>
        <v>HERMAN</v>
      </c>
      <c r="H272" s="81" t="str">
        <f ca="1">LOWER(TRIM(_xlfn.XLOOKUP($A272,Строчный!$A:$A,Строчный!H:H,"ERR",0)))</f>
        <v>navy</v>
      </c>
      <c r="I272" s="81" t="str">
        <f ca="1">LOWER(TRIM(_xlfn.XLOOKUP($A272,Строчный!$A:$A,Строчный!I:I,"ERR",0)))</f>
        <v>темно-синий</v>
      </c>
      <c r="J272" s="81" t="str">
        <f ca="1">SUBSTITUTE(LOWER(TRIM(_xlfn.XLOOKUP($A272,Строчный!$A:$A,Строчный!J:J,"ERR",0))),"подклад","Подклад")</f>
        <v>100% шерсть</v>
      </c>
      <c r="K272" s="81" t="str">
        <f ca="1">LOWER(TRIM(_xlfn.XLOOKUP($A272,Строчный!$A:$A,Строчный!K:K,"ERR",0)))</f>
        <v>фетровые</v>
      </c>
      <c r="L272" s="81" t="str">
        <f ca="1">PROPER(TRIM(_xlfn.XLOOKUP($A272,Строчный!$A:$A,Строчный!L:L,"ERR",0)))</f>
        <v>Женский</v>
      </c>
      <c r="M272" s="113" t="str">
        <f ca="1">PROPER(TRIM(_xlfn.XLOOKUP($A272,Строчный!$A:$A,Строчный!M:M,"ERR",0)))</f>
        <v>Италия</v>
      </c>
      <c r="N272" s="81" t="str">
        <f ca="1">UPPER(TRIM(_xlfn.XLOOKUP($A272,Строчный!$A:$A,Строчный!O:O,"ERR",0)))</f>
        <v/>
      </c>
      <c r="O272" s="102" t="str">
        <f ca="1">PROPER(TRIM(_xlfn.XLOOKUP($A272,Строчный!$A:$A,Строчный!P:P,"ERR",0)))</f>
        <v/>
      </c>
      <c r="P272" s="81" t="str">
        <f ca="1">PROPER(TRIM(_xlfn.XLOOKUP($A272,Строчный!$A:$A,Строчный!R:R,"ERR",0)))</f>
        <v/>
      </c>
      <c r="Q272" s="90">
        <f ca="1">VALUE(_xlfn.XLOOKUP($A272,Строчный!$A:$A,Строчный!N:N,"ERR",0))</f>
        <v>450</v>
      </c>
      <c r="R272" s="89" t="str">
        <f ca="1">_xlfn.XLOOKUP($G272,Фабрика!A:A,Фабрика!B:B,"ERR",0)</f>
        <v>Chapellerie Herman S.A.; Rue Jean Meunier, 6, 6922 Wellin, Belgium</v>
      </c>
      <c r="S272" s="80" t="str">
        <f ca="1">_xlfn.XLOOKUP(RIGHT(AA272,2),Размеры!D:D,Размеры!A:A,"ERR",0)</f>
        <v>57</v>
      </c>
      <c r="T272" s="80">
        <f ca="1">VALUE(_xlfn.XLOOKUP($AA272,Строчный!$S:$S,Строчный!U:U,"ERR",0))</f>
        <v>2</v>
      </c>
      <c r="U272" s="14" t="s">
        <v>265</v>
      </c>
      <c r="V272" s="101" t="str">
        <f t="shared" ca="1" si="23"/>
        <v>Шляпа HERMAN арт. MAC FLEMISH (темно-синий)</v>
      </c>
      <c r="W272" s="100" t="str">
        <f t="shared" ca="1" si="24"/>
        <v>Шляпа HERMAN арт. MAC FLEMISH (темно-синий) {navy}</v>
      </c>
      <c r="X272" s="18" t="str">
        <f t="shared" ca="1" si="25"/>
        <v>синий</v>
      </c>
      <c r="Y272" s="18" t="str">
        <f t="shared" ca="1" si="26"/>
        <v>синий</v>
      </c>
      <c r="Z272" s="117" t="str">
        <f ca="1">_xlfn.LET(_xlpm.FormColors,_xlfn.XLOOKUP(A272,Строчный!A:A,Строчный!Q:Q,"",0),IF(_xlpm.FormColors=0,IFERROR(MID(I272,FIND("-",I272)+1,LEN(I272)),IFERROR(MID(I272,1,FIND("/",I272)-2),I272)),_xlpm.FormColors))</f>
        <v>синий</v>
      </c>
      <c r="AA272" s="73" t="str">
        <f ca="1"/>
        <v>80-365-16-57</v>
      </c>
      <c r="AB272" s="75" t="str">
        <f ca="1">VLOOKUP(C272,Группа!A:B,2,FALSE)</f>
        <v>Шляпа</v>
      </c>
      <c r="AC272" s="97" t="str">
        <f ca="1">IFERROR(VLOOKUP(S272,Размеры!A:C,3,FALSE),"")</f>
        <v>57 M</v>
      </c>
      <c r="AD272" s="97" t="str">
        <f ca="1">VLOOKUP(I272,ЦветПолный!A:B,2,FALSE)</f>
        <v>16</v>
      </c>
      <c r="AE272" s="97" t="str">
        <f ca="1">IFERROR(VLOOKUP(S272,Размеры!A:D,4,FALSE),"")</f>
        <v>57</v>
      </c>
      <c r="AF272" s="97">
        <f ca="1">IF(LEFT(IFERROR(VLOOKUP(LOOKUP(2,1/SEARCH(B272,Товары!A:A),Товары!A:A),Товары!A:B,2,0),""),6)=MID(AA272,1,6),1,0)</f>
        <v>1</v>
      </c>
      <c r="AH272" s="97">
        <f ca="1">SUMIF(Группа!A:A,C272,Группа!C:C)</f>
        <v>1</v>
      </c>
      <c r="AI272" s="97">
        <f ca="1">SUMIF(Группа!B:B,AB272,Группа!C:C)</f>
        <v>1</v>
      </c>
      <c r="AJ272" s="97">
        <f ca="1">SUMIF(Формы!A:A,D272,Формы!B:B)</f>
        <v>1</v>
      </c>
      <c r="AK272" s="97">
        <f ca="1">SUMIF(Материал!A:A,K272,Материал!B:B)</f>
        <v>1</v>
      </c>
      <c r="AL272" s="97">
        <f ca="1">SUMIF(Размеры!A:A,S272,Размеры!E:E)</f>
        <v>1</v>
      </c>
      <c r="AM272" s="97">
        <f ca="1">SUMIF(Сезон!A:A,F272,Сезон!B:B)</f>
        <v>1</v>
      </c>
      <c r="AN272" s="97">
        <f ca="1">SUMIF(Состав!A:A,J272,Состав!B:B)</f>
        <v>1</v>
      </c>
      <c r="AO272" s="97">
        <f ca="1">VLOOKUP(I272,ЦветПолный!A:C,3,0)</f>
        <v>1</v>
      </c>
      <c r="AP272" s="97">
        <f ca="1">SUMIF(Цвет!A:A,Z272,Цвет!B:B)</f>
        <v>1</v>
      </c>
      <c r="AQ272" s="97">
        <f ca="1">_xlfn.XLOOKUP(L272,Пол!A:A,Пол!B:B,0,0)</f>
        <v>1</v>
      </c>
      <c r="AR272" s="97">
        <f ca="1">SUMIF(Бренд!A:A,G272,Бренд!B:B)</f>
        <v>1</v>
      </c>
      <c r="AS272" s="97">
        <f ca="1">SUMIF(Страна!A:A,M272,Страна!B:B)</f>
        <v>1</v>
      </c>
      <c r="AT272" s="64" t="str">
        <f ca="1">IF(VLOOKUP(W272,Товары!A:B,2,FALSE)=A272,"Есть в 1С","ERR")</f>
        <v>Есть в 1С</v>
      </c>
      <c r="AU272" s="65" t="str">
        <f ca="1">IF(VLOOKUP(A272,Товары!B:B,1,FALSE)=A272,"Есть в 1С","ERR")</f>
        <v>Есть в 1С</v>
      </c>
      <c r="AV272" s="96" t="str">
        <f ca="1">VLOOKUP(W272,Товары!A:B,2,FALSE)</f>
        <v>80-365-16</v>
      </c>
      <c r="AW272" s="94" t="str">
        <f ca="1">VLOOKUP(W272,Товары!A:B,1,FALSE)</f>
        <v>Шляпа HERMAN арт. MAC FLEMISH (темно-синий) {navy}</v>
      </c>
    </row>
    <row r="273" spans="1:49" x14ac:dyDescent="0.25">
      <c r="A273" s="110" t="str">
        <f t="shared" ca="1" si="22"/>
        <v>80-365-16</v>
      </c>
      <c r="B273" s="107" t="str">
        <f ca="1">_xlfn.LET(_xlpm.CAPS,0,_xlpm.Style,TRIM(_xlfn.XLOOKUP($A273,Строчный!$A:$A,Строчный!B:B,"ERR",0)),IF(_xlpm.CAPS=0,_xlpm.Style,UPPER(_xlpm.Style)))</f>
        <v>MAC FLEMISH</v>
      </c>
      <c r="C273" s="81" t="str">
        <f ca="1">TRIM(PROPER(_xlfn.XLOOKUP($A273,Строчный!$A:$A,Строчный!C:C,"ERR",0)))</f>
        <v>Шляпы</v>
      </c>
      <c r="D273" s="81" t="str">
        <f ca="1">_xlfn.LET(_xlpm.DATA,TRIM(_xlfn.XLOOKUP($A273,Строчный!$A:$A,Строчный!D:D,"ERR",0)),UPPER(MID(_xlpm.DATA,1,1))&amp;LOWER(MID(_xlpm.DATA,2,LEN(_xlpm.DATA)-1)))</f>
        <v>Шляпа федора</v>
      </c>
      <c r="E273" s="81" t="str">
        <f ca="1">PROPER(TRIM(_xlfn.XLOOKUP($A273,Строчный!$A:$A,Строчный!E:E,"ERR",0)))</f>
        <v>Herman</v>
      </c>
      <c r="F273" s="81" t="str">
        <f ca="1">LOWER(TRIM(_xlfn.XLOOKUP($A273,Строчный!$A:$A,Строчный!F:F,"ERR",0)))</f>
        <v>всесезон</v>
      </c>
      <c r="G273" s="81" t="str">
        <f ca="1">UPPER(TRIM(_xlfn.XLOOKUP($A273,Строчный!$A:$A,Строчный!G:G,"ERR",0)))</f>
        <v>HERMAN</v>
      </c>
      <c r="H273" s="81" t="str">
        <f ca="1">LOWER(TRIM(_xlfn.XLOOKUP($A273,Строчный!$A:$A,Строчный!H:H,"ERR",0)))</f>
        <v>navy</v>
      </c>
      <c r="I273" s="81" t="str">
        <f ca="1">LOWER(TRIM(_xlfn.XLOOKUP($A273,Строчный!$A:$A,Строчный!I:I,"ERR",0)))</f>
        <v>темно-синий</v>
      </c>
      <c r="J273" s="81" t="str">
        <f ca="1">SUBSTITUTE(LOWER(TRIM(_xlfn.XLOOKUP($A273,Строчный!$A:$A,Строчный!J:J,"ERR",0))),"подклад","Подклад")</f>
        <v>100% шерсть</v>
      </c>
      <c r="K273" s="81" t="str">
        <f ca="1">LOWER(TRIM(_xlfn.XLOOKUP($A273,Строчный!$A:$A,Строчный!K:K,"ERR",0)))</f>
        <v>фетровые</v>
      </c>
      <c r="L273" s="81" t="str">
        <f ca="1">PROPER(TRIM(_xlfn.XLOOKUP($A273,Строчный!$A:$A,Строчный!L:L,"ERR",0)))</f>
        <v>Женский</v>
      </c>
      <c r="M273" s="113" t="str">
        <f ca="1">PROPER(TRIM(_xlfn.XLOOKUP($A273,Строчный!$A:$A,Строчный!M:M,"ERR",0)))</f>
        <v>Италия</v>
      </c>
      <c r="N273" s="81" t="str">
        <f ca="1">UPPER(TRIM(_xlfn.XLOOKUP($A273,Строчный!$A:$A,Строчный!O:O,"ERR",0)))</f>
        <v/>
      </c>
      <c r="O273" s="102" t="str">
        <f ca="1">PROPER(TRIM(_xlfn.XLOOKUP($A273,Строчный!$A:$A,Строчный!P:P,"ERR",0)))</f>
        <v/>
      </c>
      <c r="P273" s="81" t="str">
        <f ca="1">PROPER(TRIM(_xlfn.XLOOKUP($A273,Строчный!$A:$A,Строчный!R:R,"ERR",0)))</f>
        <v/>
      </c>
      <c r="Q273" s="90">
        <f ca="1">VALUE(_xlfn.XLOOKUP($A273,Строчный!$A:$A,Строчный!N:N,"ERR",0))</f>
        <v>450</v>
      </c>
      <c r="R273" s="89" t="str">
        <f ca="1">_xlfn.XLOOKUP($G273,Фабрика!A:A,Фабрика!B:B,"ERR",0)</f>
        <v>Chapellerie Herman S.A.; Rue Jean Meunier, 6, 6922 Wellin, Belgium</v>
      </c>
      <c r="S273" s="80" t="str">
        <f ca="1">_xlfn.XLOOKUP(RIGHT(AA273,2),Размеры!D:D,Размеры!A:A,"ERR",0)</f>
        <v>55</v>
      </c>
      <c r="T273" s="80">
        <f ca="1">VALUE(_xlfn.XLOOKUP($AA273,Строчный!$S:$S,Строчный!U:U,"ERR",0))</f>
        <v>2</v>
      </c>
      <c r="U273" s="14" t="s">
        <v>265</v>
      </c>
      <c r="V273" s="101" t="str">
        <f t="shared" ca="1" si="23"/>
        <v>Шляпа HERMAN арт. MAC FLEMISH (темно-синий)</v>
      </c>
      <c r="W273" s="100" t="str">
        <f t="shared" ca="1" si="24"/>
        <v>Шляпа HERMAN арт. MAC FLEMISH (темно-синий) {navy}</v>
      </c>
      <c r="X273" s="18" t="str">
        <f t="shared" ca="1" si="25"/>
        <v>синий</v>
      </c>
      <c r="Y273" s="18" t="str">
        <f t="shared" ca="1" si="26"/>
        <v>синий</v>
      </c>
      <c r="Z273" s="117" t="str">
        <f ca="1">_xlfn.LET(_xlpm.FormColors,_xlfn.XLOOKUP(A273,Строчный!A:A,Строчный!Q:Q,"",0),IF(_xlpm.FormColors=0,IFERROR(MID(I273,FIND("-",I273)+1,LEN(I273)),IFERROR(MID(I273,1,FIND("/",I273)-2),I273)),_xlpm.FormColors))</f>
        <v>синий</v>
      </c>
      <c r="AA273" s="73" t="str">
        <f ca="1"/>
        <v>80-365-16-55</v>
      </c>
      <c r="AB273" s="75" t="str">
        <f ca="1">VLOOKUP(C273,Группа!A:B,2,FALSE)</f>
        <v>Шляпа</v>
      </c>
      <c r="AC273" s="97" t="str">
        <f ca="1">IFERROR(VLOOKUP(S273,Размеры!A:C,3,FALSE),"")</f>
        <v>55 S</v>
      </c>
      <c r="AD273" s="97" t="str">
        <f ca="1">VLOOKUP(I273,ЦветПолный!A:B,2,FALSE)</f>
        <v>16</v>
      </c>
      <c r="AE273" s="97" t="str">
        <f ca="1">IFERROR(VLOOKUP(S273,Размеры!A:D,4,FALSE),"")</f>
        <v>55</v>
      </c>
      <c r="AF273" s="97">
        <f ca="1">IF(LEFT(IFERROR(VLOOKUP(LOOKUP(2,1/SEARCH(B273,Товары!A:A),Товары!A:A),Товары!A:B,2,0),""),6)=MID(AA273,1,6),1,0)</f>
        <v>1</v>
      </c>
      <c r="AH273" s="97">
        <f ca="1">SUMIF(Группа!A:A,C273,Группа!C:C)</f>
        <v>1</v>
      </c>
      <c r="AI273" s="97">
        <f ca="1">SUMIF(Группа!B:B,AB273,Группа!C:C)</f>
        <v>1</v>
      </c>
      <c r="AJ273" s="97">
        <f ca="1">SUMIF(Формы!A:A,D273,Формы!B:B)</f>
        <v>1</v>
      </c>
      <c r="AK273" s="97">
        <f ca="1">SUMIF(Материал!A:A,K273,Материал!B:B)</f>
        <v>1</v>
      </c>
      <c r="AL273" s="97">
        <f ca="1">SUMIF(Размеры!A:A,S273,Размеры!E:E)</f>
        <v>1</v>
      </c>
      <c r="AM273" s="97">
        <f ca="1">SUMIF(Сезон!A:A,F273,Сезон!B:B)</f>
        <v>1</v>
      </c>
      <c r="AN273" s="97">
        <f ca="1">SUMIF(Состав!A:A,J273,Состав!B:B)</f>
        <v>1</v>
      </c>
      <c r="AO273" s="97">
        <f ca="1">VLOOKUP(I273,ЦветПолный!A:C,3,0)</f>
        <v>1</v>
      </c>
      <c r="AP273" s="97">
        <f ca="1">SUMIF(Цвет!A:A,Z273,Цвет!B:B)</f>
        <v>1</v>
      </c>
      <c r="AQ273" s="97">
        <f ca="1">_xlfn.XLOOKUP(L273,Пол!A:A,Пол!B:B,0,0)</f>
        <v>1</v>
      </c>
      <c r="AR273" s="97">
        <f ca="1">SUMIF(Бренд!A:A,G273,Бренд!B:B)</f>
        <v>1</v>
      </c>
      <c r="AS273" s="97">
        <f ca="1">SUMIF(Страна!A:A,M273,Страна!B:B)</f>
        <v>1</v>
      </c>
      <c r="AT273" s="64" t="str">
        <f ca="1">IF(VLOOKUP(W273,Товары!A:B,2,FALSE)=A273,"Есть в 1С","ERR")</f>
        <v>Есть в 1С</v>
      </c>
      <c r="AU273" s="65" t="str">
        <f ca="1">IF(VLOOKUP(A273,Товары!B:B,1,FALSE)=A273,"Есть в 1С","ERR")</f>
        <v>Есть в 1С</v>
      </c>
      <c r="AV273" s="96" t="str">
        <f ca="1">VLOOKUP(W273,Товары!A:B,2,FALSE)</f>
        <v>80-365-16</v>
      </c>
      <c r="AW273" s="94" t="str">
        <f ca="1">VLOOKUP(W273,Товары!A:B,1,FALSE)</f>
        <v>Шляпа HERMAN арт. MAC FLEMISH (темно-синий) {navy}</v>
      </c>
    </row>
    <row r="274" spans="1:49" x14ac:dyDescent="0.25">
      <c r="A274" s="110" t="str">
        <f t="shared" ca="1" si="22"/>
        <v>80-365-13</v>
      </c>
      <c r="B274" s="107" t="str">
        <f ca="1">_xlfn.LET(_xlpm.CAPS,0,_xlpm.Style,TRIM(_xlfn.XLOOKUP($A274,Строчный!$A:$A,Строчный!B:B,"ERR",0)),IF(_xlpm.CAPS=0,_xlpm.Style,UPPER(_xlpm.Style)))</f>
        <v>MAC FLEMISH</v>
      </c>
      <c r="C274" s="81" t="str">
        <f ca="1">TRIM(PROPER(_xlfn.XLOOKUP($A274,Строчный!$A:$A,Строчный!C:C,"ERR",0)))</f>
        <v>Шляпы</v>
      </c>
      <c r="D274" s="81" t="str">
        <f ca="1">_xlfn.LET(_xlpm.DATA,TRIM(_xlfn.XLOOKUP($A274,Строчный!$A:$A,Строчный!D:D,"ERR",0)),UPPER(MID(_xlpm.DATA,1,1))&amp;LOWER(MID(_xlpm.DATA,2,LEN(_xlpm.DATA)-1)))</f>
        <v>Шляпа федора</v>
      </c>
      <c r="E274" s="81" t="str">
        <f ca="1">PROPER(TRIM(_xlfn.XLOOKUP($A274,Строчный!$A:$A,Строчный!E:E,"ERR",0)))</f>
        <v>Herman</v>
      </c>
      <c r="F274" s="81" t="str">
        <f ca="1">LOWER(TRIM(_xlfn.XLOOKUP($A274,Строчный!$A:$A,Строчный!F:F,"ERR",0)))</f>
        <v>всесезон</v>
      </c>
      <c r="G274" s="81" t="str">
        <f ca="1">UPPER(TRIM(_xlfn.XLOOKUP($A274,Строчный!$A:$A,Строчный!G:G,"ERR",0)))</f>
        <v>HERMAN</v>
      </c>
      <c r="H274" s="81" t="str">
        <f ca="1">LOWER(TRIM(_xlfn.XLOOKUP($A274,Строчный!$A:$A,Строчный!H:H,"ERR",0)))</f>
        <v>orange</v>
      </c>
      <c r="I274" s="81" t="str">
        <f ca="1">LOWER(TRIM(_xlfn.XLOOKUP($A274,Строчный!$A:$A,Строчный!I:I,"ERR",0)))</f>
        <v>оранжевый</v>
      </c>
      <c r="J274" s="81" t="str">
        <f ca="1">SUBSTITUTE(LOWER(TRIM(_xlfn.XLOOKUP($A274,Строчный!$A:$A,Строчный!J:J,"ERR",0))),"подклад","Подклад")</f>
        <v>100% шерсть</v>
      </c>
      <c r="K274" s="81" t="str">
        <f ca="1">LOWER(TRIM(_xlfn.XLOOKUP($A274,Строчный!$A:$A,Строчный!K:K,"ERR",0)))</f>
        <v>фетровые</v>
      </c>
      <c r="L274" s="81" t="str">
        <f ca="1">PROPER(TRIM(_xlfn.XLOOKUP($A274,Строчный!$A:$A,Строчный!L:L,"ERR",0)))</f>
        <v>Женский</v>
      </c>
      <c r="M274" s="113" t="str">
        <f ca="1">PROPER(TRIM(_xlfn.XLOOKUP($A274,Строчный!$A:$A,Строчный!M:M,"ERR",0)))</f>
        <v>Италия</v>
      </c>
      <c r="N274" s="81" t="str">
        <f ca="1">UPPER(TRIM(_xlfn.XLOOKUP($A274,Строчный!$A:$A,Строчный!O:O,"ERR",0)))</f>
        <v/>
      </c>
      <c r="O274" s="102" t="str">
        <f ca="1">PROPER(TRIM(_xlfn.XLOOKUP($A274,Строчный!$A:$A,Строчный!P:P,"ERR",0)))</f>
        <v/>
      </c>
      <c r="P274" s="81" t="str">
        <f ca="1">PROPER(TRIM(_xlfn.XLOOKUP($A274,Строчный!$A:$A,Строчный!R:R,"ERR",0)))</f>
        <v/>
      </c>
      <c r="Q274" s="90">
        <f ca="1">VALUE(_xlfn.XLOOKUP($A274,Строчный!$A:$A,Строчный!N:N,"ERR",0))</f>
        <v>450</v>
      </c>
      <c r="R274" s="89" t="str">
        <f ca="1">_xlfn.XLOOKUP($G274,Фабрика!A:A,Фабрика!B:B,"ERR",0)</f>
        <v>Chapellerie Herman S.A.; Rue Jean Meunier, 6, 6922 Wellin, Belgium</v>
      </c>
      <c r="S274" s="80" t="str">
        <f ca="1">_xlfn.XLOOKUP(RIGHT(AA274,2),Размеры!D:D,Размеры!A:A,"ERR",0)</f>
        <v>59</v>
      </c>
      <c r="T274" s="80">
        <f ca="1">VALUE(_xlfn.XLOOKUP($AA274,Строчный!$S:$S,Строчный!U:U,"ERR",0))</f>
        <v>4</v>
      </c>
      <c r="U274" s="14" t="s">
        <v>265</v>
      </c>
      <c r="V274" s="101" t="str">
        <f t="shared" ca="1" si="23"/>
        <v>Шляпа HERMAN арт. MAC FLEMISH (оранжевый)</v>
      </c>
      <c r="W274" s="100" t="str">
        <f t="shared" ca="1" si="24"/>
        <v>Шляпа HERMAN арт. MAC FLEMISH (оранжевый) {orange}</v>
      </c>
      <c r="X274" s="18" t="str">
        <f t="shared" ca="1" si="25"/>
        <v>оранжевый</v>
      </c>
      <c r="Y274" s="18" t="str">
        <f t="shared" ca="1" si="26"/>
        <v>оранжевый</v>
      </c>
      <c r="Z274" s="117" t="str">
        <f ca="1">_xlfn.LET(_xlpm.FormColors,_xlfn.XLOOKUP(A274,Строчный!A:A,Строчный!Q:Q,"",0),IF(_xlpm.FormColors=0,IFERROR(MID(I274,FIND("-",I274)+1,LEN(I274)),IFERROR(MID(I274,1,FIND("/",I274)-2),I274)),_xlpm.FormColors))</f>
        <v>оранжевый</v>
      </c>
      <c r="AA274" s="73" t="str">
        <f ca="1"/>
        <v>80-365-13-59</v>
      </c>
      <c r="AB274" s="75" t="str">
        <f ca="1">VLOOKUP(C274,Группа!A:B,2,FALSE)</f>
        <v>Шляпа</v>
      </c>
      <c r="AC274" s="97" t="str">
        <f ca="1">IFERROR(VLOOKUP(S274,Размеры!A:C,3,FALSE),"")</f>
        <v>59 L</v>
      </c>
      <c r="AD274" s="97" t="str">
        <f ca="1">VLOOKUP(I274,ЦветПолный!A:B,2,FALSE)</f>
        <v>13</v>
      </c>
      <c r="AE274" s="97" t="str">
        <f ca="1">IFERROR(VLOOKUP(S274,Размеры!A:D,4,FALSE),"")</f>
        <v>59</v>
      </c>
      <c r="AF274" s="97">
        <f ca="1">IF(LEFT(IFERROR(VLOOKUP(LOOKUP(2,1/SEARCH(B274,Товары!A:A),Товары!A:A),Товары!A:B,2,0),""),6)=MID(AA274,1,6),1,0)</f>
        <v>1</v>
      </c>
      <c r="AH274" s="97">
        <f ca="1">SUMIF(Группа!A:A,C274,Группа!C:C)</f>
        <v>1</v>
      </c>
      <c r="AI274" s="97">
        <f ca="1">SUMIF(Группа!B:B,AB274,Группа!C:C)</f>
        <v>1</v>
      </c>
      <c r="AJ274" s="97">
        <f ca="1">SUMIF(Формы!A:A,D274,Формы!B:B)</f>
        <v>1</v>
      </c>
      <c r="AK274" s="97">
        <f ca="1">SUMIF(Материал!A:A,K274,Материал!B:B)</f>
        <v>1</v>
      </c>
      <c r="AL274" s="97">
        <f ca="1">SUMIF(Размеры!A:A,S274,Размеры!E:E)</f>
        <v>1</v>
      </c>
      <c r="AM274" s="97">
        <f ca="1">SUMIF(Сезон!A:A,F274,Сезон!B:B)</f>
        <v>1</v>
      </c>
      <c r="AN274" s="97">
        <f ca="1">SUMIF(Состав!A:A,J274,Состав!B:B)</f>
        <v>1</v>
      </c>
      <c r="AO274" s="97">
        <f ca="1">VLOOKUP(I274,ЦветПолный!A:C,3,0)</f>
        <v>1</v>
      </c>
      <c r="AP274" s="97">
        <f ca="1">SUMIF(Цвет!A:A,Z274,Цвет!B:B)</f>
        <v>1</v>
      </c>
      <c r="AQ274" s="97">
        <f ca="1">_xlfn.XLOOKUP(L274,Пол!A:A,Пол!B:B,0,0)</f>
        <v>1</v>
      </c>
      <c r="AR274" s="97">
        <f ca="1">SUMIF(Бренд!A:A,G274,Бренд!B:B)</f>
        <v>1</v>
      </c>
      <c r="AS274" s="97">
        <f ca="1">SUMIF(Страна!A:A,M274,Страна!B:B)</f>
        <v>1</v>
      </c>
      <c r="AT274" s="64" t="str">
        <f ca="1">IF(VLOOKUP(W274,Товары!A:B,2,FALSE)=A274,"Есть в 1С","ERR")</f>
        <v>Есть в 1С</v>
      </c>
      <c r="AU274" s="65" t="str">
        <f ca="1">IF(VLOOKUP(A274,Товары!B:B,1,FALSE)=A274,"Есть в 1С","ERR")</f>
        <v>Есть в 1С</v>
      </c>
      <c r="AV274" s="96" t="str">
        <f ca="1">VLOOKUP(W274,Товары!A:B,2,FALSE)</f>
        <v>80-365-13</v>
      </c>
      <c r="AW274" s="94" t="str">
        <f ca="1">VLOOKUP(W274,Товары!A:B,1,FALSE)</f>
        <v>Шляпа HERMAN арт. MAC FLEMISH (оранжевый) {orange}</v>
      </c>
    </row>
    <row r="275" spans="1:49" x14ac:dyDescent="0.25">
      <c r="A275" s="110" t="str">
        <f t="shared" ca="1" si="22"/>
        <v>80-365-13</v>
      </c>
      <c r="B275" s="107" t="str">
        <f ca="1">_xlfn.LET(_xlpm.CAPS,0,_xlpm.Style,TRIM(_xlfn.XLOOKUP($A275,Строчный!$A:$A,Строчный!B:B,"ERR",0)),IF(_xlpm.CAPS=0,_xlpm.Style,UPPER(_xlpm.Style)))</f>
        <v>MAC FLEMISH</v>
      </c>
      <c r="C275" s="81" t="str">
        <f ca="1">TRIM(PROPER(_xlfn.XLOOKUP($A275,Строчный!$A:$A,Строчный!C:C,"ERR",0)))</f>
        <v>Шляпы</v>
      </c>
      <c r="D275" s="81" t="str">
        <f ca="1">_xlfn.LET(_xlpm.DATA,TRIM(_xlfn.XLOOKUP($A275,Строчный!$A:$A,Строчный!D:D,"ERR",0)),UPPER(MID(_xlpm.DATA,1,1))&amp;LOWER(MID(_xlpm.DATA,2,LEN(_xlpm.DATA)-1)))</f>
        <v>Шляпа федора</v>
      </c>
      <c r="E275" s="81" t="str">
        <f ca="1">PROPER(TRIM(_xlfn.XLOOKUP($A275,Строчный!$A:$A,Строчный!E:E,"ERR",0)))</f>
        <v>Herman</v>
      </c>
      <c r="F275" s="81" t="str">
        <f ca="1">LOWER(TRIM(_xlfn.XLOOKUP($A275,Строчный!$A:$A,Строчный!F:F,"ERR",0)))</f>
        <v>всесезон</v>
      </c>
      <c r="G275" s="81" t="str">
        <f ca="1">UPPER(TRIM(_xlfn.XLOOKUP($A275,Строчный!$A:$A,Строчный!G:G,"ERR",0)))</f>
        <v>HERMAN</v>
      </c>
      <c r="H275" s="81" t="str">
        <f ca="1">LOWER(TRIM(_xlfn.XLOOKUP($A275,Строчный!$A:$A,Строчный!H:H,"ERR",0)))</f>
        <v>orange</v>
      </c>
      <c r="I275" s="81" t="str">
        <f ca="1">LOWER(TRIM(_xlfn.XLOOKUP($A275,Строчный!$A:$A,Строчный!I:I,"ERR",0)))</f>
        <v>оранжевый</v>
      </c>
      <c r="J275" s="81" t="str">
        <f ca="1">SUBSTITUTE(LOWER(TRIM(_xlfn.XLOOKUP($A275,Строчный!$A:$A,Строчный!J:J,"ERR",0))),"подклад","Подклад")</f>
        <v>100% шерсть</v>
      </c>
      <c r="K275" s="81" t="str">
        <f ca="1">LOWER(TRIM(_xlfn.XLOOKUP($A275,Строчный!$A:$A,Строчный!K:K,"ERR",0)))</f>
        <v>фетровые</v>
      </c>
      <c r="L275" s="81" t="str">
        <f ca="1">PROPER(TRIM(_xlfn.XLOOKUP($A275,Строчный!$A:$A,Строчный!L:L,"ERR",0)))</f>
        <v>Женский</v>
      </c>
      <c r="M275" s="113" t="str">
        <f ca="1">PROPER(TRIM(_xlfn.XLOOKUP($A275,Строчный!$A:$A,Строчный!M:M,"ERR",0)))</f>
        <v>Италия</v>
      </c>
      <c r="N275" s="81" t="str">
        <f ca="1">UPPER(TRIM(_xlfn.XLOOKUP($A275,Строчный!$A:$A,Строчный!O:O,"ERR",0)))</f>
        <v/>
      </c>
      <c r="O275" s="102" t="str">
        <f ca="1">PROPER(TRIM(_xlfn.XLOOKUP($A275,Строчный!$A:$A,Строчный!P:P,"ERR",0)))</f>
        <v/>
      </c>
      <c r="P275" s="81" t="str">
        <f ca="1">PROPER(TRIM(_xlfn.XLOOKUP($A275,Строчный!$A:$A,Строчный!R:R,"ERR",0)))</f>
        <v/>
      </c>
      <c r="Q275" s="90">
        <f ca="1">VALUE(_xlfn.XLOOKUP($A275,Строчный!$A:$A,Строчный!N:N,"ERR",0))</f>
        <v>450</v>
      </c>
      <c r="R275" s="89" t="str">
        <f ca="1">_xlfn.XLOOKUP($G275,Фабрика!A:A,Фабрика!B:B,"ERR",0)</f>
        <v>Chapellerie Herman S.A.; Rue Jean Meunier, 6, 6922 Wellin, Belgium</v>
      </c>
      <c r="S275" s="80" t="str">
        <f ca="1">_xlfn.XLOOKUP(RIGHT(AA275,2),Размеры!D:D,Размеры!A:A,"ERR",0)</f>
        <v>57</v>
      </c>
      <c r="T275" s="80">
        <f ca="1">VALUE(_xlfn.XLOOKUP($AA275,Строчный!$S:$S,Строчный!U:U,"ERR",0))</f>
        <v>6</v>
      </c>
      <c r="U275" s="14" t="s">
        <v>265</v>
      </c>
      <c r="V275" s="101" t="str">
        <f t="shared" ca="1" si="23"/>
        <v>Шляпа HERMAN арт. MAC FLEMISH (оранжевый)</v>
      </c>
      <c r="W275" s="100" t="str">
        <f t="shared" ca="1" si="24"/>
        <v>Шляпа HERMAN арт. MAC FLEMISH (оранжевый) {orange}</v>
      </c>
      <c r="X275" s="18" t="str">
        <f t="shared" ca="1" si="25"/>
        <v>оранжевый</v>
      </c>
      <c r="Y275" s="18" t="str">
        <f t="shared" ca="1" si="26"/>
        <v>оранжевый</v>
      </c>
      <c r="Z275" s="117" t="str">
        <f ca="1">_xlfn.LET(_xlpm.FormColors,_xlfn.XLOOKUP(A275,Строчный!A:A,Строчный!Q:Q,"",0),IF(_xlpm.FormColors=0,IFERROR(MID(I275,FIND("-",I275)+1,LEN(I275)),IFERROR(MID(I275,1,FIND("/",I275)-2),I275)),_xlpm.FormColors))</f>
        <v>оранжевый</v>
      </c>
      <c r="AA275" s="73" t="str">
        <f ca="1"/>
        <v>80-365-13-57</v>
      </c>
      <c r="AB275" s="75" t="str">
        <f ca="1">VLOOKUP(C275,Группа!A:B,2,FALSE)</f>
        <v>Шляпа</v>
      </c>
      <c r="AC275" s="97" t="str">
        <f ca="1">IFERROR(VLOOKUP(S275,Размеры!A:C,3,FALSE),"")</f>
        <v>57 M</v>
      </c>
      <c r="AD275" s="97" t="str">
        <f ca="1">VLOOKUP(I275,ЦветПолный!A:B,2,FALSE)</f>
        <v>13</v>
      </c>
      <c r="AE275" s="97" t="str">
        <f ca="1">IFERROR(VLOOKUP(S275,Размеры!A:D,4,FALSE),"")</f>
        <v>57</v>
      </c>
      <c r="AF275" s="97">
        <f ca="1">IF(LEFT(IFERROR(VLOOKUP(LOOKUP(2,1/SEARCH(B275,Товары!A:A),Товары!A:A),Товары!A:B,2,0),""),6)=MID(AA275,1,6),1,0)</f>
        <v>1</v>
      </c>
      <c r="AH275" s="97">
        <f ca="1">SUMIF(Группа!A:A,C275,Группа!C:C)</f>
        <v>1</v>
      </c>
      <c r="AI275" s="97">
        <f ca="1">SUMIF(Группа!B:B,AB275,Группа!C:C)</f>
        <v>1</v>
      </c>
      <c r="AJ275" s="97">
        <f ca="1">SUMIF(Формы!A:A,D275,Формы!B:B)</f>
        <v>1</v>
      </c>
      <c r="AK275" s="97">
        <f ca="1">SUMIF(Материал!A:A,K275,Материал!B:B)</f>
        <v>1</v>
      </c>
      <c r="AL275" s="97">
        <f ca="1">SUMIF(Размеры!A:A,S275,Размеры!E:E)</f>
        <v>1</v>
      </c>
      <c r="AM275" s="97">
        <f ca="1">SUMIF(Сезон!A:A,F275,Сезон!B:B)</f>
        <v>1</v>
      </c>
      <c r="AN275" s="97">
        <f ca="1">SUMIF(Состав!A:A,J275,Состав!B:B)</f>
        <v>1</v>
      </c>
      <c r="AO275" s="97">
        <f ca="1">VLOOKUP(I275,ЦветПолный!A:C,3,0)</f>
        <v>1</v>
      </c>
      <c r="AP275" s="97">
        <f ca="1">SUMIF(Цвет!A:A,Z275,Цвет!B:B)</f>
        <v>1</v>
      </c>
      <c r="AQ275" s="97">
        <f ca="1">_xlfn.XLOOKUP(L275,Пол!A:A,Пол!B:B,0,0)</f>
        <v>1</v>
      </c>
      <c r="AR275" s="97">
        <f ca="1">SUMIF(Бренд!A:A,G275,Бренд!B:B)</f>
        <v>1</v>
      </c>
      <c r="AS275" s="97">
        <f ca="1">SUMIF(Страна!A:A,M275,Страна!B:B)</f>
        <v>1</v>
      </c>
      <c r="AT275" s="64" t="str">
        <f ca="1">IF(VLOOKUP(W275,Товары!A:B,2,FALSE)=A275,"Есть в 1С","ERR")</f>
        <v>Есть в 1С</v>
      </c>
      <c r="AU275" s="65" t="str">
        <f ca="1">IF(VLOOKUP(A275,Товары!B:B,1,FALSE)=A275,"Есть в 1С","ERR")</f>
        <v>Есть в 1С</v>
      </c>
      <c r="AV275" s="96" t="str">
        <f ca="1">VLOOKUP(W275,Товары!A:B,2,FALSE)</f>
        <v>80-365-13</v>
      </c>
      <c r="AW275" s="94" t="str">
        <f ca="1">VLOOKUP(W275,Товары!A:B,1,FALSE)</f>
        <v>Шляпа HERMAN арт. MAC FLEMISH (оранжевый) {orange}</v>
      </c>
    </row>
    <row r="276" spans="1:49" x14ac:dyDescent="0.25">
      <c r="A276" s="110" t="str">
        <f t="shared" ca="1" si="22"/>
        <v>80-365-13</v>
      </c>
      <c r="B276" s="107" t="str">
        <f ca="1">_xlfn.LET(_xlpm.CAPS,0,_xlpm.Style,TRIM(_xlfn.XLOOKUP($A276,Строчный!$A:$A,Строчный!B:B,"ERR",0)),IF(_xlpm.CAPS=0,_xlpm.Style,UPPER(_xlpm.Style)))</f>
        <v>MAC FLEMISH</v>
      </c>
      <c r="C276" s="81" t="str">
        <f ca="1">TRIM(PROPER(_xlfn.XLOOKUP($A276,Строчный!$A:$A,Строчный!C:C,"ERR",0)))</f>
        <v>Шляпы</v>
      </c>
      <c r="D276" s="81" t="str">
        <f ca="1">_xlfn.LET(_xlpm.DATA,TRIM(_xlfn.XLOOKUP($A276,Строчный!$A:$A,Строчный!D:D,"ERR",0)),UPPER(MID(_xlpm.DATA,1,1))&amp;LOWER(MID(_xlpm.DATA,2,LEN(_xlpm.DATA)-1)))</f>
        <v>Шляпа федора</v>
      </c>
      <c r="E276" s="81" t="str">
        <f ca="1">PROPER(TRIM(_xlfn.XLOOKUP($A276,Строчный!$A:$A,Строчный!E:E,"ERR",0)))</f>
        <v>Herman</v>
      </c>
      <c r="F276" s="81" t="str">
        <f ca="1">LOWER(TRIM(_xlfn.XLOOKUP($A276,Строчный!$A:$A,Строчный!F:F,"ERR",0)))</f>
        <v>всесезон</v>
      </c>
      <c r="G276" s="81" t="str">
        <f ca="1">UPPER(TRIM(_xlfn.XLOOKUP($A276,Строчный!$A:$A,Строчный!G:G,"ERR",0)))</f>
        <v>HERMAN</v>
      </c>
      <c r="H276" s="81" t="str">
        <f ca="1">LOWER(TRIM(_xlfn.XLOOKUP($A276,Строчный!$A:$A,Строчный!H:H,"ERR",0)))</f>
        <v>orange</v>
      </c>
      <c r="I276" s="81" t="str">
        <f ca="1">LOWER(TRIM(_xlfn.XLOOKUP($A276,Строчный!$A:$A,Строчный!I:I,"ERR",0)))</f>
        <v>оранжевый</v>
      </c>
      <c r="J276" s="81" t="str">
        <f ca="1">SUBSTITUTE(LOWER(TRIM(_xlfn.XLOOKUP($A276,Строчный!$A:$A,Строчный!J:J,"ERR",0))),"подклад","Подклад")</f>
        <v>100% шерсть</v>
      </c>
      <c r="K276" s="81" t="str">
        <f ca="1">LOWER(TRIM(_xlfn.XLOOKUP($A276,Строчный!$A:$A,Строчный!K:K,"ERR",0)))</f>
        <v>фетровые</v>
      </c>
      <c r="L276" s="81" t="str">
        <f ca="1">PROPER(TRIM(_xlfn.XLOOKUP($A276,Строчный!$A:$A,Строчный!L:L,"ERR",0)))</f>
        <v>Женский</v>
      </c>
      <c r="M276" s="113" t="str">
        <f ca="1">PROPER(TRIM(_xlfn.XLOOKUP($A276,Строчный!$A:$A,Строчный!M:M,"ERR",0)))</f>
        <v>Италия</v>
      </c>
      <c r="N276" s="81" t="str">
        <f ca="1">UPPER(TRIM(_xlfn.XLOOKUP($A276,Строчный!$A:$A,Строчный!O:O,"ERR",0)))</f>
        <v/>
      </c>
      <c r="O276" s="102" t="str">
        <f ca="1">PROPER(TRIM(_xlfn.XLOOKUP($A276,Строчный!$A:$A,Строчный!P:P,"ERR",0)))</f>
        <v/>
      </c>
      <c r="P276" s="81" t="str">
        <f ca="1">PROPER(TRIM(_xlfn.XLOOKUP($A276,Строчный!$A:$A,Строчный!R:R,"ERR",0)))</f>
        <v/>
      </c>
      <c r="Q276" s="90">
        <f ca="1">VALUE(_xlfn.XLOOKUP($A276,Строчный!$A:$A,Строчный!N:N,"ERR",0))</f>
        <v>450</v>
      </c>
      <c r="R276" s="89" t="str">
        <f ca="1">_xlfn.XLOOKUP($G276,Фабрика!A:A,Фабрика!B:B,"ERR",0)</f>
        <v>Chapellerie Herman S.A.; Rue Jean Meunier, 6, 6922 Wellin, Belgium</v>
      </c>
      <c r="S276" s="80" t="str">
        <f ca="1">_xlfn.XLOOKUP(RIGHT(AA276,2),Размеры!D:D,Размеры!A:A,"ERR",0)</f>
        <v>55</v>
      </c>
      <c r="T276" s="80">
        <f ca="1">VALUE(_xlfn.XLOOKUP($AA276,Строчный!$S:$S,Строчный!U:U,"ERR",0))</f>
        <v>3</v>
      </c>
      <c r="U276" s="14" t="s">
        <v>265</v>
      </c>
      <c r="V276" s="101" t="str">
        <f t="shared" ca="1" si="23"/>
        <v>Шляпа HERMAN арт. MAC FLEMISH (оранжевый)</v>
      </c>
      <c r="W276" s="100" t="str">
        <f t="shared" ca="1" si="24"/>
        <v>Шляпа HERMAN арт. MAC FLEMISH (оранжевый) {orange}</v>
      </c>
      <c r="X276" s="18" t="str">
        <f t="shared" ca="1" si="25"/>
        <v>оранжевый</v>
      </c>
      <c r="Y276" s="18" t="str">
        <f t="shared" ca="1" si="26"/>
        <v>оранжевый</v>
      </c>
      <c r="Z276" s="117" t="str">
        <f ca="1">_xlfn.LET(_xlpm.FormColors,_xlfn.XLOOKUP(A276,Строчный!A:A,Строчный!Q:Q,"",0),IF(_xlpm.FormColors=0,IFERROR(MID(I276,FIND("-",I276)+1,LEN(I276)),IFERROR(MID(I276,1,FIND("/",I276)-2),I276)),_xlpm.FormColors))</f>
        <v>оранжевый</v>
      </c>
      <c r="AA276" s="73" t="str">
        <f ca="1"/>
        <v>80-365-13-55</v>
      </c>
      <c r="AB276" s="75" t="str">
        <f ca="1">VLOOKUP(C276,Группа!A:B,2,FALSE)</f>
        <v>Шляпа</v>
      </c>
      <c r="AC276" s="97" t="str">
        <f ca="1">IFERROR(VLOOKUP(S276,Размеры!A:C,3,FALSE),"")</f>
        <v>55 S</v>
      </c>
      <c r="AD276" s="97" t="str">
        <f ca="1">VLOOKUP(I276,ЦветПолный!A:B,2,FALSE)</f>
        <v>13</v>
      </c>
      <c r="AE276" s="97" t="str">
        <f ca="1">IFERROR(VLOOKUP(S276,Размеры!A:D,4,FALSE),"")</f>
        <v>55</v>
      </c>
      <c r="AF276" s="97">
        <f ca="1">IF(LEFT(IFERROR(VLOOKUP(LOOKUP(2,1/SEARCH(B276,Товары!A:A),Товары!A:A),Товары!A:B,2,0),""),6)=MID(AA276,1,6),1,0)</f>
        <v>1</v>
      </c>
      <c r="AH276" s="97">
        <f ca="1">SUMIF(Группа!A:A,C276,Группа!C:C)</f>
        <v>1</v>
      </c>
      <c r="AI276" s="97">
        <f ca="1">SUMIF(Группа!B:B,AB276,Группа!C:C)</f>
        <v>1</v>
      </c>
      <c r="AJ276" s="97">
        <f ca="1">SUMIF(Формы!A:A,D276,Формы!B:B)</f>
        <v>1</v>
      </c>
      <c r="AK276" s="97">
        <f ca="1">SUMIF(Материал!A:A,K276,Материал!B:B)</f>
        <v>1</v>
      </c>
      <c r="AL276" s="97">
        <f ca="1">SUMIF(Размеры!A:A,S276,Размеры!E:E)</f>
        <v>1</v>
      </c>
      <c r="AM276" s="97">
        <f ca="1">SUMIF(Сезон!A:A,F276,Сезон!B:B)</f>
        <v>1</v>
      </c>
      <c r="AN276" s="97">
        <f ca="1">SUMIF(Состав!A:A,J276,Состав!B:B)</f>
        <v>1</v>
      </c>
      <c r="AO276" s="97">
        <f ca="1">VLOOKUP(I276,ЦветПолный!A:C,3,0)</f>
        <v>1</v>
      </c>
      <c r="AP276" s="97">
        <f ca="1">SUMIF(Цвет!A:A,Z276,Цвет!B:B)</f>
        <v>1</v>
      </c>
      <c r="AQ276" s="97">
        <f ca="1">_xlfn.XLOOKUP(L276,Пол!A:A,Пол!B:B,0,0)</f>
        <v>1</v>
      </c>
      <c r="AR276" s="97">
        <f ca="1">SUMIF(Бренд!A:A,G276,Бренд!B:B)</f>
        <v>1</v>
      </c>
      <c r="AS276" s="97">
        <f ca="1">SUMIF(Страна!A:A,M276,Страна!B:B)</f>
        <v>1</v>
      </c>
      <c r="AT276" s="64" t="str">
        <f ca="1">IF(VLOOKUP(W276,Товары!A:B,2,FALSE)=A276,"Есть в 1С","ERR")</f>
        <v>Есть в 1С</v>
      </c>
      <c r="AU276" s="65" t="str">
        <f ca="1">IF(VLOOKUP(A276,Товары!B:B,1,FALSE)=A276,"Есть в 1С","ERR")</f>
        <v>Есть в 1С</v>
      </c>
      <c r="AV276" s="96" t="str">
        <f ca="1">VLOOKUP(W276,Товары!A:B,2,FALSE)</f>
        <v>80-365-13</v>
      </c>
      <c r="AW276" s="94" t="str">
        <f ca="1">VLOOKUP(W276,Товары!A:B,1,FALSE)</f>
        <v>Шляпа HERMAN арт. MAC FLEMISH (оранжевый) {orange}</v>
      </c>
    </row>
    <row r="277" spans="1:49" x14ac:dyDescent="0.25">
      <c r="A277" s="110" t="str">
        <f t="shared" ca="1" si="22"/>
        <v>80-365-06</v>
      </c>
      <c r="B277" s="107" t="str">
        <f ca="1">_xlfn.LET(_xlpm.CAPS,0,_xlpm.Style,TRIM(_xlfn.XLOOKUP($A277,Строчный!$A:$A,Строчный!B:B,"ERR",0)),IF(_xlpm.CAPS=0,_xlpm.Style,UPPER(_xlpm.Style)))</f>
        <v>MAC FLEMISH</v>
      </c>
      <c r="C277" s="81" t="str">
        <f ca="1">TRIM(PROPER(_xlfn.XLOOKUP($A277,Строчный!$A:$A,Строчный!C:C,"ERR",0)))</f>
        <v>Шляпы</v>
      </c>
      <c r="D277" s="81" t="str">
        <f ca="1">_xlfn.LET(_xlpm.DATA,TRIM(_xlfn.XLOOKUP($A277,Строчный!$A:$A,Строчный!D:D,"ERR",0)),UPPER(MID(_xlpm.DATA,1,1))&amp;LOWER(MID(_xlpm.DATA,2,LEN(_xlpm.DATA)-1)))</f>
        <v>Шляпа федора</v>
      </c>
      <c r="E277" s="81" t="str">
        <f ca="1">PROPER(TRIM(_xlfn.XLOOKUP($A277,Строчный!$A:$A,Строчный!E:E,"ERR",0)))</f>
        <v>Herman</v>
      </c>
      <c r="F277" s="81" t="str">
        <f ca="1">LOWER(TRIM(_xlfn.XLOOKUP($A277,Строчный!$A:$A,Строчный!F:F,"ERR",0)))</f>
        <v>всесезон</v>
      </c>
      <c r="G277" s="81" t="str">
        <f ca="1">UPPER(TRIM(_xlfn.XLOOKUP($A277,Строчный!$A:$A,Строчный!G:G,"ERR",0)))</f>
        <v>HERMAN</v>
      </c>
      <c r="H277" s="81" t="str">
        <f ca="1">LOWER(TRIM(_xlfn.XLOOKUP($A277,Строчный!$A:$A,Строчный!H:H,"ERR",0)))</f>
        <v>petrol blue</v>
      </c>
      <c r="I277" s="81" t="str">
        <f ca="1">LOWER(TRIM(_xlfn.XLOOKUP($A277,Строчный!$A:$A,Строчный!I:I,"ERR",0)))</f>
        <v>синий</v>
      </c>
      <c r="J277" s="81" t="str">
        <f ca="1">SUBSTITUTE(LOWER(TRIM(_xlfn.XLOOKUP($A277,Строчный!$A:$A,Строчный!J:J,"ERR",0))),"подклад","Подклад")</f>
        <v>100% шерсть</v>
      </c>
      <c r="K277" s="81" t="str">
        <f ca="1">LOWER(TRIM(_xlfn.XLOOKUP($A277,Строчный!$A:$A,Строчный!K:K,"ERR",0)))</f>
        <v>фетровые</v>
      </c>
      <c r="L277" s="81" t="str">
        <f ca="1">PROPER(TRIM(_xlfn.XLOOKUP($A277,Строчный!$A:$A,Строчный!L:L,"ERR",0)))</f>
        <v>Женский</v>
      </c>
      <c r="M277" s="113" t="str">
        <f ca="1">PROPER(TRIM(_xlfn.XLOOKUP($A277,Строчный!$A:$A,Строчный!M:M,"ERR",0)))</f>
        <v>Италия</v>
      </c>
      <c r="N277" s="81" t="str">
        <f ca="1">UPPER(TRIM(_xlfn.XLOOKUP($A277,Строчный!$A:$A,Строчный!O:O,"ERR",0)))</f>
        <v/>
      </c>
      <c r="O277" s="102" t="str">
        <f ca="1">PROPER(TRIM(_xlfn.XLOOKUP($A277,Строчный!$A:$A,Строчный!P:P,"ERR",0)))</f>
        <v/>
      </c>
      <c r="P277" s="81" t="str">
        <f ca="1">PROPER(TRIM(_xlfn.XLOOKUP($A277,Строчный!$A:$A,Строчный!R:R,"ERR",0)))</f>
        <v/>
      </c>
      <c r="Q277" s="90">
        <f ca="1">VALUE(_xlfn.XLOOKUP($A277,Строчный!$A:$A,Строчный!N:N,"ERR",0))</f>
        <v>450</v>
      </c>
      <c r="R277" s="89" t="str">
        <f ca="1">_xlfn.XLOOKUP($G277,Фабрика!A:A,Фабрика!B:B,"ERR",0)</f>
        <v>Chapellerie Herman S.A.; Rue Jean Meunier, 6, 6922 Wellin, Belgium</v>
      </c>
      <c r="S277" s="80" t="str">
        <f ca="1">_xlfn.XLOOKUP(RIGHT(AA277,2),Размеры!D:D,Размеры!A:A,"ERR",0)</f>
        <v>59</v>
      </c>
      <c r="T277" s="80">
        <f ca="1">VALUE(_xlfn.XLOOKUP($AA277,Строчный!$S:$S,Строчный!U:U,"ERR",0))</f>
        <v>4</v>
      </c>
      <c r="U277" s="14" t="s">
        <v>265</v>
      </c>
      <c r="V277" s="101" t="str">
        <f t="shared" ca="1" si="23"/>
        <v>Шляпа HERMAN арт. MAC FLEMISH (синий)</v>
      </c>
      <c r="W277" s="100" t="str">
        <f t="shared" ca="1" si="24"/>
        <v>Шляпа HERMAN арт. MAC FLEMISH (синий) {petrol blue}</v>
      </c>
      <c r="X277" s="18" t="str">
        <f t="shared" ca="1" si="25"/>
        <v>синий</v>
      </c>
      <c r="Y277" s="18" t="str">
        <f t="shared" ca="1" si="26"/>
        <v>синий</v>
      </c>
      <c r="Z277" s="117" t="str">
        <f ca="1">_xlfn.LET(_xlpm.FormColors,_xlfn.XLOOKUP(A277,Строчный!A:A,Строчный!Q:Q,"",0),IF(_xlpm.FormColors=0,IFERROR(MID(I277,FIND("-",I277)+1,LEN(I277)),IFERROR(MID(I277,1,FIND("/",I277)-2),I277)),_xlpm.FormColors))</f>
        <v>синий</v>
      </c>
      <c r="AA277" s="73" t="str">
        <f ca="1"/>
        <v>80-365-06-59</v>
      </c>
      <c r="AB277" s="75" t="str">
        <f ca="1">VLOOKUP(C277,Группа!A:B,2,FALSE)</f>
        <v>Шляпа</v>
      </c>
      <c r="AC277" s="97" t="str">
        <f ca="1">IFERROR(VLOOKUP(S277,Размеры!A:C,3,FALSE),"")</f>
        <v>59 L</v>
      </c>
      <c r="AD277" s="97" t="str">
        <f ca="1">VLOOKUP(I277,ЦветПолный!A:B,2,FALSE)</f>
        <v>06</v>
      </c>
      <c r="AE277" s="97" t="str">
        <f ca="1">IFERROR(VLOOKUP(S277,Размеры!A:D,4,FALSE),"")</f>
        <v>59</v>
      </c>
      <c r="AF277" s="97">
        <f ca="1">IF(LEFT(IFERROR(VLOOKUP(LOOKUP(2,1/SEARCH(B277,Товары!A:A),Товары!A:A),Товары!A:B,2,0),""),6)=MID(AA277,1,6),1,0)</f>
        <v>1</v>
      </c>
      <c r="AH277" s="97">
        <f ca="1">SUMIF(Группа!A:A,C277,Группа!C:C)</f>
        <v>1</v>
      </c>
      <c r="AI277" s="97">
        <f ca="1">SUMIF(Группа!B:B,AB277,Группа!C:C)</f>
        <v>1</v>
      </c>
      <c r="AJ277" s="97">
        <f ca="1">SUMIF(Формы!A:A,D277,Формы!B:B)</f>
        <v>1</v>
      </c>
      <c r="AK277" s="97">
        <f ca="1">SUMIF(Материал!A:A,K277,Материал!B:B)</f>
        <v>1</v>
      </c>
      <c r="AL277" s="97">
        <f ca="1">SUMIF(Размеры!A:A,S277,Размеры!E:E)</f>
        <v>1</v>
      </c>
      <c r="AM277" s="97">
        <f ca="1">SUMIF(Сезон!A:A,F277,Сезон!B:B)</f>
        <v>1</v>
      </c>
      <c r="AN277" s="97">
        <f ca="1">SUMIF(Состав!A:A,J277,Состав!B:B)</f>
        <v>1</v>
      </c>
      <c r="AO277" s="97">
        <f ca="1">VLOOKUP(I277,ЦветПолный!A:C,3,0)</f>
        <v>1</v>
      </c>
      <c r="AP277" s="97">
        <f ca="1">SUMIF(Цвет!A:A,Z277,Цвет!B:B)</f>
        <v>1</v>
      </c>
      <c r="AQ277" s="97">
        <f ca="1">_xlfn.XLOOKUP(L277,Пол!A:A,Пол!B:B,0,0)</f>
        <v>1</v>
      </c>
      <c r="AR277" s="97">
        <f ca="1">SUMIF(Бренд!A:A,G277,Бренд!B:B)</f>
        <v>1</v>
      </c>
      <c r="AS277" s="97">
        <f ca="1">SUMIF(Страна!A:A,M277,Страна!B:B)</f>
        <v>1</v>
      </c>
      <c r="AT277" s="64" t="str">
        <f ca="1">IF(VLOOKUP(W277,Товары!A:B,2,FALSE)=A277,"Есть в 1С","ERR")</f>
        <v>Есть в 1С</v>
      </c>
      <c r="AU277" s="65" t="str">
        <f ca="1">IF(VLOOKUP(A277,Товары!B:B,1,FALSE)=A277,"Есть в 1С","ERR")</f>
        <v>Есть в 1С</v>
      </c>
      <c r="AV277" s="96" t="str">
        <f ca="1">VLOOKUP(W277,Товары!A:B,2,FALSE)</f>
        <v>80-365-06</v>
      </c>
      <c r="AW277" s="94" t="str">
        <f ca="1">VLOOKUP(W277,Товары!A:B,1,FALSE)</f>
        <v>Шляпа HERMAN арт. MAC FLEMISH (синий) {petrol blue}</v>
      </c>
    </row>
    <row r="278" spans="1:49" x14ac:dyDescent="0.25">
      <c r="A278" s="110" t="str">
        <f t="shared" ca="1" si="22"/>
        <v>80-365-06</v>
      </c>
      <c r="B278" s="107" t="str">
        <f ca="1">_xlfn.LET(_xlpm.CAPS,0,_xlpm.Style,TRIM(_xlfn.XLOOKUP($A278,Строчный!$A:$A,Строчный!B:B,"ERR",0)),IF(_xlpm.CAPS=0,_xlpm.Style,UPPER(_xlpm.Style)))</f>
        <v>MAC FLEMISH</v>
      </c>
      <c r="C278" s="81" t="str">
        <f ca="1">TRIM(PROPER(_xlfn.XLOOKUP($A278,Строчный!$A:$A,Строчный!C:C,"ERR",0)))</f>
        <v>Шляпы</v>
      </c>
      <c r="D278" s="81" t="str">
        <f ca="1">_xlfn.LET(_xlpm.DATA,TRIM(_xlfn.XLOOKUP($A278,Строчный!$A:$A,Строчный!D:D,"ERR",0)),UPPER(MID(_xlpm.DATA,1,1))&amp;LOWER(MID(_xlpm.DATA,2,LEN(_xlpm.DATA)-1)))</f>
        <v>Шляпа федора</v>
      </c>
      <c r="E278" s="81" t="str">
        <f ca="1">PROPER(TRIM(_xlfn.XLOOKUP($A278,Строчный!$A:$A,Строчный!E:E,"ERR",0)))</f>
        <v>Herman</v>
      </c>
      <c r="F278" s="81" t="str">
        <f ca="1">LOWER(TRIM(_xlfn.XLOOKUP($A278,Строчный!$A:$A,Строчный!F:F,"ERR",0)))</f>
        <v>всесезон</v>
      </c>
      <c r="G278" s="81" t="str">
        <f ca="1">UPPER(TRIM(_xlfn.XLOOKUP($A278,Строчный!$A:$A,Строчный!G:G,"ERR",0)))</f>
        <v>HERMAN</v>
      </c>
      <c r="H278" s="81" t="str">
        <f ca="1">LOWER(TRIM(_xlfn.XLOOKUP($A278,Строчный!$A:$A,Строчный!H:H,"ERR",0)))</f>
        <v>petrol blue</v>
      </c>
      <c r="I278" s="81" t="str">
        <f ca="1">LOWER(TRIM(_xlfn.XLOOKUP($A278,Строчный!$A:$A,Строчный!I:I,"ERR",0)))</f>
        <v>синий</v>
      </c>
      <c r="J278" s="81" t="str">
        <f ca="1">SUBSTITUTE(LOWER(TRIM(_xlfn.XLOOKUP($A278,Строчный!$A:$A,Строчный!J:J,"ERR",0))),"подклад","Подклад")</f>
        <v>100% шерсть</v>
      </c>
      <c r="K278" s="81" t="str">
        <f ca="1">LOWER(TRIM(_xlfn.XLOOKUP($A278,Строчный!$A:$A,Строчный!K:K,"ERR",0)))</f>
        <v>фетровые</v>
      </c>
      <c r="L278" s="81" t="str">
        <f ca="1">PROPER(TRIM(_xlfn.XLOOKUP($A278,Строчный!$A:$A,Строчный!L:L,"ERR",0)))</f>
        <v>Женский</v>
      </c>
      <c r="M278" s="113" t="str">
        <f ca="1">PROPER(TRIM(_xlfn.XLOOKUP($A278,Строчный!$A:$A,Строчный!M:M,"ERR",0)))</f>
        <v>Италия</v>
      </c>
      <c r="N278" s="81" t="str">
        <f ca="1">UPPER(TRIM(_xlfn.XLOOKUP($A278,Строчный!$A:$A,Строчный!O:O,"ERR",0)))</f>
        <v/>
      </c>
      <c r="O278" s="102" t="str">
        <f ca="1">PROPER(TRIM(_xlfn.XLOOKUP($A278,Строчный!$A:$A,Строчный!P:P,"ERR",0)))</f>
        <v/>
      </c>
      <c r="P278" s="81" t="str">
        <f ca="1">PROPER(TRIM(_xlfn.XLOOKUP($A278,Строчный!$A:$A,Строчный!R:R,"ERR",0)))</f>
        <v/>
      </c>
      <c r="Q278" s="90">
        <f ca="1">VALUE(_xlfn.XLOOKUP($A278,Строчный!$A:$A,Строчный!N:N,"ERR",0))</f>
        <v>450</v>
      </c>
      <c r="R278" s="89" t="str">
        <f ca="1">_xlfn.XLOOKUP($G278,Фабрика!A:A,Фабрика!B:B,"ERR",0)</f>
        <v>Chapellerie Herman S.A.; Rue Jean Meunier, 6, 6922 Wellin, Belgium</v>
      </c>
      <c r="S278" s="80" t="str">
        <f ca="1">_xlfn.XLOOKUP(RIGHT(AA278,2),Размеры!D:D,Размеры!A:A,"ERR",0)</f>
        <v>57</v>
      </c>
      <c r="T278" s="80">
        <f ca="1">VALUE(_xlfn.XLOOKUP($AA278,Строчный!$S:$S,Строчный!U:U,"ERR",0))</f>
        <v>6</v>
      </c>
      <c r="U278" s="14" t="s">
        <v>265</v>
      </c>
      <c r="V278" s="101" t="str">
        <f t="shared" ca="1" si="23"/>
        <v>Шляпа HERMAN арт. MAC FLEMISH (синий)</v>
      </c>
      <c r="W278" s="100" t="str">
        <f t="shared" ca="1" si="24"/>
        <v>Шляпа HERMAN арт. MAC FLEMISH (синий) {petrol blue}</v>
      </c>
      <c r="X278" s="18" t="str">
        <f t="shared" ca="1" si="25"/>
        <v>синий</v>
      </c>
      <c r="Y278" s="18" t="str">
        <f t="shared" ca="1" si="26"/>
        <v>синий</v>
      </c>
      <c r="Z278" s="117" t="str">
        <f ca="1">_xlfn.LET(_xlpm.FormColors,_xlfn.XLOOKUP(A278,Строчный!A:A,Строчный!Q:Q,"",0),IF(_xlpm.FormColors=0,IFERROR(MID(I278,FIND("-",I278)+1,LEN(I278)),IFERROR(MID(I278,1,FIND("/",I278)-2),I278)),_xlpm.FormColors))</f>
        <v>синий</v>
      </c>
      <c r="AA278" s="73" t="str">
        <f ca="1"/>
        <v>80-365-06-57</v>
      </c>
      <c r="AB278" s="75" t="str">
        <f ca="1">VLOOKUP(C278,Группа!A:B,2,FALSE)</f>
        <v>Шляпа</v>
      </c>
      <c r="AC278" s="97" t="str">
        <f ca="1">IFERROR(VLOOKUP(S278,Размеры!A:C,3,FALSE),"")</f>
        <v>57 M</v>
      </c>
      <c r="AD278" s="97" t="str">
        <f ca="1">VLOOKUP(I278,ЦветПолный!A:B,2,FALSE)</f>
        <v>06</v>
      </c>
      <c r="AE278" s="97" t="str">
        <f ca="1">IFERROR(VLOOKUP(S278,Размеры!A:D,4,FALSE),"")</f>
        <v>57</v>
      </c>
      <c r="AF278" s="97">
        <f ca="1">IF(LEFT(IFERROR(VLOOKUP(LOOKUP(2,1/SEARCH(B278,Товары!A:A),Товары!A:A),Товары!A:B,2,0),""),6)=MID(AA278,1,6),1,0)</f>
        <v>1</v>
      </c>
      <c r="AH278" s="97">
        <f ca="1">SUMIF(Группа!A:A,C278,Группа!C:C)</f>
        <v>1</v>
      </c>
      <c r="AI278" s="97">
        <f ca="1">SUMIF(Группа!B:B,AB278,Группа!C:C)</f>
        <v>1</v>
      </c>
      <c r="AJ278" s="97">
        <f ca="1">SUMIF(Формы!A:A,D278,Формы!B:B)</f>
        <v>1</v>
      </c>
      <c r="AK278" s="97">
        <f ca="1">SUMIF(Материал!A:A,K278,Материал!B:B)</f>
        <v>1</v>
      </c>
      <c r="AL278" s="97">
        <f ca="1">SUMIF(Размеры!A:A,S278,Размеры!E:E)</f>
        <v>1</v>
      </c>
      <c r="AM278" s="97">
        <f ca="1">SUMIF(Сезон!A:A,F278,Сезон!B:B)</f>
        <v>1</v>
      </c>
      <c r="AN278" s="97">
        <f ca="1">SUMIF(Состав!A:A,J278,Состав!B:B)</f>
        <v>1</v>
      </c>
      <c r="AO278" s="97">
        <f ca="1">VLOOKUP(I278,ЦветПолный!A:C,3,0)</f>
        <v>1</v>
      </c>
      <c r="AP278" s="97">
        <f ca="1">SUMIF(Цвет!A:A,Z278,Цвет!B:B)</f>
        <v>1</v>
      </c>
      <c r="AQ278" s="97">
        <f ca="1">_xlfn.XLOOKUP(L278,Пол!A:A,Пол!B:B,0,0)</f>
        <v>1</v>
      </c>
      <c r="AR278" s="97">
        <f ca="1">SUMIF(Бренд!A:A,G278,Бренд!B:B)</f>
        <v>1</v>
      </c>
      <c r="AS278" s="97">
        <f ca="1">SUMIF(Страна!A:A,M278,Страна!B:B)</f>
        <v>1</v>
      </c>
      <c r="AT278" s="64" t="str">
        <f ca="1">IF(VLOOKUP(W278,Товары!A:B,2,FALSE)=A278,"Есть в 1С","ERR")</f>
        <v>Есть в 1С</v>
      </c>
      <c r="AU278" s="65" t="str">
        <f ca="1">IF(VLOOKUP(A278,Товары!B:B,1,FALSE)=A278,"Есть в 1С","ERR")</f>
        <v>Есть в 1С</v>
      </c>
      <c r="AV278" s="96" t="str">
        <f ca="1">VLOOKUP(W278,Товары!A:B,2,FALSE)</f>
        <v>80-365-06</v>
      </c>
      <c r="AW278" s="94" t="str">
        <f ca="1">VLOOKUP(W278,Товары!A:B,1,FALSE)</f>
        <v>Шляпа HERMAN арт. MAC FLEMISH (синий) {petrol blue}</v>
      </c>
    </row>
    <row r="279" spans="1:49" x14ac:dyDescent="0.25">
      <c r="A279" s="110" t="str">
        <f t="shared" ca="1" si="22"/>
        <v>80-365-06</v>
      </c>
      <c r="B279" s="107" t="str">
        <f ca="1">_xlfn.LET(_xlpm.CAPS,0,_xlpm.Style,TRIM(_xlfn.XLOOKUP($A279,Строчный!$A:$A,Строчный!B:B,"ERR",0)),IF(_xlpm.CAPS=0,_xlpm.Style,UPPER(_xlpm.Style)))</f>
        <v>MAC FLEMISH</v>
      </c>
      <c r="C279" s="81" t="str">
        <f ca="1">TRIM(PROPER(_xlfn.XLOOKUP($A279,Строчный!$A:$A,Строчный!C:C,"ERR",0)))</f>
        <v>Шляпы</v>
      </c>
      <c r="D279" s="81" t="str">
        <f ca="1">_xlfn.LET(_xlpm.DATA,TRIM(_xlfn.XLOOKUP($A279,Строчный!$A:$A,Строчный!D:D,"ERR",0)),UPPER(MID(_xlpm.DATA,1,1))&amp;LOWER(MID(_xlpm.DATA,2,LEN(_xlpm.DATA)-1)))</f>
        <v>Шляпа федора</v>
      </c>
      <c r="E279" s="81" t="str">
        <f ca="1">PROPER(TRIM(_xlfn.XLOOKUP($A279,Строчный!$A:$A,Строчный!E:E,"ERR",0)))</f>
        <v>Herman</v>
      </c>
      <c r="F279" s="81" t="str">
        <f ca="1">LOWER(TRIM(_xlfn.XLOOKUP($A279,Строчный!$A:$A,Строчный!F:F,"ERR",0)))</f>
        <v>всесезон</v>
      </c>
      <c r="G279" s="81" t="str">
        <f ca="1">UPPER(TRIM(_xlfn.XLOOKUP($A279,Строчный!$A:$A,Строчный!G:G,"ERR",0)))</f>
        <v>HERMAN</v>
      </c>
      <c r="H279" s="81" t="str">
        <f ca="1">LOWER(TRIM(_xlfn.XLOOKUP($A279,Строчный!$A:$A,Строчный!H:H,"ERR",0)))</f>
        <v>petrol blue</v>
      </c>
      <c r="I279" s="81" t="str">
        <f ca="1">LOWER(TRIM(_xlfn.XLOOKUP($A279,Строчный!$A:$A,Строчный!I:I,"ERR",0)))</f>
        <v>синий</v>
      </c>
      <c r="J279" s="81" t="str">
        <f ca="1">SUBSTITUTE(LOWER(TRIM(_xlfn.XLOOKUP($A279,Строчный!$A:$A,Строчный!J:J,"ERR",0))),"подклад","Подклад")</f>
        <v>100% шерсть</v>
      </c>
      <c r="K279" s="81" t="str">
        <f ca="1">LOWER(TRIM(_xlfn.XLOOKUP($A279,Строчный!$A:$A,Строчный!K:K,"ERR",0)))</f>
        <v>фетровые</v>
      </c>
      <c r="L279" s="81" t="str">
        <f ca="1">PROPER(TRIM(_xlfn.XLOOKUP($A279,Строчный!$A:$A,Строчный!L:L,"ERR",0)))</f>
        <v>Женский</v>
      </c>
      <c r="M279" s="113" t="str">
        <f ca="1">PROPER(TRIM(_xlfn.XLOOKUP($A279,Строчный!$A:$A,Строчный!M:M,"ERR",0)))</f>
        <v>Италия</v>
      </c>
      <c r="N279" s="81" t="str">
        <f ca="1">UPPER(TRIM(_xlfn.XLOOKUP($A279,Строчный!$A:$A,Строчный!O:O,"ERR",0)))</f>
        <v/>
      </c>
      <c r="O279" s="102" t="str">
        <f ca="1">PROPER(TRIM(_xlfn.XLOOKUP($A279,Строчный!$A:$A,Строчный!P:P,"ERR",0)))</f>
        <v/>
      </c>
      <c r="P279" s="81" t="str">
        <f ca="1">PROPER(TRIM(_xlfn.XLOOKUP($A279,Строчный!$A:$A,Строчный!R:R,"ERR",0)))</f>
        <v/>
      </c>
      <c r="Q279" s="90">
        <f ca="1">VALUE(_xlfn.XLOOKUP($A279,Строчный!$A:$A,Строчный!N:N,"ERR",0))</f>
        <v>450</v>
      </c>
      <c r="R279" s="89" t="str">
        <f ca="1">_xlfn.XLOOKUP($G279,Фабрика!A:A,Фабрика!B:B,"ERR",0)</f>
        <v>Chapellerie Herman S.A.; Rue Jean Meunier, 6, 6922 Wellin, Belgium</v>
      </c>
      <c r="S279" s="80" t="str">
        <f ca="1">_xlfn.XLOOKUP(RIGHT(AA279,2),Размеры!D:D,Размеры!A:A,"ERR",0)</f>
        <v>55</v>
      </c>
      <c r="T279" s="80">
        <f ca="1">VALUE(_xlfn.XLOOKUP($AA279,Строчный!$S:$S,Строчный!U:U,"ERR",0))</f>
        <v>3</v>
      </c>
      <c r="U279" s="14" t="s">
        <v>265</v>
      </c>
      <c r="V279" s="101" t="str">
        <f t="shared" ca="1" si="23"/>
        <v>Шляпа HERMAN арт. MAC FLEMISH (синий)</v>
      </c>
      <c r="W279" s="100" t="str">
        <f t="shared" ca="1" si="24"/>
        <v>Шляпа HERMAN арт. MAC FLEMISH (синий) {petrol blue}</v>
      </c>
      <c r="X279" s="18" t="str">
        <f t="shared" ca="1" si="25"/>
        <v>синий</v>
      </c>
      <c r="Y279" s="18" t="str">
        <f t="shared" ca="1" si="26"/>
        <v>синий</v>
      </c>
      <c r="Z279" s="117" t="str">
        <f ca="1">_xlfn.LET(_xlpm.FormColors,_xlfn.XLOOKUP(A279,Строчный!A:A,Строчный!Q:Q,"",0),IF(_xlpm.FormColors=0,IFERROR(MID(I279,FIND("-",I279)+1,LEN(I279)),IFERROR(MID(I279,1,FIND("/",I279)-2),I279)),_xlpm.FormColors))</f>
        <v>синий</v>
      </c>
      <c r="AA279" s="73" t="str">
        <f ca="1"/>
        <v>80-365-06-55</v>
      </c>
      <c r="AB279" s="75" t="str">
        <f ca="1">VLOOKUP(C279,Группа!A:B,2,FALSE)</f>
        <v>Шляпа</v>
      </c>
      <c r="AC279" s="97" t="str">
        <f ca="1">IFERROR(VLOOKUP(S279,Размеры!A:C,3,FALSE),"")</f>
        <v>55 S</v>
      </c>
      <c r="AD279" s="97" t="str">
        <f ca="1">VLOOKUP(I279,ЦветПолный!A:B,2,FALSE)</f>
        <v>06</v>
      </c>
      <c r="AE279" s="97" t="str">
        <f ca="1">IFERROR(VLOOKUP(S279,Размеры!A:D,4,FALSE),"")</f>
        <v>55</v>
      </c>
      <c r="AF279" s="97">
        <f ca="1">IF(LEFT(IFERROR(VLOOKUP(LOOKUP(2,1/SEARCH(B279,Товары!A:A),Товары!A:A),Товары!A:B,2,0),""),6)=MID(AA279,1,6),1,0)</f>
        <v>1</v>
      </c>
      <c r="AH279" s="97">
        <f ca="1">SUMIF(Группа!A:A,C279,Группа!C:C)</f>
        <v>1</v>
      </c>
      <c r="AI279" s="97">
        <f ca="1">SUMIF(Группа!B:B,AB279,Группа!C:C)</f>
        <v>1</v>
      </c>
      <c r="AJ279" s="97">
        <f ca="1">SUMIF(Формы!A:A,D279,Формы!B:B)</f>
        <v>1</v>
      </c>
      <c r="AK279" s="97">
        <f ca="1">SUMIF(Материал!A:A,K279,Материал!B:B)</f>
        <v>1</v>
      </c>
      <c r="AL279" s="97">
        <f ca="1">SUMIF(Размеры!A:A,S279,Размеры!E:E)</f>
        <v>1</v>
      </c>
      <c r="AM279" s="97">
        <f ca="1">SUMIF(Сезон!A:A,F279,Сезон!B:B)</f>
        <v>1</v>
      </c>
      <c r="AN279" s="97">
        <f ca="1">SUMIF(Состав!A:A,J279,Состав!B:B)</f>
        <v>1</v>
      </c>
      <c r="AO279" s="97">
        <f ca="1">VLOOKUP(I279,ЦветПолный!A:C,3,0)</f>
        <v>1</v>
      </c>
      <c r="AP279" s="97">
        <f ca="1">SUMIF(Цвет!A:A,Z279,Цвет!B:B)</f>
        <v>1</v>
      </c>
      <c r="AQ279" s="97">
        <f ca="1">_xlfn.XLOOKUP(L279,Пол!A:A,Пол!B:B,0,0)</f>
        <v>1</v>
      </c>
      <c r="AR279" s="97">
        <f ca="1">SUMIF(Бренд!A:A,G279,Бренд!B:B)</f>
        <v>1</v>
      </c>
      <c r="AS279" s="97">
        <f ca="1">SUMIF(Страна!A:A,M279,Страна!B:B)</f>
        <v>1</v>
      </c>
      <c r="AT279" s="64" t="str">
        <f ca="1">IF(VLOOKUP(W279,Товары!A:B,2,FALSE)=A279,"Есть в 1С","ERR")</f>
        <v>Есть в 1С</v>
      </c>
      <c r="AU279" s="65" t="str">
        <f ca="1">IF(VLOOKUP(A279,Товары!B:B,1,FALSE)=A279,"Есть в 1С","ERR")</f>
        <v>Есть в 1С</v>
      </c>
      <c r="AV279" s="96" t="str">
        <f ca="1">VLOOKUP(W279,Товары!A:B,2,FALSE)</f>
        <v>80-365-06</v>
      </c>
      <c r="AW279" s="94" t="str">
        <f ca="1">VLOOKUP(W279,Товары!A:B,1,FALSE)</f>
        <v>Шляпа HERMAN арт. MAC FLEMISH (синий) {petrol blue}</v>
      </c>
    </row>
    <row r="280" spans="1:49" x14ac:dyDescent="0.25">
      <c r="A280" s="110" t="str">
        <f t="shared" ca="1" si="22"/>
        <v>80-365-01</v>
      </c>
      <c r="B280" s="107" t="str">
        <f ca="1">_xlfn.LET(_xlpm.CAPS,0,_xlpm.Style,TRIM(_xlfn.XLOOKUP($A280,Строчный!$A:$A,Строчный!B:B,"ERR",0)),IF(_xlpm.CAPS=0,_xlpm.Style,UPPER(_xlpm.Style)))</f>
        <v>MAC FLEMISH</v>
      </c>
      <c r="C280" s="81" t="str">
        <f ca="1">TRIM(PROPER(_xlfn.XLOOKUP($A280,Строчный!$A:$A,Строчный!C:C,"ERR",0)))</f>
        <v>Шляпы</v>
      </c>
      <c r="D280" s="81" t="str">
        <f ca="1">_xlfn.LET(_xlpm.DATA,TRIM(_xlfn.XLOOKUP($A280,Строчный!$A:$A,Строчный!D:D,"ERR",0)),UPPER(MID(_xlpm.DATA,1,1))&amp;LOWER(MID(_xlpm.DATA,2,LEN(_xlpm.DATA)-1)))</f>
        <v>Шляпа федора</v>
      </c>
      <c r="E280" s="81" t="str">
        <f ca="1">PROPER(TRIM(_xlfn.XLOOKUP($A280,Строчный!$A:$A,Строчный!E:E,"ERR",0)))</f>
        <v>Herman</v>
      </c>
      <c r="F280" s="81" t="str">
        <f ca="1">LOWER(TRIM(_xlfn.XLOOKUP($A280,Строчный!$A:$A,Строчный!F:F,"ERR",0)))</f>
        <v>всесезон</v>
      </c>
      <c r="G280" s="81" t="str">
        <f ca="1">UPPER(TRIM(_xlfn.XLOOKUP($A280,Строчный!$A:$A,Строчный!G:G,"ERR",0)))</f>
        <v>HERMAN</v>
      </c>
      <c r="H280" s="81" t="str">
        <f ca="1">LOWER(TRIM(_xlfn.XLOOKUP($A280,Строчный!$A:$A,Строчный!H:H,"ERR",0)))</f>
        <v>pearl</v>
      </c>
      <c r="I280" s="81" t="str">
        <f ca="1">LOWER(TRIM(_xlfn.XLOOKUP($A280,Строчный!$A:$A,Строчный!I:I,"ERR",0)))</f>
        <v>светло-серый</v>
      </c>
      <c r="J280" s="81" t="str">
        <f ca="1">SUBSTITUTE(LOWER(TRIM(_xlfn.XLOOKUP($A280,Строчный!$A:$A,Строчный!J:J,"ERR",0))),"подклад","Подклад")</f>
        <v>100% шерсть</v>
      </c>
      <c r="K280" s="81" t="str">
        <f ca="1">LOWER(TRIM(_xlfn.XLOOKUP($A280,Строчный!$A:$A,Строчный!K:K,"ERR",0)))</f>
        <v>фетровые</v>
      </c>
      <c r="L280" s="81" t="str">
        <f ca="1">PROPER(TRIM(_xlfn.XLOOKUP($A280,Строчный!$A:$A,Строчный!L:L,"ERR",0)))</f>
        <v>Женский</v>
      </c>
      <c r="M280" s="113" t="str">
        <f ca="1">PROPER(TRIM(_xlfn.XLOOKUP($A280,Строчный!$A:$A,Строчный!M:M,"ERR",0)))</f>
        <v>Италия</v>
      </c>
      <c r="N280" s="81" t="str">
        <f ca="1">UPPER(TRIM(_xlfn.XLOOKUP($A280,Строчный!$A:$A,Строчный!O:O,"ERR",0)))</f>
        <v/>
      </c>
      <c r="O280" s="102" t="str">
        <f ca="1">PROPER(TRIM(_xlfn.XLOOKUP($A280,Строчный!$A:$A,Строчный!P:P,"ERR",0)))</f>
        <v/>
      </c>
      <c r="P280" s="81" t="str">
        <f ca="1">PROPER(TRIM(_xlfn.XLOOKUP($A280,Строчный!$A:$A,Строчный!R:R,"ERR",0)))</f>
        <v/>
      </c>
      <c r="Q280" s="90">
        <f ca="1">VALUE(_xlfn.XLOOKUP($A280,Строчный!$A:$A,Строчный!N:N,"ERR",0))</f>
        <v>450</v>
      </c>
      <c r="R280" s="89" t="str">
        <f ca="1">_xlfn.XLOOKUP($G280,Фабрика!A:A,Фабрика!B:B,"ERR",0)</f>
        <v>Chapellerie Herman S.A.; Rue Jean Meunier, 6, 6922 Wellin, Belgium</v>
      </c>
      <c r="S280" s="80" t="str">
        <f ca="1">_xlfn.XLOOKUP(RIGHT(AA280,2),Размеры!D:D,Размеры!A:A,"ERR",0)</f>
        <v>59</v>
      </c>
      <c r="T280" s="80">
        <f ca="1">VALUE(_xlfn.XLOOKUP($AA280,Строчный!$S:$S,Строчный!U:U,"ERR",0))</f>
        <v>5</v>
      </c>
      <c r="U280" s="14" t="s">
        <v>265</v>
      </c>
      <c r="V280" s="101" t="str">
        <f t="shared" ca="1" si="23"/>
        <v>Шляпа HERMAN арт. MAC FLEMISH (светло-серый)</v>
      </c>
      <c r="W280" s="100" t="str">
        <f t="shared" ca="1" si="24"/>
        <v>Шляпа HERMAN арт. MAC FLEMISH (светло-серый) {pearl}</v>
      </c>
      <c r="X280" s="18" t="str">
        <f t="shared" ca="1" si="25"/>
        <v>серый</v>
      </c>
      <c r="Y280" s="18" t="str">
        <f t="shared" ca="1" si="26"/>
        <v>серый</v>
      </c>
      <c r="Z280" s="117" t="str">
        <f ca="1">_xlfn.LET(_xlpm.FormColors,_xlfn.XLOOKUP(A280,Строчный!A:A,Строчный!Q:Q,"",0),IF(_xlpm.FormColors=0,IFERROR(MID(I280,FIND("-",I280)+1,LEN(I280)),IFERROR(MID(I280,1,FIND("/",I280)-2),I280)),_xlpm.FormColors))</f>
        <v>серый</v>
      </c>
      <c r="AA280" s="73" t="str">
        <f ca="1"/>
        <v>80-365-01-59</v>
      </c>
      <c r="AB280" s="75" t="str">
        <f ca="1">VLOOKUP(C280,Группа!A:B,2,FALSE)</f>
        <v>Шляпа</v>
      </c>
      <c r="AC280" s="97" t="str">
        <f ca="1">IFERROR(VLOOKUP(S280,Размеры!A:C,3,FALSE),"")</f>
        <v>59 L</v>
      </c>
      <c r="AD280" s="97" t="str">
        <f ca="1">VLOOKUP(I280,ЦветПолный!A:B,2,FALSE)</f>
        <v>01</v>
      </c>
      <c r="AE280" s="97" t="str">
        <f ca="1">IFERROR(VLOOKUP(S280,Размеры!A:D,4,FALSE),"")</f>
        <v>59</v>
      </c>
      <c r="AF280" s="97">
        <f ca="1">IF(LEFT(IFERROR(VLOOKUP(LOOKUP(2,1/SEARCH(B280,Товары!A:A),Товары!A:A),Товары!A:B,2,0),""),6)=MID(AA280,1,6),1,0)</f>
        <v>1</v>
      </c>
      <c r="AH280" s="97">
        <f ca="1">SUMIF(Группа!A:A,C280,Группа!C:C)</f>
        <v>1</v>
      </c>
      <c r="AI280" s="97">
        <f ca="1">SUMIF(Группа!B:B,AB280,Группа!C:C)</f>
        <v>1</v>
      </c>
      <c r="AJ280" s="97">
        <f ca="1">SUMIF(Формы!A:A,D280,Формы!B:B)</f>
        <v>1</v>
      </c>
      <c r="AK280" s="97">
        <f ca="1">SUMIF(Материал!A:A,K280,Материал!B:B)</f>
        <v>1</v>
      </c>
      <c r="AL280" s="97">
        <f ca="1">SUMIF(Размеры!A:A,S280,Размеры!E:E)</f>
        <v>1</v>
      </c>
      <c r="AM280" s="97">
        <f ca="1">SUMIF(Сезон!A:A,F280,Сезон!B:B)</f>
        <v>1</v>
      </c>
      <c r="AN280" s="97">
        <f ca="1">SUMIF(Состав!A:A,J280,Состав!B:B)</f>
        <v>1</v>
      </c>
      <c r="AO280" s="97">
        <f ca="1">VLOOKUP(I280,ЦветПолный!A:C,3,0)</f>
        <v>1</v>
      </c>
      <c r="AP280" s="97">
        <f ca="1">SUMIF(Цвет!A:A,Z280,Цвет!B:B)</f>
        <v>1</v>
      </c>
      <c r="AQ280" s="97">
        <f ca="1">_xlfn.XLOOKUP(L280,Пол!A:A,Пол!B:B,0,0)</f>
        <v>1</v>
      </c>
      <c r="AR280" s="97">
        <f ca="1">SUMIF(Бренд!A:A,G280,Бренд!B:B)</f>
        <v>1</v>
      </c>
      <c r="AS280" s="97">
        <f ca="1">SUMIF(Страна!A:A,M280,Страна!B:B)</f>
        <v>1</v>
      </c>
      <c r="AT280" s="64" t="str">
        <f ca="1">IF(VLOOKUP(W280,Товары!A:B,2,FALSE)=A280,"Есть в 1С","ERR")</f>
        <v>Есть в 1С</v>
      </c>
      <c r="AU280" s="65" t="str">
        <f ca="1">IF(VLOOKUP(A280,Товары!B:B,1,FALSE)=A280,"Есть в 1С","ERR")</f>
        <v>Есть в 1С</v>
      </c>
      <c r="AV280" s="96" t="str">
        <f ca="1">VLOOKUP(W280,Товары!A:B,2,FALSE)</f>
        <v>80-365-01</v>
      </c>
      <c r="AW280" s="94" t="str">
        <f ca="1">VLOOKUP(W280,Товары!A:B,1,FALSE)</f>
        <v>Шляпа HERMAN арт. MAC FLEMISH (светло-серый) {pearl}</v>
      </c>
    </row>
    <row r="281" spans="1:49" x14ac:dyDescent="0.25">
      <c r="A281" s="110" t="str">
        <f t="shared" ca="1" si="22"/>
        <v>80-365-01</v>
      </c>
      <c r="B281" s="107" t="str">
        <f ca="1">_xlfn.LET(_xlpm.CAPS,0,_xlpm.Style,TRIM(_xlfn.XLOOKUP($A281,Строчный!$A:$A,Строчный!B:B,"ERR",0)),IF(_xlpm.CAPS=0,_xlpm.Style,UPPER(_xlpm.Style)))</f>
        <v>MAC FLEMISH</v>
      </c>
      <c r="C281" s="81" t="str">
        <f ca="1">TRIM(PROPER(_xlfn.XLOOKUP($A281,Строчный!$A:$A,Строчный!C:C,"ERR",0)))</f>
        <v>Шляпы</v>
      </c>
      <c r="D281" s="81" t="str">
        <f ca="1">_xlfn.LET(_xlpm.DATA,TRIM(_xlfn.XLOOKUP($A281,Строчный!$A:$A,Строчный!D:D,"ERR",0)),UPPER(MID(_xlpm.DATA,1,1))&amp;LOWER(MID(_xlpm.DATA,2,LEN(_xlpm.DATA)-1)))</f>
        <v>Шляпа федора</v>
      </c>
      <c r="E281" s="81" t="str">
        <f ca="1">PROPER(TRIM(_xlfn.XLOOKUP($A281,Строчный!$A:$A,Строчный!E:E,"ERR",0)))</f>
        <v>Herman</v>
      </c>
      <c r="F281" s="81" t="str">
        <f ca="1">LOWER(TRIM(_xlfn.XLOOKUP($A281,Строчный!$A:$A,Строчный!F:F,"ERR",0)))</f>
        <v>всесезон</v>
      </c>
      <c r="G281" s="81" t="str">
        <f ca="1">UPPER(TRIM(_xlfn.XLOOKUP($A281,Строчный!$A:$A,Строчный!G:G,"ERR",0)))</f>
        <v>HERMAN</v>
      </c>
      <c r="H281" s="81" t="str">
        <f ca="1">LOWER(TRIM(_xlfn.XLOOKUP($A281,Строчный!$A:$A,Строчный!H:H,"ERR",0)))</f>
        <v>pearl</v>
      </c>
      <c r="I281" s="81" t="str">
        <f ca="1">LOWER(TRIM(_xlfn.XLOOKUP($A281,Строчный!$A:$A,Строчный!I:I,"ERR",0)))</f>
        <v>светло-серый</v>
      </c>
      <c r="J281" s="81" t="str">
        <f ca="1">SUBSTITUTE(LOWER(TRIM(_xlfn.XLOOKUP($A281,Строчный!$A:$A,Строчный!J:J,"ERR",0))),"подклад","Подклад")</f>
        <v>100% шерсть</v>
      </c>
      <c r="K281" s="81" t="str">
        <f ca="1">LOWER(TRIM(_xlfn.XLOOKUP($A281,Строчный!$A:$A,Строчный!K:K,"ERR",0)))</f>
        <v>фетровые</v>
      </c>
      <c r="L281" s="81" t="str">
        <f ca="1">PROPER(TRIM(_xlfn.XLOOKUP($A281,Строчный!$A:$A,Строчный!L:L,"ERR",0)))</f>
        <v>Женский</v>
      </c>
      <c r="M281" s="113" t="str">
        <f ca="1">PROPER(TRIM(_xlfn.XLOOKUP($A281,Строчный!$A:$A,Строчный!M:M,"ERR",0)))</f>
        <v>Италия</v>
      </c>
      <c r="N281" s="81" t="str">
        <f ca="1">UPPER(TRIM(_xlfn.XLOOKUP($A281,Строчный!$A:$A,Строчный!O:O,"ERR",0)))</f>
        <v/>
      </c>
      <c r="O281" s="102" t="str">
        <f ca="1">PROPER(TRIM(_xlfn.XLOOKUP($A281,Строчный!$A:$A,Строчный!P:P,"ERR",0)))</f>
        <v/>
      </c>
      <c r="P281" s="81" t="str">
        <f ca="1">PROPER(TRIM(_xlfn.XLOOKUP($A281,Строчный!$A:$A,Строчный!R:R,"ERR",0)))</f>
        <v/>
      </c>
      <c r="Q281" s="90">
        <f ca="1">VALUE(_xlfn.XLOOKUP($A281,Строчный!$A:$A,Строчный!N:N,"ERR",0))</f>
        <v>450</v>
      </c>
      <c r="R281" s="89" t="str">
        <f ca="1">_xlfn.XLOOKUP($G281,Фабрика!A:A,Фабрика!B:B,"ERR",0)</f>
        <v>Chapellerie Herman S.A.; Rue Jean Meunier, 6, 6922 Wellin, Belgium</v>
      </c>
      <c r="S281" s="80" t="str">
        <f ca="1">_xlfn.XLOOKUP(RIGHT(AA281,2),Размеры!D:D,Размеры!A:A,"ERR",0)</f>
        <v>57</v>
      </c>
      <c r="T281" s="80">
        <f ca="1">VALUE(_xlfn.XLOOKUP($AA281,Строчный!$S:$S,Строчный!U:U,"ERR",0))</f>
        <v>5</v>
      </c>
      <c r="U281" s="14" t="s">
        <v>265</v>
      </c>
      <c r="V281" s="101" t="str">
        <f t="shared" ca="1" si="23"/>
        <v>Шляпа HERMAN арт. MAC FLEMISH (светло-серый)</v>
      </c>
      <c r="W281" s="100" t="str">
        <f t="shared" ca="1" si="24"/>
        <v>Шляпа HERMAN арт. MAC FLEMISH (светло-серый) {pearl}</v>
      </c>
      <c r="X281" s="18" t="str">
        <f t="shared" ca="1" si="25"/>
        <v>серый</v>
      </c>
      <c r="Y281" s="18" t="str">
        <f t="shared" ca="1" si="26"/>
        <v>серый</v>
      </c>
      <c r="Z281" s="117" t="str">
        <f ca="1">_xlfn.LET(_xlpm.FormColors,_xlfn.XLOOKUP(A281,Строчный!A:A,Строчный!Q:Q,"",0),IF(_xlpm.FormColors=0,IFERROR(MID(I281,FIND("-",I281)+1,LEN(I281)),IFERROR(MID(I281,1,FIND("/",I281)-2),I281)),_xlpm.FormColors))</f>
        <v>серый</v>
      </c>
      <c r="AA281" s="73" t="str">
        <f ca="1"/>
        <v>80-365-01-57</v>
      </c>
      <c r="AB281" s="75" t="str">
        <f ca="1">VLOOKUP(C281,Группа!A:B,2,FALSE)</f>
        <v>Шляпа</v>
      </c>
      <c r="AC281" s="97" t="str">
        <f ca="1">IFERROR(VLOOKUP(S281,Размеры!A:C,3,FALSE),"")</f>
        <v>57 M</v>
      </c>
      <c r="AD281" s="97" t="str">
        <f ca="1">VLOOKUP(I281,ЦветПолный!A:B,2,FALSE)</f>
        <v>01</v>
      </c>
      <c r="AE281" s="97" t="str">
        <f ca="1">IFERROR(VLOOKUP(S281,Размеры!A:D,4,FALSE),"")</f>
        <v>57</v>
      </c>
      <c r="AF281" s="97">
        <f ca="1">IF(LEFT(IFERROR(VLOOKUP(LOOKUP(2,1/SEARCH(B281,Товары!A:A),Товары!A:A),Товары!A:B,2,0),""),6)=MID(AA281,1,6),1,0)</f>
        <v>1</v>
      </c>
      <c r="AH281" s="97">
        <f ca="1">SUMIF(Группа!A:A,C281,Группа!C:C)</f>
        <v>1</v>
      </c>
      <c r="AI281" s="97">
        <f ca="1">SUMIF(Группа!B:B,AB281,Группа!C:C)</f>
        <v>1</v>
      </c>
      <c r="AJ281" s="97">
        <f ca="1">SUMIF(Формы!A:A,D281,Формы!B:B)</f>
        <v>1</v>
      </c>
      <c r="AK281" s="97">
        <f ca="1">SUMIF(Материал!A:A,K281,Материал!B:B)</f>
        <v>1</v>
      </c>
      <c r="AL281" s="97">
        <f ca="1">SUMIF(Размеры!A:A,S281,Размеры!E:E)</f>
        <v>1</v>
      </c>
      <c r="AM281" s="97">
        <f ca="1">SUMIF(Сезон!A:A,F281,Сезон!B:B)</f>
        <v>1</v>
      </c>
      <c r="AN281" s="97">
        <f ca="1">SUMIF(Состав!A:A,J281,Состав!B:B)</f>
        <v>1</v>
      </c>
      <c r="AO281" s="97">
        <f ca="1">VLOOKUP(I281,ЦветПолный!A:C,3,0)</f>
        <v>1</v>
      </c>
      <c r="AP281" s="97">
        <f ca="1">SUMIF(Цвет!A:A,Z281,Цвет!B:B)</f>
        <v>1</v>
      </c>
      <c r="AQ281" s="97">
        <f ca="1">_xlfn.XLOOKUP(L281,Пол!A:A,Пол!B:B,0,0)</f>
        <v>1</v>
      </c>
      <c r="AR281" s="97">
        <f ca="1">SUMIF(Бренд!A:A,G281,Бренд!B:B)</f>
        <v>1</v>
      </c>
      <c r="AS281" s="97">
        <f ca="1">SUMIF(Страна!A:A,M281,Страна!B:B)</f>
        <v>1</v>
      </c>
      <c r="AT281" s="64" t="str">
        <f ca="1">IF(VLOOKUP(W281,Товары!A:B,2,FALSE)=A281,"Есть в 1С","ERR")</f>
        <v>Есть в 1С</v>
      </c>
      <c r="AU281" s="65" t="str">
        <f ca="1">IF(VLOOKUP(A281,Товары!B:B,1,FALSE)=A281,"Есть в 1С","ERR")</f>
        <v>Есть в 1С</v>
      </c>
      <c r="AV281" s="96" t="str">
        <f ca="1">VLOOKUP(W281,Товары!A:B,2,FALSE)</f>
        <v>80-365-01</v>
      </c>
      <c r="AW281" s="94" t="str">
        <f ca="1">VLOOKUP(W281,Товары!A:B,1,FALSE)</f>
        <v>Шляпа HERMAN арт. MAC FLEMISH (светло-серый) {pearl}</v>
      </c>
    </row>
    <row r="282" spans="1:49" x14ac:dyDescent="0.25">
      <c r="A282" s="110" t="str">
        <f t="shared" ca="1" si="22"/>
        <v>80-365-01</v>
      </c>
      <c r="B282" s="107" t="str">
        <f ca="1">_xlfn.LET(_xlpm.CAPS,0,_xlpm.Style,TRIM(_xlfn.XLOOKUP($A282,Строчный!$A:$A,Строчный!B:B,"ERR",0)),IF(_xlpm.CAPS=0,_xlpm.Style,UPPER(_xlpm.Style)))</f>
        <v>MAC FLEMISH</v>
      </c>
      <c r="C282" s="81" t="str">
        <f ca="1">TRIM(PROPER(_xlfn.XLOOKUP($A282,Строчный!$A:$A,Строчный!C:C,"ERR",0)))</f>
        <v>Шляпы</v>
      </c>
      <c r="D282" s="81" t="str">
        <f ca="1">_xlfn.LET(_xlpm.DATA,TRIM(_xlfn.XLOOKUP($A282,Строчный!$A:$A,Строчный!D:D,"ERR",0)),UPPER(MID(_xlpm.DATA,1,1))&amp;LOWER(MID(_xlpm.DATA,2,LEN(_xlpm.DATA)-1)))</f>
        <v>Шляпа федора</v>
      </c>
      <c r="E282" s="81" t="str">
        <f ca="1">PROPER(TRIM(_xlfn.XLOOKUP($A282,Строчный!$A:$A,Строчный!E:E,"ERR",0)))</f>
        <v>Herman</v>
      </c>
      <c r="F282" s="81" t="str">
        <f ca="1">LOWER(TRIM(_xlfn.XLOOKUP($A282,Строчный!$A:$A,Строчный!F:F,"ERR",0)))</f>
        <v>всесезон</v>
      </c>
      <c r="G282" s="81" t="str">
        <f ca="1">UPPER(TRIM(_xlfn.XLOOKUP($A282,Строчный!$A:$A,Строчный!G:G,"ERR",0)))</f>
        <v>HERMAN</v>
      </c>
      <c r="H282" s="81" t="str">
        <f ca="1">LOWER(TRIM(_xlfn.XLOOKUP($A282,Строчный!$A:$A,Строчный!H:H,"ERR",0)))</f>
        <v>pearl</v>
      </c>
      <c r="I282" s="81" t="str">
        <f ca="1">LOWER(TRIM(_xlfn.XLOOKUP($A282,Строчный!$A:$A,Строчный!I:I,"ERR",0)))</f>
        <v>светло-серый</v>
      </c>
      <c r="J282" s="81" t="str">
        <f ca="1">SUBSTITUTE(LOWER(TRIM(_xlfn.XLOOKUP($A282,Строчный!$A:$A,Строчный!J:J,"ERR",0))),"подклад","Подклад")</f>
        <v>100% шерсть</v>
      </c>
      <c r="K282" s="81" t="str">
        <f ca="1">LOWER(TRIM(_xlfn.XLOOKUP($A282,Строчный!$A:$A,Строчный!K:K,"ERR",0)))</f>
        <v>фетровые</v>
      </c>
      <c r="L282" s="81" t="str">
        <f ca="1">PROPER(TRIM(_xlfn.XLOOKUP($A282,Строчный!$A:$A,Строчный!L:L,"ERR",0)))</f>
        <v>Женский</v>
      </c>
      <c r="M282" s="113" t="str">
        <f ca="1">PROPER(TRIM(_xlfn.XLOOKUP($A282,Строчный!$A:$A,Строчный!M:M,"ERR",0)))</f>
        <v>Италия</v>
      </c>
      <c r="N282" s="81" t="str">
        <f ca="1">UPPER(TRIM(_xlfn.XLOOKUP($A282,Строчный!$A:$A,Строчный!O:O,"ERR",0)))</f>
        <v/>
      </c>
      <c r="O282" s="102" t="str">
        <f ca="1">PROPER(TRIM(_xlfn.XLOOKUP($A282,Строчный!$A:$A,Строчный!P:P,"ERR",0)))</f>
        <v/>
      </c>
      <c r="P282" s="81" t="str">
        <f ca="1">PROPER(TRIM(_xlfn.XLOOKUP($A282,Строчный!$A:$A,Строчный!R:R,"ERR",0)))</f>
        <v/>
      </c>
      <c r="Q282" s="90">
        <f ca="1">VALUE(_xlfn.XLOOKUP($A282,Строчный!$A:$A,Строчный!N:N,"ERR",0))</f>
        <v>450</v>
      </c>
      <c r="R282" s="89" t="str">
        <f ca="1">_xlfn.XLOOKUP($G282,Фабрика!A:A,Фабрика!B:B,"ERR",0)</f>
        <v>Chapellerie Herman S.A.; Rue Jean Meunier, 6, 6922 Wellin, Belgium</v>
      </c>
      <c r="S282" s="80" t="str">
        <f ca="1">_xlfn.XLOOKUP(RIGHT(AA282,2),Размеры!D:D,Размеры!A:A,"ERR",0)</f>
        <v>55</v>
      </c>
      <c r="T282" s="80">
        <f ca="1">VALUE(_xlfn.XLOOKUP($AA282,Строчный!$S:$S,Строчный!U:U,"ERR",0))</f>
        <v>4</v>
      </c>
      <c r="U282" s="14" t="s">
        <v>265</v>
      </c>
      <c r="V282" s="101" t="str">
        <f t="shared" ca="1" si="23"/>
        <v>Шляпа HERMAN арт. MAC FLEMISH (светло-серый)</v>
      </c>
      <c r="W282" s="100" t="str">
        <f t="shared" ca="1" si="24"/>
        <v>Шляпа HERMAN арт. MAC FLEMISH (светло-серый) {pearl}</v>
      </c>
      <c r="X282" s="18" t="str">
        <f t="shared" ca="1" si="25"/>
        <v>серый</v>
      </c>
      <c r="Y282" s="18" t="str">
        <f t="shared" ca="1" si="26"/>
        <v>серый</v>
      </c>
      <c r="Z282" s="117" t="str">
        <f ca="1">_xlfn.LET(_xlpm.FormColors,_xlfn.XLOOKUP(A282,Строчный!A:A,Строчный!Q:Q,"",0),IF(_xlpm.FormColors=0,IFERROR(MID(I282,FIND("-",I282)+1,LEN(I282)),IFERROR(MID(I282,1,FIND("/",I282)-2),I282)),_xlpm.FormColors))</f>
        <v>серый</v>
      </c>
      <c r="AA282" s="73" t="str">
        <f ca="1"/>
        <v>80-365-01-55</v>
      </c>
      <c r="AB282" s="75" t="str">
        <f ca="1">VLOOKUP(C282,Группа!A:B,2,FALSE)</f>
        <v>Шляпа</v>
      </c>
      <c r="AC282" s="97" t="str">
        <f ca="1">IFERROR(VLOOKUP(S282,Размеры!A:C,3,FALSE),"")</f>
        <v>55 S</v>
      </c>
      <c r="AD282" s="97" t="str">
        <f ca="1">VLOOKUP(I282,ЦветПолный!A:B,2,FALSE)</f>
        <v>01</v>
      </c>
      <c r="AE282" s="97" t="str">
        <f ca="1">IFERROR(VLOOKUP(S282,Размеры!A:D,4,FALSE),"")</f>
        <v>55</v>
      </c>
      <c r="AF282" s="97">
        <f ca="1">IF(LEFT(IFERROR(VLOOKUP(LOOKUP(2,1/SEARCH(B282,Товары!A:A),Товары!A:A),Товары!A:B,2,0),""),6)=MID(AA282,1,6),1,0)</f>
        <v>1</v>
      </c>
      <c r="AH282" s="97">
        <f ca="1">SUMIF(Группа!A:A,C282,Группа!C:C)</f>
        <v>1</v>
      </c>
      <c r="AI282" s="97">
        <f ca="1">SUMIF(Группа!B:B,AB282,Группа!C:C)</f>
        <v>1</v>
      </c>
      <c r="AJ282" s="97">
        <f ca="1">SUMIF(Формы!A:A,D282,Формы!B:B)</f>
        <v>1</v>
      </c>
      <c r="AK282" s="97">
        <f ca="1">SUMIF(Материал!A:A,K282,Материал!B:B)</f>
        <v>1</v>
      </c>
      <c r="AL282" s="97">
        <f ca="1">SUMIF(Размеры!A:A,S282,Размеры!E:E)</f>
        <v>1</v>
      </c>
      <c r="AM282" s="97">
        <f ca="1">SUMIF(Сезон!A:A,F282,Сезон!B:B)</f>
        <v>1</v>
      </c>
      <c r="AN282" s="97">
        <f ca="1">SUMIF(Состав!A:A,J282,Состав!B:B)</f>
        <v>1</v>
      </c>
      <c r="AO282" s="97">
        <f ca="1">VLOOKUP(I282,ЦветПолный!A:C,3,0)</f>
        <v>1</v>
      </c>
      <c r="AP282" s="97">
        <f ca="1">SUMIF(Цвет!A:A,Z282,Цвет!B:B)</f>
        <v>1</v>
      </c>
      <c r="AQ282" s="97">
        <f ca="1">_xlfn.XLOOKUP(L282,Пол!A:A,Пол!B:B,0,0)</f>
        <v>1</v>
      </c>
      <c r="AR282" s="97">
        <f ca="1">SUMIF(Бренд!A:A,G282,Бренд!B:B)</f>
        <v>1</v>
      </c>
      <c r="AS282" s="97">
        <f ca="1">SUMIF(Страна!A:A,M282,Страна!B:B)</f>
        <v>1</v>
      </c>
      <c r="AT282" s="64" t="str">
        <f ca="1">IF(VLOOKUP(W282,Товары!A:B,2,FALSE)=A282,"Есть в 1С","ERR")</f>
        <v>Есть в 1С</v>
      </c>
      <c r="AU282" s="65" t="str">
        <f ca="1">IF(VLOOKUP(A282,Товары!B:B,1,FALSE)=A282,"Есть в 1С","ERR")</f>
        <v>Есть в 1С</v>
      </c>
      <c r="AV282" s="96" t="str">
        <f ca="1">VLOOKUP(W282,Товары!A:B,2,FALSE)</f>
        <v>80-365-01</v>
      </c>
      <c r="AW282" s="94" t="str">
        <f ca="1">VLOOKUP(W282,Товары!A:B,1,FALSE)</f>
        <v>Шляпа HERMAN арт. MAC FLEMISH (светло-серый) {pearl}</v>
      </c>
    </row>
    <row r="283" spans="1:49" x14ac:dyDescent="0.25">
      <c r="A283" s="110" t="str">
        <f t="shared" ca="1" si="22"/>
        <v>80-361-52</v>
      </c>
      <c r="B283" s="107" t="str">
        <f ca="1">_xlfn.LET(_xlpm.CAPS,0,_xlpm.Style,TRIM(_xlfn.XLOOKUP($A283,Строчный!$A:$A,Строчный!B:B,"ERR",0)),IF(_xlpm.CAPS=0,_xlpm.Style,UPPER(_xlpm.Style)))</f>
        <v>DON BOSCO</v>
      </c>
      <c r="C283" s="81" t="str">
        <f ca="1">TRIM(PROPER(_xlfn.XLOOKUP($A283,Строчный!$A:$A,Строчный!C:C,"ERR",0)))</f>
        <v>Шляпы</v>
      </c>
      <c r="D283" s="81" t="str">
        <f ca="1">_xlfn.LET(_xlpm.DATA,TRIM(_xlfn.XLOOKUP($A283,Строчный!$A:$A,Строчный!D:D,"ERR",0)),UPPER(MID(_xlpm.DATA,1,1))&amp;LOWER(MID(_xlpm.DATA,2,LEN(_xlpm.DATA)-1)))</f>
        <v>Шляпа трилби</v>
      </c>
      <c r="E283" s="81" t="str">
        <f ca="1">PROPER(TRIM(_xlfn.XLOOKUP($A283,Строчный!$A:$A,Строчный!E:E,"ERR",0)))</f>
        <v>Herman</v>
      </c>
      <c r="F283" s="81" t="str">
        <f ca="1">LOWER(TRIM(_xlfn.XLOOKUP($A283,Строчный!$A:$A,Строчный!F:F,"ERR",0)))</f>
        <v>всесезон</v>
      </c>
      <c r="G283" s="81" t="str">
        <f ca="1">UPPER(TRIM(_xlfn.XLOOKUP($A283,Строчный!$A:$A,Строчный!G:G,"ERR",0)))</f>
        <v>HERMAN</v>
      </c>
      <c r="H283" s="81" t="str">
        <f ca="1">LOWER(TRIM(_xlfn.XLOOKUP($A283,Строчный!$A:$A,Строчный!H:H,"ERR",0)))</f>
        <v>black</v>
      </c>
      <c r="I283" s="81" t="str">
        <f ca="1">LOWER(TRIM(_xlfn.XLOOKUP($A283,Строчный!$A:$A,Строчный!I:I,"ERR",0)))</f>
        <v>черный</v>
      </c>
      <c r="J283" s="81" t="str">
        <f ca="1">SUBSTITUTE(LOWER(TRIM(_xlfn.XLOOKUP($A283,Строчный!$A:$A,Строчный!J:J,"ERR",0))),"подклад","Подклад")</f>
        <v>100% шерсть</v>
      </c>
      <c r="K283" s="81" t="str">
        <f ca="1">LOWER(TRIM(_xlfn.XLOOKUP($A283,Строчный!$A:$A,Строчный!K:K,"ERR",0)))</f>
        <v>фетровые</v>
      </c>
      <c r="L283" s="81" t="str">
        <f ca="1">PROPER(TRIM(_xlfn.XLOOKUP($A283,Строчный!$A:$A,Строчный!L:L,"ERR",0)))</f>
        <v>Унисекс</v>
      </c>
      <c r="M283" s="113" t="str">
        <f ca="1">PROPER(TRIM(_xlfn.XLOOKUP($A283,Строчный!$A:$A,Строчный!M:M,"ERR",0)))</f>
        <v>Италия</v>
      </c>
      <c r="N283" s="81" t="str">
        <f ca="1">UPPER(TRIM(_xlfn.XLOOKUP($A283,Строчный!$A:$A,Строчный!O:O,"ERR",0)))</f>
        <v/>
      </c>
      <c r="O283" s="102" t="str">
        <f ca="1">PROPER(TRIM(_xlfn.XLOOKUP($A283,Строчный!$A:$A,Строчный!P:P,"ERR",0)))</f>
        <v/>
      </c>
      <c r="P283" s="81" t="str">
        <f ca="1">PROPER(TRIM(_xlfn.XLOOKUP($A283,Строчный!$A:$A,Строчный!R:R,"ERR",0)))</f>
        <v/>
      </c>
      <c r="Q283" s="90">
        <f ca="1">VALUE(_xlfn.XLOOKUP($A283,Строчный!$A:$A,Строчный!N:N,"ERR",0))</f>
        <v>450</v>
      </c>
      <c r="R283" s="89" t="str">
        <f ca="1">_xlfn.XLOOKUP($G283,Фабрика!A:A,Фабрика!B:B,"ERR",0)</f>
        <v>Chapellerie Herman S.A.; Rue Jean Meunier, 6, 6922 Wellin, Belgium</v>
      </c>
      <c r="S283" s="80" t="str">
        <f ca="1">_xlfn.XLOOKUP(RIGHT(AA283,2),Размеры!D:D,Размеры!A:A,"ERR",0)</f>
        <v>61</v>
      </c>
      <c r="T283" s="80">
        <f ca="1">VALUE(_xlfn.XLOOKUP($AA283,Строчный!$S:$S,Строчный!U:U,"ERR",0))</f>
        <v>4</v>
      </c>
      <c r="U283" s="14" t="s">
        <v>265</v>
      </c>
      <c r="V283" s="101" t="str">
        <f t="shared" ca="1" si="23"/>
        <v>Шляпа HERMAN арт. DON BOSCO (черный)</v>
      </c>
      <c r="W283" s="100" t="str">
        <f t="shared" ca="1" si="24"/>
        <v>Шляпа HERMAN арт. DON BOSCO (черный) {black}</v>
      </c>
      <c r="X283" s="18" t="str">
        <f t="shared" ca="1" si="25"/>
        <v>черный</v>
      </c>
      <c r="Y283" s="18" t="str">
        <f t="shared" ca="1" si="26"/>
        <v>черный</v>
      </c>
      <c r="Z283" s="117" t="str">
        <f ca="1">_xlfn.LET(_xlpm.FormColors,_xlfn.XLOOKUP(A283,Строчный!A:A,Строчный!Q:Q,"",0),IF(_xlpm.FormColors=0,IFERROR(MID(I283,FIND("-",I283)+1,LEN(I283)),IFERROR(MID(I283,1,FIND("/",I283)-2),I283)),_xlpm.FormColors))</f>
        <v>черный</v>
      </c>
      <c r="AA283" s="73" t="str">
        <f ca="1"/>
        <v>80-361-52-61</v>
      </c>
      <c r="AB283" s="75" t="str">
        <f ca="1">VLOOKUP(C283,Группа!A:B,2,FALSE)</f>
        <v>Шляпа</v>
      </c>
      <c r="AC283" s="97" t="str">
        <f ca="1">IFERROR(VLOOKUP(S283,Размеры!A:C,3,FALSE),"")</f>
        <v>61 XL</v>
      </c>
      <c r="AD283" s="97" t="str">
        <f ca="1">VLOOKUP(I283,ЦветПолный!A:B,2,FALSE)</f>
        <v>09</v>
      </c>
      <c r="AE283" s="97" t="str">
        <f ca="1">IFERROR(VLOOKUP(S283,Размеры!A:D,4,FALSE),"")</f>
        <v>61</v>
      </c>
      <c r="AF283" s="97">
        <f ca="1">IF(LEFT(IFERROR(VLOOKUP(LOOKUP(2,1/SEARCH(B283,Товары!A:A),Товары!A:A),Товары!A:B,2,0),""),6)=MID(AA283,1,6),1,0)</f>
        <v>1</v>
      </c>
      <c r="AH283" s="97">
        <f ca="1">SUMIF(Группа!A:A,C283,Группа!C:C)</f>
        <v>1</v>
      </c>
      <c r="AI283" s="97">
        <f ca="1">SUMIF(Группа!B:B,AB283,Группа!C:C)</f>
        <v>1</v>
      </c>
      <c r="AJ283" s="97">
        <f ca="1">SUMIF(Формы!A:A,D283,Формы!B:B)</f>
        <v>1</v>
      </c>
      <c r="AK283" s="97">
        <f ca="1">SUMIF(Материал!A:A,K283,Материал!B:B)</f>
        <v>1</v>
      </c>
      <c r="AL283" s="97">
        <f ca="1">SUMIF(Размеры!A:A,S283,Размеры!E:E)</f>
        <v>1</v>
      </c>
      <c r="AM283" s="97">
        <f ca="1">SUMIF(Сезон!A:A,F283,Сезон!B:B)</f>
        <v>1</v>
      </c>
      <c r="AN283" s="97">
        <f ca="1">SUMIF(Состав!A:A,J283,Состав!B:B)</f>
        <v>1</v>
      </c>
      <c r="AO283" s="97">
        <f ca="1">VLOOKUP(I283,ЦветПолный!A:C,3,0)</f>
        <v>1</v>
      </c>
      <c r="AP283" s="97">
        <f ca="1">SUMIF(Цвет!A:A,Z283,Цвет!B:B)</f>
        <v>1</v>
      </c>
      <c r="AQ283" s="97">
        <f ca="1">_xlfn.XLOOKUP(L283,Пол!A:A,Пол!B:B,0,0)</f>
        <v>1</v>
      </c>
      <c r="AR283" s="97">
        <f ca="1">SUMIF(Бренд!A:A,G283,Бренд!B:B)</f>
        <v>1</v>
      </c>
      <c r="AS283" s="97">
        <f ca="1">SUMIF(Страна!A:A,M283,Страна!B:B)</f>
        <v>1</v>
      </c>
      <c r="AT283" s="64" t="str">
        <f ca="1">IF(VLOOKUP(W283,Товары!A:B,2,FALSE)=A283,"Есть в 1С","ERR")</f>
        <v>Есть в 1С</v>
      </c>
      <c r="AU283" s="65" t="str">
        <f ca="1">IF(VLOOKUP(A283,Товары!B:B,1,FALSE)=A283,"Есть в 1С","ERR")</f>
        <v>Есть в 1С</v>
      </c>
      <c r="AV283" s="96" t="str">
        <f ca="1">VLOOKUP(W283,Товары!A:B,2,FALSE)</f>
        <v>80-361-52</v>
      </c>
      <c r="AW283" s="94" t="str">
        <f ca="1">VLOOKUP(W283,Товары!A:B,1,FALSE)</f>
        <v>Шляпа HERMAN арт. DON BOSCO (черный) {black}</v>
      </c>
    </row>
    <row r="284" spans="1:49" x14ac:dyDescent="0.25">
      <c r="A284" s="110" t="str">
        <f t="shared" ca="1" si="22"/>
        <v>80-361-52</v>
      </c>
      <c r="B284" s="107" t="str">
        <f ca="1">_xlfn.LET(_xlpm.CAPS,0,_xlpm.Style,TRIM(_xlfn.XLOOKUP($A284,Строчный!$A:$A,Строчный!B:B,"ERR",0)),IF(_xlpm.CAPS=0,_xlpm.Style,UPPER(_xlpm.Style)))</f>
        <v>DON BOSCO</v>
      </c>
      <c r="C284" s="81" t="str">
        <f ca="1">TRIM(PROPER(_xlfn.XLOOKUP($A284,Строчный!$A:$A,Строчный!C:C,"ERR",0)))</f>
        <v>Шляпы</v>
      </c>
      <c r="D284" s="81" t="str">
        <f ca="1">_xlfn.LET(_xlpm.DATA,TRIM(_xlfn.XLOOKUP($A284,Строчный!$A:$A,Строчный!D:D,"ERR",0)),UPPER(MID(_xlpm.DATA,1,1))&amp;LOWER(MID(_xlpm.DATA,2,LEN(_xlpm.DATA)-1)))</f>
        <v>Шляпа трилби</v>
      </c>
      <c r="E284" s="81" t="str">
        <f ca="1">PROPER(TRIM(_xlfn.XLOOKUP($A284,Строчный!$A:$A,Строчный!E:E,"ERR",0)))</f>
        <v>Herman</v>
      </c>
      <c r="F284" s="81" t="str">
        <f ca="1">LOWER(TRIM(_xlfn.XLOOKUP($A284,Строчный!$A:$A,Строчный!F:F,"ERR",0)))</f>
        <v>всесезон</v>
      </c>
      <c r="G284" s="81" t="str">
        <f ca="1">UPPER(TRIM(_xlfn.XLOOKUP($A284,Строчный!$A:$A,Строчный!G:G,"ERR",0)))</f>
        <v>HERMAN</v>
      </c>
      <c r="H284" s="81" t="str">
        <f ca="1">LOWER(TRIM(_xlfn.XLOOKUP($A284,Строчный!$A:$A,Строчный!H:H,"ERR",0)))</f>
        <v>black</v>
      </c>
      <c r="I284" s="81" t="str">
        <f ca="1">LOWER(TRIM(_xlfn.XLOOKUP($A284,Строчный!$A:$A,Строчный!I:I,"ERR",0)))</f>
        <v>черный</v>
      </c>
      <c r="J284" s="81" t="str">
        <f ca="1">SUBSTITUTE(LOWER(TRIM(_xlfn.XLOOKUP($A284,Строчный!$A:$A,Строчный!J:J,"ERR",0))),"подклад","Подклад")</f>
        <v>100% шерсть</v>
      </c>
      <c r="K284" s="81" t="str">
        <f ca="1">LOWER(TRIM(_xlfn.XLOOKUP($A284,Строчный!$A:$A,Строчный!K:K,"ERR",0)))</f>
        <v>фетровые</v>
      </c>
      <c r="L284" s="81" t="str">
        <f ca="1">PROPER(TRIM(_xlfn.XLOOKUP($A284,Строчный!$A:$A,Строчный!L:L,"ERR",0)))</f>
        <v>Унисекс</v>
      </c>
      <c r="M284" s="113" t="str">
        <f ca="1">PROPER(TRIM(_xlfn.XLOOKUP($A284,Строчный!$A:$A,Строчный!M:M,"ERR",0)))</f>
        <v>Италия</v>
      </c>
      <c r="N284" s="81" t="str">
        <f ca="1">UPPER(TRIM(_xlfn.XLOOKUP($A284,Строчный!$A:$A,Строчный!O:O,"ERR",0)))</f>
        <v/>
      </c>
      <c r="O284" s="102" t="str">
        <f ca="1">PROPER(TRIM(_xlfn.XLOOKUP($A284,Строчный!$A:$A,Строчный!P:P,"ERR",0)))</f>
        <v/>
      </c>
      <c r="P284" s="81" t="str">
        <f ca="1">PROPER(TRIM(_xlfn.XLOOKUP($A284,Строчный!$A:$A,Строчный!R:R,"ERR",0)))</f>
        <v/>
      </c>
      <c r="Q284" s="90">
        <f ca="1">VALUE(_xlfn.XLOOKUP($A284,Строчный!$A:$A,Строчный!N:N,"ERR",0))</f>
        <v>450</v>
      </c>
      <c r="R284" s="89" t="str">
        <f ca="1">_xlfn.XLOOKUP($G284,Фабрика!A:A,Фабрика!B:B,"ERR",0)</f>
        <v>Chapellerie Herman S.A.; Rue Jean Meunier, 6, 6922 Wellin, Belgium</v>
      </c>
      <c r="S284" s="80" t="str">
        <f ca="1">_xlfn.XLOOKUP(RIGHT(AA284,2),Размеры!D:D,Размеры!A:A,"ERR",0)</f>
        <v>59</v>
      </c>
      <c r="T284" s="80">
        <f ca="1">VALUE(_xlfn.XLOOKUP($AA284,Строчный!$S:$S,Строчный!U:U,"ERR",0))</f>
        <v>2</v>
      </c>
      <c r="U284" s="14" t="s">
        <v>265</v>
      </c>
      <c r="V284" s="101" t="str">
        <f t="shared" ca="1" si="23"/>
        <v>Шляпа HERMAN арт. DON BOSCO (черный)</v>
      </c>
      <c r="W284" s="100" t="str">
        <f t="shared" ca="1" si="24"/>
        <v>Шляпа HERMAN арт. DON BOSCO (черный) {black}</v>
      </c>
      <c r="X284" s="18" t="str">
        <f t="shared" ca="1" si="25"/>
        <v>черный</v>
      </c>
      <c r="Y284" s="18" t="str">
        <f t="shared" ca="1" si="26"/>
        <v>черный</v>
      </c>
      <c r="Z284" s="117" t="str">
        <f ca="1">_xlfn.LET(_xlpm.FormColors,_xlfn.XLOOKUP(A284,Строчный!A:A,Строчный!Q:Q,"",0),IF(_xlpm.FormColors=0,IFERROR(MID(I284,FIND("-",I284)+1,LEN(I284)),IFERROR(MID(I284,1,FIND("/",I284)-2),I284)),_xlpm.FormColors))</f>
        <v>черный</v>
      </c>
      <c r="AA284" s="73" t="str">
        <f ca="1"/>
        <v>80-361-52-59</v>
      </c>
      <c r="AB284" s="75" t="str">
        <f ca="1">VLOOKUP(C284,Группа!A:B,2,FALSE)</f>
        <v>Шляпа</v>
      </c>
      <c r="AC284" s="97" t="str">
        <f ca="1">IFERROR(VLOOKUP(S284,Размеры!A:C,3,FALSE),"")</f>
        <v>59 L</v>
      </c>
      <c r="AD284" s="97" t="str">
        <f ca="1">VLOOKUP(I284,ЦветПолный!A:B,2,FALSE)</f>
        <v>09</v>
      </c>
      <c r="AE284" s="97" t="str">
        <f ca="1">IFERROR(VLOOKUP(S284,Размеры!A:D,4,FALSE),"")</f>
        <v>59</v>
      </c>
      <c r="AF284" s="97">
        <f ca="1">IF(LEFT(IFERROR(VLOOKUP(LOOKUP(2,1/SEARCH(B284,Товары!A:A),Товары!A:A),Товары!A:B,2,0),""),6)=MID(AA284,1,6),1,0)</f>
        <v>1</v>
      </c>
      <c r="AH284" s="97">
        <f ca="1">SUMIF(Группа!A:A,C284,Группа!C:C)</f>
        <v>1</v>
      </c>
      <c r="AI284" s="97">
        <f ca="1">SUMIF(Группа!B:B,AB284,Группа!C:C)</f>
        <v>1</v>
      </c>
      <c r="AJ284" s="97">
        <f ca="1">SUMIF(Формы!A:A,D284,Формы!B:B)</f>
        <v>1</v>
      </c>
      <c r="AK284" s="97">
        <f ca="1">SUMIF(Материал!A:A,K284,Материал!B:B)</f>
        <v>1</v>
      </c>
      <c r="AL284" s="97">
        <f ca="1">SUMIF(Размеры!A:A,S284,Размеры!E:E)</f>
        <v>1</v>
      </c>
      <c r="AM284" s="97">
        <f ca="1">SUMIF(Сезон!A:A,F284,Сезон!B:B)</f>
        <v>1</v>
      </c>
      <c r="AN284" s="97">
        <f ca="1">SUMIF(Состав!A:A,J284,Состав!B:B)</f>
        <v>1</v>
      </c>
      <c r="AO284" s="97">
        <f ca="1">VLOOKUP(I284,ЦветПолный!A:C,3,0)</f>
        <v>1</v>
      </c>
      <c r="AP284" s="97">
        <f ca="1">SUMIF(Цвет!A:A,Z284,Цвет!B:B)</f>
        <v>1</v>
      </c>
      <c r="AQ284" s="97">
        <f ca="1">_xlfn.XLOOKUP(L284,Пол!A:A,Пол!B:B,0,0)</f>
        <v>1</v>
      </c>
      <c r="AR284" s="97">
        <f ca="1">SUMIF(Бренд!A:A,G284,Бренд!B:B)</f>
        <v>1</v>
      </c>
      <c r="AS284" s="97">
        <f ca="1">SUMIF(Страна!A:A,M284,Страна!B:B)</f>
        <v>1</v>
      </c>
      <c r="AT284" s="64" t="str">
        <f ca="1">IF(VLOOKUP(W284,Товары!A:B,2,FALSE)=A284,"Есть в 1С","ERR")</f>
        <v>Есть в 1С</v>
      </c>
      <c r="AU284" s="65" t="str">
        <f ca="1">IF(VLOOKUP(A284,Товары!B:B,1,FALSE)=A284,"Есть в 1С","ERR")</f>
        <v>Есть в 1С</v>
      </c>
      <c r="AV284" s="96" t="str">
        <f ca="1">VLOOKUP(W284,Товары!A:B,2,FALSE)</f>
        <v>80-361-52</v>
      </c>
      <c r="AW284" s="94" t="str">
        <f ca="1">VLOOKUP(W284,Товары!A:B,1,FALSE)</f>
        <v>Шляпа HERMAN арт. DON BOSCO (черный) {black}</v>
      </c>
    </row>
    <row r="285" spans="1:49" x14ac:dyDescent="0.25">
      <c r="A285" s="110" t="str">
        <f t="shared" ca="1" si="22"/>
        <v>80-361-52</v>
      </c>
      <c r="B285" s="107" t="str">
        <f ca="1">_xlfn.LET(_xlpm.CAPS,0,_xlpm.Style,TRIM(_xlfn.XLOOKUP($A285,Строчный!$A:$A,Строчный!B:B,"ERR",0)),IF(_xlpm.CAPS=0,_xlpm.Style,UPPER(_xlpm.Style)))</f>
        <v>DON BOSCO</v>
      </c>
      <c r="C285" s="81" t="str">
        <f ca="1">TRIM(PROPER(_xlfn.XLOOKUP($A285,Строчный!$A:$A,Строчный!C:C,"ERR",0)))</f>
        <v>Шляпы</v>
      </c>
      <c r="D285" s="81" t="str">
        <f ca="1">_xlfn.LET(_xlpm.DATA,TRIM(_xlfn.XLOOKUP($A285,Строчный!$A:$A,Строчный!D:D,"ERR",0)),UPPER(MID(_xlpm.DATA,1,1))&amp;LOWER(MID(_xlpm.DATA,2,LEN(_xlpm.DATA)-1)))</f>
        <v>Шляпа трилби</v>
      </c>
      <c r="E285" s="81" t="str">
        <f ca="1">PROPER(TRIM(_xlfn.XLOOKUP($A285,Строчный!$A:$A,Строчный!E:E,"ERR",0)))</f>
        <v>Herman</v>
      </c>
      <c r="F285" s="81" t="str">
        <f ca="1">LOWER(TRIM(_xlfn.XLOOKUP($A285,Строчный!$A:$A,Строчный!F:F,"ERR",0)))</f>
        <v>всесезон</v>
      </c>
      <c r="G285" s="81" t="str">
        <f ca="1">UPPER(TRIM(_xlfn.XLOOKUP($A285,Строчный!$A:$A,Строчный!G:G,"ERR",0)))</f>
        <v>HERMAN</v>
      </c>
      <c r="H285" s="81" t="str">
        <f ca="1">LOWER(TRIM(_xlfn.XLOOKUP($A285,Строчный!$A:$A,Строчный!H:H,"ERR",0)))</f>
        <v>black</v>
      </c>
      <c r="I285" s="81" t="str">
        <f ca="1">LOWER(TRIM(_xlfn.XLOOKUP($A285,Строчный!$A:$A,Строчный!I:I,"ERR",0)))</f>
        <v>черный</v>
      </c>
      <c r="J285" s="81" t="str">
        <f ca="1">SUBSTITUTE(LOWER(TRIM(_xlfn.XLOOKUP($A285,Строчный!$A:$A,Строчный!J:J,"ERR",0))),"подклад","Подклад")</f>
        <v>100% шерсть</v>
      </c>
      <c r="K285" s="81" t="str">
        <f ca="1">LOWER(TRIM(_xlfn.XLOOKUP($A285,Строчный!$A:$A,Строчный!K:K,"ERR",0)))</f>
        <v>фетровые</v>
      </c>
      <c r="L285" s="81" t="str">
        <f ca="1">PROPER(TRIM(_xlfn.XLOOKUP($A285,Строчный!$A:$A,Строчный!L:L,"ERR",0)))</f>
        <v>Унисекс</v>
      </c>
      <c r="M285" s="113" t="str">
        <f ca="1">PROPER(TRIM(_xlfn.XLOOKUP($A285,Строчный!$A:$A,Строчный!M:M,"ERR",0)))</f>
        <v>Италия</v>
      </c>
      <c r="N285" s="81" t="str">
        <f ca="1">UPPER(TRIM(_xlfn.XLOOKUP($A285,Строчный!$A:$A,Строчный!O:O,"ERR",0)))</f>
        <v/>
      </c>
      <c r="O285" s="102" t="str">
        <f ca="1">PROPER(TRIM(_xlfn.XLOOKUP($A285,Строчный!$A:$A,Строчный!P:P,"ERR",0)))</f>
        <v/>
      </c>
      <c r="P285" s="81" t="str">
        <f ca="1">PROPER(TRIM(_xlfn.XLOOKUP($A285,Строчный!$A:$A,Строчный!R:R,"ERR",0)))</f>
        <v/>
      </c>
      <c r="Q285" s="90">
        <f ca="1">VALUE(_xlfn.XLOOKUP($A285,Строчный!$A:$A,Строчный!N:N,"ERR",0))</f>
        <v>450</v>
      </c>
      <c r="R285" s="89" t="str">
        <f ca="1">_xlfn.XLOOKUP($G285,Фабрика!A:A,Фабрика!B:B,"ERR",0)</f>
        <v>Chapellerie Herman S.A.; Rue Jean Meunier, 6, 6922 Wellin, Belgium</v>
      </c>
      <c r="S285" s="80" t="str">
        <f ca="1">_xlfn.XLOOKUP(RIGHT(AA285,2),Размеры!D:D,Размеры!A:A,"ERR",0)</f>
        <v>57</v>
      </c>
      <c r="T285" s="80">
        <f ca="1">VALUE(_xlfn.XLOOKUP($AA285,Строчный!$S:$S,Строчный!U:U,"ERR",0))</f>
        <v>1</v>
      </c>
      <c r="U285" s="14" t="s">
        <v>265</v>
      </c>
      <c r="V285" s="101" t="str">
        <f t="shared" ca="1" si="23"/>
        <v>Шляпа HERMAN арт. DON BOSCO (черный)</v>
      </c>
      <c r="W285" s="100" t="str">
        <f t="shared" ca="1" si="24"/>
        <v>Шляпа HERMAN арт. DON BOSCO (черный) {black}</v>
      </c>
      <c r="X285" s="18" t="str">
        <f t="shared" ca="1" si="25"/>
        <v>черный</v>
      </c>
      <c r="Y285" s="18" t="str">
        <f t="shared" ca="1" si="26"/>
        <v>черный</v>
      </c>
      <c r="Z285" s="117" t="str">
        <f ca="1">_xlfn.LET(_xlpm.FormColors,_xlfn.XLOOKUP(A285,Строчный!A:A,Строчный!Q:Q,"",0),IF(_xlpm.FormColors=0,IFERROR(MID(I285,FIND("-",I285)+1,LEN(I285)),IFERROR(MID(I285,1,FIND("/",I285)-2),I285)),_xlpm.FormColors))</f>
        <v>черный</v>
      </c>
      <c r="AA285" s="73" t="str">
        <f ca="1"/>
        <v>80-361-52-57</v>
      </c>
      <c r="AB285" s="75" t="str">
        <f ca="1">VLOOKUP(C285,Группа!A:B,2,FALSE)</f>
        <v>Шляпа</v>
      </c>
      <c r="AC285" s="97" t="str">
        <f ca="1">IFERROR(VLOOKUP(S285,Размеры!A:C,3,FALSE),"")</f>
        <v>57 M</v>
      </c>
      <c r="AD285" s="97" t="str">
        <f ca="1">VLOOKUP(I285,ЦветПолный!A:B,2,FALSE)</f>
        <v>09</v>
      </c>
      <c r="AE285" s="97" t="str">
        <f ca="1">IFERROR(VLOOKUP(S285,Размеры!A:D,4,FALSE),"")</f>
        <v>57</v>
      </c>
      <c r="AF285" s="97">
        <f ca="1">IF(LEFT(IFERROR(VLOOKUP(LOOKUP(2,1/SEARCH(B285,Товары!A:A),Товары!A:A),Товары!A:B,2,0),""),6)=MID(AA285,1,6),1,0)</f>
        <v>1</v>
      </c>
      <c r="AH285" s="97">
        <f ca="1">SUMIF(Группа!A:A,C285,Группа!C:C)</f>
        <v>1</v>
      </c>
      <c r="AI285" s="97">
        <f ca="1">SUMIF(Группа!B:B,AB285,Группа!C:C)</f>
        <v>1</v>
      </c>
      <c r="AJ285" s="97">
        <f ca="1">SUMIF(Формы!A:A,D285,Формы!B:B)</f>
        <v>1</v>
      </c>
      <c r="AK285" s="97">
        <f ca="1">SUMIF(Материал!A:A,K285,Материал!B:B)</f>
        <v>1</v>
      </c>
      <c r="AL285" s="97">
        <f ca="1">SUMIF(Размеры!A:A,S285,Размеры!E:E)</f>
        <v>1</v>
      </c>
      <c r="AM285" s="97">
        <f ca="1">SUMIF(Сезон!A:A,F285,Сезон!B:B)</f>
        <v>1</v>
      </c>
      <c r="AN285" s="97">
        <f ca="1">SUMIF(Состав!A:A,J285,Состав!B:B)</f>
        <v>1</v>
      </c>
      <c r="AO285" s="97">
        <f ca="1">VLOOKUP(I285,ЦветПолный!A:C,3,0)</f>
        <v>1</v>
      </c>
      <c r="AP285" s="97">
        <f ca="1">SUMIF(Цвет!A:A,Z285,Цвет!B:B)</f>
        <v>1</v>
      </c>
      <c r="AQ285" s="97">
        <f ca="1">_xlfn.XLOOKUP(L285,Пол!A:A,Пол!B:B,0,0)</f>
        <v>1</v>
      </c>
      <c r="AR285" s="97">
        <f ca="1">SUMIF(Бренд!A:A,G285,Бренд!B:B)</f>
        <v>1</v>
      </c>
      <c r="AS285" s="97">
        <f ca="1">SUMIF(Страна!A:A,M285,Страна!B:B)</f>
        <v>1</v>
      </c>
      <c r="AT285" s="64" t="str">
        <f ca="1">IF(VLOOKUP(W285,Товары!A:B,2,FALSE)=A285,"Есть в 1С","ERR")</f>
        <v>Есть в 1С</v>
      </c>
      <c r="AU285" s="65" t="str">
        <f ca="1">IF(VLOOKUP(A285,Товары!B:B,1,FALSE)=A285,"Есть в 1С","ERR")</f>
        <v>Есть в 1С</v>
      </c>
      <c r="AV285" s="96" t="str">
        <f ca="1">VLOOKUP(W285,Товары!A:B,2,FALSE)</f>
        <v>80-361-52</v>
      </c>
      <c r="AW285" s="94" t="str">
        <f ca="1">VLOOKUP(W285,Товары!A:B,1,FALSE)</f>
        <v>Шляпа HERMAN арт. DON BOSCO (черный) {black}</v>
      </c>
    </row>
    <row r="286" spans="1:49" x14ac:dyDescent="0.25">
      <c r="A286" s="110" t="str">
        <f t="shared" ca="1" si="22"/>
        <v>80-361-52</v>
      </c>
      <c r="B286" s="107" t="str">
        <f ca="1">_xlfn.LET(_xlpm.CAPS,0,_xlpm.Style,TRIM(_xlfn.XLOOKUP($A286,Строчный!$A:$A,Строчный!B:B,"ERR",0)),IF(_xlpm.CAPS=0,_xlpm.Style,UPPER(_xlpm.Style)))</f>
        <v>DON BOSCO</v>
      </c>
      <c r="C286" s="81" t="str">
        <f ca="1">TRIM(PROPER(_xlfn.XLOOKUP($A286,Строчный!$A:$A,Строчный!C:C,"ERR",0)))</f>
        <v>Шляпы</v>
      </c>
      <c r="D286" s="81" t="str">
        <f ca="1">_xlfn.LET(_xlpm.DATA,TRIM(_xlfn.XLOOKUP($A286,Строчный!$A:$A,Строчный!D:D,"ERR",0)),UPPER(MID(_xlpm.DATA,1,1))&amp;LOWER(MID(_xlpm.DATA,2,LEN(_xlpm.DATA)-1)))</f>
        <v>Шляпа трилби</v>
      </c>
      <c r="E286" s="81" t="str">
        <f ca="1">PROPER(TRIM(_xlfn.XLOOKUP($A286,Строчный!$A:$A,Строчный!E:E,"ERR",0)))</f>
        <v>Herman</v>
      </c>
      <c r="F286" s="81" t="str">
        <f ca="1">LOWER(TRIM(_xlfn.XLOOKUP($A286,Строчный!$A:$A,Строчный!F:F,"ERR",0)))</f>
        <v>всесезон</v>
      </c>
      <c r="G286" s="81" t="str">
        <f ca="1">UPPER(TRIM(_xlfn.XLOOKUP($A286,Строчный!$A:$A,Строчный!G:G,"ERR",0)))</f>
        <v>HERMAN</v>
      </c>
      <c r="H286" s="81" t="str">
        <f ca="1">LOWER(TRIM(_xlfn.XLOOKUP($A286,Строчный!$A:$A,Строчный!H:H,"ERR",0)))</f>
        <v>black</v>
      </c>
      <c r="I286" s="81" t="str">
        <f ca="1">LOWER(TRIM(_xlfn.XLOOKUP($A286,Строчный!$A:$A,Строчный!I:I,"ERR",0)))</f>
        <v>черный</v>
      </c>
      <c r="J286" s="81" t="str">
        <f ca="1">SUBSTITUTE(LOWER(TRIM(_xlfn.XLOOKUP($A286,Строчный!$A:$A,Строчный!J:J,"ERR",0))),"подклад","Подклад")</f>
        <v>100% шерсть</v>
      </c>
      <c r="K286" s="81" t="str">
        <f ca="1">LOWER(TRIM(_xlfn.XLOOKUP($A286,Строчный!$A:$A,Строчный!K:K,"ERR",0)))</f>
        <v>фетровые</v>
      </c>
      <c r="L286" s="81" t="str">
        <f ca="1">PROPER(TRIM(_xlfn.XLOOKUP($A286,Строчный!$A:$A,Строчный!L:L,"ERR",0)))</f>
        <v>Унисекс</v>
      </c>
      <c r="M286" s="113" t="str">
        <f ca="1">PROPER(TRIM(_xlfn.XLOOKUP($A286,Строчный!$A:$A,Строчный!M:M,"ERR",0)))</f>
        <v>Италия</v>
      </c>
      <c r="N286" s="81" t="str">
        <f ca="1">UPPER(TRIM(_xlfn.XLOOKUP($A286,Строчный!$A:$A,Строчный!O:O,"ERR",0)))</f>
        <v/>
      </c>
      <c r="O286" s="102" t="str">
        <f ca="1">PROPER(TRIM(_xlfn.XLOOKUP($A286,Строчный!$A:$A,Строчный!P:P,"ERR",0)))</f>
        <v/>
      </c>
      <c r="P286" s="81" t="str">
        <f ca="1">PROPER(TRIM(_xlfn.XLOOKUP($A286,Строчный!$A:$A,Строчный!R:R,"ERR",0)))</f>
        <v/>
      </c>
      <c r="Q286" s="90">
        <f ca="1">VALUE(_xlfn.XLOOKUP($A286,Строчный!$A:$A,Строчный!N:N,"ERR",0))</f>
        <v>450</v>
      </c>
      <c r="R286" s="89" t="str">
        <f ca="1">_xlfn.XLOOKUP($G286,Фабрика!A:A,Фабрика!B:B,"ERR",0)</f>
        <v>Chapellerie Herman S.A.; Rue Jean Meunier, 6, 6922 Wellin, Belgium</v>
      </c>
      <c r="S286" s="80" t="str">
        <f ca="1">_xlfn.XLOOKUP(RIGHT(AA286,2),Размеры!D:D,Размеры!A:A,"ERR",0)</f>
        <v>55</v>
      </c>
      <c r="T286" s="80">
        <f ca="1">VALUE(_xlfn.XLOOKUP($AA286,Строчный!$S:$S,Строчный!U:U,"ERR",0))</f>
        <v>1</v>
      </c>
      <c r="U286" s="14" t="s">
        <v>265</v>
      </c>
      <c r="V286" s="101" t="str">
        <f t="shared" ca="1" si="23"/>
        <v>Шляпа HERMAN арт. DON BOSCO (черный)</v>
      </c>
      <c r="W286" s="100" t="str">
        <f t="shared" ca="1" si="24"/>
        <v>Шляпа HERMAN арт. DON BOSCO (черный) {black}</v>
      </c>
      <c r="X286" s="18" t="str">
        <f t="shared" ca="1" si="25"/>
        <v>черный</v>
      </c>
      <c r="Y286" s="18" t="str">
        <f t="shared" ca="1" si="26"/>
        <v>черный</v>
      </c>
      <c r="Z286" s="117" t="str">
        <f ca="1">_xlfn.LET(_xlpm.FormColors,_xlfn.XLOOKUP(A286,Строчный!A:A,Строчный!Q:Q,"",0),IF(_xlpm.FormColors=0,IFERROR(MID(I286,FIND("-",I286)+1,LEN(I286)),IFERROR(MID(I286,1,FIND("/",I286)-2),I286)),_xlpm.FormColors))</f>
        <v>черный</v>
      </c>
      <c r="AA286" s="73" t="str">
        <f ca="1"/>
        <v>80-361-52-55</v>
      </c>
      <c r="AB286" s="75" t="str">
        <f ca="1">VLOOKUP(C286,Группа!A:B,2,FALSE)</f>
        <v>Шляпа</v>
      </c>
      <c r="AC286" s="97" t="str">
        <f ca="1">IFERROR(VLOOKUP(S286,Размеры!A:C,3,FALSE),"")</f>
        <v>55 S</v>
      </c>
      <c r="AD286" s="97" t="str">
        <f ca="1">VLOOKUP(I286,ЦветПолный!A:B,2,FALSE)</f>
        <v>09</v>
      </c>
      <c r="AE286" s="97" t="str">
        <f ca="1">IFERROR(VLOOKUP(S286,Размеры!A:D,4,FALSE),"")</f>
        <v>55</v>
      </c>
      <c r="AF286" s="97">
        <f ca="1">IF(LEFT(IFERROR(VLOOKUP(LOOKUP(2,1/SEARCH(B286,Товары!A:A),Товары!A:A),Товары!A:B,2,0),""),6)=MID(AA286,1,6),1,0)</f>
        <v>1</v>
      </c>
      <c r="AH286" s="97">
        <f ca="1">SUMIF(Группа!A:A,C286,Группа!C:C)</f>
        <v>1</v>
      </c>
      <c r="AI286" s="97">
        <f ca="1">SUMIF(Группа!B:B,AB286,Группа!C:C)</f>
        <v>1</v>
      </c>
      <c r="AJ286" s="97">
        <f ca="1">SUMIF(Формы!A:A,D286,Формы!B:B)</f>
        <v>1</v>
      </c>
      <c r="AK286" s="97">
        <f ca="1">SUMIF(Материал!A:A,K286,Материал!B:B)</f>
        <v>1</v>
      </c>
      <c r="AL286" s="97">
        <f ca="1">SUMIF(Размеры!A:A,S286,Размеры!E:E)</f>
        <v>1</v>
      </c>
      <c r="AM286" s="97">
        <f ca="1">SUMIF(Сезон!A:A,F286,Сезон!B:B)</f>
        <v>1</v>
      </c>
      <c r="AN286" s="97">
        <f ca="1">SUMIF(Состав!A:A,J286,Состав!B:B)</f>
        <v>1</v>
      </c>
      <c r="AO286" s="97">
        <f ca="1">VLOOKUP(I286,ЦветПолный!A:C,3,0)</f>
        <v>1</v>
      </c>
      <c r="AP286" s="97">
        <f ca="1">SUMIF(Цвет!A:A,Z286,Цвет!B:B)</f>
        <v>1</v>
      </c>
      <c r="AQ286" s="97">
        <f ca="1">_xlfn.XLOOKUP(L286,Пол!A:A,Пол!B:B,0,0)</f>
        <v>1</v>
      </c>
      <c r="AR286" s="97">
        <f ca="1">SUMIF(Бренд!A:A,G286,Бренд!B:B)</f>
        <v>1</v>
      </c>
      <c r="AS286" s="97">
        <f ca="1">SUMIF(Страна!A:A,M286,Страна!B:B)</f>
        <v>1</v>
      </c>
      <c r="AT286" s="64" t="str">
        <f ca="1">IF(VLOOKUP(W286,Товары!A:B,2,FALSE)=A286,"Есть в 1С","ERR")</f>
        <v>Есть в 1С</v>
      </c>
      <c r="AU286" s="65" t="str">
        <f ca="1">IF(VLOOKUP(A286,Товары!B:B,1,FALSE)=A286,"Есть в 1С","ERR")</f>
        <v>Есть в 1С</v>
      </c>
      <c r="AV286" s="96" t="str">
        <f ca="1">VLOOKUP(W286,Товары!A:B,2,FALSE)</f>
        <v>80-361-52</v>
      </c>
      <c r="AW286" s="94" t="str">
        <f ca="1">VLOOKUP(W286,Товары!A:B,1,FALSE)</f>
        <v>Шляпа HERMAN арт. DON BOSCO (черный) {black}</v>
      </c>
    </row>
    <row r="287" spans="1:49" x14ac:dyDescent="0.25">
      <c r="A287" s="110" t="str">
        <f t="shared" ca="1" si="22"/>
        <v>80-268-16</v>
      </c>
      <c r="B287" s="107" t="str">
        <f ca="1">_xlfn.LET(_xlpm.CAPS,0,_xlpm.Style,TRIM(_xlfn.XLOOKUP($A287,Строчный!$A:$A,Строчный!B:B,"ERR",0)),IF(_xlpm.CAPS=0,_xlpm.Style,UPPER(_xlpm.Style)))</f>
        <v>JUSTIN 8534</v>
      </c>
      <c r="C287" s="81" t="str">
        <f ca="1">TRIM(PROPER(_xlfn.XLOOKUP($A287,Строчный!$A:$A,Строчный!C:C,"ERR",0)))</f>
        <v>Шапки</v>
      </c>
      <c r="D287" s="81" t="str">
        <f ca="1">_xlfn.LET(_xlpm.DATA,TRIM(_xlfn.XLOOKUP($A287,Строчный!$A:$A,Строчный!D:D,"ERR",0)),UPPER(MID(_xlpm.DATA,1,1))&amp;LOWER(MID(_xlpm.DATA,2,LEN(_xlpm.DATA)-1)))</f>
        <v>Шапка вязаная</v>
      </c>
      <c r="E287" s="81" t="str">
        <f ca="1">PROPER(TRIM(_xlfn.XLOOKUP($A287,Строчный!$A:$A,Строчный!E:E,"ERR",0)))</f>
        <v>Herman</v>
      </c>
      <c r="F287" s="81" t="str">
        <f ca="1">LOWER(TRIM(_xlfn.XLOOKUP($A287,Строчный!$A:$A,Строчный!F:F,"ERR",0)))</f>
        <v>зимний</v>
      </c>
      <c r="G287" s="81" t="str">
        <f ca="1">UPPER(TRIM(_xlfn.XLOOKUP($A287,Строчный!$A:$A,Строчный!G:G,"ERR",0)))</f>
        <v>HERMAN</v>
      </c>
      <c r="H287" s="81" t="str">
        <f ca="1">LOWER(TRIM(_xlfn.XLOOKUP($A287,Строчный!$A:$A,Строчный!H:H,"ERR",0)))</f>
        <v>navy</v>
      </c>
      <c r="I287" s="81" t="str">
        <f ca="1">LOWER(TRIM(_xlfn.XLOOKUP($A287,Строчный!$A:$A,Строчный!I:I,"ERR",0)))</f>
        <v>темно-синий</v>
      </c>
      <c r="J287" s="81" t="str">
        <f ca="1">SUBSTITUTE(LOWER(TRIM(_xlfn.XLOOKUP($A287,Строчный!$A:$A,Строчный!J:J,"ERR",0))),"подклад","Подклад")</f>
        <v>70% акрил - 30% шерсть</v>
      </c>
      <c r="K287" s="81" t="str">
        <f ca="1">LOWER(TRIM(_xlfn.XLOOKUP($A287,Строчный!$A:$A,Строчный!K:K,"ERR",0)))</f>
        <v>шерстяные</v>
      </c>
      <c r="L287" s="81" t="str">
        <f ca="1">PROPER(TRIM(_xlfn.XLOOKUP($A287,Строчный!$A:$A,Строчный!L:L,"ERR",0)))</f>
        <v>Унисекс</v>
      </c>
      <c r="M287" s="113" t="str">
        <f ca="1">PROPER(TRIM(_xlfn.XLOOKUP($A287,Строчный!$A:$A,Строчный!M:M,"ERR",0)))</f>
        <v>Китай</v>
      </c>
      <c r="N287" s="81" t="str">
        <f ca="1">UPPER(TRIM(_xlfn.XLOOKUP($A287,Строчный!$A:$A,Строчный!O:O,"ERR",0)))</f>
        <v/>
      </c>
      <c r="O287" s="102" t="str">
        <f ca="1">PROPER(TRIM(_xlfn.XLOOKUP($A287,Строчный!$A:$A,Строчный!P:P,"ERR",0)))</f>
        <v/>
      </c>
      <c r="P287" s="81" t="str">
        <f ca="1">PROPER(TRIM(_xlfn.XLOOKUP($A287,Строчный!$A:$A,Строчный!R:R,"ERR",0)))</f>
        <v/>
      </c>
      <c r="Q287" s="90">
        <f ca="1">VALUE(_xlfn.XLOOKUP($A287,Строчный!$A:$A,Строчный!N:N,"ERR",0))</f>
        <v>180</v>
      </c>
      <c r="R287" s="89" t="str">
        <f ca="1">_xlfn.XLOOKUP($G287,Фабрика!A:A,Фабрика!B:B,"ERR",0)</f>
        <v>Chapellerie Herman S.A.; Rue Jean Meunier, 6, 6922 Wellin, Belgium</v>
      </c>
      <c r="S287" s="80" t="str">
        <f ca="1">_xlfn.XLOOKUP(RIGHT(AA287,2),Размеры!D:D,Размеры!A:A,"ERR",0)</f>
        <v>ONE</v>
      </c>
      <c r="T287" s="80">
        <f ca="1">VALUE(_xlfn.XLOOKUP($AA287,Строчный!$S:$S,Строчный!U:U,"ERR",0))</f>
        <v>30</v>
      </c>
      <c r="U287" s="14" t="s">
        <v>265</v>
      </c>
      <c r="V287" s="101" t="str">
        <f t="shared" ca="1" si="23"/>
        <v>Шапка HERMAN арт. JUSTIN 8534 (темно-синий)</v>
      </c>
      <c r="W287" s="100" t="str">
        <f t="shared" ca="1" si="24"/>
        <v>Шапка HERMAN арт. JUSTIN 8534 (темно-синий) {navy}</v>
      </c>
      <c r="X287" s="18" t="str">
        <f t="shared" ca="1" si="25"/>
        <v>синий</v>
      </c>
      <c r="Y287" s="18" t="str">
        <f t="shared" ca="1" si="26"/>
        <v>синий</v>
      </c>
      <c r="Z287" s="117" t="str">
        <f ca="1">_xlfn.LET(_xlpm.FormColors,_xlfn.XLOOKUP(A287,Строчный!A:A,Строчный!Q:Q,"",0),IF(_xlpm.FormColors=0,IFERROR(MID(I287,FIND("-",I287)+1,LEN(I287)),IFERROR(MID(I287,1,FIND("/",I287)-2),I287)),_xlpm.FormColors))</f>
        <v>синий</v>
      </c>
      <c r="AA287" s="73" t="str">
        <f ca="1"/>
        <v>80-268-16-00</v>
      </c>
      <c r="AB287" s="75" t="str">
        <f ca="1">VLOOKUP(C287,Группа!A:B,2,FALSE)</f>
        <v>Шапка</v>
      </c>
      <c r="AC287" s="97" t="str">
        <f ca="1">IFERROR(VLOOKUP(S287,Размеры!A:C,3,FALSE),"")</f>
        <v>ONE</v>
      </c>
      <c r="AD287" s="97" t="str">
        <f ca="1">VLOOKUP(I287,ЦветПолный!A:B,2,FALSE)</f>
        <v>16</v>
      </c>
      <c r="AE287" s="97" t="str">
        <f ca="1">IFERROR(VLOOKUP(S287,Размеры!A:D,4,FALSE),"")</f>
        <v>00</v>
      </c>
      <c r="AF287" s="97">
        <f ca="1">IF(LEFT(IFERROR(VLOOKUP(LOOKUP(2,1/SEARCH(B287,Товары!A:A),Товары!A:A),Товары!A:B,2,0),""),6)=MID(AA287,1,6),1,0)</f>
        <v>1</v>
      </c>
      <c r="AH287" s="97">
        <f ca="1">SUMIF(Группа!A:A,C287,Группа!C:C)</f>
        <v>1</v>
      </c>
      <c r="AI287" s="97">
        <f ca="1">SUMIF(Группа!B:B,AB287,Группа!C:C)</f>
        <v>1</v>
      </c>
      <c r="AJ287" s="97">
        <f ca="1">SUMIF(Формы!A:A,D287,Формы!B:B)</f>
        <v>1</v>
      </c>
      <c r="AK287" s="97">
        <f ca="1">SUMIF(Материал!A:A,K287,Материал!B:B)</f>
        <v>1</v>
      </c>
      <c r="AL287" s="97">
        <f ca="1">SUMIF(Размеры!A:A,S287,Размеры!E:E)</f>
        <v>1</v>
      </c>
      <c r="AM287" s="97">
        <f ca="1">SUMIF(Сезон!A:A,F287,Сезон!B:B)</f>
        <v>1</v>
      </c>
      <c r="AN287" s="97">
        <f ca="1">SUMIF(Состав!A:A,J287,Состав!B:B)</f>
        <v>1</v>
      </c>
      <c r="AO287" s="97">
        <f ca="1">VLOOKUP(I287,ЦветПолный!A:C,3,0)</f>
        <v>1</v>
      </c>
      <c r="AP287" s="97">
        <f ca="1">SUMIF(Цвет!A:A,Z287,Цвет!B:B)</f>
        <v>1</v>
      </c>
      <c r="AQ287" s="97">
        <f ca="1">_xlfn.XLOOKUP(L287,Пол!A:A,Пол!B:B,0,0)</f>
        <v>1</v>
      </c>
      <c r="AR287" s="97">
        <f ca="1">SUMIF(Бренд!A:A,G287,Бренд!B:B)</f>
        <v>1</v>
      </c>
      <c r="AS287" s="97">
        <f ca="1">SUMIF(Страна!A:A,M287,Страна!B:B)</f>
        <v>1</v>
      </c>
      <c r="AT287" s="64" t="str">
        <f ca="1">IF(VLOOKUP(W287,Товары!A:B,2,FALSE)=A287,"Есть в 1С","ERR")</f>
        <v>Есть в 1С</v>
      </c>
      <c r="AU287" s="65" t="str">
        <f ca="1">IF(VLOOKUP(A287,Товары!B:B,1,FALSE)=A287,"Есть в 1С","ERR")</f>
        <v>Есть в 1С</v>
      </c>
      <c r="AV287" s="96" t="str">
        <f ca="1">VLOOKUP(W287,Товары!A:B,2,FALSE)</f>
        <v>80-268-16</v>
      </c>
      <c r="AW287" s="94" t="str">
        <f ca="1">VLOOKUP(W287,Товары!A:B,1,FALSE)</f>
        <v>Шапка HERMAN арт. JUSTIN 8534 (темно-синий) {navy}</v>
      </c>
    </row>
    <row r="288" spans="1:49" x14ac:dyDescent="0.25">
      <c r="A288" s="110" t="str">
        <f t="shared" ca="1" si="22"/>
        <v>80-268-09</v>
      </c>
      <c r="B288" s="107" t="str">
        <f ca="1">_xlfn.LET(_xlpm.CAPS,0,_xlpm.Style,TRIM(_xlfn.XLOOKUP($A288,Строчный!$A:$A,Строчный!B:B,"ERR",0)),IF(_xlpm.CAPS=0,_xlpm.Style,UPPER(_xlpm.Style)))</f>
        <v>JUSTIN 8534</v>
      </c>
      <c r="C288" s="81" t="str">
        <f ca="1">TRIM(PROPER(_xlfn.XLOOKUP($A288,Строчный!$A:$A,Строчный!C:C,"ERR",0)))</f>
        <v>Шапки</v>
      </c>
      <c r="D288" s="81" t="str">
        <f ca="1">_xlfn.LET(_xlpm.DATA,TRIM(_xlfn.XLOOKUP($A288,Строчный!$A:$A,Строчный!D:D,"ERR",0)),UPPER(MID(_xlpm.DATA,1,1))&amp;LOWER(MID(_xlpm.DATA,2,LEN(_xlpm.DATA)-1)))</f>
        <v>Шапка вязаная</v>
      </c>
      <c r="E288" s="81" t="str">
        <f ca="1">PROPER(TRIM(_xlfn.XLOOKUP($A288,Строчный!$A:$A,Строчный!E:E,"ERR",0)))</f>
        <v>Herman</v>
      </c>
      <c r="F288" s="81" t="str">
        <f ca="1">LOWER(TRIM(_xlfn.XLOOKUP($A288,Строчный!$A:$A,Строчный!F:F,"ERR",0)))</f>
        <v>зимний</v>
      </c>
      <c r="G288" s="81" t="str">
        <f ca="1">UPPER(TRIM(_xlfn.XLOOKUP($A288,Строчный!$A:$A,Строчный!G:G,"ERR",0)))</f>
        <v>HERMAN</v>
      </c>
      <c r="H288" s="81" t="str">
        <f ca="1">LOWER(TRIM(_xlfn.XLOOKUP($A288,Строчный!$A:$A,Строчный!H:H,"ERR",0)))</f>
        <v>black</v>
      </c>
      <c r="I288" s="81" t="str">
        <f ca="1">LOWER(TRIM(_xlfn.XLOOKUP($A288,Строчный!$A:$A,Строчный!I:I,"ERR",0)))</f>
        <v>черный</v>
      </c>
      <c r="J288" s="81" t="str">
        <f ca="1">SUBSTITUTE(LOWER(TRIM(_xlfn.XLOOKUP($A288,Строчный!$A:$A,Строчный!J:J,"ERR",0))),"подклад","Подклад")</f>
        <v>70% акрил - 30% шерсть</v>
      </c>
      <c r="K288" s="81" t="str">
        <f ca="1">LOWER(TRIM(_xlfn.XLOOKUP($A288,Строчный!$A:$A,Строчный!K:K,"ERR",0)))</f>
        <v>шерстяные</v>
      </c>
      <c r="L288" s="81" t="str">
        <f ca="1">PROPER(TRIM(_xlfn.XLOOKUP($A288,Строчный!$A:$A,Строчный!L:L,"ERR",0)))</f>
        <v>Унисекс</v>
      </c>
      <c r="M288" s="113" t="str">
        <f ca="1">PROPER(TRIM(_xlfn.XLOOKUP($A288,Строчный!$A:$A,Строчный!M:M,"ERR",0)))</f>
        <v>Китай</v>
      </c>
      <c r="N288" s="81" t="str">
        <f ca="1">UPPER(TRIM(_xlfn.XLOOKUP($A288,Строчный!$A:$A,Строчный!O:O,"ERR",0)))</f>
        <v/>
      </c>
      <c r="O288" s="102" t="str">
        <f ca="1">PROPER(TRIM(_xlfn.XLOOKUP($A288,Строчный!$A:$A,Строчный!P:P,"ERR",0)))</f>
        <v/>
      </c>
      <c r="P288" s="81" t="str">
        <f ca="1">PROPER(TRIM(_xlfn.XLOOKUP($A288,Строчный!$A:$A,Строчный!R:R,"ERR",0)))</f>
        <v/>
      </c>
      <c r="Q288" s="90">
        <f ca="1">VALUE(_xlfn.XLOOKUP($A288,Строчный!$A:$A,Строчный!N:N,"ERR",0))</f>
        <v>180</v>
      </c>
      <c r="R288" s="89" t="str">
        <f ca="1">_xlfn.XLOOKUP($G288,Фабрика!A:A,Фабрика!B:B,"ERR",0)</f>
        <v>Chapellerie Herman S.A.; Rue Jean Meunier, 6, 6922 Wellin, Belgium</v>
      </c>
      <c r="S288" s="80" t="str">
        <f ca="1">_xlfn.XLOOKUP(RIGHT(AA288,2),Размеры!D:D,Размеры!A:A,"ERR",0)</f>
        <v>ONE</v>
      </c>
      <c r="T288" s="80">
        <f ca="1">VALUE(_xlfn.XLOOKUP($AA288,Строчный!$S:$S,Строчный!U:U,"ERR",0))</f>
        <v>45</v>
      </c>
      <c r="U288" s="14" t="s">
        <v>265</v>
      </c>
      <c r="V288" s="101" t="str">
        <f t="shared" ca="1" si="23"/>
        <v>Шапка HERMAN арт. JUSTIN 8534 (черный)</v>
      </c>
      <c r="W288" s="100" t="str">
        <f t="shared" ca="1" si="24"/>
        <v>Шапка HERMAN арт. JUSTIN 8534 (черный) {black}</v>
      </c>
      <c r="X288" s="18" t="str">
        <f t="shared" ca="1" si="25"/>
        <v>черный</v>
      </c>
      <c r="Y288" s="18" t="str">
        <f t="shared" ca="1" si="26"/>
        <v>черный</v>
      </c>
      <c r="Z288" s="117" t="str">
        <f ca="1">_xlfn.LET(_xlpm.FormColors,_xlfn.XLOOKUP(A288,Строчный!A:A,Строчный!Q:Q,"",0),IF(_xlpm.FormColors=0,IFERROR(MID(I288,FIND("-",I288)+1,LEN(I288)),IFERROR(MID(I288,1,FIND("/",I288)-2),I288)),_xlpm.FormColors))</f>
        <v>черный</v>
      </c>
      <c r="AA288" s="73" t="str">
        <f ca="1"/>
        <v>80-268-09-00</v>
      </c>
      <c r="AB288" s="75" t="str">
        <f ca="1">VLOOKUP(C288,Группа!A:B,2,FALSE)</f>
        <v>Шапка</v>
      </c>
      <c r="AC288" s="97" t="str">
        <f ca="1">IFERROR(VLOOKUP(S288,Размеры!A:C,3,FALSE),"")</f>
        <v>ONE</v>
      </c>
      <c r="AD288" s="97" t="str">
        <f ca="1">VLOOKUP(I288,ЦветПолный!A:B,2,FALSE)</f>
        <v>09</v>
      </c>
      <c r="AE288" s="97" t="str">
        <f ca="1">IFERROR(VLOOKUP(S288,Размеры!A:D,4,FALSE),"")</f>
        <v>00</v>
      </c>
      <c r="AF288" s="97">
        <f ca="1">IF(LEFT(IFERROR(VLOOKUP(LOOKUP(2,1/SEARCH(B288,Товары!A:A),Товары!A:A),Товары!A:B,2,0),""),6)=MID(AA288,1,6),1,0)</f>
        <v>1</v>
      </c>
      <c r="AH288" s="97">
        <f ca="1">SUMIF(Группа!A:A,C288,Группа!C:C)</f>
        <v>1</v>
      </c>
      <c r="AI288" s="97">
        <f ca="1">SUMIF(Группа!B:B,AB288,Группа!C:C)</f>
        <v>1</v>
      </c>
      <c r="AJ288" s="97">
        <f ca="1">SUMIF(Формы!A:A,D288,Формы!B:B)</f>
        <v>1</v>
      </c>
      <c r="AK288" s="97">
        <f ca="1">SUMIF(Материал!A:A,K288,Материал!B:B)</f>
        <v>1</v>
      </c>
      <c r="AL288" s="97">
        <f ca="1">SUMIF(Размеры!A:A,S288,Размеры!E:E)</f>
        <v>1</v>
      </c>
      <c r="AM288" s="97">
        <f ca="1">SUMIF(Сезон!A:A,F288,Сезон!B:B)</f>
        <v>1</v>
      </c>
      <c r="AN288" s="97">
        <f ca="1">SUMIF(Состав!A:A,J288,Состав!B:B)</f>
        <v>1</v>
      </c>
      <c r="AO288" s="97">
        <f ca="1">VLOOKUP(I288,ЦветПолный!A:C,3,0)</f>
        <v>1</v>
      </c>
      <c r="AP288" s="97">
        <f ca="1">SUMIF(Цвет!A:A,Z288,Цвет!B:B)</f>
        <v>1</v>
      </c>
      <c r="AQ288" s="97">
        <f ca="1">_xlfn.XLOOKUP(L288,Пол!A:A,Пол!B:B,0,0)</f>
        <v>1</v>
      </c>
      <c r="AR288" s="97">
        <f ca="1">SUMIF(Бренд!A:A,G288,Бренд!B:B)</f>
        <v>1</v>
      </c>
      <c r="AS288" s="97">
        <f ca="1">SUMIF(Страна!A:A,M288,Страна!B:B)</f>
        <v>1</v>
      </c>
      <c r="AT288" s="64" t="str">
        <f ca="1">IF(VLOOKUP(W288,Товары!A:B,2,FALSE)=A288,"Есть в 1С","ERR")</f>
        <v>Есть в 1С</v>
      </c>
      <c r="AU288" s="65" t="str">
        <f ca="1">IF(VLOOKUP(A288,Товары!B:B,1,FALSE)=A288,"Есть в 1С","ERR")</f>
        <v>Есть в 1С</v>
      </c>
      <c r="AV288" s="96" t="str">
        <f ca="1">VLOOKUP(W288,Товары!A:B,2,FALSE)</f>
        <v>80-268-09</v>
      </c>
      <c r="AW288" s="94" t="str">
        <f ca="1">VLOOKUP(W288,Товары!A:B,1,FALSE)</f>
        <v>Шапка HERMAN арт. JUSTIN 8534 (черный) {black}</v>
      </c>
    </row>
    <row r="289" spans="1:49" x14ac:dyDescent="0.25">
      <c r="A289" s="110" t="str">
        <f t="shared" ca="1" si="22"/>
        <v>80-268-08</v>
      </c>
      <c r="B289" s="107" t="str">
        <f ca="1">_xlfn.LET(_xlpm.CAPS,0,_xlpm.Style,TRIM(_xlfn.XLOOKUP($A289,Строчный!$A:$A,Строчный!B:B,"ERR",0)),IF(_xlpm.CAPS=0,_xlpm.Style,UPPER(_xlpm.Style)))</f>
        <v>JUSTIN 8534</v>
      </c>
      <c r="C289" s="81" t="str">
        <f ca="1">TRIM(PROPER(_xlfn.XLOOKUP($A289,Строчный!$A:$A,Строчный!C:C,"ERR",0)))</f>
        <v>Шапки</v>
      </c>
      <c r="D289" s="81" t="str">
        <f ca="1">_xlfn.LET(_xlpm.DATA,TRIM(_xlfn.XLOOKUP($A289,Строчный!$A:$A,Строчный!D:D,"ERR",0)),UPPER(MID(_xlpm.DATA,1,1))&amp;LOWER(MID(_xlpm.DATA,2,LEN(_xlpm.DATA)-1)))</f>
        <v>Шапка вязаная</v>
      </c>
      <c r="E289" s="81" t="str">
        <f ca="1">PROPER(TRIM(_xlfn.XLOOKUP($A289,Строчный!$A:$A,Строчный!E:E,"ERR",0)))</f>
        <v>Herman</v>
      </c>
      <c r="F289" s="81" t="str">
        <f ca="1">LOWER(TRIM(_xlfn.XLOOKUP($A289,Строчный!$A:$A,Строчный!F:F,"ERR",0)))</f>
        <v>зимний</v>
      </c>
      <c r="G289" s="81" t="str">
        <f ca="1">UPPER(TRIM(_xlfn.XLOOKUP($A289,Строчный!$A:$A,Строчный!G:G,"ERR",0)))</f>
        <v>HERMAN</v>
      </c>
      <c r="H289" s="81" t="str">
        <f ca="1">LOWER(TRIM(_xlfn.XLOOKUP($A289,Строчный!$A:$A,Строчный!H:H,"ERR",0)))</f>
        <v>grey</v>
      </c>
      <c r="I289" s="81" t="str">
        <f ca="1">LOWER(TRIM(_xlfn.XLOOKUP($A289,Строчный!$A:$A,Строчный!I:I,"ERR",0)))</f>
        <v>серый</v>
      </c>
      <c r="J289" s="81" t="str">
        <f ca="1">SUBSTITUTE(LOWER(TRIM(_xlfn.XLOOKUP($A289,Строчный!$A:$A,Строчный!J:J,"ERR",0))),"подклад","Подклад")</f>
        <v>70% акрил - 30% шерсть</v>
      </c>
      <c r="K289" s="81" t="str">
        <f ca="1">LOWER(TRIM(_xlfn.XLOOKUP($A289,Строчный!$A:$A,Строчный!K:K,"ERR",0)))</f>
        <v>шерстяные</v>
      </c>
      <c r="L289" s="81" t="str">
        <f ca="1">PROPER(TRIM(_xlfn.XLOOKUP($A289,Строчный!$A:$A,Строчный!L:L,"ERR",0)))</f>
        <v>Унисекс</v>
      </c>
      <c r="M289" s="113" t="str">
        <f ca="1">PROPER(TRIM(_xlfn.XLOOKUP($A289,Строчный!$A:$A,Строчный!M:M,"ERR",0)))</f>
        <v>Китай</v>
      </c>
      <c r="N289" s="81" t="str">
        <f ca="1">UPPER(TRIM(_xlfn.XLOOKUP($A289,Строчный!$A:$A,Строчный!O:O,"ERR",0)))</f>
        <v/>
      </c>
      <c r="O289" s="102" t="str">
        <f ca="1">PROPER(TRIM(_xlfn.XLOOKUP($A289,Строчный!$A:$A,Строчный!P:P,"ERR",0)))</f>
        <v/>
      </c>
      <c r="P289" s="81" t="str">
        <f ca="1">PROPER(TRIM(_xlfn.XLOOKUP($A289,Строчный!$A:$A,Строчный!R:R,"ERR",0)))</f>
        <v/>
      </c>
      <c r="Q289" s="90">
        <f ca="1">VALUE(_xlfn.XLOOKUP($A289,Строчный!$A:$A,Строчный!N:N,"ERR",0))</f>
        <v>180</v>
      </c>
      <c r="R289" s="89" t="str">
        <f ca="1">_xlfn.XLOOKUP($G289,Фабрика!A:A,Фабрика!B:B,"ERR",0)</f>
        <v>Chapellerie Herman S.A.; Rue Jean Meunier, 6, 6922 Wellin, Belgium</v>
      </c>
      <c r="S289" s="80" t="str">
        <f ca="1">_xlfn.XLOOKUP(RIGHT(AA289,2),Размеры!D:D,Размеры!A:A,"ERR",0)</f>
        <v>ONE</v>
      </c>
      <c r="T289" s="80">
        <f ca="1">VALUE(_xlfn.XLOOKUP($AA289,Строчный!$S:$S,Строчный!U:U,"ERR",0))</f>
        <v>30</v>
      </c>
      <c r="U289" s="14" t="s">
        <v>265</v>
      </c>
      <c r="V289" s="101" t="str">
        <f t="shared" ca="1" si="23"/>
        <v>Шапка HERMAN арт. JUSTIN 8534 (серый)</v>
      </c>
      <c r="W289" s="100" t="str">
        <f t="shared" ca="1" si="24"/>
        <v>Шапка HERMAN арт. JUSTIN 8534 (серый) {grey}</v>
      </c>
      <c r="X289" s="18" t="str">
        <f t="shared" ca="1" si="25"/>
        <v>серый</v>
      </c>
      <c r="Y289" s="18" t="str">
        <f t="shared" ca="1" si="26"/>
        <v>серый</v>
      </c>
      <c r="Z289" s="117" t="str">
        <f ca="1">_xlfn.LET(_xlpm.FormColors,_xlfn.XLOOKUP(A289,Строчный!A:A,Строчный!Q:Q,"",0),IF(_xlpm.FormColors=0,IFERROR(MID(I289,FIND("-",I289)+1,LEN(I289)),IFERROR(MID(I289,1,FIND("/",I289)-2),I289)),_xlpm.FormColors))</f>
        <v>серый</v>
      </c>
      <c r="AA289" s="73" t="str">
        <f ca="1"/>
        <v>80-268-08-00</v>
      </c>
      <c r="AB289" s="75" t="str">
        <f ca="1">VLOOKUP(C289,Группа!A:B,2,FALSE)</f>
        <v>Шапка</v>
      </c>
      <c r="AC289" s="97" t="str">
        <f ca="1">IFERROR(VLOOKUP(S289,Размеры!A:C,3,FALSE),"")</f>
        <v>ONE</v>
      </c>
      <c r="AD289" s="97" t="str">
        <f ca="1">VLOOKUP(I289,ЦветПолный!A:B,2,FALSE)</f>
        <v>80</v>
      </c>
      <c r="AE289" s="97" t="str">
        <f ca="1">IFERROR(VLOOKUP(S289,Размеры!A:D,4,FALSE),"")</f>
        <v>00</v>
      </c>
      <c r="AF289" s="97">
        <f ca="1">IF(LEFT(IFERROR(VLOOKUP(LOOKUP(2,1/SEARCH(B289,Товары!A:A),Товары!A:A),Товары!A:B,2,0),""),6)=MID(AA289,1,6),1,0)</f>
        <v>1</v>
      </c>
      <c r="AH289" s="97">
        <f ca="1">SUMIF(Группа!A:A,C289,Группа!C:C)</f>
        <v>1</v>
      </c>
      <c r="AI289" s="97">
        <f ca="1">SUMIF(Группа!B:B,AB289,Группа!C:C)</f>
        <v>1</v>
      </c>
      <c r="AJ289" s="97">
        <f ca="1">SUMIF(Формы!A:A,D289,Формы!B:B)</f>
        <v>1</v>
      </c>
      <c r="AK289" s="97">
        <f ca="1">SUMIF(Материал!A:A,K289,Материал!B:B)</f>
        <v>1</v>
      </c>
      <c r="AL289" s="97">
        <f ca="1">SUMIF(Размеры!A:A,S289,Размеры!E:E)</f>
        <v>1</v>
      </c>
      <c r="AM289" s="97">
        <f ca="1">SUMIF(Сезон!A:A,F289,Сезон!B:B)</f>
        <v>1</v>
      </c>
      <c r="AN289" s="97">
        <f ca="1">SUMIF(Состав!A:A,J289,Состав!B:B)</f>
        <v>1</v>
      </c>
      <c r="AO289" s="97">
        <f ca="1">VLOOKUP(I289,ЦветПолный!A:C,3,0)</f>
        <v>1</v>
      </c>
      <c r="AP289" s="97">
        <f ca="1">SUMIF(Цвет!A:A,Z289,Цвет!B:B)</f>
        <v>1</v>
      </c>
      <c r="AQ289" s="97">
        <f ca="1">_xlfn.XLOOKUP(L289,Пол!A:A,Пол!B:B,0,0)</f>
        <v>1</v>
      </c>
      <c r="AR289" s="97">
        <f ca="1">SUMIF(Бренд!A:A,G289,Бренд!B:B)</f>
        <v>1</v>
      </c>
      <c r="AS289" s="97">
        <f ca="1">SUMIF(Страна!A:A,M289,Страна!B:B)</f>
        <v>1</v>
      </c>
      <c r="AT289" s="64" t="str">
        <f ca="1">IF(VLOOKUP(W289,Товары!A:B,2,FALSE)=A289,"Есть в 1С","ERR")</f>
        <v>Есть в 1С</v>
      </c>
      <c r="AU289" s="65" t="str">
        <f ca="1">IF(VLOOKUP(A289,Товары!B:B,1,FALSE)=A289,"Есть в 1С","ERR")</f>
        <v>Есть в 1С</v>
      </c>
      <c r="AV289" s="96" t="str">
        <f ca="1">VLOOKUP(W289,Товары!A:B,2,FALSE)</f>
        <v>80-268-08</v>
      </c>
      <c r="AW289" s="94" t="str">
        <f ca="1">VLOOKUP(W289,Товары!A:B,1,FALSE)</f>
        <v>Шапка HERMAN арт. JUSTIN 8534 (серый) {grey}</v>
      </c>
    </row>
    <row r="290" spans="1:49" x14ac:dyDescent="0.25">
      <c r="A290" s="110" t="str">
        <f t="shared" ca="1" si="22"/>
        <v>80-161-16</v>
      </c>
      <c r="B290" s="107" t="str">
        <f ca="1">_xlfn.LET(_xlpm.CAPS,0,_xlpm.Style,TRIM(_xlfn.XLOOKUP($A290,Строчный!$A:$A,Строчный!B:B,"ERR",0)),IF(_xlpm.CAPS=0,_xlpm.Style,UPPER(_xlpm.Style)))</f>
        <v>CONQUEST SWEAT</v>
      </c>
      <c r="C290" s="81" t="str">
        <f ca="1">TRIM(PROPER(_xlfn.XLOOKUP($A290,Строчный!$A:$A,Строчный!C:C,"ERR",0)))</f>
        <v>Бейсболки</v>
      </c>
      <c r="D290" s="81" t="str">
        <f ca="1">_xlfn.LET(_xlpm.DATA,TRIM(_xlfn.XLOOKUP($A290,Строчный!$A:$A,Строчный!D:D,"ERR",0)),UPPER(MID(_xlpm.DATA,1,1))&amp;LOWER(MID(_xlpm.DATA,2,LEN(_xlpm.DATA)-1)))</f>
        <v>Бейсболка</v>
      </c>
      <c r="E290" s="81" t="str">
        <f ca="1">PROPER(TRIM(_xlfn.XLOOKUP($A290,Строчный!$A:$A,Строчный!E:E,"ERR",0)))</f>
        <v>Herman</v>
      </c>
      <c r="F290" s="81" t="str">
        <f ca="1">LOWER(TRIM(_xlfn.XLOOKUP($A290,Строчный!$A:$A,Строчный!F:F,"ERR",0)))</f>
        <v>всесезон</v>
      </c>
      <c r="G290" s="81" t="str">
        <f ca="1">UPPER(TRIM(_xlfn.XLOOKUP($A290,Строчный!$A:$A,Строчный!G:G,"ERR",0)))</f>
        <v>HERMAN</v>
      </c>
      <c r="H290" s="81" t="str">
        <f ca="1">LOWER(TRIM(_xlfn.XLOOKUP($A290,Строчный!$A:$A,Строчный!H:H,"ERR",0)))</f>
        <v>navy</v>
      </c>
      <c r="I290" s="81" t="str">
        <f ca="1">LOWER(TRIM(_xlfn.XLOOKUP($A290,Строчный!$A:$A,Строчный!I:I,"ERR",0)))</f>
        <v>темно-синий</v>
      </c>
      <c r="J290" s="81" t="str">
        <f ca="1">SUBSTITUTE(LOWER(TRIM(_xlfn.XLOOKUP($A290,Строчный!$A:$A,Строчный!J:J,"ERR",0))),"подклад","Подклад")</f>
        <v>100% хлопок</v>
      </c>
      <c r="K290" s="81" t="str">
        <f ca="1">LOWER(TRIM(_xlfn.XLOOKUP($A290,Строчный!$A:$A,Строчный!K:K,"ERR",0)))</f>
        <v>хлопковые</v>
      </c>
      <c r="L290" s="81" t="str">
        <f ca="1">PROPER(TRIM(_xlfn.XLOOKUP($A290,Строчный!$A:$A,Строчный!L:L,"ERR",0)))</f>
        <v>Унисекс</v>
      </c>
      <c r="M290" s="113" t="str">
        <f ca="1">PROPER(TRIM(_xlfn.XLOOKUP($A290,Строчный!$A:$A,Строчный!M:M,"ERR",0)))</f>
        <v>Италия</v>
      </c>
      <c r="N290" s="81" t="str">
        <f ca="1">UPPER(TRIM(_xlfn.XLOOKUP($A290,Строчный!$A:$A,Строчный!O:O,"ERR",0)))</f>
        <v/>
      </c>
      <c r="O290" s="102" t="str">
        <f ca="1">PROPER(TRIM(_xlfn.XLOOKUP($A290,Строчный!$A:$A,Строчный!P:P,"ERR",0)))</f>
        <v/>
      </c>
      <c r="P290" s="81" t="str">
        <f ca="1">PROPER(TRIM(_xlfn.XLOOKUP($A290,Строчный!$A:$A,Строчный!R:R,"ERR",0)))</f>
        <v/>
      </c>
      <c r="Q290" s="90">
        <f ca="1">VALUE(_xlfn.XLOOKUP($A290,Строчный!$A:$A,Строчный!N:N,"ERR",0))</f>
        <v>315</v>
      </c>
      <c r="R290" s="89" t="str">
        <f ca="1">_xlfn.XLOOKUP($G290,Фабрика!A:A,Фабрика!B:B,"ERR",0)</f>
        <v>Chapellerie Herman S.A.; Rue Jean Meunier, 6, 6922 Wellin, Belgium</v>
      </c>
      <c r="S290" s="80" t="str">
        <f ca="1">_xlfn.XLOOKUP(RIGHT(AA290,2),Размеры!D:D,Размеры!A:A,"ERR",0)</f>
        <v>62</v>
      </c>
      <c r="T290" s="80">
        <f ca="1">VALUE(_xlfn.XLOOKUP($AA290,Строчный!$S:$S,Строчный!U:U,"ERR",0))</f>
        <v>4</v>
      </c>
      <c r="U290" s="14" t="s">
        <v>265</v>
      </c>
      <c r="V290" s="101" t="str">
        <f t="shared" ca="1" si="23"/>
        <v>Бейсболка HERMAN арт. CONQUEST SWEAT (темно-синий)</v>
      </c>
      <c r="W290" s="100" t="str">
        <f t="shared" ca="1" si="24"/>
        <v>Бейсболка HERMAN арт. CONQUEST SWEAT (темно-синий) {navy}</v>
      </c>
      <c r="X290" s="18" t="str">
        <f t="shared" ca="1" si="25"/>
        <v>синий</v>
      </c>
      <c r="Y290" s="18" t="str">
        <f t="shared" ca="1" si="26"/>
        <v>синий</v>
      </c>
      <c r="Z290" s="117" t="str">
        <f ca="1">_xlfn.LET(_xlpm.FormColors,_xlfn.XLOOKUP(A290,Строчный!A:A,Строчный!Q:Q,"",0),IF(_xlpm.FormColors=0,IFERROR(MID(I290,FIND("-",I290)+1,LEN(I290)),IFERROR(MID(I290,1,FIND("/",I290)-2),I290)),_xlpm.FormColors))</f>
        <v>синий</v>
      </c>
      <c r="AA290" s="73" t="str">
        <f ca="1"/>
        <v>80-161-16-62</v>
      </c>
      <c r="AB290" s="75" t="str">
        <f ca="1">VLOOKUP(C290,Группа!A:B,2,FALSE)</f>
        <v>Бейсболка</v>
      </c>
      <c r="AC290" s="97" t="str">
        <f ca="1">IFERROR(VLOOKUP(S290,Размеры!A:C,3,FALSE),"")</f>
        <v>62 XL/XXL</v>
      </c>
      <c r="AD290" s="97" t="str">
        <f ca="1">VLOOKUP(I290,ЦветПолный!A:B,2,FALSE)</f>
        <v>16</v>
      </c>
      <c r="AE290" s="97" t="str">
        <f ca="1">IFERROR(VLOOKUP(S290,Размеры!A:D,4,FALSE),"")</f>
        <v>62</v>
      </c>
      <c r="AF290" s="97">
        <f ca="1">IF(LEFT(IFERROR(VLOOKUP(LOOKUP(2,1/SEARCH(B290,Товары!A:A),Товары!A:A),Товары!A:B,2,0),""),6)=MID(AA290,1,6),1,0)</f>
        <v>1</v>
      </c>
      <c r="AH290" s="97">
        <f ca="1">SUMIF(Группа!A:A,C290,Группа!C:C)</f>
        <v>1</v>
      </c>
      <c r="AI290" s="97">
        <f ca="1">SUMIF(Группа!B:B,AB290,Группа!C:C)</f>
        <v>1</v>
      </c>
      <c r="AJ290" s="97">
        <f ca="1">SUMIF(Формы!A:A,D290,Формы!B:B)</f>
        <v>1</v>
      </c>
      <c r="AK290" s="97">
        <f ca="1">SUMIF(Материал!A:A,K290,Материал!B:B)</f>
        <v>1</v>
      </c>
      <c r="AL290" s="97">
        <f ca="1">SUMIF(Размеры!A:A,S290,Размеры!E:E)</f>
        <v>1</v>
      </c>
      <c r="AM290" s="97">
        <f ca="1">SUMIF(Сезон!A:A,F290,Сезон!B:B)</f>
        <v>1</v>
      </c>
      <c r="AN290" s="97">
        <f ca="1">SUMIF(Состав!A:A,J290,Состав!B:B)</f>
        <v>1</v>
      </c>
      <c r="AO290" s="97">
        <f ca="1">VLOOKUP(I290,ЦветПолный!A:C,3,0)</f>
        <v>1</v>
      </c>
      <c r="AP290" s="97">
        <f ca="1">SUMIF(Цвет!A:A,Z290,Цвет!B:B)</f>
        <v>1</v>
      </c>
      <c r="AQ290" s="97">
        <f ca="1">_xlfn.XLOOKUP(L290,Пол!A:A,Пол!B:B,0,0)</f>
        <v>1</v>
      </c>
      <c r="AR290" s="97">
        <f ca="1">SUMIF(Бренд!A:A,G290,Бренд!B:B)</f>
        <v>1</v>
      </c>
      <c r="AS290" s="97">
        <f ca="1">SUMIF(Страна!A:A,M290,Страна!B:B)</f>
        <v>1</v>
      </c>
      <c r="AT290" s="64" t="str">
        <f ca="1">IF(VLOOKUP(W290,Товары!A:B,2,FALSE)=A290,"Есть в 1С","ERR")</f>
        <v>Есть в 1С</v>
      </c>
      <c r="AU290" s="65" t="str">
        <f ca="1">IF(VLOOKUP(A290,Товары!B:B,1,FALSE)=A290,"Есть в 1С","ERR")</f>
        <v>Есть в 1С</v>
      </c>
      <c r="AV290" s="96" t="str">
        <f ca="1">VLOOKUP(W290,Товары!A:B,2,FALSE)</f>
        <v>80-161-16</v>
      </c>
      <c r="AW290" s="94" t="str">
        <f ca="1">VLOOKUP(W290,Товары!A:B,1,FALSE)</f>
        <v>Бейсболка HERMAN арт. CONQUEST SWEAT (темно-синий) {navy}</v>
      </c>
    </row>
    <row r="291" spans="1:49" x14ac:dyDescent="0.25">
      <c r="A291" s="110" t="str">
        <f t="shared" ca="1" si="22"/>
        <v>80-161-16</v>
      </c>
      <c r="B291" s="107" t="str">
        <f ca="1">_xlfn.LET(_xlpm.CAPS,0,_xlpm.Style,TRIM(_xlfn.XLOOKUP($A291,Строчный!$A:$A,Строчный!B:B,"ERR",0)),IF(_xlpm.CAPS=0,_xlpm.Style,UPPER(_xlpm.Style)))</f>
        <v>CONQUEST SWEAT</v>
      </c>
      <c r="C291" s="81" t="str">
        <f ca="1">TRIM(PROPER(_xlfn.XLOOKUP($A291,Строчный!$A:$A,Строчный!C:C,"ERR",0)))</f>
        <v>Бейсболки</v>
      </c>
      <c r="D291" s="81" t="str">
        <f ca="1">_xlfn.LET(_xlpm.DATA,TRIM(_xlfn.XLOOKUP($A291,Строчный!$A:$A,Строчный!D:D,"ERR",0)),UPPER(MID(_xlpm.DATA,1,1))&amp;LOWER(MID(_xlpm.DATA,2,LEN(_xlpm.DATA)-1)))</f>
        <v>Бейсболка</v>
      </c>
      <c r="E291" s="81" t="str">
        <f ca="1">PROPER(TRIM(_xlfn.XLOOKUP($A291,Строчный!$A:$A,Строчный!E:E,"ERR",0)))</f>
        <v>Herman</v>
      </c>
      <c r="F291" s="81" t="str">
        <f ca="1">LOWER(TRIM(_xlfn.XLOOKUP($A291,Строчный!$A:$A,Строчный!F:F,"ERR",0)))</f>
        <v>всесезон</v>
      </c>
      <c r="G291" s="81" t="str">
        <f ca="1">UPPER(TRIM(_xlfn.XLOOKUP($A291,Строчный!$A:$A,Строчный!G:G,"ERR",0)))</f>
        <v>HERMAN</v>
      </c>
      <c r="H291" s="81" t="str">
        <f ca="1">LOWER(TRIM(_xlfn.XLOOKUP($A291,Строчный!$A:$A,Строчный!H:H,"ERR",0)))</f>
        <v>navy</v>
      </c>
      <c r="I291" s="81" t="str">
        <f ca="1">LOWER(TRIM(_xlfn.XLOOKUP($A291,Строчный!$A:$A,Строчный!I:I,"ERR",0)))</f>
        <v>темно-синий</v>
      </c>
      <c r="J291" s="81" t="str">
        <f ca="1">SUBSTITUTE(LOWER(TRIM(_xlfn.XLOOKUP($A291,Строчный!$A:$A,Строчный!J:J,"ERR",0))),"подклад","Подклад")</f>
        <v>100% хлопок</v>
      </c>
      <c r="K291" s="81" t="str">
        <f ca="1">LOWER(TRIM(_xlfn.XLOOKUP($A291,Строчный!$A:$A,Строчный!K:K,"ERR",0)))</f>
        <v>хлопковые</v>
      </c>
      <c r="L291" s="81" t="str">
        <f ca="1">PROPER(TRIM(_xlfn.XLOOKUP($A291,Строчный!$A:$A,Строчный!L:L,"ERR",0)))</f>
        <v>Унисекс</v>
      </c>
      <c r="M291" s="113" t="str">
        <f ca="1">PROPER(TRIM(_xlfn.XLOOKUP($A291,Строчный!$A:$A,Строчный!M:M,"ERR",0)))</f>
        <v>Италия</v>
      </c>
      <c r="N291" s="81" t="str">
        <f ca="1">UPPER(TRIM(_xlfn.XLOOKUP($A291,Строчный!$A:$A,Строчный!O:O,"ERR",0)))</f>
        <v/>
      </c>
      <c r="O291" s="102" t="str">
        <f ca="1">PROPER(TRIM(_xlfn.XLOOKUP($A291,Строчный!$A:$A,Строчный!P:P,"ERR",0)))</f>
        <v/>
      </c>
      <c r="P291" s="81" t="str">
        <f ca="1">PROPER(TRIM(_xlfn.XLOOKUP($A291,Строчный!$A:$A,Строчный!R:R,"ERR",0)))</f>
        <v/>
      </c>
      <c r="Q291" s="90">
        <f ca="1">VALUE(_xlfn.XLOOKUP($A291,Строчный!$A:$A,Строчный!N:N,"ERR",0))</f>
        <v>315</v>
      </c>
      <c r="R291" s="89" t="str">
        <f ca="1">_xlfn.XLOOKUP($G291,Фабрика!A:A,Фабрика!B:B,"ERR",0)</f>
        <v>Chapellerie Herman S.A.; Rue Jean Meunier, 6, 6922 Wellin, Belgium</v>
      </c>
      <c r="S291" s="80" t="str">
        <f ca="1">_xlfn.XLOOKUP(RIGHT(AA291,2),Размеры!D:D,Размеры!A:A,"ERR",0)</f>
        <v>61</v>
      </c>
      <c r="T291" s="80">
        <f ca="1">VALUE(_xlfn.XLOOKUP($AA291,Строчный!$S:$S,Строчный!U:U,"ERR",0))</f>
        <v>18</v>
      </c>
      <c r="U291" s="14" t="s">
        <v>265</v>
      </c>
      <c r="V291" s="101" t="str">
        <f t="shared" ca="1" si="23"/>
        <v>Бейсболка HERMAN арт. CONQUEST SWEAT (темно-синий)</v>
      </c>
      <c r="W291" s="100" t="str">
        <f t="shared" ca="1" si="24"/>
        <v>Бейсболка HERMAN арт. CONQUEST SWEAT (темно-синий) {navy}</v>
      </c>
      <c r="X291" s="18" t="str">
        <f t="shared" ca="1" si="25"/>
        <v>синий</v>
      </c>
      <c r="Y291" s="18" t="str">
        <f t="shared" ca="1" si="26"/>
        <v>синий</v>
      </c>
      <c r="Z291" s="117" t="str">
        <f ca="1">_xlfn.LET(_xlpm.FormColors,_xlfn.XLOOKUP(A291,Строчный!A:A,Строчный!Q:Q,"",0),IF(_xlpm.FormColors=0,IFERROR(MID(I291,FIND("-",I291)+1,LEN(I291)),IFERROR(MID(I291,1,FIND("/",I291)-2),I291)),_xlpm.FormColors))</f>
        <v>синий</v>
      </c>
      <c r="AA291" s="73" t="str">
        <f ca="1"/>
        <v>80-161-16-61</v>
      </c>
      <c r="AB291" s="75" t="str">
        <f ca="1">VLOOKUP(C291,Группа!A:B,2,FALSE)</f>
        <v>Бейсболка</v>
      </c>
      <c r="AC291" s="97" t="str">
        <f ca="1">IFERROR(VLOOKUP(S291,Размеры!A:C,3,FALSE),"")</f>
        <v>61 XL</v>
      </c>
      <c r="AD291" s="97" t="str">
        <f ca="1">VLOOKUP(I291,ЦветПолный!A:B,2,FALSE)</f>
        <v>16</v>
      </c>
      <c r="AE291" s="97" t="str">
        <f ca="1">IFERROR(VLOOKUP(S291,Размеры!A:D,4,FALSE),"")</f>
        <v>61</v>
      </c>
      <c r="AF291" s="97">
        <f ca="1">IF(LEFT(IFERROR(VLOOKUP(LOOKUP(2,1/SEARCH(B291,Товары!A:A),Товары!A:A),Товары!A:B,2,0),""),6)=MID(AA291,1,6),1,0)</f>
        <v>1</v>
      </c>
      <c r="AH291" s="97">
        <f ca="1">SUMIF(Группа!A:A,C291,Группа!C:C)</f>
        <v>1</v>
      </c>
      <c r="AI291" s="97">
        <f ca="1">SUMIF(Группа!B:B,AB291,Группа!C:C)</f>
        <v>1</v>
      </c>
      <c r="AJ291" s="97">
        <f ca="1">SUMIF(Формы!A:A,D291,Формы!B:B)</f>
        <v>1</v>
      </c>
      <c r="AK291" s="97">
        <f ca="1">SUMIF(Материал!A:A,K291,Материал!B:B)</f>
        <v>1</v>
      </c>
      <c r="AL291" s="97">
        <f ca="1">SUMIF(Размеры!A:A,S291,Размеры!E:E)</f>
        <v>1</v>
      </c>
      <c r="AM291" s="97">
        <f ca="1">SUMIF(Сезон!A:A,F291,Сезон!B:B)</f>
        <v>1</v>
      </c>
      <c r="AN291" s="97">
        <f ca="1">SUMIF(Состав!A:A,J291,Состав!B:B)</f>
        <v>1</v>
      </c>
      <c r="AO291" s="97">
        <f ca="1">VLOOKUP(I291,ЦветПолный!A:C,3,0)</f>
        <v>1</v>
      </c>
      <c r="AP291" s="97">
        <f ca="1">SUMIF(Цвет!A:A,Z291,Цвет!B:B)</f>
        <v>1</v>
      </c>
      <c r="AQ291" s="97">
        <f ca="1">_xlfn.XLOOKUP(L291,Пол!A:A,Пол!B:B,0,0)</f>
        <v>1</v>
      </c>
      <c r="AR291" s="97">
        <f ca="1">SUMIF(Бренд!A:A,G291,Бренд!B:B)</f>
        <v>1</v>
      </c>
      <c r="AS291" s="97">
        <f ca="1">SUMIF(Страна!A:A,M291,Страна!B:B)</f>
        <v>1</v>
      </c>
      <c r="AT291" s="64" t="str">
        <f ca="1">IF(VLOOKUP(W291,Товары!A:B,2,FALSE)=A291,"Есть в 1С","ERR")</f>
        <v>Есть в 1С</v>
      </c>
      <c r="AU291" s="65" t="str">
        <f ca="1">IF(VLOOKUP(A291,Товары!B:B,1,FALSE)=A291,"Есть в 1С","ERR")</f>
        <v>Есть в 1С</v>
      </c>
      <c r="AV291" s="96" t="str">
        <f ca="1">VLOOKUP(W291,Товары!A:B,2,FALSE)</f>
        <v>80-161-16</v>
      </c>
      <c r="AW291" s="94" t="str">
        <f ca="1">VLOOKUP(W291,Товары!A:B,1,FALSE)</f>
        <v>Бейсболка HERMAN арт. CONQUEST SWEAT (темно-синий) {navy}</v>
      </c>
    </row>
    <row r="292" spans="1:49" x14ac:dyDescent="0.25">
      <c r="A292" s="110" t="str">
        <f t="shared" ca="1" si="22"/>
        <v>80-161-16</v>
      </c>
      <c r="B292" s="107" t="str">
        <f ca="1">_xlfn.LET(_xlpm.CAPS,0,_xlpm.Style,TRIM(_xlfn.XLOOKUP($A292,Строчный!$A:$A,Строчный!B:B,"ERR",0)),IF(_xlpm.CAPS=0,_xlpm.Style,UPPER(_xlpm.Style)))</f>
        <v>CONQUEST SWEAT</v>
      </c>
      <c r="C292" s="81" t="str">
        <f ca="1">TRIM(PROPER(_xlfn.XLOOKUP($A292,Строчный!$A:$A,Строчный!C:C,"ERR",0)))</f>
        <v>Бейсболки</v>
      </c>
      <c r="D292" s="81" t="str">
        <f ca="1">_xlfn.LET(_xlpm.DATA,TRIM(_xlfn.XLOOKUP($A292,Строчный!$A:$A,Строчный!D:D,"ERR",0)),UPPER(MID(_xlpm.DATA,1,1))&amp;LOWER(MID(_xlpm.DATA,2,LEN(_xlpm.DATA)-1)))</f>
        <v>Бейсболка</v>
      </c>
      <c r="E292" s="81" t="str">
        <f ca="1">PROPER(TRIM(_xlfn.XLOOKUP($A292,Строчный!$A:$A,Строчный!E:E,"ERR",0)))</f>
        <v>Herman</v>
      </c>
      <c r="F292" s="81" t="str">
        <f ca="1">LOWER(TRIM(_xlfn.XLOOKUP($A292,Строчный!$A:$A,Строчный!F:F,"ERR",0)))</f>
        <v>всесезон</v>
      </c>
      <c r="G292" s="81" t="str">
        <f ca="1">UPPER(TRIM(_xlfn.XLOOKUP($A292,Строчный!$A:$A,Строчный!G:G,"ERR",0)))</f>
        <v>HERMAN</v>
      </c>
      <c r="H292" s="81" t="str">
        <f ca="1">LOWER(TRIM(_xlfn.XLOOKUP($A292,Строчный!$A:$A,Строчный!H:H,"ERR",0)))</f>
        <v>navy</v>
      </c>
      <c r="I292" s="81" t="str">
        <f ca="1">LOWER(TRIM(_xlfn.XLOOKUP($A292,Строчный!$A:$A,Строчный!I:I,"ERR",0)))</f>
        <v>темно-синий</v>
      </c>
      <c r="J292" s="81" t="str">
        <f ca="1">SUBSTITUTE(LOWER(TRIM(_xlfn.XLOOKUP($A292,Строчный!$A:$A,Строчный!J:J,"ERR",0))),"подклад","Подклад")</f>
        <v>100% хлопок</v>
      </c>
      <c r="K292" s="81" t="str">
        <f ca="1">LOWER(TRIM(_xlfn.XLOOKUP($A292,Строчный!$A:$A,Строчный!K:K,"ERR",0)))</f>
        <v>хлопковые</v>
      </c>
      <c r="L292" s="81" t="str">
        <f ca="1">PROPER(TRIM(_xlfn.XLOOKUP($A292,Строчный!$A:$A,Строчный!L:L,"ERR",0)))</f>
        <v>Унисекс</v>
      </c>
      <c r="M292" s="113" t="str">
        <f ca="1">PROPER(TRIM(_xlfn.XLOOKUP($A292,Строчный!$A:$A,Строчный!M:M,"ERR",0)))</f>
        <v>Италия</v>
      </c>
      <c r="N292" s="81" t="str">
        <f ca="1">UPPER(TRIM(_xlfn.XLOOKUP($A292,Строчный!$A:$A,Строчный!O:O,"ERR",0)))</f>
        <v/>
      </c>
      <c r="O292" s="102" t="str">
        <f ca="1">PROPER(TRIM(_xlfn.XLOOKUP($A292,Строчный!$A:$A,Строчный!P:P,"ERR",0)))</f>
        <v/>
      </c>
      <c r="P292" s="81" t="str">
        <f ca="1">PROPER(TRIM(_xlfn.XLOOKUP($A292,Строчный!$A:$A,Строчный!R:R,"ERR",0)))</f>
        <v/>
      </c>
      <c r="Q292" s="90">
        <f ca="1">VALUE(_xlfn.XLOOKUP($A292,Строчный!$A:$A,Строчный!N:N,"ERR",0))</f>
        <v>315</v>
      </c>
      <c r="R292" s="89" t="str">
        <f ca="1">_xlfn.XLOOKUP($G292,Фабрика!A:A,Фабрика!B:B,"ERR",0)</f>
        <v>Chapellerie Herman S.A.; Rue Jean Meunier, 6, 6922 Wellin, Belgium</v>
      </c>
      <c r="S292" s="80" t="str">
        <f ca="1">_xlfn.XLOOKUP(RIGHT(AA292,2),Размеры!D:D,Размеры!A:A,"ERR",0)</f>
        <v>60</v>
      </c>
      <c r="T292" s="80">
        <f ca="1">VALUE(_xlfn.XLOOKUP($AA292,Строчный!$S:$S,Строчный!U:U,"ERR",0))</f>
        <v>47</v>
      </c>
      <c r="U292" s="14" t="s">
        <v>265</v>
      </c>
      <c r="V292" s="101" t="str">
        <f t="shared" ca="1" si="23"/>
        <v>Бейсболка HERMAN арт. CONQUEST SWEAT (темно-синий)</v>
      </c>
      <c r="W292" s="100" t="str">
        <f t="shared" ca="1" si="24"/>
        <v>Бейсболка HERMAN арт. CONQUEST SWEAT (темно-синий) {navy}</v>
      </c>
      <c r="X292" s="18" t="str">
        <f t="shared" ca="1" si="25"/>
        <v>синий</v>
      </c>
      <c r="Y292" s="18" t="str">
        <f t="shared" ca="1" si="26"/>
        <v>синий</v>
      </c>
      <c r="Z292" s="117" t="str">
        <f ca="1">_xlfn.LET(_xlpm.FormColors,_xlfn.XLOOKUP(A292,Строчный!A:A,Строчный!Q:Q,"",0),IF(_xlpm.FormColors=0,IFERROR(MID(I292,FIND("-",I292)+1,LEN(I292)),IFERROR(MID(I292,1,FIND("/",I292)-2),I292)),_xlpm.FormColors))</f>
        <v>синий</v>
      </c>
      <c r="AA292" s="73" t="str">
        <f ca="1"/>
        <v>80-161-16-60</v>
      </c>
      <c r="AB292" s="75" t="str">
        <f ca="1">VLOOKUP(C292,Группа!A:B,2,FALSE)</f>
        <v>Бейсболка</v>
      </c>
      <c r="AC292" s="97" t="str">
        <f ca="1">IFERROR(VLOOKUP(S292,Размеры!A:C,3,FALSE),"")</f>
        <v>60 L/XL</v>
      </c>
      <c r="AD292" s="97" t="str">
        <f ca="1">VLOOKUP(I292,ЦветПолный!A:B,2,FALSE)</f>
        <v>16</v>
      </c>
      <c r="AE292" s="97" t="str">
        <f ca="1">IFERROR(VLOOKUP(S292,Размеры!A:D,4,FALSE),"")</f>
        <v>60</v>
      </c>
      <c r="AF292" s="97">
        <f ca="1">IF(LEFT(IFERROR(VLOOKUP(LOOKUP(2,1/SEARCH(B292,Товары!A:A),Товары!A:A),Товары!A:B,2,0),""),6)=MID(AA292,1,6),1,0)</f>
        <v>1</v>
      </c>
      <c r="AH292" s="97">
        <f ca="1">SUMIF(Группа!A:A,C292,Группа!C:C)</f>
        <v>1</v>
      </c>
      <c r="AI292" s="97">
        <f ca="1">SUMIF(Группа!B:B,AB292,Группа!C:C)</f>
        <v>1</v>
      </c>
      <c r="AJ292" s="97">
        <f ca="1">SUMIF(Формы!A:A,D292,Формы!B:B)</f>
        <v>1</v>
      </c>
      <c r="AK292" s="97">
        <f ca="1">SUMIF(Материал!A:A,K292,Материал!B:B)</f>
        <v>1</v>
      </c>
      <c r="AL292" s="97">
        <f ca="1">SUMIF(Размеры!A:A,S292,Размеры!E:E)</f>
        <v>1</v>
      </c>
      <c r="AM292" s="97">
        <f ca="1">SUMIF(Сезон!A:A,F292,Сезон!B:B)</f>
        <v>1</v>
      </c>
      <c r="AN292" s="97">
        <f ca="1">SUMIF(Состав!A:A,J292,Состав!B:B)</f>
        <v>1</v>
      </c>
      <c r="AO292" s="97">
        <f ca="1">VLOOKUP(I292,ЦветПолный!A:C,3,0)</f>
        <v>1</v>
      </c>
      <c r="AP292" s="97">
        <f ca="1">SUMIF(Цвет!A:A,Z292,Цвет!B:B)</f>
        <v>1</v>
      </c>
      <c r="AQ292" s="97">
        <f ca="1">_xlfn.XLOOKUP(L292,Пол!A:A,Пол!B:B,0,0)</f>
        <v>1</v>
      </c>
      <c r="AR292" s="97">
        <f ca="1">SUMIF(Бренд!A:A,G292,Бренд!B:B)</f>
        <v>1</v>
      </c>
      <c r="AS292" s="97">
        <f ca="1">SUMIF(Страна!A:A,M292,Страна!B:B)</f>
        <v>1</v>
      </c>
      <c r="AT292" s="64" t="str">
        <f ca="1">IF(VLOOKUP(W292,Товары!A:B,2,FALSE)=A292,"Есть в 1С","ERR")</f>
        <v>Есть в 1С</v>
      </c>
      <c r="AU292" s="65" t="str">
        <f ca="1">IF(VLOOKUP(A292,Товары!B:B,1,FALSE)=A292,"Есть в 1С","ERR")</f>
        <v>Есть в 1С</v>
      </c>
      <c r="AV292" s="96" t="str">
        <f ca="1">VLOOKUP(W292,Товары!A:B,2,FALSE)</f>
        <v>80-161-16</v>
      </c>
      <c r="AW292" s="94" t="str">
        <f ca="1">VLOOKUP(W292,Товары!A:B,1,FALSE)</f>
        <v>Бейсболка HERMAN арт. CONQUEST SWEAT (темно-синий) {navy}</v>
      </c>
    </row>
    <row r="293" spans="1:49" x14ac:dyDescent="0.25">
      <c r="A293" s="110" t="str">
        <f t="shared" ca="1" si="22"/>
        <v>80-161-16</v>
      </c>
      <c r="B293" s="107" t="str">
        <f ca="1">_xlfn.LET(_xlpm.CAPS,0,_xlpm.Style,TRIM(_xlfn.XLOOKUP($A293,Строчный!$A:$A,Строчный!B:B,"ERR",0)),IF(_xlpm.CAPS=0,_xlpm.Style,UPPER(_xlpm.Style)))</f>
        <v>CONQUEST SWEAT</v>
      </c>
      <c r="C293" s="81" t="str">
        <f ca="1">TRIM(PROPER(_xlfn.XLOOKUP($A293,Строчный!$A:$A,Строчный!C:C,"ERR",0)))</f>
        <v>Бейсболки</v>
      </c>
      <c r="D293" s="81" t="str">
        <f ca="1">_xlfn.LET(_xlpm.DATA,TRIM(_xlfn.XLOOKUP($A293,Строчный!$A:$A,Строчный!D:D,"ERR",0)),UPPER(MID(_xlpm.DATA,1,1))&amp;LOWER(MID(_xlpm.DATA,2,LEN(_xlpm.DATA)-1)))</f>
        <v>Бейсболка</v>
      </c>
      <c r="E293" s="81" t="str">
        <f ca="1">PROPER(TRIM(_xlfn.XLOOKUP($A293,Строчный!$A:$A,Строчный!E:E,"ERR",0)))</f>
        <v>Herman</v>
      </c>
      <c r="F293" s="81" t="str">
        <f ca="1">LOWER(TRIM(_xlfn.XLOOKUP($A293,Строчный!$A:$A,Строчный!F:F,"ERR",0)))</f>
        <v>всесезон</v>
      </c>
      <c r="G293" s="81" t="str">
        <f ca="1">UPPER(TRIM(_xlfn.XLOOKUP($A293,Строчный!$A:$A,Строчный!G:G,"ERR",0)))</f>
        <v>HERMAN</v>
      </c>
      <c r="H293" s="81" t="str">
        <f ca="1">LOWER(TRIM(_xlfn.XLOOKUP($A293,Строчный!$A:$A,Строчный!H:H,"ERR",0)))</f>
        <v>navy</v>
      </c>
      <c r="I293" s="81" t="str">
        <f ca="1">LOWER(TRIM(_xlfn.XLOOKUP($A293,Строчный!$A:$A,Строчный!I:I,"ERR",0)))</f>
        <v>темно-синий</v>
      </c>
      <c r="J293" s="81" t="str">
        <f ca="1">SUBSTITUTE(LOWER(TRIM(_xlfn.XLOOKUP($A293,Строчный!$A:$A,Строчный!J:J,"ERR",0))),"подклад","Подклад")</f>
        <v>100% хлопок</v>
      </c>
      <c r="K293" s="81" t="str">
        <f ca="1">LOWER(TRIM(_xlfn.XLOOKUP($A293,Строчный!$A:$A,Строчный!K:K,"ERR",0)))</f>
        <v>хлопковые</v>
      </c>
      <c r="L293" s="81" t="str">
        <f ca="1">PROPER(TRIM(_xlfn.XLOOKUP($A293,Строчный!$A:$A,Строчный!L:L,"ERR",0)))</f>
        <v>Унисекс</v>
      </c>
      <c r="M293" s="113" t="str">
        <f ca="1">PROPER(TRIM(_xlfn.XLOOKUP($A293,Строчный!$A:$A,Строчный!M:M,"ERR",0)))</f>
        <v>Италия</v>
      </c>
      <c r="N293" s="81" t="str">
        <f ca="1">UPPER(TRIM(_xlfn.XLOOKUP($A293,Строчный!$A:$A,Строчный!O:O,"ERR",0)))</f>
        <v/>
      </c>
      <c r="O293" s="102" t="str">
        <f ca="1">PROPER(TRIM(_xlfn.XLOOKUP($A293,Строчный!$A:$A,Строчный!P:P,"ERR",0)))</f>
        <v/>
      </c>
      <c r="P293" s="81" t="str">
        <f ca="1">PROPER(TRIM(_xlfn.XLOOKUP($A293,Строчный!$A:$A,Строчный!R:R,"ERR",0)))</f>
        <v/>
      </c>
      <c r="Q293" s="90">
        <f ca="1">VALUE(_xlfn.XLOOKUP($A293,Строчный!$A:$A,Строчный!N:N,"ERR",0))</f>
        <v>315</v>
      </c>
      <c r="R293" s="89" t="str">
        <f ca="1">_xlfn.XLOOKUP($G293,Фабрика!A:A,Фабрика!B:B,"ERR",0)</f>
        <v>Chapellerie Herman S.A.; Rue Jean Meunier, 6, 6922 Wellin, Belgium</v>
      </c>
      <c r="S293" s="80" t="str">
        <f ca="1">_xlfn.XLOOKUP(RIGHT(AA293,2),Размеры!D:D,Размеры!A:A,"ERR",0)</f>
        <v>59</v>
      </c>
      <c r="T293" s="80">
        <f ca="1">VALUE(_xlfn.XLOOKUP($AA293,Строчный!$S:$S,Строчный!U:U,"ERR",0))</f>
        <v>114</v>
      </c>
      <c r="U293" s="14" t="s">
        <v>265</v>
      </c>
      <c r="V293" s="101" t="str">
        <f t="shared" ca="1" si="23"/>
        <v>Бейсболка HERMAN арт. CONQUEST SWEAT (темно-синий)</v>
      </c>
      <c r="W293" s="100" t="str">
        <f t="shared" ca="1" si="24"/>
        <v>Бейсболка HERMAN арт. CONQUEST SWEAT (темно-синий) {navy}</v>
      </c>
      <c r="X293" s="18" t="str">
        <f t="shared" ca="1" si="25"/>
        <v>синий</v>
      </c>
      <c r="Y293" s="18" t="str">
        <f t="shared" ca="1" si="26"/>
        <v>синий</v>
      </c>
      <c r="Z293" s="117" t="str">
        <f ca="1">_xlfn.LET(_xlpm.FormColors,_xlfn.XLOOKUP(A293,Строчный!A:A,Строчный!Q:Q,"",0),IF(_xlpm.FormColors=0,IFERROR(MID(I293,FIND("-",I293)+1,LEN(I293)),IFERROR(MID(I293,1,FIND("/",I293)-2),I293)),_xlpm.FormColors))</f>
        <v>синий</v>
      </c>
      <c r="AA293" s="73" t="str">
        <f ca="1"/>
        <v>80-161-16-59</v>
      </c>
      <c r="AB293" s="75" t="str">
        <f ca="1">VLOOKUP(C293,Группа!A:B,2,FALSE)</f>
        <v>Бейсболка</v>
      </c>
      <c r="AC293" s="97" t="str">
        <f ca="1">IFERROR(VLOOKUP(S293,Размеры!A:C,3,FALSE),"")</f>
        <v>59 L</v>
      </c>
      <c r="AD293" s="97" t="str">
        <f ca="1">VLOOKUP(I293,ЦветПолный!A:B,2,FALSE)</f>
        <v>16</v>
      </c>
      <c r="AE293" s="97" t="str">
        <f ca="1">IFERROR(VLOOKUP(S293,Размеры!A:D,4,FALSE),"")</f>
        <v>59</v>
      </c>
      <c r="AF293" s="97">
        <f ca="1">IF(LEFT(IFERROR(VLOOKUP(LOOKUP(2,1/SEARCH(B293,Товары!A:A),Товары!A:A),Товары!A:B,2,0),""),6)=MID(AA293,1,6),1,0)</f>
        <v>1</v>
      </c>
      <c r="AH293" s="97">
        <f ca="1">SUMIF(Группа!A:A,C293,Группа!C:C)</f>
        <v>1</v>
      </c>
      <c r="AI293" s="97">
        <f ca="1">SUMIF(Группа!B:B,AB293,Группа!C:C)</f>
        <v>1</v>
      </c>
      <c r="AJ293" s="97">
        <f ca="1">SUMIF(Формы!A:A,D293,Формы!B:B)</f>
        <v>1</v>
      </c>
      <c r="AK293" s="97">
        <f ca="1">SUMIF(Материал!A:A,K293,Материал!B:B)</f>
        <v>1</v>
      </c>
      <c r="AL293" s="97">
        <f ca="1">SUMIF(Размеры!A:A,S293,Размеры!E:E)</f>
        <v>1</v>
      </c>
      <c r="AM293" s="97">
        <f ca="1">SUMIF(Сезон!A:A,F293,Сезон!B:B)</f>
        <v>1</v>
      </c>
      <c r="AN293" s="97">
        <f ca="1">SUMIF(Состав!A:A,J293,Состав!B:B)</f>
        <v>1</v>
      </c>
      <c r="AO293" s="97">
        <f ca="1">VLOOKUP(I293,ЦветПолный!A:C,3,0)</f>
        <v>1</v>
      </c>
      <c r="AP293" s="97">
        <f ca="1">SUMIF(Цвет!A:A,Z293,Цвет!B:B)</f>
        <v>1</v>
      </c>
      <c r="AQ293" s="97">
        <f ca="1">_xlfn.XLOOKUP(L293,Пол!A:A,Пол!B:B,0,0)</f>
        <v>1</v>
      </c>
      <c r="AR293" s="97">
        <f ca="1">SUMIF(Бренд!A:A,G293,Бренд!B:B)</f>
        <v>1</v>
      </c>
      <c r="AS293" s="97">
        <f ca="1">SUMIF(Страна!A:A,M293,Страна!B:B)</f>
        <v>1</v>
      </c>
      <c r="AT293" s="64" t="str">
        <f ca="1">IF(VLOOKUP(W293,Товары!A:B,2,FALSE)=A293,"Есть в 1С","ERR")</f>
        <v>Есть в 1С</v>
      </c>
      <c r="AU293" s="65" t="str">
        <f ca="1">IF(VLOOKUP(A293,Товары!B:B,1,FALSE)=A293,"Есть в 1С","ERR")</f>
        <v>Есть в 1С</v>
      </c>
      <c r="AV293" s="96" t="str">
        <f ca="1">VLOOKUP(W293,Товары!A:B,2,FALSE)</f>
        <v>80-161-16</v>
      </c>
      <c r="AW293" s="94" t="str">
        <f ca="1">VLOOKUP(W293,Товары!A:B,1,FALSE)</f>
        <v>Бейсболка HERMAN арт. CONQUEST SWEAT (темно-синий) {navy}</v>
      </c>
    </row>
    <row r="294" spans="1:49" x14ac:dyDescent="0.25">
      <c r="A294" s="110" t="str">
        <f t="shared" ca="1" si="22"/>
        <v>80-161-16</v>
      </c>
      <c r="B294" s="107" t="str">
        <f ca="1">_xlfn.LET(_xlpm.CAPS,0,_xlpm.Style,TRIM(_xlfn.XLOOKUP($A294,Строчный!$A:$A,Строчный!B:B,"ERR",0)),IF(_xlpm.CAPS=0,_xlpm.Style,UPPER(_xlpm.Style)))</f>
        <v>CONQUEST SWEAT</v>
      </c>
      <c r="C294" s="81" t="str">
        <f ca="1">TRIM(PROPER(_xlfn.XLOOKUP($A294,Строчный!$A:$A,Строчный!C:C,"ERR",0)))</f>
        <v>Бейсболки</v>
      </c>
      <c r="D294" s="81" t="str">
        <f ca="1">_xlfn.LET(_xlpm.DATA,TRIM(_xlfn.XLOOKUP($A294,Строчный!$A:$A,Строчный!D:D,"ERR",0)),UPPER(MID(_xlpm.DATA,1,1))&amp;LOWER(MID(_xlpm.DATA,2,LEN(_xlpm.DATA)-1)))</f>
        <v>Бейсболка</v>
      </c>
      <c r="E294" s="81" t="str">
        <f ca="1">PROPER(TRIM(_xlfn.XLOOKUP($A294,Строчный!$A:$A,Строчный!E:E,"ERR",0)))</f>
        <v>Herman</v>
      </c>
      <c r="F294" s="81" t="str">
        <f ca="1">LOWER(TRIM(_xlfn.XLOOKUP($A294,Строчный!$A:$A,Строчный!F:F,"ERR",0)))</f>
        <v>всесезон</v>
      </c>
      <c r="G294" s="81" t="str">
        <f ca="1">UPPER(TRIM(_xlfn.XLOOKUP($A294,Строчный!$A:$A,Строчный!G:G,"ERR",0)))</f>
        <v>HERMAN</v>
      </c>
      <c r="H294" s="81" t="str">
        <f ca="1">LOWER(TRIM(_xlfn.XLOOKUP($A294,Строчный!$A:$A,Строчный!H:H,"ERR",0)))</f>
        <v>navy</v>
      </c>
      <c r="I294" s="81" t="str">
        <f ca="1">LOWER(TRIM(_xlfn.XLOOKUP($A294,Строчный!$A:$A,Строчный!I:I,"ERR",0)))</f>
        <v>темно-синий</v>
      </c>
      <c r="J294" s="81" t="str">
        <f ca="1">SUBSTITUTE(LOWER(TRIM(_xlfn.XLOOKUP($A294,Строчный!$A:$A,Строчный!J:J,"ERR",0))),"подклад","Подклад")</f>
        <v>100% хлопок</v>
      </c>
      <c r="K294" s="81" t="str">
        <f ca="1">LOWER(TRIM(_xlfn.XLOOKUP($A294,Строчный!$A:$A,Строчный!K:K,"ERR",0)))</f>
        <v>хлопковые</v>
      </c>
      <c r="L294" s="81" t="str">
        <f ca="1">PROPER(TRIM(_xlfn.XLOOKUP($A294,Строчный!$A:$A,Строчный!L:L,"ERR",0)))</f>
        <v>Унисекс</v>
      </c>
      <c r="M294" s="113" t="str">
        <f ca="1">PROPER(TRIM(_xlfn.XLOOKUP($A294,Строчный!$A:$A,Строчный!M:M,"ERR",0)))</f>
        <v>Италия</v>
      </c>
      <c r="N294" s="81" t="str">
        <f ca="1">UPPER(TRIM(_xlfn.XLOOKUP($A294,Строчный!$A:$A,Строчный!O:O,"ERR",0)))</f>
        <v/>
      </c>
      <c r="O294" s="102" t="str">
        <f ca="1">PROPER(TRIM(_xlfn.XLOOKUP($A294,Строчный!$A:$A,Строчный!P:P,"ERR",0)))</f>
        <v/>
      </c>
      <c r="P294" s="81" t="str">
        <f ca="1">PROPER(TRIM(_xlfn.XLOOKUP($A294,Строчный!$A:$A,Строчный!R:R,"ERR",0)))</f>
        <v/>
      </c>
      <c r="Q294" s="90">
        <f ca="1">VALUE(_xlfn.XLOOKUP($A294,Строчный!$A:$A,Строчный!N:N,"ERR",0))</f>
        <v>315</v>
      </c>
      <c r="R294" s="89" t="str">
        <f ca="1">_xlfn.XLOOKUP($G294,Фабрика!A:A,Фабрика!B:B,"ERR",0)</f>
        <v>Chapellerie Herman S.A.; Rue Jean Meunier, 6, 6922 Wellin, Belgium</v>
      </c>
      <c r="S294" s="80" t="str">
        <f ca="1">_xlfn.XLOOKUP(RIGHT(AA294,2),Размеры!D:D,Размеры!A:A,"ERR",0)</f>
        <v>58</v>
      </c>
      <c r="T294" s="80">
        <f ca="1">VALUE(_xlfn.XLOOKUP($AA294,Строчный!$S:$S,Строчный!U:U,"ERR",0))</f>
        <v>48</v>
      </c>
      <c r="U294" s="14" t="s">
        <v>265</v>
      </c>
      <c r="V294" s="101" t="str">
        <f t="shared" ca="1" si="23"/>
        <v>Бейсболка HERMAN арт. CONQUEST SWEAT (темно-синий)</v>
      </c>
      <c r="W294" s="100" t="str">
        <f t="shared" ca="1" si="24"/>
        <v>Бейсболка HERMAN арт. CONQUEST SWEAT (темно-синий) {navy}</v>
      </c>
      <c r="X294" s="18" t="str">
        <f t="shared" ca="1" si="25"/>
        <v>синий</v>
      </c>
      <c r="Y294" s="18" t="str">
        <f t="shared" ca="1" si="26"/>
        <v>синий</v>
      </c>
      <c r="Z294" s="117" t="str">
        <f ca="1">_xlfn.LET(_xlpm.FormColors,_xlfn.XLOOKUP(A294,Строчный!A:A,Строчный!Q:Q,"",0),IF(_xlpm.FormColors=0,IFERROR(MID(I294,FIND("-",I294)+1,LEN(I294)),IFERROR(MID(I294,1,FIND("/",I294)-2),I294)),_xlpm.FormColors))</f>
        <v>синий</v>
      </c>
      <c r="AA294" s="73" t="str">
        <f ca="1"/>
        <v>80-161-16-58</v>
      </c>
      <c r="AB294" s="75" t="str">
        <f ca="1">VLOOKUP(C294,Группа!A:B,2,FALSE)</f>
        <v>Бейсболка</v>
      </c>
      <c r="AC294" s="97" t="str">
        <f ca="1">IFERROR(VLOOKUP(S294,Размеры!A:C,3,FALSE),"")</f>
        <v>58 M/L</v>
      </c>
      <c r="AD294" s="97" t="str">
        <f ca="1">VLOOKUP(I294,ЦветПолный!A:B,2,FALSE)</f>
        <v>16</v>
      </c>
      <c r="AE294" s="97" t="str">
        <f ca="1">IFERROR(VLOOKUP(S294,Размеры!A:D,4,FALSE),"")</f>
        <v>58</v>
      </c>
      <c r="AF294" s="97">
        <f ca="1">IF(LEFT(IFERROR(VLOOKUP(LOOKUP(2,1/SEARCH(B294,Товары!A:A),Товары!A:A),Товары!A:B,2,0),""),6)=MID(AA294,1,6),1,0)</f>
        <v>1</v>
      </c>
      <c r="AH294" s="97">
        <f ca="1">SUMIF(Группа!A:A,C294,Группа!C:C)</f>
        <v>1</v>
      </c>
      <c r="AI294" s="97">
        <f ca="1">SUMIF(Группа!B:B,AB294,Группа!C:C)</f>
        <v>1</v>
      </c>
      <c r="AJ294" s="97">
        <f ca="1">SUMIF(Формы!A:A,D294,Формы!B:B)</f>
        <v>1</v>
      </c>
      <c r="AK294" s="97">
        <f ca="1">SUMIF(Материал!A:A,K294,Материал!B:B)</f>
        <v>1</v>
      </c>
      <c r="AL294" s="97">
        <f ca="1">SUMIF(Размеры!A:A,S294,Размеры!E:E)</f>
        <v>1</v>
      </c>
      <c r="AM294" s="97">
        <f ca="1">SUMIF(Сезон!A:A,F294,Сезон!B:B)</f>
        <v>1</v>
      </c>
      <c r="AN294" s="97">
        <f ca="1">SUMIF(Состав!A:A,J294,Состав!B:B)</f>
        <v>1</v>
      </c>
      <c r="AO294" s="97">
        <f ca="1">VLOOKUP(I294,ЦветПолный!A:C,3,0)</f>
        <v>1</v>
      </c>
      <c r="AP294" s="97">
        <f ca="1">SUMIF(Цвет!A:A,Z294,Цвет!B:B)</f>
        <v>1</v>
      </c>
      <c r="AQ294" s="97">
        <f ca="1">_xlfn.XLOOKUP(L294,Пол!A:A,Пол!B:B,0,0)</f>
        <v>1</v>
      </c>
      <c r="AR294" s="97">
        <f ca="1">SUMIF(Бренд!A:A,G294,Бренд!B:B)</f>
        <v>1</v>
      </c>
      <c r="AS294" s="97">
        <f ca="1">SUMIF(Страна!A:A,M294,Страна!B:B)</f>
        <v>1</v>
      </c>
      <c r="AT294" s="64" t="str">
        <f ca="1">IF(VLOOKUP(W294,Товары!A:B,2,FALSE)=A294,"Есть в 1С","ERR")</f>
        <v>Есть в 1С</v>
      </c>
      <c r="AU294" s="65" t="str">
        <f ca="1">IF(VLOOKUP(A294,Товары!B:B,1,FALSE)=A294,"Есть в 1С","ERR")</f>
        <v>Есть в 1С</v>
      </c>
      <c r="AV294" s="96" t="str">
        <f ca="1">VLOOKUP(W294,Товары!A:B,2,FALSE)</f>
        <v>80-161-16</v>
      </c>
      <c r="AW294" s="94" t="str">
        <f ca="1">VLOOKUP(W294,Товары!A:B,1,FALSE)</f>
        <v>Бейсболка HERMAN арт. CONQUEST SWEAT (темно-синий) {navy}</v>
      </c>
    </row>
    <row r="295" spans="1:49" x14ac:dyDescent="0.25">
      <c r="A295" s="110" t="str">
        <f t="shared" ca="1" si="22"/>
        <v>80-161-16</v>
      </c>
      <c r="B295" s="107" t="str">
        <f ca="1">_xlfn.LET(_xlpm.CAPS,0,_xlpm.Style,TRIM(_xlfn.XLOOKUP($A295,Строчный!$A:$A,Строчный!B:B,"ERR",0)),IF(_xlpm.CAPS=0,_xlpm.Style,UPPER(_xlpm.Style)))</f>
        <v>CONQUEST SWEAT</v>
      </c>
      <c r="C295" s="81" t="str">
        <f ca="1">TRIM(PROPER(_xlfn.XLOOKUP($A295,Строчный!$A:$A,Строчный!C:C,"ERR",0)))</f>
        <v>Бейсболки</v>
      </c>
      <c r="D295" s="81" t="str">
        <f ca="1">_xlfn.LET(_xlpm.DATA,TRIM(_xlfn.XLOOKUP($A295,Строчный!$A:$A,Строчный!D:D,"ERR",0)),UPPER(MID(_xlpm.DATA,1,1))&amp;LOWER(MID(_xlpm.DATA,2,LEN(_xlpm.DATA)-1)))</f>
        <v>Бейсболка</v>
      </c>
      <c r="E295" s="81" t="str">
        <f ca="1">PROPER(TRIM(_xlfn.XLOOKUP($A295,Строчный!$A:$A,Строчный!E:E,"ERR",0)))</f>
        <v>Herman</v>
      </c>
      <c r="F295" s="81" t="str">
        <f ca="1">LOWER(TRIM(_xlfn.XLOOKUP($A295,Строчный!$A:$A,Строчный!F:F,"ERR",0)))</f>
        <v>всесезон</v>
      </c>
      <c r="G295" s="81" t="str">
        <f ca="1">UPPER(TRIM(_xlfn.XLOOKUP($A295,Строчный!$A:$A,Строчный!G:G,"ERR",0)))</f>
        <v>HERMAN</v>
      </c>
      <c r="H295" s="81" t="str">
        <f ca="1">LOWER(TRIM(_xlfn.XLOOKUP($A295,Строчный!$A:$A,Строчный!H:H,"ERR",0)))</f>
        <v>navy</v>
      </c>
      <c r="I295" s="81" t="str">
        <f ca="1">LOWER(TRIM(_xlfn.XLOOKUP($A295,Строчный!$A:$A,Строчный!I:I,"ERR",0)))</f>
        <v>темно-синий</v>
      </c>
      <c r="J295" s="81" t="str">
        <f ca="1">SUBSTITUTE(LOWER(TRIM(_xlfn.XLOOKUP($A295,Строчный!$A:$A,Строчный!J:J,"ERR",0))),"подклад","Подклад")</f>
        <v>100% хлопок</v>
      </c>
      <c r="K295" s="81" t="str">
        <f ca="1">LOWER(TRIM(_xlfn.XLOOKUP($A295,Строчный!$A:$A,Строчный!K:K,"ERR",0)))</f>
        <v>хлопковые</v>
      </c>
      <c r="L295" s="81" t="str">
        <f ca="1">PROPER(TRIM(_xlfn.XLOOKUP($A295,Строчный!$A:$A,Строчный!L:L,"ERR",0)))</f>
        <v>Унисекс</v>
      </c>
      <c r="M295" s="113" t="str">
        <f ca="1">PROPER(TRIM(_xlfn.XLOOKUP($A295,Строчный!$A:$A,Строчный!M:M,"ERR",0)))</f>
        <v>Италия</v>
      </c>
      <c r="N295" s="81" t="str">
        <f ca="1">UPPER(TRIM(_xlfn.XLOOKUP($A295,Строчный!$A:$A,Строчный!O:O,"ERR",0)))</f>
        <v/>
      </c>
      <c r="O295" s="102" t="str">
        <f ca="1">PROPER(TRIM(_xlfn.XLOOKUP($A295,Строчный!$A:$A,Строчный!P:P,"ERR",0)))</f>
        <v/>
      </c>
      <c r="P295" s="81" t="str">
        <f ca="1">PROPER(TRIM(_xlfn.XLOOKUP($A295,Строчный!$A:$A,Строчный!R:R,"ERR",0)))</f>
        <v/>
      </c>
      <c r="Q295" s="90">
        <f ca="1">VALUE(_xlfn.XLOOKUP($A295,Строчный!$A:$A,Строчный!N:N,"ERR",0))</f>
        <v>315</v>
      </c>
      <c r="R295" s="89" t="str">
        <f ca="1">_xlfn.XLOOKUP($G295,Фабрика!A:A,Фабрика!B:B,"ERR",0)</f>
        <v>Chapellerie Herman S.A.; Rue Jean Meunier, 6, 6922 Wellin, Belgium</v>
      </c>
      <c r="S295" s="80" t="str">
        <f ca="1">_xlfn.XLOOKUP(RIGHT(AA295,2),Размеры!D:D,Размеры!A:A,"ERR",0)</f>
        <v>57</v>
      </c>
      <c r="T295" s="80">
        <f ca="1">VALUE(_xlfn.XLOOKUP($AA295,Строчный!$S:$S,Строчный!U:U,"ERR",0))</f>
        <v>112</v>
      </c>
      <c r="U295" s="14" t="s">
        <v>265</v>
      </c>
      <c r="V295" s="101" t="str">
        <f t="shared" ca="1" si="23"/>
        <v>Бейсболка HERMAN арт. CONQUEST SWEAT (темно-синий)</v>
      </c>
      <c r="W295" s="100" t="str">
        <f t="shared" ca="1" si="24"/>
        <v>Бейсболка HERMAN арт. CONQUEST SWEAT (темно-синий) {navy}</v>
      </c>
      <c r="X295" s="18" t="str">
        <f t="shared" ca="1" si="25"/>
        <v>синий</v>
      </c>
      <c r="Y295" s="18" t="str">
        <f t="shared" ca="1" si="26"/>
        <v>синий</v>
      </c>
      <c r="Z295" s="117" t="str">
        <f ca="1">_xlfn.LET(_xlpm.FormColors,_xlfn.XLOOKUP(A295,Строчный!A:A,Строчный!Q:Q,"",0),IF(_xlpm.FormColors=0,IFERROR(MID(I295,FIND("-",I295)+1,LEN(I295)),IFERROR(MID(I295,1,FIND("/",I295)-2),I295)),_xlpm.FormColors))</f>
        <v>синий</v>
      </c>
      <c r="AA295" s="73" t="str">
        <f ca="1"/>
        <v>80-161-16-57</v>
      </c>
      <c r="AB295" s="75" t="str">
        <f ca="1">VLOOKUP(C295,Группа!A:B,2,FALSE)</f>
        <v>Бейсболка</v>
      </c>
      <c r="AC295" s="97" t="str">
        <f ca="1">IFERROR(VLOOKUP(S295,Размеры!A:C,3,FALSE),"")</f>
        <v>57 M</v>
      </c>
      <c r="AD295" s="97" t="str">
        <f ca="1">VLOOKUP(I295,ЦветПолный!A:B,2,FALSE)</f>
        <v>16</v>
      </c>
      <c r="AE295" s="97" t="str">
        <f ca="1">IFERROR(VLOOKUP(S295,Размеры!A:D,4,FALSE),"")</f>
        <v>57</v>
      </c>
      <c r="AF295" s="97">
        <f ca="1">IF(LEFT(IFERROR(VLOOKUP(LOOKUP(2,1/SEARCH(B295,Товары!A:A),Товары!A:A),Товары!A:B,2,0),""),6)=MID(AA295,1,6),1,0)</f>
        <v>1</v>
      </c>
      <c r="AH295" s="97">
        <f ca="1">SUMIF(Группа!A:A,C295,Группа!C:C)</f>
        <v>1</v>
      </c>
      <c r="AI295" s="97">
        <f ca="1">SUMIF(Группа!B:B,AB295,Группа!C:C)</f>
        <v>1</v>
      </c>
      <c r="AJ295" s="97">
        <f ca="1">SUMIF(Формы!A:A,D295,Формы!B:B)</f>
        <v>1</v>
      </c>
      <c r="AK295" s="97">
        <f ca="1">SUMIF(Материал!A:A,K295,Материал!B:B)</f>
        <v>1</v>
      </c>
      <c r="AL295" s="97">
        <f ca="1">SUMIF(Размеры!A:A,S295,Размеры!E:E)</f>
        <v>1</v>
      </c>
      <c r="AM295" s="97">
        <f ca="1">SUMIF(Сезон!A:A,F295,Сезон!B:B)</f>
        <v>1</v>
      </c>
      <c r="AN295" s="97">
        <f ca="1">SUMIF(Состав!A:A,J295,Состав!B:B)</f>
        <v>1</v>
      </c>
      <c r="AO295" s="97">
        <f ca="1">VLOOKUP(I295,ЦветПолный!A:C,3,0)</f>
        <v>1</v>
      </c>
      <c r="AP295" s="97">
        <f ca="1">SUMIF(Цвет!A:A,Z295,Цвет!B:B)</f>
        <v>1</v>
      </c>
      <c r="AQ295" s="97">
        <f ca="1">_xlfn.XLOOKUP(L295,Пол!A:A,Пол!B:B,0,0)</f>
        <v>1</v>
      </c>
      <c r="AR295" s="97">
        <f ca="1">SUMIF(Бренд!A:A,G295,Бренд!B:B)</f>
        <v>1</v>
      </c>
      <c r="AS295" s="97">
        <f ca="1">SUMIF(Страна!A:A,M295,Страна!B:B)</f>
        <v>1</v>
      </c>
      <c r="AT295" s="64" t="str">
        <f ca="1">IF(VLOOKUP(W295,Товары!A:B,2,FALSE)=A295,"Есть в 1С","ERR")</f>
        <v>Есть в 1С</v>
      </c>
      <c r="AU295" s="65" t="str">
        <f ca="1">IF(VLOOKUP(A295,Товары!B:B,1,FALSE)=A295,"Есть в 1С","ERR")</f>
        <v>Есть в 1С</v>
      </c>
      <c r="AV295" s="96" t="str">
        <f ca="1">VLOOKUP(W295,Товары!A:B,2,FALSE)</f>
        <v>80-161-16</v>
      </c>
      <c r="AW295" s="94" t="str">
        <f ca="1">VLOOKUP(W295,Товары!A:B,1,FALSE)</f>
        <v>Бейсболка HERMAN арт. CONQUEST SWEAT (темно-синий) {navy}</v>
      </c>
    </row>
    <row r="296" spans="1:49" x14ac:dyDescent="0.25">
      <c r="A296" s="110" t="str">
        <f t="shared" ca="1" si="22"/>
        <v>80-161-16</v>
      </c>
      <c r="B296" s="107" t="str">
        <f ca="1">_xlfn.LET(_xlpm.CAPS,0,_xlpm.Style,TRIM(_xlfn.XLOOKUP($A296,Строчный!$A:$A,Строчный!B:B,"ERR",0)),IF(_xlpm.CAPS=0,_xlpm.Style,UPPER(_xlpm.Style)))</f>
        <v>CONQUEST SWEAT</v>
      </c>
      <c r="C296" s="81" t="str">
        <f ca="1">TRIM(PROPER(_xlfn.XLOOKUP($A296,Строчный!$A:$A,Строчный!C:C,"ERR",0)))</f>
        <v>Бейсболки</v>
      </c>
      <c r="D296" s="81" t="str">
        <f ca="1">_xlfn.LET(_xlpm.DATA,TRIM(_xlfn.XLOOKUP($A296,Строчный!$A:$A,Строчный!D:D,"ERR",0)),UPPER(MID(_xlpm.DATA,1,1))&amp;LOWER(MID(_xlpm.DATA,2,LEN(_xlpm.DATA)-1)))</f>
        <v>Бейсболка</v>
      </c>
      <c r="E296" s="81" t="str">
        <f ca="1">PROPER(TRIM(_xlfn.XLOOKUP($A296,Строчный!$A:$A,Строчный!E:E,"ERR",0)))</f>
        <v>Herman</v>
      </c>
      <c r="F296" s="81" t="str">
        <f ca="1">LOWER(TRIM(_xlfn.XLOOKUP($A296,Строчный!$A:$A,Строчный!F:F,"ERR",0)))</f>
        <v>всесезон</v>
      </c>
      <c r="G296" s="81" t="str">
        <f ca="1">UPPER(TRIM(_xlfn.XLOOKUP($A296,Строчный!$A:$A,Строчный!G:G,"ERR",0)))</f>
        <v>HERMAN</v>
      </c>
      <c r="H296" s="81" t="str">
        <f ca="1">LOWER(TRIM(_xlfn.XLOOKUP($A296,Строчный!$A:$A,Строчный!H:H,"ERR",0)))</f>
        <v>navy</v>
      </c>
      <c r="I296" s="81" t="str">
        <f ca="1">LOWER(TRIM(_xlfn.XLOOKUP($A296,Строчный!$A:$A,Строчный!I:I,"ERR",0)))</f>
        <v>темно-синий</v>
      </c>
      <c r="J296" s="81" t="str">
        <f ca="1">SUBSTITUTE(LOWER(TRIM(_xlfn.XLOOKUP($A296,Строчный!$A:$A,Строчный!J:J,"ERR",0))),"подклад","Подклад")</f>
        <v>100% хлопок</v>
      </c>
      <c r="K296" s="81" t="str">
        <f ca="1">LOWER(TRIM(_xlfn.XLOOKUP($A296,Строчный!$A:$A,Строчный!K:K,"ERR",0)))</f>
        <v>хлопковые</v>
      </c>
      <c r="L296" s="81" t="str">
        <f ca="1">PROPER(TRIM(_xlfn.XLOOKUP($A296,Строчный!$A:$A,Строчный!L:L,"ERR",0)))</f>
        <v>Унисекс</v>
      </c>
      <c r="M296" s="113" t="str">
        <f ca="1">PROPER(TRIM(_xlfn.XLOOKUP($A296,Строчный!$A:$A,Строчный!M:M,"ERR",0)))</f>
        <v>Италия</v>
      </c>
      <c r="N296" s="81" t="str">
        <f ca="1">UPPER(TRIM(_xlfn.XLOOKUP($A296,Строчный!$A:$A,Строчный!O:O,"ERR",0)))</f>
        <v/>
      </c>
      <c r="O296" s="102" t="str">
        <f ca="1">PROPER(TRIM(_xlfn.XLOOKUP($A296,Строчный!$A:$A,Строчный!P:P,"ERR",0)))</f>
        <v/>
      </c>
      <c r="P296" s="81" t="str">
        <f ca="1">PROPER(TRIM(_xlfn.XLOOKUP($A296,Строчный!$A:$A,Строчный!R:R,"ERR",0)))</f>
        <v/>
      </c>
      <c r="Q296" s="90">
        <f ca="1">VALUE(_xlfn.XLOOKUP($A296,Строчный!$A:$A,Строчный!N:N,"ERR",0))</f>
        <v>315</v>
      </c>
      <c r="R296" s="89" t="str">
        <f ca="1">_xlfn.XLOOKUP($G296,Фабрика!A:A,Фабрика!B:B,"ERR",0)</f>
        <v>Chapellerie Herman S.A.; Rue Jean Meunier, 6, 6922 Wellin, Belgium</v>
      </c>
      <c r="S296" s="80" t="str">
        <f ca="1">_xlfn.XLOOKUP(RIGHT(AA296,2),Размеры!D:D,Размеры!A:A,"ERR",0)</f>
        <v>56</v>
      </c>
      <c r="T296" s="80">
        <f ca="1">VALUE(_xlfn.XLOOKUP($AA296,Строчный!$S:$S,Строчный!U:U,"ERR",0))</f>
        <v>58</v>
      </c>
      <c r="U296" s="14" t="s">
        <v>265</v>
      </c>
      <c r="V296" s="101" t="str">
        <f t="shared" ca="1" si="23"/>
        <v>Бейсболка HERMAN арт. CONQUEST SWEAT (темно-синий)</v>
      </c>
      <c r="W296" s="100" t="str">
        <f t="shared" ca="1" si="24"/>
        <v>Бейсболка HERMAN арт. CONQUEST SWEAT (темно-синий) {navy}</v>
      </c>
      <c r="X296" s="18" t="str">
        <f t="shared" ca="1" si="25"/>
        <v>синий</v>
      </c>
      <c r="Y296" s="18" t="str">
        <f t="shared" ca="1" si="26"/>
        <v>синий</v>
      </c>
      <c r="Z296" s="117" t="str">
        <f ca="1">_xlfn.LET(_xlpm.FormColors,_xlfn.XLOOKUP(A296,Строчный!A:A,Строчный!Q:Q,"",0),IF(_xlpm.FormColors=0,IFERROR(MID(I296,FIND("-",I296)+1,LEN(I296)),IFERROR(MID(I296,1,FIND("/",I296)-2),I296)),_xlpm.FormColors))</f>
        <v>синий</v>
      </c>
      <c r="AA296" s="73" t="str">
        <f ca="1"/>
        <v>80-161-16-56</v>
      </c>
      <c r="AB296" s="75" t="str">
        <f ca="1">VLOOKUP(C296,Группа!A:B,2,FALSE)</f>
        <v>Бейсболка</v>
      </c>
      <c r="AC296" s="97" t="str">
        <f ca="1">IFERROR(VLOOKUP(S296,Размеры!A:C,3,FALSE),"")</f>
        <v>56 S/M</v>
      </c>
      <c r="AD296" s="97" t="str">
        <f ca="1">VLOOKUP(I296,ЦветПолный!A:B,2,FALSE)</f>
        <v>16</v>
      </c>
      <c r="AE296" s="97" t="str">
        <f ca="1">IFERROR(VLOOKUP(S296,Размеры!A:D,4,FALSE),"")</f>
        <v>56</v>
      </c>
      <c r="AF296" s="97">
        <f ca="1">IF(LEFT(IFERROR(VLOOKUP(LOOKUP(2,1/SEARCH(B296,Товары!A:A),Товары!A:A),Товары!A:B,2,0),""),6)=MID(AA296,1,6),1,0)</f>
        <v>1</v>
      </c>
      <c r="AH296" s="97">
        <f ca="1">SUMIF(Группа!A:A,C296,Группа!C:C)</f>
        <v>1</v>
      </c>
      <c r="AI296" s="97">
        <f ca="1">SUMIF(Группа!B:B,AB296,Группа!C:C)</f>
        <v>1</v>
      </c>
      <c r="AJ296" s="97">
        <f ca="1">SUMIF(Формы!A:A,D296,Формы!B:B)</f>
        <v>1</v>
      </c>
      <c r="AK296" s="97">
        <f ca="1">SUMIF(Материал!A:A,K296,Материал!B:B)</f>
        <v>1</v>
      </c>
      <c r="AL296" s="97">
        <f ca="1">SUMIF(Размеры!A:A,S296,Размеры!E:E)</f>
        <v>1</v>
      </c>
      <c r="AM296" s="97">
        <f ca="1">SUMIF(Сезон!A:A,F296,Сезон!B:B)</f>
        <v>1</v>
      </c>
      <c r="AN296" s="97">
        <f ca="1">SUMIF(Состав!A:A,J296,Состав!B:B)</f>
        <v>1</v>
      </c>
      <c r="AO296" s="97">
        <f ca="1">VLOOKUP(I296,ЦветПолный!A:C,3,0)</f>
        <v>1</v>
      </c>
      <c r="AP296" s="97">
        <f ca="1">SUMIF(Цвет!A:A,Z296,Цвет!B:B)</f>
        <v>1</v>
      </c>
      <c r="AQ296" s="97">
        <f ca="1">_xlfn.XLOOKUP(L296,Пол!A:A,Пол!B:B,0,0)</f>
        <v>1</v>
      </c>
      <c r="AR296" s="97">
        <f ca="1">SUMIF(Бренд!A:A,G296,Бренд!B:B)</f>
        <v>1</v>
      </c>
      <c r="AS296" s="97">
        <f ca="1">SUMIF(Страна!A:A,M296,Страна!B:B)</f>
        <v>1</v>
      </c>
      <c r="AT296" s="64" t="str">
        <f ca="1">IF(VLOOKUP(W296,Товары!A:B,2,FALSE)=A296,"Есть в 1С","ERR")</f>
        <v>Есть в 1С</v>
      </c>
      <c r="AU296" s="65" t="str">
        <f ca="1">IF(VLOOKUP(A296,Товары!B:B,1,FALSE)=A296,"Есть в 1С","ERR")</f>
        <v>Есть в 1С</v>
      </c>
      <c r="AV296" s="96" t="str">
        <f ca="1">VLOOKUP(W296,Товары!A:B,2,FALSE)</f>
        <v>80-161-16</v>
      </c>
      <c r="AW296" s="94" t="str">
        <f ca="1">VLOOKUP(W296,Товары!A:B,1,FALSE)</f>
        <v>Бейсболка HERMAN арт. CONQUEST SWEAT (темно-синий) {navy}</v>
      </c>
    </row>
    <row r="297" spans="1:49" x14ac:dyDescent="0.25">
      <c r="A297" s="110" t="str">
        <f t="shared" ca="1" si="22"/>
        <v>80-161-16</v>
      </c>
      <c r="B297" s="107" t="str">
        <f ca="1">_xlfn.LET(_xlpm.CAPS,0,_xlpm.Style,TRIM(_xlfn.XLOOKUP($A297,Строчный!$A:$A,Строчный!B:B,"ERR",0)),IF(_xlpm.CAPS=0,_xlpm.Style,UPPER(_xlpm.Style)))</f>
        <v>CONQUEST SWEAT</v>
      </c>
      <c r="C297" s="81" t="str">
        <f ca="1">TRIM(PROPER(_xlfn.XLOOKUP($A297,Строчный!$A:$A,Строчный!C:C,"ERR",0)))</f>
        <v>Бейсболки</v>
      </c>
      <c r="D297" s="81" t="str">
        <f ca="1">_xlfn.LET(_xlpm.DATA,TRIM(_xlfn.XLOOKUP($A297,Строчный!$A:$A,Строчный!D:D,"ERR",0)),UPPER(MID(_xlpm.DATA,1,1))&amp;LOWER(MID(_xlpm.DATA,2,LEN(_xlpm.DATA)-1)))</f>
        <v>Бейсболка</v>
      </c>
      <c r="E297" s="81" t="str">
        <f ca="1">PROPER(TRIM(_xlfn.XLOOKUP($A297,Строчный!$A:$A,Строчный!E:E,"ERR",0)))</f>
        <v>Herman</v>
      </c>
      <c r="F297" s="81" t="str">
        <f ca="1">LOWER(TRIM(_xlfn.XLOOKUP($A297,Строчный!$A:$A,Строчный!F:F,"ERR",0)))</f>
        <v>всесезон</v>
      </c>
      <c r="G297" s="81" t="str">
        <f ca="1">UPPER(TRIM(_xlfn.XLOOKUP($A297,Строчный!$A:$A,Строчный!G:G,"ERR",0)))</f>
        <v>HERMAN</v>
      </c>
      <c r="H297" s="81" t="str">
        <f ca="1">LOWER(TRIM(_xlfn.XLOOKUP($A297,Строчный!$A:$A,Строчный!H:H,"ERR",0)))</f>
        <v>navy</v>
      </c>
      <c r="I297" s="81" t="str">
        <f ca="1">LOWER(TRIM(_xlfn.XLOOKUP($A297,Строчный!$A:$A,Строчный!I:I,"ERR",0)))</f>
        <v>темно-синий</v>
      </c>
      <c r="J297" s="81" t="str">
        <f ca="1">SUBSTITUTE(LOWER(TRIM(_xlfn.XLOOKUP($A297,Строчный!$A:$A,Строчный!J:J,"ERR",0))),"подклад","Подклад")</f>
        <v>100% хлопок</v>
      </c>
      <c r="K297" s="81" t="str">
        <f ca="1">LOWER(TRIM(_xlfn.XLOOKUP($A297,Строчный!$A:$A,Строчный!K:K,"ERR",0)))</f>
        <v>хлопковые</v>
      </c>
      <c r="L297" s="81" t="str">
        <f ca="1">PROPER(TRIM(_xlfn.XLOOKUP($A297,Строчный!$A:$A,Строчный!L:L,"ERR",0)))</f>
        <v>Унисекс</v>
      </c>
      <c r="M297" s="113" t="str">
        <f ca="1">PROPER(TRIM(_xlfn.XLOOKUP($A297,Строчный!$A:$A,Строчный!M:M,"ERR",0)))</f>
        <v>Италия</v>
      </c>
      <c r="N297" s="81" t="str">
        <f ca="1">UPPER(TRIM(_xlfn.XLOOKUP($A297,Строчный!$A:$A,Строчный!O:O,"ERR",0)))</f>
        <v/>
      </c>
      <c r="O297" s="102" t="str">
        <f ca="1">PROPER(TRIM(_xlfn.XLOOKUP($A297,Строчный!$A:$A,Строчный!P:P,"ERR",0)))</f>
        <v/>
      </c>
      <c r="P297" s="81" t="str">
        <f ca="1">PROPER(TRIM(_xlfn.XLOOKUP($A297,Строчный!$A:$A,Строчный!R:R,"ERR",0)))</f>
        <v/>
      </c>
      <c r="Q297" s="90">
        <f ca="1">VALUE(_xlfn.XLOOKUP($A297,Строчный!$A:$A,Строчный!N:N,"ERR",0))</f>
        <v>315</v>
      </c>
      <c r="R297" s="89" t="str">
        <f ca="1">_xlfn.XLOOKUP($G297,Фабрика!A:A,Фабрика!B:B,"ERR",0)</f>
        <v>Chapellerie Herman S.A.; Rue Jean Meunier, 6, 6922 Wellin, Belgium</v>
      </c>
      <c r="S297" s="80" t="str">
        <f ca="1">_xlfn.XLOOKUP(RIGHT(AA297,2),Размеры!D:D,Размеры!A:A,"ERR",0)</f>
        <v>55</v>
      </c>
      <c r="T297" s="80">
        <f ca="1">VALUE(_xlfn.XLOOKUP($AA297,Строчный!$S:$S,Строчный!U:U,"ERR",0))</f>
        <v>2</v>
      </c>
      <c r="U297" s="14" t="s">
        <v>265</v>
      </c>
      <c r="V297" s="101" t="str">
        <f t="shared" ca="1" si="23"/>
        <v>Бейсболка HERMAN арт. CONQUEST SWEAT (темно-синий)</v>
      </c>
      <c r="W297" s="100" t="str">
        <f t="shared" ca="1" si="24"/>
        <v>Бейсболка HERMAN арт. CONQUEST SWEAT (темно-синий) {navy}</v>
      </c>
      <c r="X297" s="18" t="str">
        <f t="shared" ca="1" si="25"/>
        <v>синий</v>
      </c>
      <c r="Y297" s="18" t="str">
        <f t="shared" ca="1" si="26"/>
        <v>синий</v>
      </c>
      <c r="Z297" s="117" t="str">
        <f ca="1">_xlfn.LET(_xlpm.FormColors,_xlfn.XLOOKUP(A297,Строчный!A:A,Строчный!Q:Q,"",0),IF(_xlpm.FormColors=0,IFERROR(MID(I297,FIND("-",I297)+1,LEN(I297)),IFERROR(MID(I297,1,FIND("/",I297)-2),I297)),_xlpm.FormColors))</f>
        <v>синий</v>
      </c>
      <c r="AA297" s="73" t="str">
        <f ca="1"/>
        <v>80-161-16-55</v>
      </c>
      <c r="AB297" s="75" t="str">
        <f ca="1">VLOOKUP(C297,Группа!A:B,2,FALSE)</f>
        <v>Бейсболка</v>
      </c>
      <c r="AC297" s="97" t="str">
        <f ca="1">IFERROR(VLOOKUP(S297,Размеры!A:C,3,FALSE),"")</f>
        <v>55 S</v>
      </c>
      <c r="AD297" s="97" t="str">
        <f ca="1">VLOOKUP(I297,ЦветПолный!A:B,2,FALSE)</f>
        <v>16</v>
      </c>
      <c r="AE297" s="97" t="str">
        <f ca="1">IFERROR(VLOOKUP(S297,Размеры!A:D,4,FALSE),"")</f>
        <v>55</v>
      </c>
      <c r="AF297" s="97">
        <f ca="1">IF(LEFT(IFERROR(VLOOKUP(LOOKUP(2,1/SEARCH(B297,Товары!A:A),Товары!A:A),Товары!A:B,2,0),""),6)=MID(AA297,1,6),1,0)</f>
        <v>1</v>
      </c>
      <c r="AH297" s="97">
        <f ca="1">SUMIF(Группа!A:A,C297,Группа!C:C)</f>
        <v>1</v>
      </c>
      <c r="AI297" s="97">
        <f ca="1">SUMIF(Группа!B:B,AB297,Группа!C:C)</f>
        <v>1</v>
      </c>
      <c r="AJ297" s="97">
        <f ca="1">SUMIF(Формы!A:A,D297,Формы!B:B)</f>
        <v>1</v>
      </c>
      <c r="AK297" s="97">
        <f ca="1">SUMIF(Материал!A:A,K297,Материал!B:B)</f>
        <v>1</v>
      </c>
      <c r="AL297" s="97">
        <f ca="1">SUMIF(Размеры!A:A,S297,Размеры!E:E)</f>
        <v>1</v>
      </c>
      <c r="AM297" s="97">
        <f ca="1">SUMIF(Сезон!A:A,F297,Сезон!B:B)</f>
        <v>1</v>
      </c>
      <c r="AN297" s="97">
        <f ca="1">SUMIF(Состав!A:A,J297,Состав!B:B)</f>
        <v>1</v>
      </c>
      <c r="AO297" s="97">
        <f ca="1">VLOOKUP(I297,ЦветПолный!A:C,3,0)</f>
        <v>1</v>
      </c>
      <c r="AP297" s="97">
        <f ca="1">SUMIF(Цвет!A:A,Z297,Цвет!B:B)</f>
        <v>1</v>
      </c>
      <c r="AQ297" s="97">
        <f ca="1">_xlfn.XLOOKUP(L297,Пол!A:A,Пол!B:B,0,0)</f>
        <v>1</v>
      </c>
      <c r="AR297" s="97">
        <f ca="1">SUMIF(Бренд!A:A,G297,Бренд!B:B)</f>
        <v>1</v>
      </c>
      <c r="AS297" s="97">
        <f ca="1">SUMIF(Страна!A:A,M297,Страна!B:B)</f>
        <v>1</v>
      </c>
      <c r="AT297" s="64" t="str">
        <f ca="1">IF(VLOOKUP(W297,Товары!A:B,2,FALSE)=A297,"Есть в 1С","ERR")</f>
        <v>Есть в 1С</v>
      </c>
      <c r="AU297" s="65" t="str">
        <f ca="1">IF(VLOOKUP(A297,Товары!B:B,1,FALSE)=A297,"Есть в 1С","ERR")</f>
        <v>Есть в 1С</v>
      </c>
      <c r="AV297" s="96" t="str">
        <f ca="1">VLOOKUP(W297,Товары!A:B,2,FALSE)</f>
        <v>80-161-16</v>
      </c>
      <c r="AW297" s="94" t="str">
        <f ca="1">VLOOKUP(W297,Товары!A:B,1,FALSE)</f>
        <v>Бейсболка HERMAN арт. CONQUEST SWEAT (темно-синий) {navy}</v>
      </c>
    </row>
    <row r="298" spans="1:49" x14ac:dyDescent="0.25">
      <c r="A298" s="110" t="str">
        <f t="shared" ca="1" si="22"/>
        <v>80-161-09</v>
      </c>
      <c r="B298" s="107" t="str">
        <f ca="1">_xlfn.LET(_xlpm.CAPS,0,_xlpm.Style,TRIM(_xlfn.XLOOKUP($A298,Строчный!$A:$A,Строчный!B:B,"ERR",0)),IF(_xlpm.CAPS=0,_xlpm.Style,UPPER(_xlpm.Style)))</f>
        <v>CONQUEST SWEAT</v>
      </c>
      <c r="C298" s="81" t="str">
        <f ca="1">TRIM(PROPER(_xlfn.XLOOKUP($A298,Строчный!$A:$A,Строчный!C:C,"ERR",0)))</f>
        <v>Бейсболки</v>
      </c>
      <c r="D298" s="81" t="str">
        <f ca="1">_xlfn.LET(_xlpm.DATA,TRIM(_xlfn.XLOOKUP($A298,Строчный!$A:$A,Строчный!D:D,"ERR",0)),UPPER(MID(_xlpm.DATA,1,1))&amp;LOWER(MID(_xlpm.DATA,2,LEN(_xlpm.DATA)-1)))</f>
        <v>Бейсболка</v>
      </c>
      <c r="E298" s="81" t="str">
        <f ca="1">PROPER(TRIM(_xlfn.XLOOKUP($A298,Строчный!$A:$A,Строчный!E:E,"ERR",0)))</f>
        <v>Herman</v>
      </c>
      <c r="F298" s="81" t="str">
        <f ca="1">LOWER(TRIM(_xlfn.XLOOKUP($A298,Строчный!$A:$A,Строчный!F:F,"ERR",0)))</f>
        <v>всесезон</v>
      </c>
      <c r="G298" s="81" t="str">
        <f ca="1">UPPER(TRIM(_xlfn.XLOOKUP($A298,Строчный!$A:$A,Строчный!G:G,"ERR",0)))</f>
        <v>HERMAN</v>
      </c>
      <c r="H298" s="81" t="str">
        <f ca="1">LOWER(TRIM(_xlfn.XLOOKUP($A298,Строчный!$A:$A,Строчный!H:H,"ERR",0)))</f>
        <v>black</v>
      </c>
      <c r="I298" s="81" t="str">
        <f ca="1">LOWER(TRIM(_xlfn.XLOOKUP($A298,Строчный!$A:$A,Строчный!I:I,"ERR",0)))</f>
        <v>черный</v>
      </c>
      <c r="J298" s="81" t="str">
        <f ca="1">SUBSTITUTE(LOWER(TRIM(_xlfn.XLOOKUP($A298,Строчный!$A:$A,Строчный!J:J,"ERR",0))),"подклад","Подклад")</f>
        <v>100% хлопок</v>
      </c>
      <c r="K298" s="81" t="str">
        <f ca="1">LOWER(TRIM(_xlfn.XLOOKUP($A298,Строчный!$A:$A,Строчный!K:K,"ERR",0)))</f>
        <v>хлопковые</v>
      </c>
      <c r="L298" s="81" t="str">
        <f ca="1">PROPER(TRIM(_xlfn.XLOOKUP($A298,Строчный!$A:$A,Строчный!L:L,"ERR",0)))</f>
        <v>Унисекс</v>
      </c>
      <c r="M298" s="113" t="str">
        <f ca="1">PROPER(TRIM(_xlfn.XLOOKUP($A298,Строчный!$A:$A,Строчный!M:M,"ERR",0)))</f>
        <v>Италия</v>
      </c>
      <c r="N298" s="81" t="str">
        <f ca="1">UPPER(TRIM(_xlfn.XLOOKUP($A298,Строчный!$A:$A,Строчный!O:O,"ERR",0)))</f>
        <v/>
      </c>
      <c r="O298" s="102" t="str">
        <f ca="1">PROPER(TRIM(_xlfn.XLOOKUP($A298,Строчный!$A:$A,Строчный!P:P,"ERR",0)))</f>
        <v/>
      </c>
      <c r="P298" s="81" t="str">
        <f ca="1">PROPER(TRIM(_xlfn.XLOOKUP($A298,Строчный!$A:$A,Строчный!R:R,"ERR",0)))</f>
        <v/>
      </c>
      <c r="Q298" s="90">
        <f ca="1">VALUE(_xlfn.XLOOKUP($A298,Строчный!$A:$A,Строчный!N:N,"ERR",0))</f>
        <v>315</v>
      </c>
      <c r="R298" s="89" t="str">
        <f ca="1">_xlfn.XLOOKUP($G298,Фабрика!A:A,Фабрика!B:B,"ERR",0)</f>
        <v>Chapellerie Herman S.A.; Rue Jean Meunier, 6, 6922 Wellin, Belgium</v>
      </c>
      <c r="S298" s="80" t="str">
        <f ca="1">_xlfn.XLOOKUP(RIGHT(AA298,2),Размеры!D:D,Размеры!A:A,"ERR",0)</f>
        <v>62</v>
      </c>
      <c r="T298" s="80">
        <f ca="1">VALUE(_xlfn.XLOOKUP($AA298,Строчный!$S:$S,Строчный!U:U,"ERR",0))</f>
        <v>3</v>
      </c>
      <c r="U298" s="14" t="s">
        <v>265</v>
      </c>
      <c r="V298" s="101" t="str">
        <f t="shared" ca="1" si="23"/>
        <v>Бейсболка HERMAN арт. CONQUEST SWEAT (черный)</v>
      </c>
      <c r="W298" s="100" t="str">
        <f t="shared" ca="1" si="24"/>
        <v>Бейсболка HERMAN арт. CONQUEST SWEAT (черный) {black}</v>
      </c>
      <c r="X298" s="18" t="str">
        <f t="shared" ca="1" si="25"/>
        <v>черный</v>
      </c>
      <c r="Y298" s="18" t="str">
        <f t="shared" ca="1" si="26"/>
        <v>черный</v>
      </c>
      <c r="Z298" s="117" t="str">
        <f ca="1">_xlfn.LET(_xlpm.FormColors,_xlfn.XLOOKUP(A298,Строчный!A:A,Строчный!Q:Q,"",0),IF(_xlpm.FormColors=0,IFERROR(MID(I298,FIND("-",I298)+1,LEN(I298)),IFERROR(MID(I298,1,FIND("/",I298)-2),I298)),_xlpm.FormColors))</f>
        <v>черный</v>
      </c>
      <c r="AA298" s="73" t="str">
        <f ca="1"/>
        <v>80-161-09-62</v>
      </c>
      <c r="AB298" s="75" t="str">
        <f ca="1">VLOOKUP(C298,Группа!A:B,2,FALSE)</f>
        <v>Бейсболка</v>
      </c>
      <c r="AC298" s="97" t="str">
        <f ca="1">IFERROR(VLOOKUP(S298,Размеры!A:C,3,FALSE),"")</f>
        <v>62 XL/XXL</v>
      </c>
      <c r="AD298" s="97" t="str">
        <f ca="1">VLOOKUP(I298,ЦветПолный!A:B,2,FALSE)</f>
        <v>09</v>
      </c>
      <c r="AE298" s="97" t="str">
        <f ca="1">IFERROR(VLOOKUP(S298,Размеры!A:D,4,FALSE),"")</f>
        <v>62</v>
      </c>
      <c r="AF298" s="97">
        <f ca="1">IF(LEFT(IFERROR(VLOOKUP(LOOKUP(2,1/SEARCH(B298,Товары!A:A),Товары!A:A),Товары!A:B,2,0),""),6)=MID(AA298,1,6),1,0)</f>
        <v>1</v>
      </c>
      <c r="AH298" s="97">
        <f ca="1">SUMIF(Группа!A:A,C298,Группа!C:C)</f>
        <v>1</v>
      </c>
      <c r="AI298" s="97">
        <f ca="1">SUMIF(Группа!B:B,AB298,Группа!C:C)</f>
        <v>1</v>
      </c>
      <c r="AJ298" s="97">
        <f ca="1">SUMIF(Формы!A:A,D298,Формы!B:B)</f>
        <v>1</v>
      </c>
      <c r="AK298" s="97">
        <f ca="1">SUMIF(Материал!A:A,K298,Материал!B:B)</f>
        <v>1</v>
      </c>
      <c r="AL298" s="97">
        <f ca="1">SUMIF(Размеры!A:A,S298,Размеры!E:E)</f>
        <v>1</v>
      </c>
      <c r="AM298" s="97">
        <f ca="1">SUMIF(Сезон!A:A,F298,Сезон!B:B)</f>
        <v>1</v>
      </c>
      <c r="AN298" s="97">
        <f ca="1">SUMIF(Состав!A:A,J298,Состав!B:B)</f>
        <v>1</v>
      </c>
      <c r="AO298" s="97">
        <f ca="1">VLOOKUP(I298,ЦветПолный!A:C,3,0)</f>
        <v>1</v>
      </c>
      <c r="AP298" s="97">
        <f ca="1">SUMIF(Цвет!A:A,Z298,Цвет!B:B)</f>
        <v>1</v>
      </c>
      <c r="AQ298" s="97">
        <f ca="1">_xlfn.XLOOKUP(L298,Пол!A:A,Пол!B:B,0,0)</f>
        <v>1</v>
      </c>
      <c r="AR298" s="97">
        <f ca="1">SUMIF(Бренд!A:A,G298,Бренд!B:B)</f>
        <v>1</v>
      </c>
      <c r="AS298" s="97">
        <f ca="1">SUMIF(Страна!A:A,M298,Страна!B:B)</f>
        <v>1</v>
      </c>
      <c r="AT298" s="64" t="str">
        <f ca="1">IF(VLOOKUP(W298,Товары!A:B,2,FALSE)=A298,"Есть в 1С","ERR")</f>
        <v>Есть в 1С</v>
      </c>
      <c r="AU298" s="65" t="str">
        <f ca="1">IF(VLOOKUP(A298,Товары!B:B,1,FALSE)=A298,"Есть в 1С","ERR")</f>
        <v>Есть в 1С</v>
      </c>
      <c r="AV298" s="96" t="str">
        <f ca="1">VLOOKUP(W298,Товары!A:B,2,FALSE)</f>
        <v>80-161-09</v>
      </c>
      <c r="AW298" s="94" t="str">
        <f ca="1">VLOOKUP(W298,Товары!A:B,1,FALSE)</f>
        <v>Бейсболка HERMAN арт. CONQUEST SWEAT (черный) {black}</v>
      </c>
    </row>
    <row r="299" spans="1:49" x14ac:dyDescent="0.25">
      <c r="A299" s="110" t="str">
        <f t="shared" ca="1" si="22"/>
        <v>80-161-09</v>
      </c>
      <c r="B299" s="107" t="str">
        <f ca="1">_xlfn.LET(_xlpm.CAPS,0,_xlpm.Style,TRIM(_xlfn.XLOOKUP($A299,Строчный!$A:$A,Строчный!B:B,"ERR",0)),IF(_xlpm.CAPS=0,_xlpm.Style,UPPER(_xlpm.Style)))</f>
        <v>CONQUEST SWEAT</v>
      </c>
      <c r="C299" s="81" t="str">
        <f ca="1">TRIM(PROPER(_xlfn.XLOOKUP($A299,Строчный!$A:$A,Строчный!C:C,"ERR",0)))</f>
        <v>Бейсболки</v>
      </c>
      <c r="D299" s="81" t="str">
        <f ca="1">_xlfn.LET(_xlpm.DATA,TRIM(_xlfn.XLOOKUP($A299,Строчный!$A:$A,Строчный!D:D,"ERR",0)),UPPER(MID(_xlpm.DATA,1,1))&amp;LOWER(MID(_xlpm.DATA,2,LEN(_xlpm.DATA)-1)))</f>
        <v>Бейсболка</v>
      </c>
      <c r="E299" s="81" t="str">
        <f ca="1">PROPER(TRIM(_xlfn.XLOOKUP($A299,Строчный!$A:$A,Строчный!E:E,"ERR",0)))</f>
        <v>Herman</v>
      </c>
      <c r="F299" s="81" t="str">
        <f ca="1">LOWER(TRIM(_xlfn.XLOOKUP($A299,Строчный!$A:$A,Строчный!F:F,"ERR",0)))</f>
        <v>всесезон</v>
      </c>
      <c r="G299" s="81" t="str">
        <f ca="1">UPPER(TRIM(_xlfn.XLOOKUP($A299,Строчный!$A:$A,Строчный!G:G,"ERR",0)))</f>
        <v>HERMAN</v>
      </c>
      <c r="H299" s="81" t="str">
        <f ca="1">LOWER(TRIM(_xlfn.XLOOKUP($A299,Строчный!$A:$A,Строчный!H:H,"ERR",0)))</f>
        <v>black</v>
      </c>
      <c r="I299" s="81" t="str">
        <f ca="1">LOWER(TRIM(_xlfn.XLOOKUP($A299,Строчный!$A:$A,Строчный!I:I,"ERR",0)))</f>
        <v>черный</v>
      </c>
      <c r="J299" s="81" t="str">
        <f ca="1">SUBSTITUTE(LOWER(TRIM(_xlfn.XLOOKUP($A299,Строчный!$A:$A,Строчный!J:J,"ERR",0))),"подклад","Подклад")</f>
        <v>100% хлопок</v>
      </c>
      <c r="K299" s="81" t="str">
        <f ca="1">LOWER(TRIM(_xlfn.XLOOKUP($A299,Строчный!$A:$A,Строчный!K:K,"ERR",0)))</f>
        <v>хлопковые</v>
      </c>
      <c r="L299" s="81" t="str">
        <f ca="1">PROPER(TRIM(_xlfn.XLOOKUP($A299,Строчный!$A:$A,Строчный!L:L,"ERR",0)))</f>
        <v>Унисекс</v>
      </c>
      <c r="M299" s="113" t="str">
        <f ca="1">PROPER(TRIM(_xlfn.XLOOKUP($A299,Строчный!$A:$A,Строчный!M:M,"ERR",0)))</f>
        <v>Италия</v>
      </c>
      <c r="N299" s="81" t="str">
        <f ca="1">UPPER(TRIM(_xlfn.XLOOKUP($A299,Строчный!$A:$A,Строчный!O:O,"ERR",0)))</f>
        <v/>
      </c>
      <c r="O299" s="102" t="str">
        <f ca="1">PROPER(TRIM(_xlfn.XLOOKUP($A299,Строчный!$A:$A,Строчный!P:P,"ERR",0)))</f>
        <v/>
      </c>
      <c r="P299" s="81" t="str">
        <f ca="1">PROPER(TRIM(_xlfn.XLOOKUP($A299,Строчный!$A:$A,Строчный!R:R,"ERR",0)))</f>
        <v/>
      </c>
      <c r="Q299" s="90">
        <f ca="1">VALUE(_xlfn.XLOOKUP($A299,Строчный!$A:$A,Строчный!N:N,"ERR",0))</f>
        <v>315</v>
      </c>
      <c r="R299" s="89" t="str">
        <f ca="1">_xlfn.XLOOKUP($G299,Фабрика!A:A,Фабрика!B:B,"ERR",0)</f>
        <v>Chapellerie Herman S.A.; Rue Jean Meunier, 6, 6922 Wellin, Belgium</v>
      </c>
      <c r="S299" s="80" t="str">
        <f ca="1">_xlfn.XLOOKUP(RIGHT(AA299,2),Размеры!D:D,Размеры!A:A,"ERR",0)</f>
        <v>61</v>
      </c>
      <c r="T299" s="80">
        <f ca="1">VALUE(_xlfn.XLOOKUP($AA299,Строчный!$S:$S,Строчный!U:U,"ERR",0))</f>
        <v>3</v>
      </c>
      <c r="U299" s="14" t="s">
        <v>265</v>
      </c>
      <c r="V299" s="101" t="str">
        <f t="shared" ca="1" si="23"/>
        <v>Бейсболка HERMAN арт. CONQUEST SWEAT (черный)</v>
      </c>
      <c r="W299" s="100" t="str">
        <f t="shared" ca="1" si="24"/>
        <v>Бейсболка HERMAN арт. CONQUEST SWEAT (черный) {black}</v>
      </c>
      <c r="X299" s="18" t="str">
        <f t="shared" ca="1" si="25"/>
        <v>черный</v>
      </c>
      <c r="Y299" s="18" t="str">
        <f t="shared" ca="1" si="26"/>
        <v>черный</v>
      </c>
      <c r="Z299" s="117" t="str">
        <f ca="1">_xlfn.LET(_xlpm.FormColors,_xlfn.XLOOKUP(A299,Строчный!A:A,Строчный!Q:Q,"",0),IF(_xlpm.FormColors=0,IFERROR(MID(I299,FIND("-",I299)+1,LEN(I299)),IFERROR(MID(I299,1,FIND("/",I299)-2),I299)),_xlpm.FormColors))</f>
        <v>черный</v>
      </c>
      <c r="AA299" s="73" t="str">
        <f ca="1"/>
        <v>80-161-09-61</v>
      </c>
      <c r="AB299" s="75" t="str">
        <f ca="1">VLOOKUP(C299,Группа!A:B,2,FALSE)</f>
        <v>Бейсболка</v>
      </c>
      <c r="AC299" s="97" t="str">
        <f ca="1">IFERROR(VLOOKUP(S299,Размеры!A:C,3,FALSE),"")</f>
        <v>61 XL</v>
      </c>
      <c r="AD299" s="97" t="str">
        <f ca="1">VLOOKUP(I299,ЦветПолный!A:B,2,FALSE)</f>
        <v>09</v>
      </c>
      <c r="AE299" s="97" t="str">
        <f ca="1">IFERROR(VLOOKUP(S299,Размеры!A:D,4,FALSE),"")</f>
        <v>61</v>
      </c>
      <c r="AF299" s="97">
        <f ca="1">IF(LEFT(IFERROR(VLOOKUP(LOOKUP(2,1/SEARCH(B299,Товары!A:A),Товары!A:A),Товары!A:B,2,0),""),6)=MID(AA299,1,6),1,0)</f>
        <v>1</v>
      </c>
      <c r="AH299" s="97">
        <f ca="1">SUMIF(Группа!A:A,C299,Группа!C:C)</f>
        <v>1</v>
      </c>
      <c r="AI299" s="97">
        <f ca="1">SUMIF(Группа!B:B,AB299,Группа!C:C)</f>
        <v>1</v>
      </c>
      <c r="AJ299" s="97">
        <f ca="1">SUMIF(Формы!A:A,D299,Формы!B:B)</f>
        <v>1</v>
      </c>
      <c r="AK299" s="97">
        <f ca="1">SUMIF(Материал!A:A,K299,Материал!B:B)</f>
        <v>1</v>
      </c>
      <c r="AL299" s="97">
        <f ca="1">SUMIF(Размеры!A:A,S299,Размеры!E:E)</f>
        <v>1</v>
      </c>
      <c r="AM299" s="97">
        <f ca="1">SUMIF(Сезон!A:A,F299,Сезон!B:B)</f>
        <v>1</v>
      </c>
      <c r="AN299" s="97">
        <f ca="1">SUMIF(Состав!A:A,J299,Состав!B:B)</f>
        <v>1</v>
      </c>
      <c r="AO299" s="97">
        <f ca="1">VLOOKUP(I299,ЦветПолный!A:C,3,0)</f>
        <v>1</v>
      </c>
      <c r="AP299" s="97">
        <f ca="1">SUMIF(Цвет!A:A,Z299,Цвет!B:B)</f>
        <v>1</v>
      </c>
      <c r="AQ299" s="97">
        <f ca="1">_xlfn.XLOOKUP(L299,Пол!A:A,Пол!B:B,0,0)</f>
        <v>1</v>
      </c>
      <c r="AR299" s="97">
        <f ca="1">SUMIF(Бренд!A:A,G299,Бренд!B:B)</f>
        <v>1</v>
      </c>
      <c r="AS299" s="97">
        <f ca="1">SUMIF(Страна!A:A,M299,Страна!B:B)</f>
        <v>1</v>
      </c>
      <c r="AT299" s="64" t="str">
        <f ca="1">IF(VLOOKUP(W299,Товары!A:B,2,FALSE)=A299,"Есть в 1С","ERR")</f>
        <v>Есть в 1С</v>
      </c>
      <c r="AU299" s="65" t="str">
        <f ca="1">IF(VLOOKUP(A299,Товары!B:B,1,FALSE)=A299,"Есть в 1С","ERR")</f>
        <v>Есть в 1С</v>
      </c>
      <c r="AV299" s="96" t="str">
        <f ca="1">VLOOKUP(W299,Товары!A:B,2,FALSE)</f>
        <v>80-161-09</v>
      </c>
      <c r="AW299" s="94" t="str">
        <f ca="1">VLOOKUP(W299,Товары!A:B,1,FALSE)</f>
        <v>Бейсболка HERMAN арт. CONQUEST SWEAT (черный) {black}</v>
      </c>
    </row>
    <row r="300" spans="1:49" x14ac:dyDescent="0.25">
      <c r="A300" s="110" t="str">
        <f t="shared" ca="1" si="22"/>
        <v>80-161-09</v>
      </c>
      <c r="B300" s="107" t="str">
        <f ca="1">_xlfn.LET(_xlpm.CAPS,0,_xlpm.Style,TRIM(_xlfn.XLOOKUP($A300,Строчный!$A:$A,Строчный!B:B,"ERR",0)),IF(_xlpm.CAPS=0,_xlpm.Style,UPPER(_xlpm.Style)))</f>
        <v>CONQUEST SWEAT</v>
      </c>
      <c r="C300" s="81" t="str">
        <f ca="1">TRIM(PROPER(_xlfn.XLOOKUP($A300,Строчный!$A:$A,Строчный!C:C,"ERR",0)))</f>
        <v>Бейсболки</v>
      </c>
      <c r="D300" s="81" t="str">
        <f ca="1">_xlfn.LET(_xlpm.DATA,TRIM(_xlfn.XLOOKUP($A300,Строчный!$A:$A,Строчный!D:D,"ERR",0)),UPPER(MID(_xlpm.DATA,1,1))&amp;LOWER(MID(_xlpm.DATA,2,LEN(_xlpm.DATA)-1)))</f>
        <v>Бейсболка</v>
      </c>
      <c r="E300" s="81" t="str">
        <f ca="1">PROPER(TRIM(_xlfn.XLOOKUP($A300,Строчный!$A:$A,Строчный!E:E,"ERR",0)))</f>
        <v>Herman</v>
      </c>
      <c r="F300" s="81" t="str">
        <f ca="1">LOWER(TRIM(_xlfn.XLOOKUP($A300,Строчный!$A:$A,Строчный!F:F,"ERR",0)))</f>
        <v>всесезон</v>
      </c>
      <c r="G300" s="81" t="str">
        <f ca="1">UPPER(TRIM(_xlfn.XLOOKUP($A300,Строчный!$A:$A,Строчный!G:G,"ERR",0)))</f>
        <v>HERMAN</v>
      </c>
      <c r="H300" s="81" t="str">
        <f ca="1">LOWER(TRIM(_xlfn.XLOOKUP($A300,Строчный!$A:$A,Строчный!H:H,"ERR",0)))</f>
        <v>black</v>
      </c>
      <c r="I300" s="81" t="str">
        <f ca="1">LOWER(TRIM(_xlfn.XLOOKUP($A300,Строчный!$A:$A,Строчный!I:I,"ERR",0)))</f>
        <v>черный</v>
      </c>
      <c r="J300" s="81" t="str">
        <f ca="1">SUBSTITUTE(LOWER(TRIM(_xlfn.XLOOKUP($A300,Строчный!$A:$A,Строчный!J:J,"ERR",0))),"подклад","Подклад")</f>
        <v>100% хлопок</v>
      </c>
      <c r="K300" s="81" t="str">
        <f ca="1">LOWER(TRIM(_xlfn.XLOOKUP($A300,Строчный!$A:$A,Строчный!K:K,"ERR",0)))</f>
        <v>хлопковые</v>
      </c>
      <c r="L300" s="81" t="str">
        <f ca="1">PROPER(TRIM(_xlfn.XLOOKUP($A300,Строчный!$A:$A,Строчный!L:L,"ERR",0)))</f>
        <v>Унисекс</v>
      </c>
      <c r="M300" s="113" t="str">
        <f ca="1">PROPER(TRIM(_xlfn.XLOOKUP($A300,Строчный!$A:$A,Строчный!M:M,"ERR",0)))</f>
        <v>Италия</v>
      </c>
      <c r="N300" s="81" t="str">
        <f ca="1">UPPER(TRIM(_xlfn.XLOOKUP($A300,Строчный!$A:$A,Строчный!O:O,"ERR",0)))</f>
        <v/>
      </c>
      <c r="O300" s="102" t="str">
        <f ca="1">PROPER(TRIM(_xlfn.XLOOKUP($A300,Строчный!$A:$A,Строчный!P:P,"ERR",0)))</f>
        <v/>
      </c>
      <c r="P300" s="81" t="str">
        <f ca="1">PROPER(TRIM(_xlfn.XLOOKUP($A300,Строчный!$A:$A,Строчный!R:R,"ERR",0)))</f>
        <v/>
      </c>
      <c r="Q300" s="90">
        <f ca="1">VALUE(_xlfn.XLOOKUP($A300,Строчный!$A:$A,Строчный!N:N,"ERR",0))</f>
        <v>315</v>
      </c>
      <c r="R300" s="89" t="str">
        <f ca="1">_xlfn.XLOOKUP($G300,Фабрика!A:A,Фабрика!B:B,"ERR",0)</f>
        <v>Chapellerie Herman S.A.; Rue Jean Meunier, 6, 6922 Wellin, Belgium</v>
      </c>
      <c r="S300" s="80" t="str">
        <f ca="1">_xlfn.XLOOKUP(RIGHT(AA300,2),Размеры!D:D,Размеры!A:A,"ERR",0)</f>
        <v>60</v>
      </c>
      <c r="T300" s="80">
        <f ca="1">VALUE(_xlfn.XLOOKUP($AA300,Строчный!$S:$S,Строчный!U:U,"ERR",0))</f>
        <v>70</v>
      </c>
      <c r="U300" s="14" t="s">
        <v>265</v>
      </c>
      <c r="V300" s="101" t="str">
        <f t="shared" ca="1" si="23"/>
        <v>Бейсболка HERMAN арт. CONQUEST SWEAT (черный)</v>
      </c>
      <c r="W300" s="100" t="str">
        <f t="shared" ca="1" si="24"/>
        <v>Бейсболка HERMAN арт. CONQUEST SWEAT (черный) {black}</v>
      </c>
      <c r="X300" s="18" t="str">
        <f t="shared" ca="1" si="25"/>
        <v>черный</v>
      </c>
      <c r="Y300" s="18" t="str">
        <f t="shared" ca="1" si="26"/>
        <v>черный</v>
      </c>
      <c r="Z300" s="117" t="str">
        <f ca="1">_xlfn.LET(_xlpm.FormColors,_xlfn.XLOOKUP(A300,Строчный!A:A,Строчный!Q:Q,"",0),IF(_xlpm.FormColors=0,IFERROR(MID(I300,FIND("-",I300)+1,LEN(I300)),IFERROR(MID(I300,1,FIND("/",I300)-2),I300)),_xlpm.FormColors))</f>
        <v>черный</v>
      </c>
      <c r="AA300" s="73" t="str">
        <f ca="1"/>
        <v>80-161-09-60</v>
      </c>
      <c r="AB300" s="75" t="str">
        <f ca="1">VLOOKUP(C300,Группа!A:B,2,FALSE)</f>
        <v>Бейсболка</v>
      </c>
      <c r="AC300" s="97" t="str">
        <f ca="1">IFERROR(VLOOKUP(S300,Размеры!A:C,3,FALSE),"")</f>
        <v>60 L/XL</v>
      </c>
      <c r="AD300" s="97" t="str">
        <f ca="1">VLOOKUP(I300,ЦветПолный!A:B,2,FALSE)</f>
        <v>09</v>
      </c>
      <c r="AE300" s="97" t="str">
        <f ca="1">IFERROR(VLOOKUP(S300,Размеры!A:D,4,FALSE),"")</f>
        <v>60</v>
      </c>
      <c r="AF300" s="97">
        <f ca="1">IF(LEFT(IFERROR(VLOOKUP(LOOKUP(2,1/SEARCH(B300,Товары!A:A),Товары!A:A),Товары!A:B,2,0),""),6)=MID(AA300,1,6),1,0)</f>
        <v>1</v>
      </c>
      <c r="AH300" s="97">
        <f ca="1">SUMIF(Группа!A:A,C300,Группа!C:C)</f>
        <v>1</v>
      </c>
      <c r="AI300" s="97">
        <f ca="1">SUMIF(Группа!B:B,AB300,Группа!C:C)</f>
        <v>1</v>
      </c>
      <c r="AJ300" s="97">
        <f ca="1">SUMIF(Формы!A:A,D300,Формы!B:B)</f>
        <v>1</v>
      </c>
      <c r="AK300" s="97">
        <f ca="1">SUMIF(Материал!A:A,K300,Материал!B:B)</f>
        <v>1</v>
      </c>
      <c r="AL300" s="97">
        <f ca="1">SUMIF(Размеры!A:A,S300,Размеры!E:E)</f>
        <v>1</v>
      </c>
      <c r="AM300" s="97">
        <f ca="1">SUMIF(Сезон!A:A,F300,Сезон!B:B)</f>
        <v>1</v>
      </c>
      <c r="AN300" s="97">
        <f ca="1">SUMIF(Состав!A:A,J300,Состав!B:B)</f>
        <v>1</v>
      </c>
      <c r="AO300" s="97">
        <f ca="1">VLOOKUP(I300,ЦветПолный!A:C,3,0)</f>
        <v>1</v>
      </c>
      <c r="AP300" s="97">
        <f ca="1">SUMIF(Цвет!A:A,Z300,Цвет!B:B)</f>
        <v>1</v>
      </c>
      <c r="AQ300" s="97">
        <f ca="1">_xlfn.XLOOKUP(L300,Пол!A:A,Пол!B:B,0,0)</f>
        <v>1</v>
      </c>
      <c r="AR300" s="97">
        <f ca="1">SUMIF(Бренд!A:A,G300,Бренд!B:B)</f>
        <v>1</v>
      </c>
      <c r="AS300" s="97">
        <f ca="1">SUMIF(Страна!A:A,M300,Страна!B:B)</f>
        <v>1</v>
      </c>
      <c r="AT300" s="64" t="str">
        <f ca="1">IF(VLOOKUP(W300,Товары!A:B,2,FALSE)=A300,"Есть в 1С","ERR")</f>
        <v>Есть в 1С</v>
      </c>
      <c r="AU300" s="65" t="str">
        <f ca="1">IF(VLOOKUP(A300,Товары!B:B,1,FALSE)=A300,"Есть в 1С","ERR")</f>
        <v>Есть в 1С</v>
      </c>
      <c r="AV300" s="96" t="str">
        <f ca="1">VLOOKUP(W300,Товары!A:B,2,FALSE)</f>
        <v>80-161-09</v>
      </c>
      <c r="AW300" s="94" t="str">
        <f ca="1">VLOOKUP(W300,Товары!A:B,1,FALSE)</f>
        <v>Бейсболка HERMAN арт. CONQUEST SWEAT (черный) {black}</v>
      </c>
    </row>
    <row r="301" spans="1:49" x14ac:dyDescent="0.25">
      <c r="A301" s="110" t="str">
        <f t="shared" ca="1" si="22"/>
        <v>80-161-09</v>
      </c>
      <c r="B301" s="107" t="str">
        <f ca="1">_xlfn.LET(_xlpm.CAPS,0,_xlpm.Style,TRIM(_xlfn.XLOOKUP($A301,Строчный!$A:$A,Строчный!B:B,"ERR",0)),IF(_xlpm.CAPS=0,_xlpm.Style,UPPER(_xlpm.Style)))</f>
        <v>CONQUEST SWEAT</v>
      </c>
      <c r="C301" s="81" t="str">
        <f ca="1">TRIM(PROPER(_xlfn.XLOOKUP($A301,Строчный!$A:$A,Строчный!C:C,"ERR",0)))</f>
        <v>Бейсболки</v>
      </c>
      <c r="D301" s="81" t="str">
        <f ca="1">_xlfn.LET(_xlpm.DATA,TRIM(_xlfn.XLOOKUP($A301,Строчный!$A:$A,Строчный!D:D,"ERR",0)),UPPER(MID(_xlpm.DATA,1,1))&amp;LOWER(MID(_xlpm.DATA,2,LEN(_xlpm.DATA)-1)))</f>
        <v>Бейсболка</v>
      </c>
      <c r="E301" s="81" t="str">
        <f ca="1">PROPER(TRIM(_xlfn.XLOOKUP($A301,Строчный!$A:$A,Строчный!E:E,"ERR",0)))</f>
        <v>Herman</v>
      </c>
      <c r="F301" s="81" t="str">
        <f ca="1">LOWER(TRIM(_xlfn.XLOOKUP($A301,Строчный!$A:$A,Строчный!F:F,"ERR",0)))</f>
        <v>всесезон</v>
      </c>
      <c r="G301" s="81" t="str">
        <f ca="1">UPPER(TRIM(_xlfn.XLOOKUP($A301,Строчный!$A:$A,Строчный!G:G,"ERR",0)))</f>
        <v>HERMAN</v>
      </c>
      <c r="H301" s="81" t="str">
        <f ca="1">LOWER(TRIM(_xlfn.XLOOKUP($A301,Строчный!$A:$A,Строчный!H:H,"ERR",0)))</f>
        <v>black</v>
      </c>
      <c r="I301" s="81" t="str">
        <f ca="1">LOWER(TRIM(_xlfn.XLOOKUP($A301,Строчный!$A:$A,Строчный!I:I,"ERR",0)))</f>
        <v>черный</v>
      </c>
      <c r="J301" s="81" t="str">
        <f ca="1">SUBSTITUTE(LOWER(TRIM(_xlfn.XLOOKUP($A301,Строчный!$A:$A,Строчный!J:J,"ERR",0))),"подклад","Подклад")</f>
        <v>100% хлопок</v>
      </c>
      <c r="K301" s="81" t="str">
        <f ca="1">LOWER(TRIM(_xlfn.XLOOKUP($A301,Строчный!$A:$A,Строчный!K:K,"ERR",0)))</f>
        <v>хлопковые</v>
      </c>
      <c r="L301" s="81" t="str">
        <f ca="1">PROPER(TRIM(_xlfn.XLOOKUP($A301,Строчный!$A:$A,Строчный!L:L,"ERR",0)))</f>
        <v>Унисекс</v>
      </c>
      <c r="M301" s="113" t="str">
        <f ca="1">PROPER(TRIM(_xlfn.XLOOKUP($A301,Строчный!$A:$A,Строчный!M:M,"ERR",0)))</f>
        <v>Италия</v>
      </c>
      <c r="N301" s="81" t="str">
        <f ca="1">UPPER(TRIM(_xlfn.XLOOKUP($A301,Строчный!$A:$A,Строчный!O:O,"ERR",0)))</f>
        <v/>
      </c>
      <c r="O301" s="102" t="str">
        <f ca="1">PROPER(TRIM(_xlfn.XLOOKUP($A301,Строчный!$A:$A,Строчный!P:P,"ERR",0)))</f>
        <v/>
      </c>
      <c r="P301" s="81" t="str">
        <f ca="1">PROPER(TRIM(_xlfn.XLOOKUP($A301,Строчный!$A:$A,Строчный!R:R,"ERR",0)))</f>
        <v/>
      </c>
      <c r="Q301" s="90">
        <f ca="1">VALUE(_xlfn.XLOOKUP($A301,Строчный!$A:$A,Строчный!N:N,"ERR",0))</f>
        <v>315</v>
      </c>
      <c r="R301" s="89" t="str">
        <f ca="1">_xlfn.XLOOKUP($G301,Фабрика!A:A,Фабрика!B:B,"ERR",0)</f>
        <v>Chapellerie Herman S.A.; Rue Jean Meunier, 6, 6922 Wellin, Belgium</v>
      </c>
      <c r="S301" s="80" t="str">
        <f ca="1">_xlfn.XLOOKUP(RIGHT(AA301,2),Размеры!D:D,Размеры!A:A,"ERR",0)</f>
        <v>59</v>
      </c>
      <c r="T301" s="80">
        <f ca="1">VALUE(_xlfn.XLOOKUP($AA301,Строчный!$S:$S,Строчный!U:U,"ERR",0))</f>
        <v>69</v>
      </c>
      <c r="U301" s="14" t="s">
        <v>265</v>
      </c>
      <c r="V301" s="101" t="str">
        <f t="shared" ca="1" si="23"/>
        <v>Бейсболка HERMAN арт. CONQUEST SWEAT (черный)</v>
      </c>
      <c r="W301" s="100" t="str">
        <f t="shared" ca="1" si="24"/>
        <v>Бейсболка HERMAN арт. CONQUEST SWEAT (черный) {black}</v>
      </c>
      <c r="X301" s="18" t="str">
        <f t="shared" ca="1" si="25"/>
        <v>черный</v>
      </c>
      <c r="Y301" s="18" t="str">
        <f t="shared" ca="1" si="26"/>
        <v>черный</v>
      </c>
      <c r="Z301" s="117" t="str">
        <f ca="1">_xlfn.LET(_xlpm.FormColors,_xlfn.XLOOKUP(A301,Строчный!A:A,Строчный!Q:Q,"",0),IF(_xlpm.FormColors=0,IFERROR(MID(I301,FIND("-",I301)+1,LEN(I301)),IFERROR(MID(I301,1,FIND("/",I301)-2),I301)),_xlpm.FormColors))</f>
        <v>черный</v>
      </c>
      <c r="AA301" s="73" t="str">
        <f ca="1"/>
        <v>80-161-09-59</v>
      </c>
      <c r="AB301" s="75" t="str">
        <f ca="1">VLOOKUP(C301,Группа!A:B,2,FALSE)</f>
        <v>Бейсболка</v>
      </c>
      <c r="AC301" s="97" t="str">
        <f ca="1">IFERROR(VLOOKUP(S301,Размеры!A:C,3,FALSE),"")</f>
        <v>59 L</v>
      </c>
      <c r="AD301" s="97" t="str">
        <f ca="1">VLOOKUP(I301,ЦветПолный!A:B,2,FALSE)</f>
        <v>09</v>
      </c>
      <c r="AE301" s="97" t="str">
        <f ca="1">IFERROR(VLOOKUP(S301,Размеры!A:D,4,FALSE),"")</f>
        <v>59</v>
      </c>
      <c r="AF301" s="97">
        <f ca="1">IF(LEFT(IFERROR(VLOOKUP(LOOKUP(2,1/SEARCH(B301,Товары!A:A),Товары!A:A),Товары!A:B,2,0),""),6)=MID(AA301,1,6),1,0)</f>
        <v>1</v>
      </c>
      <c r="AH301" s="97">
        <f ca="1">SUMIF(Группа!A:A,C301,Группа!C:C)</f>
        <v>1</v>
      </c>
      <c r="AI301" s="97">
        <f ca="1">SUMIF(Группа!B:B,AB301,Группа!C:C)</f>
        <v>1</v>
      </c>
      <c r="AJ301" s="97">
        <f ca="1">SUMIF(Формы!A:A,D301,Формы!B:B)</f>
        <v>1</v>
      </c>
      <c r="AK301" s="97">
        <f ca="1">SUMIF(Материал!A:A,K301,Материал!B:B)</f>
        <v>1</v>
      </c>
      <c r="AL301" s="97">
        <f ca="1">SUMIF(Размеры!A:A,S301,Размеры!E:E)</f>
        <v>1</v>
      </c>
      <c r="AM301" s="97">
        <f ca="1">SUMIF(Сезон!A:A,F301,Сезон!B:B)</f>
        <v>1</v>
      </c>
      <c r="AN301" s="97">
        <f ca="1">SUMIF(Состав!A:A,J301,Состав!B:B)</f>
        <v>1</v>
      </c>
      <c r="AO301" s="97">
        <f ca="1">VLOOKUP(I301,ЦветПолный!A:C,3,0)</f>
        <v>1</v>
      </c>
      <c r="AP301" s="97">
        <f ca="1">SUMIF(Цвет!A:A,Z301,Цвет!B:B)</f>
        <v>1</v>
      </c>
      <c r="AQ301" s="97">
        <f ca="1">_xlfn.XLOOKUP(L301,Пол!A:A,Пол!B:B,0,0)</f>
        <v>1</v>
      </c>
      <c r="AR301" s="97">
        <f ca="1">SUMIF(Бренд!A:A,G301,Бренд!B:B)</f>
        <v>1</v>
      </c>
      <c r="AS301" s="97">
        <f ca="1">SUMIF(Страна!A:A,M301,Страна!B:B)</f>
        <v>1</v>
      </c>
      <c r="AT301" s="64" t="str">
        <f ca="1">IF(VLOOKUP(W301,Товары!A:B,2,FALSE)=A301,"Есть в 1С","ERR")</f>
        <v>Есть в 1С</v>
      </c>
      <c r="AU301" s="65" t="str">
        <f ca="1">IF(VLOOKUP(A301,Товары!B:B,1,FALSE)=A301,"Есть в 1С","ERR")</f>
        <v>Есть в 1С</v>
      </c>
      <c r="AV301" s="96" t="str">
        <f ca="1">VLOOKUP(W301,Товары!A:B,2,FALSE)</f>
        <v>80-161-09</v>
      </c>
      <c r="AW301" s="94" t="str">
        <f ca="1">VLOOKUP(W301,Товары!A:B,1,FALSE)</f>
        <v>Бейсболка HERMAN арт. CONQUEST SWEAT (черный) {black}</v>
      </c>
    </row>
    <row r="302" spans="1:49" x14ac:dyDescent="0.25">
      <c r="A302" s="110" t="str">
        <f t="shared" ca="1" si="22"/>
        <v>80-161-09</v>
      </c>
      <c r="B302" s="107" t="str">
        <f ca="1">_xlfn.LET(_xlpm.CAPS,0,_xlpm.Style,TRIM(_xlfn.XLOOKUP($A302,Строчный!$A:$A,Строчный!B:B,"ERR",0)),IF(_xlpm.CAPS=0,_xlpm.Style,UPPER(_xlpm.Style)))</f>
        <v>CONQUEST SWEAT</v>
      </c>
      <c r="C302" s="81" t="str">
        <f ca="1">TRIM(PROPER(_xlfn.XLOOKUP($A302,Строчный!$A:$A,Строчный!C:C,"ERR",0)))</f>
        <v>Бейсболки</v>
      </c>
      <c r="D302" s="81" t="str">
        <f ca="1">_xlfn.LET(_xlpm.DATA,TRIM(_xlfn.XLOOKUP($A302,Строчный!$A:$A,Строчный!D:D,"ERR",0)),UPPER(MID(_xlpm.DATA,1,1))&amp;LOWER(MID(_xlpm.DATA,2,LEN(_xlpm.DATA)-1)))</f>
        <v>Бейсболка</v>
      </c>
      <c r="E302" s="81" t="str">
        <f ca="1">PROPER(TRIM(_xlfn.XLOOKUP($A302,Строчный!$A:$A,Строчный!E:E,"ERR",0)))</f>
        <v>Herman</v>
      </c>
      <c r="F302" s="81" t="str">
        <f ca="1">LOWER(TRIM(_xlfn.XLOOKUP($A302,Строчный!$A:$A,Строчный!F:F,"ERR",0)))</f>
        <v>всесезон</v>
      </c>
      <c r="G302" s="81" t="str">
        <f ca="1">UPPER(TRIM(_xlfn.XLOOKUP($A302,Строчный!$A:$A,Строчный!G:G,"ERR",0)))</f>
        <v>HERMAN</v>
      </c>
      <c r="H302" s="81" t="str">
        <f ca="1">LOWER(TRIM(_xlfn.XLOOKUP($A302,Строчный!$A:$A,Строчный!H:H,"ERR",0)))</f>
        <v>black</v>
      </c>
      <c r="I302" s="81" t="str">
        <f ca="1">LOWER(TRIM(_xlfn.XLOOKUP($A302,Строчный!$A:$A,Строчный!I:I,"ERR",0)))</f>
        <v>черный</v>
      </c>
      <c r="J302" s="81" t="str">
        <f ca="1">SUBSTITUTE(LOWER(TRIM(_xlfn.XLOOKUP($A302,Строчный!$A:$A,Строчный!J:J,"ERR",0))),"подклад","Подклад")</f>
        <v>100% хлопок</v>
      </c>
      <c r="K302" s="81" t="str">
        <f ca="1">LOWER(TRIM(_xlfn.XLOOKUP($A302,Строчный!$A:$A,Строчный!K:K,"ERR",0)))</f>
        <v>хлопковые</v>
      </c>
      <c r="L302" s="81" t="str">
        <f ca="1">PROPER(TRIM(_xlfn.XLOOKUP($A302,Строчный!$A:$A,Строчный!L:L,"ERR",0)))</f>
        <v>Унисекс</v>
      </c>
      <c r="M302" s="113" t="str">
        <f ca="1">PROPER(TRIM(_xlfn.XLOOKUP($A302,Строчный!$A:$A,Строчный!M:M,"ERR",0)))</f>
        <v>Италия</v>
      </c>
      <c r="N302" s="81" t="str">
        <f ca="1">UPPER(TRIM(_xlfn.XLOOKUP($A302,Строчный!$A:$A,Строчный!O:O,"ERR",0)))</f>
        <v/>
      </c>
      <c r="O302" s="102" t="str">
        <f ca="1">PROPER(TRIM(_xlfn.XLOOKUP($A302,Строчный!$A:$A,Строчный!P:P,"ERR",0)))</f>
        <v/>
      </c>
      <c r="P302" s="81" t="str">
        <f ca="1">PROPER(TRIM(_xlfn.XLOOKUP($A302,Строчный!$A:$A,Строчный!R:R,"ERR",0)))</f>
        <v/>
      </c>
      <c r="Q302" s="90">
        <f ca="1">VALUE(_xlfn.XLOOKUP($A302,Строчный!$A:$A,Строчный!N:N,"ERR",0))</f>
        <v>315</v>
      </c>
      <c r="R302" s="89" t="str">
        <f ca="1">_xlfn.XLOOKUP($G302,Фабрика!A:A,Фабрика!B:B,"ERR",0)</f>
        <v>Chapellerie Herman S.A.; Rue Jean Meunier, 6, 6922 Wellin, Belgium</v>
      </c>
      <c r="S302" s="80" t="str">
        <f ca="1">_xlfn.XLOOKUP(RIGHT(AA302,2),Размеры!D:D,Размеры!A:A,"ERR",0)</f>
        <v>58</v>
      </c>
      <c r="T302" s="80">
        <f ca="1">VALUE(_xlfn.XLOOKUP($AA302,Строчный!$S:$S,Строчный!U:U,"ERR",0))</f>
        <v>59</v>
      </c>
      <c r="U302" s="14" t="s">
        <v>265</v>
      </c>
      <c r="V302" s="101" t="str">
        <f t="shared" ca="1" si="23"/>
        <v>Бейсболка HERMAN арт. CONQUEST SWEAT (черный)</v>
      </c>
      <c r="W302" s="100" t="str">
        <f t="shared" ca="1" si="24"/>
        <v>Бейсболка HERMAN арт. CONQUEST SWEAT (черный) {black}</v>
      </c>
      <c r="X302" s="18" t="str">
        <f t="shared" ca="1" si="25"/>
        <v>черный</v>
      </c>
      <c r="Y302" s="18" t="str">
        <f t="shared" ca="1" si="26"/>
        <v>черный</v>
      </c>
      <c r="Z302" s="117" t="str">
        <f ca="1">_xlfn.LET(_xlpm.FormColors,_xlfn.XLOOKUP(A302,Строчный!A:A,Строчный!Q:Q,"",0),IF(_xlpm.FormColors=0,IFERROR(MID(I302,FIND("-",I302)+1,LEN(I302)),IFERROR(MID(I302,1,FIND("/",I302)-2),I302)),_xlpm.FormColors))</f>
        <v>черный</v>
      </c>
      <c r="AA302" s="73" t="str">
        <f ca="1"/>
        <v>80-161-09-58</v>
      </c>
      <c r="AB302" s="75" t="str">
        <f ca="1">VLOOKUP(C302,Группа!A:B,2,FALSE)</f>
        <v>Бейсболка</v>
      </c>
      <c r="AC302" s="97" t="str">
        <f ca="1">IFERROR(VLOOKUP(S302,Размеры!A:C,3,FALSE),"")</f>
        <v>58 M/L</v>
      </c>
      <c r="AD302" s="97" t="str">
        <f ca="1">VLOOKUP(I302,ЦветПолный!A:B,2,FALSE)</f>
        <v>09</v>
      </c>
      <c r="AE302" s="97" t="str">
        <f ca="1">IFERROR(VLOOKUP(S302,Размеры!A:D,4,FALSE),"")</f>
        <v>58</v>
      </c>
      <c r="AF302" s="97">
        <f ca="1">IF(LEFT(IFERROR(VLOOKUP(LOOKUP(2,1/SEARCH(B302,Товары!A:A),Товары!A:A),Товары!A:B,2,0),""),6)=MID(AA302,1,6),1,0)</f>
        <v>1</v>
      </c>
      <c r="AH302" s="97">
        <f ca="1">SUMIF(Группа!A:A,C302,Группа!C:C)</f>
        <v>1</v>
      </c>
      <c r="AI302" s="97">
        <f ca="1">SUMIF(Группа!B:B,AB302,Группа!C:C)</f>
        <v>1</v>
      </c>
      <c r="AJ302" s="97">
        <f ca="1">SUMIF(Формы!A:A,D302,Формы!B:B)</f>
        <v>1</v>
      </c>
      <c r="AK302" s="97">
        <f ca="1">SUMIF(Материал!A:A,K302,Материал!B:B)</f>
        <v>1</v>
      </c>
      <c r="AL302" s="97">
        <f ca="1">SUMIF(Размеры!A:A,S302,Размеры!E:E)</f>
        <v>1</v>
      </c>
      <c r="AM302" s="97">
        <f ca="1">SUMIF(Сезон!A:A,F302,Сезон!B:B)</f>
        <v>1</v>
      </c>
      <c r="AN302" s="97">
        <f ca="1">SUMIF(Состав!A:A,J302,Состав!B:B)</f>
        <v>1</v>
      </c>
      <c r="AO302" s="97">
        <f ca="1">VLOOKUP(I302,ЦветПолный!A:C,3,0)</f>
        <v>1</v>
      </c>
      <c r="AP302" s="97">
        <f ca="1">SUMIF(Цвет!A:A,Z302,Цвет!B:B)</f>
        <v>1</v>
      </c>
      <c r="AQ302" s="97">
        <f ca="1">_xlfn.XLOOKUP(L302,Пол!A:A,Пол!B:B,0,0)</f>
        <v>1</v>
      </c>
      <c r="AR302" s="97">
        <f ca="1">SUMIF(Бренд!A:A,G302,Бренд!B:B)</f>
        <v>1</v>
      </c>
      <c r="AS302" s="97">
        <f ca="1">SUMIF(Страна!A:A,M302,Страна!B:B)</f>
        <v>1</v>
      </c>
      <c r="AT302" s="64" t="str">
        <f ca="1">IF(VLOOKUP(W302,Товары!A:B,2,FALSE)=A302,"Есть в 1С","ERR")</f>
        <v>Есть в 1С</v>
      </c>
      <c r="AU302" s="65" t="str">
        <f ca="1">IF(VLOOKUP(A302,Товары!B:B,1,FALSE)=A302,"Есть в 1С","ERR")</f>
        <v>Есть в 1С</v>
      </c>
      <c r="AV302" s="96" t="str">
        <f ca="1">VLOOKUP(W302,Товары!A:B,2,FALSE)</f>
        <v>80-161-09</v>
      </c>
      <c r="AW302" s="94" t="str">
        <f ca="1">VLOOKUP(W302,Товары!A:B,1,FALSE)</f>
        <v>Бейсболка HERMAN арт. CONQUEST SWEAT (черный) {black}</v>
      </c>
    </row>
    <row r="303" spans="1:49" x14ac:dyDescent="0.25">
      <c r="A303" s="110" t="str">
        <f t="shared" ca="1" si="22"/>
        <v>80-161-09</v>
      </c>
      <c r="B303" s="107" t="str">
        <f ca="1">_xlfn.LET(_xlpm.CAPS,0,_xlpm.Style,TRIM(_xlfn.XLOOKUP($A303,Строчный!$A:$A,Строчный!B:B,"ERR",0)),IF(_xlpm.CAPS=0,_xlpm.Style,UPPER(_xlpm.Style)))</f>
        <v>CONQUEST SWEAT</v>
      </c>
      <c r="C303" s="81" t="str">
        <f ca="1">TRIM(PROPER(_xlfn.XLOOKUP($A303,Строчный!$A:$A,Строчный!C:C,"ERR",0)))</f>
        <v>Бейсболки</v>
      </c>
      <c r="D303" s="81" t="str">
        <f ca="1">_xlfn.LET(_xlpm.DATA,TRIM(_xlfn.XLOOKUP($A303,Строчный!$A:$A,Строчный!D:D,"ERR",0)),UPPER(MID(_xlpm.DATA,1,1))&amp;LOWER(MID(_xlpm.DATA,2,LEN(_xlpm.DATA)-1)))</f>
        <v>Бейсболка</v>
      </c>
      <c r="E303" s="81" t="str">
        <f ca="1">PROPER(TRIM(_xlfn.XLOOKUP($A303,Строчный!$A:$A,Строчный!E:E,"ERR",0)))</f>
        <v>Herman</v>
      </c>
      <c r="F303" s="81" t="str">
        <f ca="1">LOWER(TRIM(_xlfn.XLOOKUP($A303,Строчный!$A:$A,Строчный!F:F,"ERR",0)))</f>
        <v>всесезон</v>
      </c>
      <c r="G303" s="81" t="str">
        <f ca="1">UPPER(TRIM(_xlfn.XLOOKUP($A303,Строчный!$A:$A,Строчный!G:G,"ERR",0)))</f>
        <v>HERMAN</v>
      </c>
      <c r="H303" s="81" t="str">
        <f ca="1">LOWER(TRIM(_xlfn.XLOOKUP($A303,Строчный!$A:$A,Строчный!H:H,"ERR",0)))</f>
        <v>black</v>
      </c>
      <c r="I303" s="81" t="str">
        <f ca="1">LOWER(TRIM(_xlfn.XLOOKUP($A303,Строчный!$A:$A,Строчный!I:I,"ERR",0)))</f>
        <v>черный</v>
      </c>
      <c r="J303" s="81" t="str">
        <f ca="1">SUBSTITUTE(LOWER(TRIM(_xlfn.XLOOKUP($A303,Строчный!$A:$A,Строчный!J:J,"ERR",0))),"подклад","Подклад")</f>
        <v>100% хлопок</v>
      </c>
      <c r="K303" s="81" t="str">
        <f ca="1">LOWER(TRIM(_xlfn.XLOOKUP($A303,Строчный!$A:$A,Строчный!K:K,"ERR",0)))</f>
        <v>хлопковые</v>
      </c>
      <c r="L303" s="81" t="str">
        <f ca="1">PROPER(TRIM(_xlfn.XLOOKUP($A303,Строчный!$A:$A,Строчный!L:L,"ERR",0)))</f>
        <v>Унисекс</v>
      </c>
      <c r="M303" s="113" t="str">
        <f ca="1">PROPER(TRIM(_xlfn.XLOOKUP($A303,Строчный!$A:$A,Строчный!M:M,"ERR",0)))</f>
        <v>Италия</v>
      </c>
      <c r="N303" s="81" t="str">
        <f ca="1">UPPER(TRIM(_xlfn.XLOOKUP($A303,Строчный!$A:$A,Строчный!O:O,"ERR",0)))</f>
        <v/>
      </c>
      <c r="O303" s="102" t="str">
        <f ca="1">PROPER(TRIM(_xlfn.XLOOKUP($A303,Строчный!$A:$A,Строчный!P:P,"ERR",0)))</f>
        <v/>
      </c>
      <c r="P303" s="81" t="str">
        <f ca="1">PROPER(TRIM(_xlfn.XLOOKUP($A303,Строчный!$A:$A,Строчный!R:R,"ERR",0)))</f>
        <v/>
      </c>
      <c r="Q303" s="90">
        <f ca="1">VALUE(_xlfn.XLOOKUP($A303,Строчный!$A:$A,Строчный!N:N,"ERR",0))</f>
        <v>315</v>
      </c>
      <c r="R303" s="89" t="str">
        <f ca="1">_xlfn.XLOOKUP($G303,Фабрика!A:A,Фабрика!B:B,"ERR",0)</f>
        <v>Chapellerie Herman S.A.; Rue Jean Meunier, 6, 6922 Wellin, Belgium</v>
      </c>
      <c r="S303" s="80" t="str">
        <f ca="1">_xlfn.XLOOKUP(RIGHT(AA303,2),Размеры!D:D,Размеры!A:A,"ERR",0)</f>
        <v>57</v>
      </c>
      <c r="T303" s="80">
        <f ca="1">VALUE(_xlfn.XLOOKUP($AA303,Строчный!$S:$S,Строчный!U:U,"ERR",0))</f>
        <v>72</v>
      </c>
      <c r="U303" s="14" t="s">
        <v>265</v>
      </c>
      <c r="V303" s="101" t="str">
        <f t="shared" ca="1" si="23"/>
        <v>Бейсболка HERMAN арт. CONQUEST SWEAT (черный)</v>
      </c>
      <c r="W303" s="100" t="str">
        <f t="shared" ca="1" si="24"/>
        <v>Бейсболка HERMAN арт. CONQUEST SWEAT (черный) {black}</v>
      </c>
      <c r="X303" s="18" t="str">
        <f t="shared" ca="1" si="25"/>
        <v>черный</v>
      </c>
      <c r="Y303" s="18" t="str">
        <f t="shared" ca="1" si="26"/>
        <v>черный</v>
      </c>
      <c r="Z303" s="117" t="str">
        <f ca="1">_xlfn.LET(_xlpm.FormColors,_xlfn.XLOOKUP(A303,Строчный!A:A,Строчный!Q:Q,"",0),IF(_xlpm.FormColors=0,IFERROR(MID(I303,FIND("-",I303)+1,LEN(I303)),IFERROR(MID(I303,1,FIND("/",I303)-2),I303)),_xlpm.FormColors))</f>
        <v>черный</v>
      </c>
      <c r="AA303" s="73" t="str">
        <f ca="1"/>
        <v>80-161-09-57</v>
      </c>
      <c r="AB303" s="75" t="str">
        <f ca="1">VLOOKUP(C303,Группа!A:B,2,FALSE)</f>
        <v>Бейсболка</v>
      </c>
      <c r="AC303" s="97" t="str">
        <f ca="1">IFERROR(VLOOKUP(S303,Размеры!A:C,3,FALSE),"")</f>
        <v>57 M</v>
      </c>
      <c r="AD303" s="97" t="str">
        <f ca="1">VLOOKUP(I303,ЦветПолный!A:B,2,FALSE)</f>
        <v>09</v>
      </c>
      <c r="AE303" s="97" t="str">
        <f ca="1">IFERROR(VLOOKUP(S303,Размеры!A:D,4,FALSE),"")</f>
        <v>57</v>
      </c>
      <c r="AF303" s="97">
        <f ca="1">IF(LEFT(IFERROR(VLOOKUP(LOOKUP(2,1/SEARCH(B303,Товары!A:A),Товары!A:A),Товары!A:B,2,0),""),6)=MID(AA303,1,6),1,0)</f>
        <v>1</v>
      </c>
      <c r="AH303" s="97">
        <f ca="1">SUMIF(Группа!A:A,C303,Группа!C:C)</f>
        <v>1</v>
      </c>
      <c r="AI303" s="97">
        <f ca="1">SUMIF(Группа!B:B,AB303,Группа!C:C)</f>
        <v>1</v>
      </c>
      <c r="AJ303" s="97">
        <f ca="1">SUMIF(Формы!A:A,D303,Формы!B:B)</f>
        <v>1</v>
      </c>
      <c r="AK303" s="97">
        <f ca="1">SUMIF(Материал!A:A,K303,Материал!B:B)</f>
        <v>1</v>
      </c>
      <c r="AL303" s="97">
        <f ca="1">SUMIF(Размеры!A:A,S303,Размеры!E:E)</f>
        <v>1</v>
      </c>
      <c r="AM303" s="97">
        <f ca="1">SUMIF(Сезон!A:A,F303,Сезон!B:B)</f>
        <v>1</v>
      </c>
      <c r="AN303" s="97">
        <f ca="1">SUMIF(Состав!A:A,J303,Состав!B:B)</f>
        <v>1</v>
      </c>
      <c r="AO303" s="97">
        <f ca="1">VLOOKUP(I303,ЦветПолный!A:C,3,0)</f>
        <v>1</v>
      </c>
      <c r="AP303" s="97">
        <f ca="1">SUMIF(Цвет!A:A,Z303,Цвет!B:B)</f>
        <v>1</v>
      </c>
      <c r="AQ303" s="97">
        <f ca="1">_xlfn.XLOOKUP(L303,Пол!A:A,Пол!B:B,0,0)</f>
        <v>1</v>
      </c>
      <c r="AR303" s="97">
        <f ca="1">SUMIF(Бренд!A:A,G303,Бренд!B:B)</f>
        <v>1</v>
      </c>
      <c r="AS303" s="97">
        <f ca="1">SUMIF(Страна!A:A,M303,Страна!B:B)</f>
        <v>1</v>
      </c>
      <c r="AT303" s="64" t="str">
        <f ca="1">IF(VLOOKUP(W303,Товары!A:B,2,FALSE)=A303,"Есть в 1С","ERR")</f>
        <v>Есть в 1С</v>
      </c>
      <c r="AU303" s="65" t="str">
        <f ca="1">IF(VLOOKUP(A303,Товары!B:B,1,FALSE)=A303,"Есть в 1С","ERR")</f>
        <v>Есть в 1С</v>
      </c>
      <c r="AV303" s="96" t="str">
        <f ca="1">VLOOKUP(W303,Товары!A:B,2,FALSE)</f>
        <v>80-161-09</v>
      </c>
      <c r="AW303" s="94" t="str">
        <f ca="1">VLOOKUP(W303,Товары!A:B,1,FALSE)</f>
        <v>Бейсболка HERMAN арт. CONQUEST SWEAT (черный) {black}</v>
      </c>
    </row>
    <row r="304" spans="1:49" x14ac:dyDescent="0.25">
      <c r="A304" s="110" t="str">
        <f t="shared" ca="1" si="22"/>
        <v>80-161-09</v>
      </c>
      <c r="B304" s="107" t="str">
        <f ca="1">_xlfn.LET(_xlpm.CAPS,0,_xlpm.Style,TRIM(_xlfn.XLOOKUP($A304,Строчный!$A:$A,Строчный!B:B,"ERR",0)),IF(_xlpm.CAPS=0,_xlpm.Style,UPPER(_xlpm.Style)))</f>
        <v>CONQUEST SWEAT</v>
      </c>
      <c r="C304" s="81" t="str">
        <f ca="1">TRIM(PROPER(_xlfn.XLOOKUP($A304,Строчный!$A:$A,Строчный!C:C,"ERR",0)))</f>
        <v>Бейсболки</v>
      </c>
      <c r="D304" s="81" t="str">
        <f ca="1">_xlfn.LET(_xlpm.DATA,TRIM(_xlfn.XLOOKUP($A304,Строчный!$A:$A,Строчный!D:D,"ERR",0)),UPPER(MID(_xlpm.DATA,1,1))&amp;LOWER(MID(_xlpm.DATA,2,LEN(_xlpm.DATA)-1)))</f>
        <v>Бейсболка</v>
      </c>
      <c r="E304" s="81" t="str">
        <f ca="1">PROPER(TRIM(_xlfn.XLOOKUP($A304,Строчный!$A:$A,Строчный!E:E,"ERR",0)))</f>
        <v>Herman</v>
      </c>
      <c r="F304" s="81" t="str">
        <f ca="1">LOWER(TRIM(_xlfn.XLOOKUP($A304,Строчный!$A:$A,Строчный!F:F,"ERR",0)))</f>
        <v>всесезон</v>
      </c>
      <c r="G304" s="81" t="str">
        <f ca="1">UPPER(TRIM(_xlfn.XLOOKUP($A304,Строчный!$A:$A,Строчный!G:G,"ERR",0)))</f>
        <v>HERMAN</v>
      </c>
      <c r="H304" s="81" t="str">
        <f ca="1">LOWER(TRIM(_xlfn.XLOOKUP($A304,Строчный!$A:$A,Строчный!H:H,"ERR",0)))</f>
        <v>black</v>
      </c>
      <c r="I304" s="81" t="str">
        <f ca="1">LOWER(TRIM(_xlfn.XLOOKUP($A304,Строчный!$A:$A,Строчный!I:I,"ERR",0)))</f>
        <v>черный</v>
      </c>
      <c r="J304" s="81" t="str">
        <f ca="1">SUBSTITUTE(LOWER(TRIM(_xlfn.XLOOKUP($A304,Строчный!$A:$A,Строчный!J:J,"ERR",0))),"подклад","Подклад")</f>
        <v>100% хлопок</v>
      </c>
      <c r="K304" s="81" t="str">
        <f ca="1">LOWER(TRIM(_xlfn.XLOOKUP($A304,Строчный!$A:$A,Строчный!K:K,"ERR",0)))</f>
        <v>хлопковые</v>
      </c>
      <c r="L304" s="81" t="str">
        <f ca="1">PROPER(TRIM(_xlfn.XLOOKUP($A304,Строчный!$A:$A,Строчный!L:L,"ERR",0)))</f>
        <v>Унисекс</v>
      </c>
      <c r="M304" s="113" t="str">
        <f ca="1">PROPER(TRIM(_xlfn.XLOOKUP($A304,Строчный!$A:$A,Строчный!M:M,"ERR",0)))</f>
        <v>Италия</v>
      </c>
      <c r="N304" s="81" t="str">
        <f ca="1">UPPER(TRIM(_xlfn.XLOOKUP($A304,Строчный!$A:$A,Строчный!O:O,"ERR",0)))</f>
        <v/>
      </c>
      <c r="O304" s="102" t="str">
        <f ca="1">PROPER(TRIM(_xlfn.XLOOKUP($A304,Строчный!$A:$A,Строчный!P:P,"ERR",0)))</f>
        <v/>
      </c>
      <c r="P304" s="81" t="str">
        <f ca="1">PROPER(TRIM(_xlfn.XLOOKUP($A304,Строчный!$A:$A,Строчный!R:R,"ERR",0)))</f>
        <v/>
      </c>
      <c r="Q304" s="90">
        <f ca="1">VALUE(_xlfn.XLOOKUP($A304,Строчный!$A:$A,Строчный!N:N,"ERR",0))</f>
        <v>315</v>
      </c>
      <c r="R304" s="89" t="str">
        <f ca="1">_xlfn.XLOOKUP($G304,Фабрика!A:A,Фабрика!B:B,"ERR",0)</f>
        <v>Chapellerie Herman S.A.; Rue Jean Meunier, 6, 6922 Wellin, Belgium</v>
      </c>
      <c r="S304" s="80" t="str">
        <f ca="1">_xlfn.XLOOKUP(RIGHT(AA304,2),Размеры!D:D,Размеры!A:A,"ERR",0)</f>
        <v>56</v>
      </c>
      <c r="T304" s="80">
        <f ca="1">VALUE(_xlfn.XLOOKUP($AA304,Строчный!$S:$S,Строчный!U:U,"ERR",0))</f>
        <v>57</v>
      </c>
      <c r="U304" s="14" t="s">
        <v>265</v>
      </c>
      <c r="V304" s="101" t="str">
        <f t="shared" ca="1" si="23"/>
        <v>Бейсболка HERMAN арт. CONQUEST SWEAT (черный)</v>
      </c>
      <c r="W304" s="100" t="str">
        <f t="shared" ca="1" si="24"/>
        <v>Бейсболка HERMAN арт. CONQUEST SWEAT (черный) {black}</v>
      </c>
      <c r="X304" s="18" t="str">
        <f t="shared" ca="1" si="25"/>
        <v>черный</v>
      </c>
      <c r="Y304" s="18" t="str">
        <f t="shared" ca="1" si="26"/>
        <v>черный</v>
      </c>
      <c r="Z304" s="117" t="str">
        <f ca="1">_xlfn.LET(_xlpm.FormColors,_xlfn.XLOOKUP(A304,Строчный!A:A,Строчный!Q:Q,"",0),IF(_xlpm.FormColors=0,IFERROR(MID(I304,FIND("-",I304)+1,LEN(I304)),IFERROR(MID(I304,1,FIND("/",I304)-2),I304)),_xlpm.FormColors))</f>
        <v>черный</v>
      </c>
      <c r="AA304" s="73" t="str">
        <f ca="1"/>
        <v>80-161-09-56</v>
      </c>
      <c r="AB304" s="75" t="str">
        <f ca="1">VLOOKUP(C304,Группа!A:B,2,FALSE)</f>
        <v>Бейсболка</v>
      </c>
      <c r="AC304" s="97" t="str">
        <f ca="1">IFERROR(VLOOKUP(S304,Размеры!A:C,3,FALSE),"")</f>
        <v>56 S/M</v>
      </c>
      <c r="AD304" s="97" t="str">
        <f ca="1">VLOOKUP(I304,ЦветПолный!A:B,2,FALSE)</f>
        <v>09</v>
      </c>
      <c r="AE304" s="97" t="str">
        <f ca="1">IFERROR(VLOOKUP(S304,Размеры!A:D,4,FALSE),"")</f>
        <v>56</v>
      </c>
      <c r="AF304" s="97">
        <f ca="1">IF(LEFT(IFERROR(VLOOKUP(LOOKUP(2,1/SEARCH(B304,Товары!A:A),Товары!A:A),Товары!A:B,2,0),""),6)=MID(AA304,1,6),1,0)</f>
        <v>1</v>
      </c>
      <c r="AH304" s="97">
        <f ca="1">SUMIF(Группа!A:A,C304,Группа!C:C)</f>
        <v>1</v>
      </c>
      <c r="AI304" s="97">
        <f ca="1">SUMIF(Группа!B:B,AB304,Группа!C:C)</f>
        <v>1</v>
      </c>
      <c r="AJ304" s="97">
        <f ca="1">SUMIF(Формы!A:A,D304,Формы!B:B)</f>
        <v>1</v>
      </c>
      <c r="AK304" s="97">
        <f ca="1">SUMIF(Материал!A:A,K304,Материал!B:B)</f>
        <v>1</v>
      </c>
      <c r="AL304" s="97">
        <f ca="1">SUMIF(Размеры!A:A,S304,Размеры!E:E)</f>
        <v>1</v>
      </c>
      <c r="AM304" s="97">
        <f ca="1">SUMIF(Сезон!A:A,F304,Сезон!B:B)</f>
        <v>1</v>
      </c>
      <c r="AN304" s="97">
        <f ca="1">SUMIF(Состав!A:A,J304,Состав!B:B)</f>
        <v>1</v>
      </c>
      <c r="AO304" s="97">
        <f ca="1">VLOOKUP(I304,ЦветПолный!A:C,3,0)</f>
        <v>1</v>
      </c>
      <c r="AP304" s="97">
        <f ca="1">SUMIF(Цвет!A:A,Z304,Цвет!B:B)</f>
        <v>1</v>
      </c>
      <c r="AQ304" s="97">
        <f ca="1">_xlfn.XLOOKUP(L304,Пол!A:A,Пол!B:B,0,0)</f>
        <v>1</v>
      </c>
      <c r="AR304" s="97">
        <f ca="1">SUMIF(Бренд!A:A,G304,Бренд!B:B)</f>
        <v>1</v>
      </c>
      <c r="AS304" s="97">
        <f ca="1">SUMIF(Страна!A:A,M304,Страна!B:B)</f>
        <v>1</v>
      </c>
      <c r="AT304" s="64" t="str">
        <f ca="1">IF(VLOOKUP(W304,Товары!A:B,2,FALSE)=A304,"Есть в 1С","ERR")</f>
        <v>Есть в 1С</v>
      </c>
      <c r="AU304" s="65" t="str">
        <f ca="1">IF(VLOOKUP(A304,Товары!B:B,1,FALSE)=A304,"Есть в 1С","ERR")</f>
        <v>Есть в 1С</v>
      </c>
      <c r="AV304" s="96" t="str">
        <f ca="1">VLOOKUP(W304,Товары!A:B,2,FALSE)</f>
        <v>80-161-09</v>
      </c>
      <c r="AW304" s="94" t="str">
        <f ca="1">VLOOKUP(W304,Товары!A:B,1,FALSE)</f>
        <v>Бейсболка HERMAN арт. CONQUEST SWEAT (черный) {black}</v>
      </c>
    </row>
    <row r="305" spans="1:49" x14ac:dyDescent="0.25">
      <c r="A305" s="110" t="str">
        <f t="shared" ca="1" si="22"/>
        <v>80-161-09</v>
      </c>
      <c r="B305" s="107" t="str">
        <f ca="1">_xlfn.LET(_xlpm.CAPS,0,_xlpm.Style,TRIM(_xlfn.XLOOKUP($A305,Строчный!$A:$A,Строчный!B:B,"ERR",0)),IF(_xlpm.CAPS=0,_xlpm.Style,UPPER(_xlpm.Style)))</f>
        <v>CONQUEST SWEAT</v>
      </c>
      <c r="C305" s="81" t="str">
        <f ca="1">TRIM(PROPER(_xlfn.XLOOKUP($A305,Строчный!$A:$A,Строчный!C:C,"ERR",0)))</f>
        <v>Бейсболки</v>
      </c>
      <c r="D305" s="81" t="str">
        <f ca="1">_xlfn.LET(_xlpm.DATA,TRIM(_xlfn.XLOOKUP($A305,Строчный!$A:$A,Строчный!D:D,"ERR",0)),UPPER(MID(_xlpm.DATA,1,1))&amp;LOWER(MID(_xlpm.DATA,2,LEN(_xlpm.DATA)-1)))</f>
        <v>Бейсболка</v>
      </c>
      <c r="E305" s="81" t="str">
        <f ca="1">PROPER(TRIM(_xlfn.XLOOKUP($A305,Строчный!$A:$A,Строчный!E:E,"ERR",0)))</f>
        <v>Herman</v>
      </c>
      <c r="F305" s="81" t="str">
        <f ca="1">LOWER(TRIM(_xlfn.XLOOKUP($A305,Строчный!$A:$A,Строчный!F:F,"ERR",0)))</f>
        <v>всесезон</v>
      </c>
      <c r="G305" s="81" t="str">
        <f ca="1">UPPER(TRIM(_xlfn.XLOOKUP($A305,Строчный!$A:$A,Строчный!G:G,"ERR",0)))</f>
        <v>HERMAN</v>
      </c>
      <c r="H305" s="81" t="str">
        <f ca="1">LOWER(TRIM(_xlfn.XLOOKUP($A305,Строчный!$A:$A,Строчный!H:H,"ERR",0)))</f>
        <v>black</v>
      </c>
      <c r="I305" s="81" t="str">
        <f ca="1">LOWER(TRIM(_xlfn.XLOOKUP($A305,Строчный!$A:$A,Строчный!I:I,"ERR",0)))</f>
        <v>черный</v>
      </c>
      <c r="J305" s="81" t="str">
        <f ca="1">SUBSTITUTE(LOWER(TRIM(_xlfn.XLOOKUP($A305,Строчный!$A:$A,Строчный!J:J,"ERR",0))),"подклад","Подклад")</f>
        <v>100% хлопок</v>
      </c>
      <c r="K305" s="81" t="str">
        <f ca="1">LOWER(TRIM(_xlfn.XLOOKUP($A305,Строчный!$A:$A,Строчный!K:K,"ERR",0)))</f>
        <v>хлопковые</v>
      </c>
      <c r="L305" s="81" t="str">
        <f ca="1">PROPER(TRIM(_xlfn.XLOOKUP($A305,Строчный!$A:$A,Строчный!L:L,"ERR",0)))</f>
        <v>Унисекс</v>
      </c>
      <c r="M305" s="113" t="str">
        <f ca="1">PROPER(TRIM(_xlfn.XLOOKUP($A305,Строчный!$A:$A,Строчный!M:M,"ERR",0)))</f>
        <v>Италия</v>
      </c>
      <c r="N305" s="81" t="str">
        <f ca="1">UPPER(TRIM(_xlfn.XLOOKUP($A305,Строчный!$A:$A,Строчный!O:O,"ERR",0)))</f>
        <v/>
      </c>
      <c r="O305" s="102" t="str">
        <f ca="1">PROPER(TRIM(_xlfn.XLOOKUP($A305,Строчный!$A:$A,Строчный!P:P,"ERR",0)))</f>
        <v/>
      </c>
      <c r="P305" s="81" t="str">
        <f ca="1">PROPER(TRIM(_xlfn.XLOOKUP($A305,Строчный!$A:$A,Строчный!R:R,"ERR",0)))</f>
        <v/>
      </c>
      <c r="Q305" s="90">
        <f ca="1">VALUE(_xlfn.XLOOKUP($A305,Строчный!$A:$A,Строчный!N:N,"ERR",0))</f>
        <v>315</v>
      </c>
      <c r="R305" s="89" t="str">
        <f ca="1">_xlfn.XLOOKUP($G305,Фабрика!A:A,Фабрика!B:B,"ERR",0)</f>
        <v>Chapellerie Herman S.A.; Rue Jean Meunier, 6, 6922 Wellin, Belgium</v>
      </c>
      <c r="S305" s="80" t="str">
        <f ca="1">_xlfn.XLOOKUP(RIGHT(AA305,2),Размеры!D:D,Размеры!A:A,"ERR",0)</f>
        <v>55</v>
      </c>
      <c r="T305" s="80">
        <f ca="1">VALUE(_xlfn.XLOOKUP($AA305,Строчный!$S:$S,Строчный!U:U,"ERR",0))</f>
        <v>21</v>
      </c>
      <c r="U305" s="14" t="s">
        <v>265</v>
      </c>
      <c r="V305" s="101" t="str">
        <f t="shared" ca="1" si="23"/>
        <v>Бейсболка HERMAN арт. CONQUEST SWEAT (черный)</v>
      </c>
      <c r="W305" s="100" t="str">
        <f t="shared" ca="1" si="24"/>
        <v>Бейсболка HERMAN арт. CONQUEST SWEAT (черный) {black}</v>
      </c>
      <c r="X305" s="18" t="str">
        <f t="shared" ca="1" si="25"/>
        <v>черный</v>
      </c>
      <c r="Y305" s="18" t="str">
        <f t="shared" ca="1" si="26"/>
        <v>черный</v>
      </c>
      <c r="Z305" s="117" t="str">
        <f ca="1">_xlfn.LET(_xlpm.FormColors,_xlfn.XLOOKUP(A305,Строчный!A:A,Строчный!Q:Q,"",0),IF(_xlpm.FormColors=0,IFERROR(MID(I305,FIND("-",I305)+1,LEN(I305)),IFERROR(MID(I305,1,FIND("/",I305)-2),I305)),_xlpm.FormColors))</f>
        <v>черный</v>
      </c>
      <c r="AA305" s="73" t="str">
        <f ca="1"/>
        <v>80-161-09-55</v>
      </c>
      <c r="AB305" s="75" t="str">
        <f ca="1">VLOOKUP(C305,Группа!A:B,2,FALSE)</f>
        <v>Бейсболка</v>
      </c>
      <c r="AC305" s="97" t="str">
        <f ca="1">IFERROR(VLOOKUP(S305,Размеры!A:C,3,FALSE),"")</f>
        <v>55 S</v>
      </c>
      <c r="AD305" s="97" t="str">
        <f ca="1">VLOOKUP(I305,ЦветПолный!A:B,2,FALSE)</f>
        <v>09</v>
      </c>
      <c r="AE305" s="97" t="str">
        <f ca="1">IFERROR(VLOOKUP(S305,Размеры!A:D,4,FALSE),"")</f>
        <v>55</v>
      </c>
      <c r="AF305" s="97">
        <f ca="1">IF(LEFT(IFERROR(VLOOKUP(LOOKUP(2,1/SEARCH(B305,Товары!A:A),Товары!A:A),Товары!A:B,2,0),""),6)=MID(AA305,1,6),1,0)</f>
        <v>1</v>
      </c>
      <c r="AH305" s="97">
        <f ca="1">SUMIF(Группа!A:A,C305,Группа!C:C)</f>
        <v>1</v>
      </c>
      <c r="AI305" s="97">
        <f ca="1">SUMIF(Группа!B:B,AB305,Группа!C:C)</f>
        <v>1</v>
      </c>
      <c r="AJ305" s="97">
        <f ca="1">SUMIF(Формы!A:A,D305,Формы!B:B)</f>
        <v>1</v>
      </c>
      <c r="AK305" s="97">
        <f ca="1">SUMIF(Материал!A:A,K305,Материал!B:B)</f>
        <v>1</v>
      </c>
      <c r="AL305" s="97">
        <f ca="1">SUMIF(Размеры!A:A,S305,Размеры!E:E)</f>
        <v>1</v>
      </c>
      <c r="AM305" s="97">
        <f ca="1">SUMIF(Сезон!A:A,F305,Сезон!B:B)</f>
        <v>1</v>
      </c>
      <c r="AN305" s="97">
        <f ca="1">SUMIF(Состав!A:A,J305,Состав!B:B)</f>
        <v>1</v>
      </c>
      <c r="AO305" s="97">
        <f ca="1">VLOOKUP(I305,ЦветПолный!A:C,3,0)</f>
        <v>1</v>
      </c>
      <c r="AP305" s="97">
        <f ca="1">SUMIF(Цвет!A:A,Z305,Цвет!B:B)</f>
        <v>1</v>
      </c>
      <c r="AQ305" s="97">
        <f ca="1">_xlfn.XLOOKUP(L305,Пол!A:A,Пол!B:B,0,0)</f>
        <v>1</v>
      </c>
      <c r="AR305" s="97">
        <f ca="1">SUMIF(Бренд!A:A,G305,Бренд!B:B)</f>
        <v>1</v>
      </c>
      <c r="AS305" s="97">
        <f ca="1">SUMIF(Страна!A:A,M305,Страна!B:B)</f>
        <v>1</v>
      </c>
      <c r="AT305" s="64" t="str">
        <f ca="1">IF(VLOOKUP(W305,Товары!A:B,2,FALSE)=A305,"Есть в 1С","ERR")</f>
        <v>Есть в 1С</v>
      </c>
      <c r="AU305" s="65" t="str">
        <f ca="1">IF(VLOOKUP(A305,Товары!B:B,1,FALSE)=A305,"Есть в 1С","ERR")</f>
        <v>Есть в 1С</v>
      </c>
      <c r="AV305" s="96" t="str">
        <f ca="1">VLOOKUP(W305,Товары!A:B,2,FALSE)</f>
        <v>80-161-09</v>
      </c>
      <c r="AW305" s="94" t="str">
        <f ca="1">VLOOKUP(W305,Товары!A:B,1,FALSE)</f>
        <v>Бейсболка HERMAN арт. CONQUEST SWEAT (черный) {black}</v>
      </c>
    </row>
    <row r="306" spans="1:49" x14ac:dyDescent="0.25">
      <c r="A306" s="110" t="str">
        <f t="shared" ca="1" si="22"/>
        <v>80-161-08</v>
      </c>
      <c r="B306" s="107" t="str">
        <f ca="1">_xlfn.LET(_xlpm.CAPS,0,_xlpm.Style,TRIM(_xlfn.XLOOKUP($A306,Строчный!$A:$A,Строчный!B:B,"ERR",0)),IF(_xlpm.CAPS=0,_xlpm.Style,UPPER(_xlpm.Style)))</f>
        <v>CONQUEST SWEAT</v>
      </c>
      <c r="C306" s="81" t="str">
        <f ca="1">TRIM(PROPER(_xlfn.XLOOKUP($A306,Строчный!$A:$A,Строчный!C:C,"ERR",0)))</f>
        <v>Бейсболки</v>
      </c>
      <c r="D306" s="81" t="str">
        <f ca="1">_xlfn.LET(_xlpm.DATA,TRIM(_xlfn.XLOOKUP($A306,Строчный!$A:$A,Строчный!D:D,"ERR",0)),UPPER(MID(_xlpm.DATA,1,1))&amp;LOWER(MID(_xlpm.DATA,2,LEN(_xlpm.DATA)-1)))</f>
        <v>Бейсболка</v>
      </c>
      <c r="E306" s="81" t="str">
        <f ca="1">PROPER(TRIM(_xlfn.XLOOKUP($A306,Строчный!$A:$A,Строчный!E:E,"ERR",0)))</f>
        <v>Herman</v>
      </c>
      <c r="F306" s="81" t="str">
        <f ca="1">LOWER(TRIM(_xlfn.XLOOKUP($A306,Строчный!$A:$A,Строчный!F:F,"ERR",0)))</f>
        <v>летний</v>
      </c>
      <c r="G306" s="81" t="str">
        <f ca="1">UPPER(TRIM(_xlfn.XLOOKUP($A306,Строчный!$A:$A,Строчный!G:G,"ERR",0)))</f>
        <v>HERMAN</v>
      </c>
      <c r="H306" s="81" t="str">
        <f ca="1">LOWER(TRIM(_xlfn.XLOOKUP($A306,Строчный!$A:$A,Строчный!H:H,"ERR",0)))</f>
        <v>grey</v>
      </c>
      <c r="I306" s="81" t="str">
        <f ca="1">LOWER(TRIM(_xlfn.XLOOKUP($A306,Строчный!$A:$A,Строчный!I:I,"ERR",0)))</f>
        <v>серый</v>
      </c>
      <c r="J306" s="81" t="str">
        <f ca="1">SUBSTITUTE(LOWER(TRIM(_xlfn.XLOOKUP($A306,Строчный!$A:$A,Строчный!J:J,"ERR",0))),"подклад","Подклад")</f>
        <v>100% хлопок</v>
      </c>
      <c r="K306" s="81" t="str">
        <f ca="1">LOWER(TRIM(_xlfn.XLOOKUP($A306,Строчный!$A:$A,Строчный!K:K,"ERR",0)))</f>
        <v>хлопковые</v>
      </c>
      <c r="L306" s="81" t="str">
        <f ca="1">PROPER(TRIM(_xlfn.XLOOKUP($A306,Строчный!$A:$A,Строчный!L:L,"ERR",0)))</f>
        <v>Унисекс</v>
      </c>
      <c r="M306" s="113" t="str">
        <f ca="1">PROPER(TRIM(_xlfn.XLOOKUP($A306,Строчный!$A:$A,Строчный!M:M,"ERR",0)))</f>
        <v>Италия</v>
      </c>
      <c r="N306" s="81" t="str">
        <f ca="1">UPPER(TRIM(_xlfn.XLOOKUP($A306,Строчный!$A:$A,Строчный!O:O,"ERR",0)))</f>
        <v/>
      </c>
      <c r="O306" s="102" t="str">
        <f ca="1">PROPER(TRIM(_xlfn.XLOOKUP($A306,Строчный!$A:$A,Строчный!P:P,"ERR",0)))</f>
        <v/>
      </c>
      <c r="P306" s="81" t="str">
        <f ca="1">PROPER(TRIM(_xlfn.XLOOKUP($A306,Строчный!$A:$A,Строчный!R:R,"ERR",0)))</f>
        <v/>
      </c>
      <c r="Q306" s="90">
        <f ca="1">VALUE(_xlfn.XLOOKUP($A306,Строчный!$A:$A,Строчный!N:N,"ERR",0))</f>
        <v>315</v>
      </c>
      <c r="R306" s="89" t="str">
        <f ca="1">_xlfn.XLOOKUP($G306,Фабрика!A:A,Фабрика!B:B,"ERR",0)</f>
        <v>Chapellerie Herman S.A.; Rue Jean Meunier, 6, 6922 Wellin, Belgium</v>
      </c>
      <c r="S306" s="80" t="str">
        <f ca="1">_xlfn.XLOOKUP(RIGHT(AA306,2),Размеры!D:D,Размеры!A:A,"ERR",0)</f>
        <v>61</v>
      </c>
      <c r="T306" s="80">
        <f ca="1">VALUE(_xlfn.XLOOKUP($AA306,Строчный!$S:$S,Строчный!U:U,"ERR",0))</f>
        <v>1</v>
      </c>
      <c r="U306" s="14" t="s">
        <v>265</v>
      </c>
      <c r="V306" s="101" t="str">
        <f t="shared" ca="1" si="23"/>
        <v>Бейсболка HERMAN арт. CONQUEST SWEAT (серый)</v>
      </c>
      <c r="W306" s="100" t="str">
        <f t="shared" ca="1" si="24"/>
        <v>Бейсболка HERMAN арт. CONQUEST SWEAT (серый) {grey}</v>
      </c>
      <c r="X306" s="18" t="str">
        <f t="shared" ca="1" si="25"/>
        <v>серый</v>
      </c>
      <c r="Y306" s="18" t="str">
        <f t="shared" ca="1" si="26"/>
        <v>серый</v>
      </c>
      <c r="Z306" s="117" t="str">
        <f ca="1">_xlfn.LET(_xlpm.FormColors,_xlfn.XLOOKUP(A306,Строчный!A:A,Строчный!Q:Q,"",0),IF(_xlpm.FormColors=0,IFERROR(MID(I306,FIND("-",I306)+1,LEN(I306)),IFERROR(MID(I306,1,FIND("/",I306)-2),I306)),_xlpm.FormColors))</f>
        <v>серый</v>
      </c>
      <c r="AA306" s="73" t="str">
        <f ca="1"/>
        <v>80-161-08-61</v>
      </c>
      <c r="AB306" s="75" t="str">
        <f ca="1">VLOOKUP(C306,Группа!A:B,2,FALSE)</f>
        <v>Бейсболка</v>
      </c>
      <c r="AC306" s="97" t="str">
        <f ca="1">IFERROR(VLOOKUP(S306,Размеры!A:C,3,FALSE),"")</f>
        <v>61 XL</v>
      </c>
      <c r="AD306" s="97" t="str">
        <f ca="1">VLOOKUP(I306,ЦветПолный!A:B,2,FALSE)</f>
        <v>80</v>
      </c>
      <c r="AE306" s="97" t="str">
        <f ca="1">IFERROR(VLOOKUP(S306,Размеры!A:D,4,FALSE),"")</f>
        <v>61</v>
      </c>
      <c r="AF306" s="97">
        <f ca="1">IF(LEFT(IFERROR(VLOOKUP(LOOKUP(2,1/SEARCH(B306,Товары!A:A),Товары!A:A),Товары!A:B,2,0),""),6)=MID(AA306,1,6),1,0)</f>
        <v>1</v>
      </c>
      <c r="AH306" s="97">
        <f ca="1">SUMIF(Группа!A:A,C306,Группа!C:C)</f>
        <v>1</v>
      </c>
      <c r="AI306" s="97">
        <f ca="1">SUMIF(Группа!B:B,AB306,Группа!C:C)</f>
        <v>1</v>
      </c>
      <c r="AJ306" s="97">
        <f ca="1">SUMIF(Формы!A:A,D306,Формы!B:B)</f>
        <v>1</v>
      </c>
      <c r="AK306" s="97">
        <f ca="1">SUMIF(Материал!A:A,K306,Материал!B:B)</f>
        <v>1</v>
      </c>
      <c r="AL306" s="97">
        <f ca="1">SUMIF(Размеры!A:A,S306,Размеры!E:E)</f>
        <v>1</v>
      </c>
      <c r="AM306" s="97">
        <f ca="1">SUMIF(Сезон!A:A,F306,Сезон!B:B)</f>
        <v>1</v>
      </c>
      <c r="AN306" s="97">
        <f ca="1">SUMIF(Состав!A:A,J306,Состав!B:B)</f>
        <v>1</v>
      </c>
      <c r="AO306" s="97">
        <f ca="1">VLOOKUP(I306,ЦветПолный!A:C,3,0)</f>
        <v>1</v>
      </c>
      <c r="AP306" s="97">
        <f ca="1">SUMIF(Цвет!A:A,Z306,Цвет!B:B)</f>
        <v>1</v>
      </c>
      <c r="AQ306" s="97">
        <f ca="1">_xlfn.XLOOKUP(L306,Пол!A:A,Пол!B:B,0,0)</f>
        <v>1</v>
      </c>
      <c r="AR306" s="97">
        <f ca="1">SUMIF(Бренд!A:A,G306,Бренд!B:B)</f>
        <v>1</v>
      </c>
      <c r="AS306" s="97">
        <f ca="1">SUMIF(Страна!A:A,M306,Страна!B:B)</f>
        <v>1</v>
      </c>
      <c r="AT306" s="64" t="str">
        <f ca="1">IF(VLOOKUP(W306,Товары!A:B,2,FALSE)=A306,"Есть в 1С","ERR")</f>
        <v>Есть в 1С</v>
      </c>
      <c r="AU306" s="65" t="str">
        <f ca="1">IF(VLOOKUP(A306,Товары!B:B,1,FALSE)=A306,"Есть в 1С","ERR")</f>
        <v>Есть в 1С</v>
      </c>
      <c r="AV306" s="96" t="str">
        <f ca="1">VLOOKUP(W306,Товары!A:B,2,FALSE)</f>
        <v>80-161-08</v>
      </c>
      <c r="AW306" s="94" t="str">
        <f ca="1">VLOOKUP(W306,Товары!A:B,1,FALSE)</f>
        <v>Бейсболка HERMAN арт. CONQUEST SWEAT (серый) {grey}</v>
      </c>
    </row>
    <row r="307" spans="1:49" x14ac:dyDescent="0.25">
      <c r="A307" s="110" t="str">
        <f t="shared" ca="1" si="22"/>
        <v>80-161-08</v>
      </c>
      <c r="B307" s="107" t="str">
        <f ca="1">_xlfn.LET(_xlpm.CAPS,0,_xlpm.Style,TRIM(_xlfn.XLOOKUP($A307,Строчный!$A:$A,Строчный!B:B,"ERR",0)),IF(_xlpm.CAPS=0,_xlpm.Style,UPPER(_xlpm.Style)))</f>
        <v>CONQUEST SWEAT</v>
      </c>
      <c r="C307" s="81" t="str">
        <f ca="1">TRIM(PROPER(_xlfn.XLOOKUP($A307,Строчный!$A:$A,Строчный!C:C,"ERR",0)))</f>
        <v>Бейсболки</v>
      </c>
      <c r="D307" s="81" t="str">
        <f ca="1">_xlfn.LET(_xlpm.DATA,TRIM(_xlfn.XLOOKUP($A307,Строчный!$A:$A,Строчный!D:D,"ERR",0)),UPPER(MID(_xlpm.DATA,1,1))&amp;LOWER(MID(_xlpm.DATA,2,LEN(_xlpm.DATA)-1)))</f>
        <v>Бейсболка</v>
      </c>
      <c r="E307" s="81" t="str">
        <f ca="1">PROPER(TRIM(_xlfn.XLOOKUP($A307,Строчный!$A:$A,Строчный!E:E,"ERR",0)))</f>
        <v>Herman</v>
      </c>
      <c r="F307" s="81" t="str">
        <f ca="1">LOWER(TRIM(_xlfn.XLOOKUP($A307,Строчный!$A:$A,Строчный!F:F,"ERR",0)))</f>
        <v>летний</v>
      </c>
      <c r="G307" s="81" t="str">
        <f ca="1">UPPER(TRIM(_xlfn.XLOOKUP($A307,Строчный!$A:$A,Строчный!G:G,"ERR",0)))</f>
        <v>HERMAN</v>
      </c>
      <c r="H307" s="81" t="str">
        <f ca="1">LOWER(TRIM(_xlfn.XLOOKUP($A307,Строчный!$A:$A,Строчный!H:H,"ERR",0)))</f>
        <v>grey</v>
      </c>
      <c r="I307" s="81" t="str">
        <f ca="1">LOWER(TRIM(_xlfn.XLOOKUP($A307,Строчный!$A:$A,Строчный!I:I,"ERR",0)))</f>
        <v>серый</v>
      </c>
      <c r="J307" s="81" t="str">
        <f ca="1">SUBSTITUTE(LOWER(TRIM(_xlfn.XLOOKUP($A307,Строчный!$A:$A,Строчный!J:J,"ERR",0))),"подклад","Подклад")</f>
        <v>100% хлопок</v>
      </c>
      <c r="K307" s="81" t="str">
        <f ca="1">LOWER(TRIM(_xlfn.XLOOKUP($A307,Строчный!$A:$A,Строчный!K:K,"ERR",0)))</f>
        <v>хлопковые</v>
      </c>
      <c r="L307" s="81" t="str">
        <f ca="1">PROPER(TRIM(_xlfn.XLOOKUP($A307,Строчный!$A:$A,Строчный!L:L,"ERR",0)))</f>
        <v>Унисекс</v>
      </c>
      <c r="M307" s="113" t="str">
        <f ca="1">PROPER(TRIM(_xlfn.XLOOKUP($A307,Строчный!$A:$A,Строчный!M:M,"ERR",0)))</f>
        <v>Италия</v>
      </c>
      <c r="N307" s="81" t="str">
        <f ca="1">UPPER(TRIM(_xlfn.XLOOKUP($A307,Строчный!$A:$A,Строчный!O:O,"ERR",0)))</f>
        <v/>
      </c>
      <c r="O307" s="102" t="str">
        <f ca="1">PROPER(TRIM(_xlfn.XLOOKUP($A307,Строчный!$A:$A,Строчный!P:P,"ERR",0)))</f>
        <v/>
      </c>
      <c r="P307" s="81" t="str">
        <f ca="1">PROPER(TRIM(_xlfn.XLOOKUP($A307,Строчный!$A:$A,Строчный!R:R,"ERR",0)))</f>
        <v/>
      </c>
      <c r="Q307" s="90">
        <f ca="1">VALUE(_xlfn.XLOOKUP($A307,Строчный!$A:$A,Строчный!N:N,"ERR",0))</f>
        <v>315</v>
      </c>
      <c r="R307" s="89" t="str">
        <f ca="1">_xlfn.XLOOKUP($G307,Фабрика!A:A,Фабрика!B:B,"ERR",0)</f>
        <v>Chapellerie Herman S.A.; Rue Jean Meunier, 6, 6922 Wellin, Belgium</v>
      </c>
      <c r="S307" s="80" t="str">
        <f ca="1">_xlfn.XLOOKUP(RIGHT(AA307,2),Размеры!D:D,Размеры!A:A,"ERR",0)</f>
        <v>60</v>
      </c>
      <c r="T307" s="80">
        <f ca="1">VALUE(_xlfn.XLOOKUP($AA307,Строчный!$S:$S,Строчный!U:U,"ERR",0))</f>
        <v>2</v>
      </c>
      <c r="U307" s="14" t="s">
        <v>265</v>
      </c>
      <c r="V307" s="101" t="str">
        <f t="shared" ca="1" si="23"/>
        <v>Бейсболка HERMAN арт. CONQUEST SWEAT (серый)</v>
      </c>
      <c r="W307" s="100" t="str">
        <f t="shared" ca="1" si="24"/>
        <v>Бейсболка HERMAN арт. CONQUEST SWEAT (серый) {grey}</v>
      </c>
      <c r="X307" s="18" t="str">
        <f t="shared" ca="1" si="25"/>
        <v>серый</v>
      </c>
      <c r="Y307" s="18" t="str">
        <f t="shared" ca="1" si="26"/>
        <v>серый</v>
      </c>
      <c r="Z307" s="117" t="str">
        <f ca="1">_xlfn.LET(_xlpm.FormColors,_xlfn.XLOOKUP(A307,Строчный!A:A,Строчный!Q:Q,"",0),IF(_xlpm.FormColors=0,IFERROR(MID(I307,FIND("-",I307)+1,LEN(I307)),IFERROR(MID(I307,1,FIND("/",I307)-2),I307)),_xlpm.FormColors))</f>
        <v>серый</v>
      </c>
      <c r="AA307" s="73" t="str">
        <f ca="1"/>
        <v>80-161-08-60</v>
      </c>
      <c r="AB307" s="75" t="str">
        <f ca="1">VLOOKUP(C307,Группа!A:B,2,FALSE)</f>
        <v>Бейсболка</v>
      </c>
      <c r="AC307" s="97" t="str">
        <f ca="1">IFERROR(VLOOKUP(S307,Размеры!A:C,3,FALSE),"")</f>
        <v>60 L/XL</v>
      </c>
      <c r="AD307" s="97" t="str">
        <f ca="1">VLOOKUP(I307,ЦветПолный!A:B,2,FALSE)</f>
        <v>80</v>
      </c>
      <c r="AE307" s="97" t="str">
        <f ca="1">IFERROR(VLOOKUP(S307,Размеры!A:D,4,FALSE),"")</f>
        <v>60</v>
      </c>
      <c r="AF307" s="97">
        <f ca="1">IF(LEFT(IFERROR(VLOOKUP(LOOKUP(2,1/SEARCH(B307,Товары!A:A),Товары!A:A),Товары!A:B,2,0),""),6)=MID(AA307,1,6),1,0)</f>
        <v>1</v>
      </c>
      <c r="AH307" s="97">
        <f ca="1">SUMIF(Группа!A:A,C307,Группа!C:C)</f>
        <v>1</v>
      </c>
      <c r="AI307" s="97">
        <f ca="1">SUMIF(Группа!B:B,AB307,Группа!C:C)</f>
        <v>1</v>
      </c>
      <c r="AJ307" s="97">
        <f ca="1">SUMIF(Формы!A:A,D307,Формы!B:B)</f>
        <v>1</v>
      </c>
      <c r="AK307" s="97">
        <f ca="1">SUMIF(Материал!A:A,K307,Материал!B:B)</f>
        <v>1</v>
      </c>
      <c r="AL307" s="97">
        <f ca="1">SUMIF(Размеры!A:A,S307,Размеры!E:E)</f>
        <v>1</v>
      </c>
      <c r="AM307" s="97">
        <f ca="1">SUMIF(Сезон!A:A,F307,Сезон!B:B)</f>
        <v>1</v>
      </c>
      <c r="AN307" s="97">
        <f ca="1">SUMIF(Состав!A:A,J307,Состав!B:B)</f>
        <v>1</v>
      </c>
      <c r="AO307" s="97">
        <f ca="1">VLOOKUP(I307,ЦветПолный!A:C,3,0)</f>
        <v>1</v>
      </c>
      <c r="AP307" s="97">
        <f ca="1">SUMIF(Цвет!A:A,Z307,Цвет!B:B)</f>
        <v>1</v>
      </c>
      <c r="AQ307" s="97">
        <f ca="1">_xlfn.XLOOKUP(L307,Пол!A:A,Пол!B:B,0,0)</f>
        <v>1</v>
      </c>
      <c r="AR307" s="97">
        <f ca="1">SUMIF(Бренд!A:A,G307,Бренд!B:B)</f>
        <v>1</v>
      </c>
      <c r="AS307" s="97">
        <f ca="1">SUMIF(Страна!A:A,M307,Страна!B:B)</f>
        <v>1</v>
      </c>
      <c r="AT307" s="64" t="str">
        <f ca="1">IF(VLOOKUP(W307,Товары!A:B,2,FALSE)=A307,"Есть в 1С","ERR")</f>
        <v>Есть в 1С</v>
      </c>
      <c r="AU307" s="65" t="str">
        <f ca="1">IF(VLOOKUP(A307,Товары!B:B,1,FALSE)=A307,"Есть в 1С","ERR")</f>
        <v>Есть в 1С</v>
      </c>
      <c r="AV307" s="96" t="str">
        <f ca="1">VLOOKUP(W307,Товары!A:B,2,FALSE)</f>
        <v>80-161-08</v>
      </c>
      <c r="AW307" s="94" t="str">
        <f ca="1">VLOOKUP(W307,Товары!A:B,1,FALSE)</f>
        <v>Бейсболка HERMAN арт. CONQUEST SWEAT (серый) {grey}</v>
      </c>
    </row>
    <row r="308" spans="1:49" x14ac:dyDescent="0.25">
      <c r="A308" s="110" t="str">
        <f t="shared" ca="1" si="22"/>
        <v>80-161-08</v>
      </c>
      <c r="B308" s="107" t="str">
        <f ca="1">_xlfn.LET(_xlpm.CAPS,0,_xlpm.Style,TRIM(_xlfn.XLOOKUP($A308,Строчный!$A:$A,Строчный!B:B,"ERR",0)),IF(_xlpm.CAPS=0,_xlpm.Style,UPPER(_xlpm.Style)))</f>
        <v>CONQUEST SWEAT</v>
      </c>
      <c r="C308" s="81" t="str">
        <f ca="1">TRIM(PROPER(_xlfn.XLOOKUP($A308,Строчный!$A:$A,Строчный!C:C,"ERR",0)))</f>
        <v>Бейсболки</v>
      </c>
      <c r="D308" s="81" t="str">
        <f ca="1">_xlfn.LET(_xlpm.DATA,TRIM(_xlfn.XLOOKUP($A308,Строчный!$A:$A,Строчный!D:D,"ERR",0)),UPPER(MID(_xlpm.DATA,1,1))&amp;LOWER(MID(_xlpm.DATA,2,LEN(_xlpm.DATA)-1)))</f>
        <v>Бейсболка</v>
      </c>
      <c r="E308" s="81" t="str">
        <f ca="1">PROPER(TRIM(_xlfn.XLOOKUP($A308,Строчный!$A:$A,Строчный!E:E,"ERR",0)))</f>
        <v>Herman</v>
      </c>
      <c r="F308" s="81" t="str">
        <f ca="1">LOWER(TRIM(_xlfn.XLOOKUP($A308,Строчный!$A:$A,Строчный!F:F,"ERR",0)))</f>
        <v>летний</v>
      </c>
      <c r="G308" s="81" t="str">
        <f ca="1">UPPER(TRIM(_xlfn.XLOOKUP($A308,Строчный!$A:$A,Строчный!G:G,"ERR",0)))</f>
        <v>HERMAN</v>
      </c>
      <c r="H308" s="81" t="str">
        <f ca="1">LOWER(TRIM(_xlfn.XLOOKUP($A308,Строчный!$A:$A,Строчный!H:H,"ERR",0)))</f>
        <v>grey</v>
      </c>
      <c r="I308" s="81" t="str">
        <f ca="1">LOWER(TRIM(_xlfn.XLOOKUP($A308,Строчный!$A:$A,Строчный!I:I,"ERR",0)))</f>
        <v>серый</v>
      </c>
      <c r="J308" s="81" t="str">
        <f ca="1">SUBSTITUTE(LOWER(TRIM(_xlfn.XLOOKUP($A308,Строчный!$A:$A,Строчный!J:J,"ERR",0))),"подклад","Подклад")</f>
        <v>100% хлопок</v>
      </c>
      <c r="K308" s="81" t="str">
        <f ca="1">LOWER(TRIM(_xlfn.XLOOKUP($A308,Строчный!$A:$A,Строчный!K:K,"ERR",0)))</f>
        <v>хлопковые</v>
      </c>
      <c r="L308" s="81" t="str">
        <f ca="1">PROPER(TRIM(_xlfn.XLOOKUP($A308,Строчный!$A:$A,Строчный!L:L,"ERR",0)))</f>
        <v>Унисекс</v>
      </c>
      <c r="M308" s="113" t="str">
        <f ca="1">PROPER(TRIM(_xlfn.XLOOKUP($A308,Строчный!$A:$A,Строчный!M:M,"ERR",0)))</f>
        <v>Италия</v>
      </c>
      <c r="N308" s="81" t="str">
        <f ca="1">UPPER(TRIM(_xlfn.XLOOKUP($A308,Строчный!$A:$A,Строчный!O:O,"ERR",0)))</f>
        <v/>
      </c>
      <c r="O308" s="102" t="str">
        <f ca="1">PROPER(TRIM(_xlfn.XLOOKUP($A308,Строчный!$A:$A,Строчный!P:P,"ERR",0)))</f>
        <v/>
      </c>
      <c r="P308" s="81" t="str">
        <f ca="1">PROPER(TRIM(_xlfn.XLOOKUP($A308,Строчный!$A:$A,Строчный!R:R,"ERR",0)))</f>
        <v/>
      </c>
      <c r="Q308" s="90">
        <f ca="1">VALUE(_xlfn.XLOOKUP($A308,Строчный!$A:$A,Строчный!N:N,"ERR",0))</f>
        <v>315</v>
      </c>
      <c r="R308" s="89" t="str">
        <f ca="1">_xlfn.XLOOKUP($G308,Фабрика!A:A,Фабрика!B:B,"ERR",0)</f>
        <v>Chapellerie Herman S.A.; Rue Jean Meunier, 6, 6922 Wellin, Belgium</v>
      </c>
      <c r="S308" s="80" t="str">
        <f ca="1">_xlfn.XLOOKUP(RIGHT(AA308,2),Размеры!D:D,Размеры!A:A,"ERR",0)</f>
        <v>57</v>
      </c>
      <c r="T308" s="80">
        <f ca="1">VALUE(_xlfn.XLOOKUP($AA308,Строчный!$S:$S,Строчный!U:U,"ERR",0))</f>
        <v>1</v>
      </c>
      <c r="U308" s="14" t="s">
        <v>265</v>
      </c>
      <c r="V308" s="101" t="str">
        <f t="shared" ca="1" si="23"/>
        <v>Бейсболка HERMAN арт. CONQUEST SWEAT (серый)</v>
      </c>
      <c r="W308" s="100" t="str">
        <f t="shared" ca="1" si="24"/>
        <v>Бейсболка HERMAN арт. CONQUEST SWEAT (серый) {grey}</v>
      </c>
      <c r="X308" s="18" t="str">
        <f t="shared" ca="1" si="25"/>
        <v>серый</v>
      </c>
      <c r="Y308" s="18" t="str">
        <f t="shared" ca="1" si="26"/>
        <v>серый</v>
      </c>
      <c r="Z308" s="117" t="str">
        <f ca="1">_xlfn.LET(_xlpm.FormColors,_xlfn.XLOOKUP(A308,Строчный!A:A,Строчный!Q:Q,"",0),IF(_xlpm.FormColors=0,IFERROR(MID(I308,FIND("-",I308)+1,LEN(I308)),IFERROR(MID(I308,1,FIND("/",I308)-2),I308)),_xlpm.FormColors))</f>
        <v>серый</v>
      </c>
      <c r="AA308" s="73" t="str">
        <f ca="1"/>
        <v>80-161-08-57</v>
      </c>
      <c r="AB308" s="75" t="str">
        <f ca="1">VLOOKUP(C308,Группа!A:B,2,FALSE)</f>
        <v>Бейсболка</v>
      </c>
      <c r="AC308" s="97" t="str">
        <f ca="1">IFERROR(VLOOKUP(S308,Размеры!A:C,3,FALSE),"")</f>
        <v>57 M</v>
      </c>
      <c r="AD308" s="97" t="str">
        <f ca="1">VLOOKUP(I308,ЦветПолный!A:B,2,FALSE)</f>
        <v>80</v>
      </c>
      <c r="AE308" s="97" t="str">
        <f ca="1">IFERROR(VLOOKUP(S308,Размеры!A:D,4,FALSE),"")</f>
        <v>57</v>
      </c>
      <c r="AF308" s="97">
        <f ca="1">IF(LEFT(IFERROR(VLOOKUP(LOOKUP(2,1/SEARCH(B308,Товары!A:A),Товары!A:A),Товары!A:B,2,0),""),6)=MID(AA308,1,6),1,0)</f>
        <v>1</v>
      </c>
      <c r="AH308" s="97">
        <f ca="1">SUMIF(Группа!A:A,C308,Группа!C:C)</f>
        <v>1</v>
      </c>
      <c r="AI308" s="97">
        <f ca="1">SUMIF(Группа!B:B,AB308,Группа!C:C)</f>
        <v>1</v>
      </c>
      <c r="AJ308" s="97">
        <f ca="1">SUMIF(Формы!A:A,D308,Формы!B:B)</f>
        <v>1</v>
      </c>
      <c r="AK308" s="97">
        <f ca="1">SUMIF(Материал!A:A,K308,Материал!B:B)</f>
        <v>1</v>
      </c>
      <c r="AL308" s="97">
        <f ca="1">SUMIF(Размеры!A:A,S308,Размеры!E:E)</f>
        <v>1</v>
      </c>
      <c r="AM308" s="97">
        <f ca="1">SUMIF(Сезон!A:A,F308,Сезон!B:B)</f>
        <v>1</v>
      </c>
      <c r="AN308" s="97">
        <f ca="1">SUMIF(Состав!A:A,J308,Состав!B:B)</f>
        <v>1</v>
      </c>
      <c r="AO308" s="97">
        <f ca="1">VLOOKUP(I308,ЦветПолный!A:C,3,0)</f>
        <v>1</v>
      </c>
      <c r="AP308" s="97">
        <f ca="1">SUMIF(Цвет!A:A,Z308,Цвет!B:B)</f>
        <v>1</v>
      </c>
      <c r="AQ308" s="97">
        <f ca="1">_xlfn.XLOOKUP(L308,Пол!A:A,Пол!B:B,0,0)</f>
        <v>1</v>
      </c>
      <c r="AR308" s="97">
        <f ca="1">SUMIF(Бренд!A:A,G308,Бренд!B:B)</f>
        <v>1</v>
      </c>
      <c r="AS308" s="97">
        <f ca="1">SUMIF(Страна!A:A,M308,Страна!B:B)</f>
        <v>1</v>
      </c>
      <c r="AT308" s="64" t="str">
        <f ca="1">IF(VLOOKUP(W308,Товары!A:B,2,FALSE)=A308,"Есть в 1С","ERR")</f>
        <v>Есть в 1С</v>
      </c>
      <c r="AU308" s="65" t="str">
        <f ca="1">IF(VLOOKUP(A308,Товары!B:B,1,FALSE)=A308,"Есть в 1С","ERR")</f>
        <v>Есть в 1С</v>
      </c>
      <c r="AV308" s="96" t="str">
        <f ca="1">VLOOKUP(W308,Товары!A:B,2,FALSE)</f>
        <v>80-161-08</v>
      </c>
      <c r="AW308" s="94" t="str">
        <f ca="1">VLOOKUP(W308,Товары!A:B,1,FALSE)</f>
        <v>Бейсболка HERMAN арт. CONQUEST SWEAT (серый) {grey}</v>
      </c>
    </row>
    <row r="309" spans="1:49" x14ac:dyDescent="0.25">
      <c r="A309" s="110" t="str">
        <f t="shared" ca="1" si="22"/>
        <v>80-161-07</v>
      </c>
      <c r="B309" s="107" t="str">
        <f ca="1">_xlfn.LET(_xlpm.CAPS,0,_xlpm.Style,TRIM(_xlfn.XLOOKUP($A309,Строчный!$A:$A,Строчный!B:B,"ERR",0)),IF(_xlpm.CAPS=0,_xlpm.Style,UPPER(_xlpm.Style)))</f>
        <v>CONQUEST SWEAT</v>
      </c>
      <c r="C309" s="81" t="str">
        <f ca="1">TRIM(PROPER(_xlfn.XLOOKUP($A309,Строчный!$A:$A,Строчный!C:C,"ERR",0)))</f>
        <v>Бейсболки</v>
      </c>
      <c r="D309" s="81" t="str">
        <f ca="1">_xlfn.LET(_xlpm.DATA,TRIM(_xlfn.XLOOKUP($A309,Строчный!$A:$A,Строчный!D:D,"ERR",0)),UPPER(MID(_xlpm.DATA,1,1))&amp;LOWER(MID(_xlpm.DATA,2,LEN(_xlpm.DATA)-1)))</f>
        <v>Бейсболка</v>
      </c>
      <c r="E309" s="81" t="str">
        <f ca="1">PROPER(TRIM(_xlfn.XLOOKUP($A309,Строчный!$A:$A,Строчный!E:E,"ERR",0)))</f>
        <v>Herman</v>
      </c>
      <c r="F309" s="81" t="str">
        <f ca="1">LOWER(TRIM(_xlfn.XLOOKUP($A309,Строчный!$A:$A,Строчный!F:F,"ERR",0)))</f>
        <v>всесезон</v>
      </c>
      <c r="G309" s="81" t="str">
        <f ca="1">UPPER(TRIM(_xlfn.XLOOKUP($A309,Строчный!$A:$A,Строчный!G:G,"ERR",0)))</f>
        <v>HERMAN</v>
      </c>
      <c r="H309" s="81" t="str">
        <f ca="1">LOWER(TRIM(_xlfn.XLOOKUP($A309,Строчный!$A:$A,Строчный!H:H,"ERR",0)))</f>
        <v>green</v>
      </c>
      <c r="I309" s="81" t="str">
        <f ca="1">LOWER(TRIM(_xlfn.XLOOKUP($A309,Строчный!$A:$A,Строчный!I:I,"ERR",0)))</f>
        <v>зеленый</v>
      </c>
      <c r="J309" s="81" t="str">
        <f ca="1">SUBSTITUTE(LOWER(TRIM(_xlfn.XLOOKUP($A309,Строчный!$A:$A,Строчный!J:J,"ERR",0))),"подклад","Подклад")</f>
        <v>100% хлопок</v>
      </c>
      <c r="K309" s="81" t="str">
        <f ca="1">LOWER(TRIM(_xlfn.XLOOKUP($A309,Строчный!$A:$A,Строчный!K:K,"ERR",0)))</f>
        <v>хлопковые</v>
      </c>
      <c r="L309" s="81" t="str">
        <f ca="1">PROPER(TRIM(_xlfn.XLOOKUP($A309,Строчный!$A:$A,Строчный!L:L,"ERR",0)))</f>
        <v>Унисекс</v>
      </c>
      <c r="M309" s="113" t="str">
        <f ca="1">PROPER(TRIM(_xlfn.XLOOKUP($A309,Строчный!$A:$A,Строчный!M:M,"ERR",0)))</f>
        <v>Италия</v>
      </c>
      <c r="N309" s="81" t="str">
        <f ca="1">UPPER(TRIM(_xlfn.XLOOKUP($A309,Строчный!$A:$A,Строчный!O:O,"ERR",0)))</f>
        <v/>
      </c>
      <c r="O309" s="102" t="str">
        <f ca="1">PROPER(TRIM(_xlfn.XLOOKUP($A309,Строчный!$A:$A,Строчный!P:P,"ERR",0)))</f>
        <v/>
      </c>
      <c r="P309" s="81" t="str">
        <f ca="1">PROPER(TRIM(_xlfn.XLOOKUP($A309,Строчный!$A:$A,Строчный!R:R,"ERR",0)))</f>
        <v/>
      </c>
      <c r="Q309" s="90">
        <f ca="1">VALUE(_xlfn.XLOOKUP($A309,Строчный!$A:$A,Строчный!N:N,"ERR",0))</f>
        <v>315</v>
      </c>
      <c r="R309" s="89" t="str">
        <f ca="1">_xlfn.XLOOKUP($G309,Фабрика!A:A,Фабрика!B:B,"ERR",0)</f>
        <v>Chapellerie Herman S.A.; Rue Jean Meunier, 6, 6922 Wellin, Belgium</v>
      </c>
      <c r="S309" s="80" t="str">
        <f ca="1">_xlfn.XLOOKUP(RIGHT(AA309,2),Размеры!D:D,Размеры!A:A,"ERR",0)</f>
        <v>62</v>
      </c>
      <c r="T309" s="80">
        <f ca="1">VALUE(_xlfn.XLOOKUP($AA309,Строчный!$S:$S,Строчный!U:U,"ERR",0))</f>
        <v>1</v>
      </c>
      <c r="U309" s="14" t="s">
        <v>265</v>
      </c>
      <c r="V309" s="101" t="str">
        <f t="shared" ca="1" si="23"/>
        <v>Бейсболка HERMAN арт. CONQUEST SWEAT (зеленый)</v>
      </c>
      <c r="W309" s="100" t="str">
        <f t="shared" ca="1" si="24"/>
        <v>Бейсболка HERMAN арт. CONQUEST SWEAT (зеленый) {green}</v>
      </c>
      <c r="X309" s="18" t="str">
        <f t="shared" ca="1" si="25"/>
        <v>зеленый</v>
      </c>
      <c r="Y309" s="18" t="str">
        <f t="shared" ca="1" si="26"/>
        <v>зеленый</v>
      </c>
      <c r="Z309" s="117" t="str">
        <f ca="1">_xlfn.LET(_xlpm.FormColors,_xlfn.XLOOKUP(A309,Строчный!A:A,Строчный!Q:Q,"",0),IF(_xlpm.FormColors=0,IFERROR(MID(I309,FIND("-",I309)+1,LEN(I309)),IFERROR(MID(I309,1,FIND("/",I309)-2),I309)),_xlpm.FormColors))</f>
        <v>зеленый</v>
      </c>
      <c r="AA309" s="73" t="str">
        <f ca="1"/>
        <v>80-161-07-62</v>
      </c>
      <c r="AB309" s="75" t="str">
        <f ca="1">VLOOKUP(C309,Группа!A:B,2,FALSE)</f>
        <v>Бейсболка</v>
      </c>
      <c r="AC309" s="97" t="str">
        <f ca="1">IFERROR(VLOOKUP(S309,Размеры!A:C,3,FALSE),"")</f>
        <v>62 XL/XXL</v>
      </c>
      <c r="AD309" s="97" t="str">
        <f ca="1">VLOOKUP(I309,ЦветПолный!A:B,2,FALSE)</f>
        <v>11</v>
      </c>
      <c r="AE309" s="97" t="str">
        <f ca="1">IFERROR(VLOOKUP(S309,Размеры!A:D,4,FALSE),"")</f>
        <v>62</v>
      </c>
      <c r="AF309" s="97">
        <f ca="1">IF(LEFT(IFERROR(VLOOKUP(LOOKUP(2,1/SEARCH(B309,Товары!A:A),Товары!A:A),Товары!A:B,2,0),""),6)=MID(AA309,1,6),1,0)</f>
        <v>1</v>
      </c>
      <c r="AH309" s="97">
        <f ca="1">SUMIF(Группа!A:A,C309,Группа!C:C)</f>
        <v>1</v>
      </c>
      <c r="AI309" s="97">
        <f ca="1">SUMIF(Группа!B:B,AB309,Группа!C:C)</f>
        <v>1</v>
      </c>
      <c r="AJ309" s="97">
        <f ca="1">SUMIF(Формы!A:A,D309,Формы!B:B)</f>
        <v>1</v>
      </c>
      <c r="AK309" s="97">
        <f ca="1">SUMIF(Материал!A:A,K309,Материал!B:B)</f>
        <v>1</v>
      </c>
      <c r="AL309" s="97">
        <f ca="1">SUMIF(Размеры!A:A,S309,Размеры!E:E)</f>
        <v>1</v>
      </c>
      <c r="AM309" s="97">
        <f ca="1">SUMIF(Сезон!A:A,F309,Сезон!B:B)</f>
        <v>1</v>
      </c>
      <c r="AN309" s="97">
        <f ca="1">SUMIF(Состав!A:A,J309,Состав!B:B)</f>
        <v>1</v>
      </c>
      <c r="AO309" s="97">
        <f ca="1">VLOOKUP(I309,ЦветПолный!A:C,3,0)</f>
        <v>1</v>
      </c>
      <c r="AP309" s="97">
        <f ca="1">SUMIF(Цвет!A:A,Z309,Цвет!B:B)</f>
        <v>1</v>
      </c>
      <c r="AQ309" s="97">
        <f ca="1">_xlfn.XLOOKUP(L309,Пол!A:A,Пол!B:B,0,0)</f>
        <v>1</v>
      </c>
      <c r="AR309" s="97">
        <f ca="1">SUMIF(Бренд!A:A,G309,Бренд!B:B)</f>
        <v>1</v>
      </c>
      <c r="AS309" s="97">
        <f ca="1">SUMIF(Страна!A:A,M309,Страна!B:B)</f>
        <v>1</v>
      </c>
      <c r="AT309" s="64" t="str">
        <f ca="1">IF(VLOOKUP(W309,Товары!A:B,2,FALSE)=A309,"Есть в 1С","ERR")</f>
        <v>Есть в 1С</v>
      </c>
      <c r="AU309" s="65" t="str">
        <f ca="1">IF(VLOOKUP(A309,Товары!B:B,1,FALSE)=A309,"Есть в 1С","ERR")</f>
        <v>Есть в 1С</v>
      </c>
      <c r="AV309" s="96" t="str">
        <f ca="1">VLOOKUP(W309,Товары!A:B,2,FALSE)</f>
        <v>80-161-07</v>
      </c>
      <c r="AW309" s="94" t="str">
        <f ca="1">VLOOKUP(W309,Товары!A:B,1,FALSE)</f>
        <v>Бейсболка HERMAN арт. CONQUEST SWEAT (зеленый) {green}</v>
      </c>
    </row>
    <row r="310" spans="1:49" x14ac:dyDescent="0.25">
      <c r="A310" s="110" t="str">
        <f t="shared" ca="1" si="22"/>
        <v>80-161-07</v>
      </c>
      <c r="B310" s="107" t="str">
        <f ca="1">_xlfn.LET(_xlpm.CAPS,0,_xlpm.Style,TRIM(_xlfn.XLOOKUP($A310,Строчный!$A:$A,Строчный!B:B,"ERR",0)),IF(_xlpm.CAPS=0,_xlpm.Style,UPPER(_xlpm.Style)))</f>
        <v>CONQUEST SWEAT</v>
      </c>
      <c r="C310" s="81" t="str">
        <f ca="1">TRIM(PROPER(_xlfn.XLOOKUP($A310,Строчный!$A:$A,Строчный!C:C,"ERR",0)))</f>
        <v>Бейсболки</v>
      </c>
      <c r="D310" s="81" t="str">
        <f ca="1">_xlfn.LET(_xlpm.DATA,TRIM(_xlfn.XLOOKUP($A310,Строчный!$A:$A,Строчный!D:D,"ERR",0)),UPPER(MID(_xlpm.DATA,1,1))&amp;LOWER(MID(_xlpm.DATA,2,LEN(_xlpm.DATA)-1)))</f>
        <v>Бейсболка</v>
      </c>
      <c r="E310" s="81" t="str">
        <f ca="1">PROPER(TRIM(_xlfn.XLOOKUP($A310,Строчный!$A:$A,Строчный!E:E,"ERR",0)))</f>
        <v>Herman</v>
      </c>
      <c r="F310" s="81" t="str">
        <f ca="1">LOWER(TRIM(_xlfn.XLOOKUP($A310,Строчный!$A:$A,Строчный!F:F,"ERR",0)))</f>
        <v>всесезон</v>
      </c>
      <c r="G310" s="81" t="str">
        <f ca="1">UPPER(TRIM(_xlfn.XLOOKUP($A310,Строчный!$A:$A,Строчный!G:G,"ERR",0)))</f>
        <v>HERMAN</v>
      </c>
      <c r="H310" s="81" t="str">
        <f ca="1">LOWER(TRIM(_xlfn.XLOOKUP($A310,Строчный!$A:$A,Строчный!H:H,"ERR",0)))</f>
        <v>green</v>
      </c>
      <c r="I310" s="81" t="str">
        <f ca="1">LOWER(TRIM(_xlfn.XLOOKUP($A310,Строчный!$A:$A,Строчный!I:I,"ERR",0)))</f>
        <v>зеленый</v>
      </c>
      <c r="J310" s="81" t="str">
        <f ca="1">SUBSTITUTE(LOWER(TRIM(_xlfn.XLOOKUP($A310,Строчный!$A:$A,Строчный!J:J,"ERR",0))),"подклад","Подклад")</f>
        <v>100% хлопок</v>
      </c>
      <c r="K310" s="81" t="str">
        <f ca="1">LOWER(TRIM(_xlfn.XLOOKUP($A310,Строчный!$A:$A,Строчный!K:K,"ERR",0)))</f>
        <v>хлопковые</v>
      </c>
      <c r="L310" s="81" t="str">
        <f ca="1">PROPER(TRIM(_xlfn.XLOOKUP($A310,Строчный!$A:$A,Строчный!L:L,"ERR",0)))</f>
        <v>Унисекс</v>
      </c>
      <c r="M310" s="113" t="str">
        <f ca="1">PROPER(TRIM(_xlfn.XLOOKUP($A310,Строчный!$A:$A,Строчный!M:M,"ERR",0)))</f>
        <v>Италия</v>
      </c>
      <c r="N310" s="81" t="str">
        <f ca="1">UPPER(TRIM(_xlfn.XLOOKUP($A310,Строчный!$A:$A,Строчный!O:O,"ERR",0)))</f>
        <v/>
      </c>
      <c r="O310" s="102" t="str">
        <f ca="1">PROPER(TRIM(_xlfn.XLOOKUP($A310,Строчный!$A:$A,Строчный!P:P,"ERR",0)))</f>
        <v/>
      </c>
      <c r="P310" s="81" t="str">
        <f ca="1">PROPER(TRIM(_xlfn.XLOOKUP($A310,Строчный!$A:$A,Строчный!R:R,"ERR",0)))</f>
        <v/>
      </c>
      <c r="Q310" s="90">
        <f ca="1">VALUE(_xlfn.XLOOKUP($A310,Строчный!$A:$A,Строчный!N:N,"ERR",0))</f>
        <v>315</v>
      </c>
      <c r="R310" s="89" t="str">
        <f ca="1">_xlfn.XLOOKUP($G310,Фабрика!A:A,Фабрика!B:B,"ERR",0)</f>
        <v>Chapellerie Herman S.A.; Rue Jean Meunier, 6, 6922 Wellin, Belgium</v>
      </c>
      <c r="S310" s="80" t="str">
        <f ca="1">_xlfn.XLOOKUP(RIGHT(AA310,2),Размеры!D:D,Размеры!A:A,"ERR",0)</f>
        <v>60</v>
      </c>
      <c r="T310" s="80">
        <f ca="1">VALUE(_xlfn.XLOOKUP($AA310,Строчный!$S:$S,Строчный!U:U,"ERR",0))</f>
        <v>4</v>
      </c>
      <c r="U310" s="14" t="s">
        <v>265</v>
      </c>
      <c r="V310" s="101" t="str">
        <f t="shared" ca="1" si="23"/>
        <v>Бейсболка HERMAN арт. CONQUEST SWEAT (зеленый)</v>
      </c>
      <c r="W310" s="100" t="str">
        <f t="shared" ca="1" si="24"/>
        <v>Бейсболка HERMAN арт. CONQUEST SWEAT (зеленый) {green}</v>
      </c>
      <c r="X310" s="18" t="str">
        <f t="shared" ca="1" si="25"/>
        <v>зеленый</v>
      </c>
      <c r="Y310" s="18" t="str">
        <f t="shared" ca="1" si="26"/>
        <v>зеленый</v>
      </c>
      <c r="Z310" s="117" t="str">
        <f ca="1">_xlfn.LET(_xlpm.FormColors,_xlfn.XLOOKUP(A310,Строчный!A:A,Строчный!Q:Q,"",0),IF(_xlpm.FormColors=0,IFERROR(MID(I310,FIND("-",I310)+1,LEN(I310)),IFERROR(MID(I310,1,FIND("/",I310)-2),I310)),_xlpm.FormColors))</f>
        <v>зеленый</v>
      </c>
      <c r="AA310" s="73" t="str">
        <f ca="1"/>
        <v>80-161-07-60</v>
      </c>
      <c r="AB310" s="75" t="str">
        <f ca="1">VLOOKUP(C310,Группа!A:B,2,FALSE)</f>
        <v>Бейсболка</v>
      </c>
      <c r="AC310" s="97" t="str">
        <f ca="1">IFERROR(VLOOKUP(S310,Размеры!A:C,3,FALSE),"")</f>
        <v>60 L/XL</v>
      </c>
      <c r="AD310" s="97" t="str">
        <f ca="1">VLOOKUP(I310,ЦветПолный!A:B,2,FALSE)</f>
        <v>11</v>
      </c>
      <c r="AE310" s="97" t="str">
        <f ca="1">IFERROR(VLOOKUP(S310,Размеры!A:D,4,FALSE),"")</f>
        <v>60</v>
      </c>
      <c r="AF310" s="97">
        <f ca="1">IF(LEFT(IFERROR(VLOOKUP(LOOKUP(2,1/SEARCH(B310,Товары!A:A),Товары!A:A),Товары!A:B,2,0),""),6)=MID(AA310,1,6),1,0)</f>
        <v>1</v>
      </c>
      <c r="AH310" s="97">
        <f ca="1">SUMIF(Группа!A:A,C310,Группа!C:C)</f>
        <v>1</v>
      </c>
      <c r="AI310" s="97">
        <f ca="1">SUMIF(Группа!B:B,AB310,Группа!C:C)</f>
        <v>1</v>
      </c>
      <c r="AJ310" s="97">
        <f ca="1">SUMIF(Формы!A:A,D310,Формы!B:B)</f>
        <v>1</v>
      </c>
      <c r="AK310" s="97">
        <f ca="1">SUMIF(Материал!A:A,K310,Материал!B:B)</f>
        <v>1</v>
      </c>
      <c r="AL310" s="97">
        <f ca="1">SUMIF(Размеры!A:A,S310,Размеры!E:E)</f>
        <v>1</v>
      </c>
      <c r="AM310" s="97">
        <f ca="1">SUMIF(Сезон!A:A,F310,Сезон!B:B)</f>
        <v>1</v>
      </c>
      <c r="AN310" s="97">
        <f ca="1">SUMIF(Состав!A:A,J310,Состав!B:B)</f>
        <v>1</v>
      </c>
      <c r="AO310" s="97">
        <f ca="1">VLOOKUP(I310,ЦветПолный!A:C,3,0)</f>
        <v>1</v>
      </c>
      <c r="AP310" s="97">
        <f ca="1">SUMIF(Цвет!A:A,Z310,Цвет!B:B)</f>
        <v>1</v>
      </c>
      <c r="AQ310" s="97">
        <f ca="1">_xlfn.XLOOKUP(L310,Пол!A:A,Пол!B:B,0,0)</f>
        <v>1</v>
      </c>
      <c r="AR310" s="97">
        <f ca="1">SUMIF(Бренд!A:A,G310,Бренд!B:B)</f>
        <v>1</v>
      </c>
      <c r="AS310" s="97">
        <f ca="1">SUMIF(Страна!A:A,M310,Страна!B:B)</f>
        <v>1</v>
      </c>
      <c r="AT310" s="64" t="str">
        <f ca="1">IF(VLOOKUP(W310,Товары!A:B,2,FALSE)=A310,"Есть в 1С","ERR")</f>
        <v>Есть в 1С</v>
      </c>
      <c r="AU310" s="65" t="str">
        <f ca="1">IF(VLOOKUP(A310,Товары!B:B,1,FALSE)=A310,"Есть в 1С","ERR")</f>
        <v>Есть в 1С</v>
      </c>
      <c r="AV310" s="96" t="str">
        <f ca="1">VLOOKUP(W310,Товары!A:B,2,FALSE)</f>
        <v>80-161-07</v>
      </c>
      <c r="AW310" s="94" t="str">
        <f ca="1">VLOOKUP(W310,Товары!A:B,1,FALSE)</f>
        <v>Бейсболка HERMAN арт. CONQUEST SWEAT (зеленый) {green}</v>
      </c>
    </row>
    <row r="311" spans="1:49" x14ac:dyDescent="0.25">
      <c r="A311" s="110" t="str">
        <f t="shared" ca="1" si="22"/>
        <v>80-161-07</v>
      </c>
      <c r="B311" s="107" t="str">
        <f ca="1">_xlfn.LET(_xlpm.CAPS,0,_xlpm.Style,TRIM(_xlfn.XLOOKUP($A311,Строчный!$A:$A,Строчный!B:B,"ERR",0)),IF(_xlpm.CAPS=0,_xlpm.Style,UPPER(_xlpm.Style)))</f>
        <v>CONQUEST SWEAT</v>
      </c>
      <c r="C311" s="81" t="str">
        <f ca="1">TRIM(PROPER(_xlfn.XLOOKUP($A311,Строчный!$A:$A,Строчный!C:C,"ERR",0)))</f>
        <v>Бейсболки</v>
      </c>
      <c r="D311" s="81" t="str">
        <f ca="1">_xlfn.LET(_xlpm.DATA,TRIM(_xlfn.XLOOKUP($A311,Строчный!$A:$A,Строчный!D:D,"ERR",0)),UPPER(MID(_xlpm.DATA,1,1))&amp;LOWER(MID(_xlpm.DATA,2,LEN(_xlpm.DATA)-1)))</f>
        <v>Бейсболка</v>
      </c>
      <c r="E311" s="81" t="str">
        <f ca="1">PROPER(TRIM(_xlfn.XLOOKUP($A311,Строчный!$A:$A,Строчный!E:E,"ERR",0)))</f>
        <v>Herman</v>
      </c>
      <c r="F311" s="81" t="str">
        <f ca="1">LOWER(TRIM(_xlfn.XLOOKUP($A311,Строчный!$A:$A,Строчный!F:F,"ERR",0)))</f>
        <v>всесезон</v>
      </c>
      <c r="G311" s="81" t="str">
        <f ca="1">UPPER(TRIM(_xlfn.XLOOKUP($A311,Строчный!$A:$A,Строчный!G:G,"ERR",0)))</f>
        <v>HERMAN</v>
      </c>
      <c r="H311" s="81" t="str">
        <f ca="1">LOWER(TRIM(_xlfn.XLOOKUP($A311,Строчный!$A:$A,Строчный!H:H,"ERR",0)))</f>
        <v>green</v>
      </c>
      <c r="I311" s="81" t="str">
        <f ca="1">LOWER(TRIM(_xlfn.XLOOKUP($A311,Строчный!$A:$A,Строчный!I:I,"ERR",0)))</f>
        <v>зеленый</v>
      </c>
      <c r="J311" s="81" t="str">
        <f ca="1">SUBSTITUTE(LOWER(TRIM(_xlfn.XLOOKUP($A311,Строчный!$A:$A,Строчный!J:J,"ERR",0))),"подклад","Подклад")</f>
        <v>100% хлопок</v>
      </c>
      <c r="K311" s="81" t="str">
        <f ca="1">LOWER(TRIM(_xlfn.XLOOKUP($A311,Строчный!$A:$A,Строчный!K:K,"ERR",0)))</f>
        <v>хлопковые</v>
      </c>
      <c r="L311" s="81" t="str">
        <f ca="1">PROPER(TRIM(_xlfn.XLOOKUP($A311,Строчный!$A:$A,Строчный!L:L,"ERR",0)))</f>
        <v>Унисекс</v>
      </c>
      <c r="M311" s="113" t="str">
        <f ca="1">PROPER(TRIM(_xlfn.XLOOKUP($A311,Строчный!$A:$A,Строчный!M:M,"ERR",0)))</f>
        <v>Италия</v>
      </c>
      <c r="N311" s="81" t="str">
        <f ca="1">UPPER(TRIM(_xlfn.XLOOKUP($A311,Строчный!$A:$A,Строчный!O:O,"ERR",0)))</f>
        <v/>
      </c>
      <c r="O311" s="102" t="str">
        <f ca="1">PROPER(TRIM(_xlfn.XLOOKUP($A311,Строчный!$A:$A,Строчный!P:P,"ERR",0)))</f>
        <v/>
      </c>
      <c r="P311" s="81" t="str">
        <f ca="1">PROPER(TRIM(_xlfn.XLOOKUP($A311,Строчный!$A:$A,Строчный!R:R,"ERR",0)))</f>
        <v/>
      </c>
      <c r="Q311" s="90">
        <f ca="1">VALUE(_xlfn.XLOOKUP($A311,Строчный!$A:$A,Строчный!N:N,"ERR",0))</f>
        <v>315</v>
      </c>
      <c r="R311" s="89" t="str">
        <f ca="1">_xlfn.XLOOKUP($G311,Фабрика!A:A,Фабрика!B:B,"ERR",0)</f>
        <v>Chapellerie Herman S.A.; Rue Jean Meunier, 6, 6922 Wellin, Belgium</v>
      </c>
      <c r="S311" s="80" t="str">
        <f ca="1">_xlfn.XLOOKUP(RIGHT(AA311,2),Размеры!D:D,Размеры!A:A,"ERR",0)</f>
        <v>59</v>
      </c>
      <c r="T311" s="80">
        <f ca="1">VALUE(_xlfn.XLOOKUP($AA311,Строчный!$S:$S,Строчный!U:U,"ERR",0))</f>
        <v>1</v>
      </c>
      <c r="U311" s="14" t="s">
        <v>265</v>
      </c>
      <c r="V311" s="101" t="str">
        <f t="shared" ca="1" si="23"/>
        <v>Бейсболка HERMAN арт. CONQUEST SWEAT (зеленый)</v>
      </c>
      <c r="W311" s="100" t="str">
        <f t="shared" ca="1" si="24"/>
        <v>Бейсболка HERMAN арт. CONQUEST SWEAT (зеленый) {green}</v>
      </c>
      <c r="X311" s="18" t="str">
        <f t="shared" ca="1" si="25"/>
        <v>зеленый</v>
      </c>
      <c r="Y311" s="18" t="str">
        <f t="shared" ca="1" si="26"/>
        <v>зеленый</v>
      </c>
      <c r="Z311" s="117" t="str">
        <f ca="1">_xlfn.LET(_xlpm.FormColors,_xlfn.XLOOKUP(A311,Строчный!A:A,Строчный!Q:Q,"",0),IF(_xlpm.FormColors=0,IFERROR(MID(I311,FIND("-",I311)+1,LEN(I311)),IFERROR(MID(I311,1,FIND("/",I311)-2),I311)),_xlpm.FormColors))</f>
        <v>зеленый</v>
      </c>
      <c r="AA311" s="73" t="str">
        <f ca="1"/>
        <v>80-161-07-59</v>
      </c>
      <c r="AB311" s="75" t="str">
        <f ca="1">VLOOKUP(C311,Группа!A:B,2,FALSE)</f>
        <v>Бейсболка</v>
      </c>
      <c r="AC311" s="97" t="str">
        <f ca="1">IFERROR(VLOOKUP(S311,Размеры!A:C,3,FALSE),"")</f>
        <v>59 L</v>
      </c>
      <c r="AD311" s="97" t="str">
        <f ca="1">VLOOKUP(I311,ЦветПолный!A:B,2,FALSE)</f>
        <v>11</v>
      </c>
      <c r="AE311" s="97" t="str">
        <f ca="1">IFERROR(VLOOKUP(S311,Размеры!A:D,4,FALSE),"")</f>
        <v>59</v>
      </c>
      <c r="AF311" s="97">
        <f ca="1">IF(LEFT(IFERROR(VLOOKUP(LOOKUP(2,1/SEARCH(B311,Товары!A:A),Товары!A:A),Товары!A:B,2,0),""),6)=MID(AA311,1,6),1,0)</f>
        <v>1</v>
      </c>
      <c r="AH311" s="97">
        <f ca="1">SUMIF(Группа!A:A,C311,Группа!C:C)</f>
        <v>1</v>
      </c>
      <c r="AI311" s="97">
        <f ca="1">SUMIF(Группа!B:B,AB311,Группа!C:C)</f>
        <v>1</v>
      </c>
      <c r="AJ311" s="97">
        <f ca="1">SUMIF(Формы!A:A,D311,Формы!B:B)</f>
        <v>1</v>
      </c>
      <c r="AK311" s="97">
        <f ca="1">SUMIF(Материал!A:A,K311,Материал!B:B)</f>
        <v>1</v>
      </c>
      <c r="AL311" s="97">
        <f ca="1">SUMIF(Размеры!A:A,S311,Размеры!E:E)</f>
        <v>1</v>
      </c>
      <c r="AM311" s="97">
        <f ca="1">SUMIF(Сезон!A:A,F311,Сезон!B:B)</f>
        <v>1</v>
      </c>
      <c r="AN311" s="97">
        <f ca="1">SUMIF(Состав!A:A,J311,Состав!B:B)</f>
        <v>1</v>
      </c>
      <c r="AO311" s="97">
        <f ca="1">VLOOKUP(I311,ЦветПолный!A:C,3,0)</f>
        <v>1</v>
      </c>
      <c r="AP311" s="97">
        <f ca="1">SUMIF(Цвет!A:A,Z311,Цвет!B:B)</f>
        <v>1</v>
      </c>
      <c r="AQ311" s="97">
        <f ca="1">_xlfn.XLOOKUP(L311,Пол!A:A,Пол!B:B,0,0)</f>
        <v>1</v>
      </c>
      <c r="AR311" s="97">
        <f ca="1">SUMIF(Бренд!A:A,G311,Бренд!B:B)</f>
        <v>1</v>
      </c>
      <c r="AS311" s="97">
        <f ca="1">SUMIF(Страна!A:A,M311,Страна!B:B)</f>
        <v>1</v>
      </c>
      <c r="AT311" s="64" t="str">
        <f ca="1">IF(VLOOKUP(W311,Товары!A:B,2,FALSE)=A311,"Есть в 1С","ERR")</f>
        <v>Есть в 1С</v>
      </c>
      <c r="AU311" s="65" t="str">
        <f ca="1">IF(VLOOKUP(A311,Товары!B:B,1,FALSE)=A311,"Есть в 1С","ERR")</f>
        <v>Есть в 1С</v>
      </c>
      <c r="AV311" s="96" t="str">
        <f ca="1">VLOOKUP(W311,Товары!A:B,2,FALSE)</f>
        <v>80-161-07</v>
      </c>
      <c r="AW311" s="94" t="str">
        <f ca="1">VLOOKUP(W311,Товары!A:B,1,FALSE)</f>
        <v>Бейсболка HERMAN арт. CONQUEST SWEAT (зеленый) {green}</v>
      </c>
    </row>
    <row r="312" spans="1:49" x14ac:dyDescent="0.25">
      <c r="A312" s="110" t="str">
        <f t="shared" ca="1" si="22"/>
        <v>80-161-07</v>
      </c>
      <c r="B312" s="107" t="str">
        <f ca="1">_xlfn.LET(_xlpm.CAPS,0,_xlpm.Style,TRIM(_xlfn.XLOOKUP($A312,Строчный!$A:$A,Строчный!B:B,"ERR",0)),IF(_xlpm.CAPS=0,_xlpm.Style,UPPER(_xlpm.Style)))</f>
        <v>CONQUEST SWEAT</v>
      </c>
      <c r="C312" s="81" t="str">
        <f ca="1">TRIM(PROPER(_xlfn.XLOOKUP($A312,Строчный!$A:$A,Строчный!C:C,"ERR",0)))</f>
        <v>Бейсболки</v>
      </c>
      <c r="D312" s="81" t="str">
        <f ca="1">_xlfn.LET(_xlpm.DATA,TRIM(_xlfn.XLOOKUP($A312,Строчный!$A:$A,Строчный!D:D,"ERR",0)),UPPER(MID(_xlpm.DATA,1,1))&amp;LOWER(MID(_xlpm.DATA,2,LEN(_xlpm.DATA)-1)))</f>
        <v>Бейсболка</v>
      </c>
      <c r="E312" s="81" t="str">
        <f ca="1">PROPER(TRIM(_xlfn.XLOOKUP($A312,Строчный!$A:$A,Строчный!E:E,"ERR",0)))</f>
        <v>Herman</v>
      </c>
      <c r="F312" s="81" t="str">
        <f ca="1">LOWER(TRIM(_xlfn.XLOOKUP($A312,Строчный!$A:$A,Строчный!F:F,"ERR",0)))</f>
        <v>всесезон</v>
      </c>
      <c r="G312" s="81" t="str">
        <f ca="1">UPPER(TRIM(_xlfn.XLOOKUP($A312,Строчный!$A:$A,Строчный!G:G,"ERR",0)))</f>
        <v>HERMAN</v>
      </c>
      <c r="H312" s="81" t="str">
        <f ca="1">LOWER(TRIM(_xlfn.XLOOKUP($A312,Строчный!$A:$A,Строчный!H:H,"ERR",0)))</f>
        <v>green</v>
      </c>
      <c r="I312" s="81" t="str">
        <f ca="1">LOWER(TRIM(_xlfn.XLOOKUP($A312,Строчный!$A:$A,Строчный!I:I,"ERR",0)))</f>
        <v>зеленый</v>
      </c>
      <c r="J312" s="81" t="str">
        <f ca="1">SUBSTITUTE(LOWER(TRIM(_xlfn.XLOOKUP($A312,Строчный!$A:$A,Строчный!J:J,"ERR",0))),"подклад","Подклад")</f>
        <v>100% хлопок</v>
      </c>
      <c r="K312" s="81" t="str">
        <f ca="1">LOWER(TRIM(_xlfn.XLOOKUP($A312,Строчный!$A:$A,Строчный!K:K,"ERR",0)))</f>
        <v>хлопковые</v>
      </c>
      <c r="L312" s="81" t="str">
        <f ca="1">PROPER(TRIM(_xlfn.XLOOKUP($A312,Строчный!$A:$A,Строчный!L:L,"ERR",0)))</f>
        <v>Унисекс</v>
      </c>
      <c r="M312" s="113" t="str">
        <f ca="1">PROPER(TRIM(_xlfn.XLOOKUP($A312,Строчный!$A:$A,Строчный!M:M,"ERR",0)))</f>
        <v>Италия</v>
      </c>
      <c r="N312" s="81" t="str">
        <f ca="1">UPPER(TRIM(_xlfn.XLOOKUP($A312,Строчный!$A:$A,Строчный!O:O,"ERR",0)))</f>
        <v/>
      </c>
      <c r="O312" s="102" t="str">
        <f ca="1">PROPER(TRIM(_xlfn.XLOOKUP($A312,Строчный!$A:$A,Строчный!P:P,"ERR",0)))</f>
        <v/>
      </c>
      <c r="P312" s="81" t="str">
        <f ca="1">PROPER(TRIM(_xlfn.XLOOKUP($A312,Строчный!$A:$A,Строчный!R:R,"ERR",0)))</f>
        <v/>
      </c>
      <c r="Q312" s="90">
        <f ca="1">VALUE(_xlfn.XLOOKUP($A312,Строчный!$A:$A,Строчный!N:N,"ERR",0))</f>
        <v>315</v>
      </c>
      <c r="R312" s="89" t="str">
        <f ca="1">_xlfn.XLOOKUP($G312,Фабрика!A:A,Фабрика!B:B,"ERR",0)</f>
        <v>Chapellerie Herman S.A.; Rue Jean Meunier, 6, 6922 Wellin, Belgium</v>
      </c>
      <c r="S312" s="80" t="str">
        <f ca="1">_xlfn.XLOOKUP(RIGHT(AA312,2),Размеры!D:D,Размеры!A:A,"ERR",0)</f>
        <v>58</v>
      </c>
      <c r="T312" s="80">
        <f ca="1">VALUE(_xlfn.XLOOKUP($AA312,Строчный!$S:$S,Строчный!U:U,"ERR",0))</f>
        <v>1</v>
      </c>
      <c r="U312" s="14" t="s">
        <v>265</v>
      </c>
      <c r="V312" s="101" t="str">
        <f t="shared" ca="1" si="23"/>
        <v>Бейсболка HERMAN арт. CONQUEST SWEAT (зеленый)</v>
      </c>
      <c r="W312" s="100" t="str">
        <f t="shared" ca="1" si="24"/>
        <v>Бейсболка HERMAN арт. CONQUEST SWEAT (зеленый) {green}</v>
      </c>
      <c r="X312" s="18" t="str">
        <f t="shared" ca="1" si="25"/>
        <v>зеленый</v>
      </c>
      <c r="Y312" s="18" t="str">
        <f t="shared" ca="1" si="26"/>
        <v>зеленый</v>
      </c>
      <c r="Z312" s="117" t="str">
        <f ca="1">_xlfn.LET(_xlpm.FormColors,_xlfn.XLOOKUP(A312,Строчный!A:A,Строчный!Q:Q,"",0),IF(_xlpm.FormColors=0,IFERROR(MID(I312,FIND("-",I312)+1,LEN(I312)),IFERROR(MID(I312,1,FIND("/",I312)-2),I312)),_xlpm.FormColors))</f>
        <v>зеленый</v>
      </c>
      <c r="AA312" s="73" t="str">
        <f ca="1"/>
        <v>80-161-07-58</v>
      </c>
      <c r="AB312" s="75" t="str">
        <f ca="1">VLOOKUP(C312,Группа!A:B,2,FALSE)</f>
        <v>Бейсболка</v>
      </c>
      <c r="AC312" s="97" t="str">
        <f ca="1">IFERROR(VLOOKUP(S312,Размеры!A:C,3,FALSE),"")</f>
        <v>58 M/L</v>
      </c>
      <c r="AD312" s="97" t="str">
        <f ca="1">VLOOKUP(I312,ЦветПолный!A:B,2,FALSE)</f>
        <v>11</v>
      </c>
      <c r="AE312" s="97" t="str">
        <f ca="1">IFERROR(VLOOKUP(S312,Размеры!A:D,4,FALSE),"")</f>
        <v>58</v>
      </c>
      <c r="AF312" s="97">
        <f ca="1">IF(LEFT(IFERROR(VLOOKUP(LOOKUP(2,1/SEARCH(B312,Товары!A:A),Товары!A:A),Товары!A:B,2,0),""),6)=MID(AA312,1,6),1,0)</f>
        <v>1</v>
      </c>
      <c r="AH312" s="97">
        <f ca="1">SUMIF(Группа!A:A,C312,Группа!C:C)</f>
        <v>1</v>
      </c>
      <c r="AI312" s="97">
        <f ca="1">SUMIF(Группа!B:B,AB312,Группа!C:C)</f>
        <v>1</v>
      </c>
      <c r="AJ312" s="97">
        <f ca="1">SUMIF(Формы!A:A,D312,Формы!B:B)</f>
        <v>1</v>
      </c>
      <c r="AK312" s="97">
        <f ca="1">SUMIF(Материал!A:A,K312,Материал!B:B)</f>
        <v>1</v>
      </c>
      <c r="AL312" s="97">
        <f ca="1">SUMIF(Размеры!A:A,S312,Размеры!E:E)</f>
        <v>1</v>
      </c>
      <c r="AM312" s="97">
        <f ca="1">SUMIF(Сезон!A:A,F312,Сезон!B:B)</f>
        <v>1</v>
      </c>
      <c r="AN312" s="97">
        <f ca="1">SUMIF(Состав!A:A,J312,Состав!B:B)</f>
        <v>1</v>
      </c>
      <c r="AO312" s="97">
        <f ca="1">VLOOKUP(I312,ЦветПолный!A:C,3,0)</f>
        <v>1</v>
      </c>
      <c r="AP312" s="97">
        <f ca="1">SUMIF(Цвет!A:A,Z312,Цвет!B:B)</f>
        <v>1</v>
      </c>
      <c r="AQ312" s="97">
        <f ca="1">_xlfn.XLOOKUP(L312,Пол!A:A,Пол!B:B,0,0)</f>
        <v>1</v>
      </c>
      <c r="AR312" s="97">
        <f ca="1">SUMIF(Бренд!A:A,G312,Бренд!B:B)</f>
        <v>1</v>
      </c>
      <c r="AS312" s="97">
        <f ca="1">SUMIF(Страна!A:A,M312,Страна!B:B)</f>
        <v>1</v>
      </c>
      <c r="AT312" s="64" t="str">
        <f ca="1">IF(VLOOKUP(W312,Товары!A:B,2,FALSE)=A312,"Есть в 1С","ERR")</f>
        <v>Есть в 1С</v>
      </c>
      <c r="AU312" s="65" t="str">
        <f ca="1">IF(VLOOKUP(A312,Товары!B:B,1,FALSE)=A312,"Есть в 1С","ERR")</f>
        <v>Есть в 1С</v>
      </c>
      <c r="AV312" s="96" t="str">
        <f ca="1">VLOOKUP(W312,Товары!A:B,2,FALSE)</f>
        <v>80-161-07</v>
      </c>
      <c r="AW312" s="94" t="str">
        <f ca="1">VLOOKUP(W312,Товары!A:B,1,FALSE)</f>
        <v>Бейсболка HERMAN арт. CONQUEST SWEAT (зеленый) {green}</v>
      </c>
    </row>
    <row r="313" spans="1:49" x14ac:dyDescent="0.25">
      <c r="A313" s="110" t="str">
        <f t="shared" ca="1" si="22"/>
        <v>80-161-07</v>
      </c>
      <c r="B313" s="107" t="str">
        <f ca="1">_xlfn.LET(_xlpm.CAPS,0,_xlpm.Style,TRIM(_xlfn.XLOOKUP($A313,Строчный!$A:$A,Строчный!B:B,"ERR",0)),IF(_xlpm.CAPS=0,_xlpm.Style,UPPER(_xlpm.Style)))</f>
        <v>CONQUEST SWEAT</v>
      </c>
      <c r="C313" s="81" t="str">
        <f ca="1">TRIM(PROPER(_xlfn.XLOOKUP($A313,Строчный!$A:$A,Строчный!C:C,"ERR",0)))</f>
        <v>Бейсболки</v>
      </c>
      <c r="D313" s="81" t="str">
        <f ca="1">_xlfn.LET(_xlpm.DATA,TRIM(_xlfn.XLOOKUP($A313,Строчный!$A:$A,Строчный!D:D,"ERR",0)),UPPER(MID(_xlpm.DATA,1,1))&amp;LOWER(MID(_xlpm.DATA,2,LEN(_xlpm.DATA)-1)))</f>
        <v>Бейсболка</v>
      </c>
      <c r="E313" s="81" t="str">
        <f ca="1">PROPER(TRIM(_xlfn.XLOOKUP($A313,Строчный!$A:$A,Строчный!E:E,"ERR",0)))</f>
        <v>Herman</v>
      </c>
      <c r="F313" s="81" t="str">
        <f ca="1">LOWER(TRIM(_xlfn.XLOOKUP($A313,Строчный!$A:$A,Строчный!F:F,"ERR",0)))</f>
        <v>всесезон</v>
      </c>
      <c r="G313" s="81" t="str">
        <f ca="1">UPPER(TRIM(_xlfn.XLOOKUP($A313,Строчный!$A:$A,Строчный!G:G,"ERR",0)))</f>
        <v>HERMAN</v>
      </c>
      <c r="H313" s="81" t="str">
        <f ca="1">LOWER(TRIM(_xlfn.XLOOKUP($A313,Строчный!$A:$A,Строчный!H:H,"ERR",0)))</f>
        <v>green</v>
      </c>
      <c r="I313" s="81" t="str">
        <f ca="1">LOWER(TRIM(_xlfn.XLOOKUP($A313,Строчный!$A:$A,Строчный!I:I,"ERR",0)))</f>
        <v>зеленый</v>
      </c>
      <c r="J313" s="81" t="str">
        <f ca="1">SUBSTITUTE(LOWER(TRIM(_xlfn.XLOOKUP($A313,Строчный!$A:$A,Строчный!J:J,"ERR",0))),"подклад","Подклад")</f>
        <v>100% хлопок</v>
      </c>
      <c r="K313" s="81" t="str">
        <f ca="1">LOWER(TRIM(_xlfn.XLOOKUP($A313,Строчный!$A:$A,Строчный!K:K,"ERR",0)))</f>
        <v>хлопковые</v>
      </c>
      <c r="L313" s="81" t="str">
        <f ca="1">PROPER(TRIM(_xlfn.XLOOKUP($A313,Строчный!$A:$A,Строчный!L:L,"ERR",0)))</f>
        <v>Унисекс</v>
      </c>
      <c r="M313" s="113" t="str">
        <f ca="1">PROPER(TRIM(_xlfn.XLOOKUP($A313,Строчный!$A:$A,Строчный!M:M,"ERR",0)))</f>
        <v>Италия</v>
      </c>
      <c r="N313" s="81" t="str">
        <f ca="1">UPPER(TRIM(_xlfn.XLOOKUP($A313,Строчный!$A:$A,Строчный!O:O,"ERR",0)))</f>
        <v/>
      </c>
      <c r="O313" s="102" t="str">
        <f ca="1">PROPER(TRIM(_xlfn.XLOOKUP($A313,Строчный!$A:$A,Строчный!P:P,"ERR",0)))</f>
        <v/>
      </c>
      <c r="P313" s="81" t="str">
        <f ca="1">PROPER(TRIM(_xlfn.XLOOKUP($A313,Строчный!$A:$A,Строчный!R:R,"ERR",0)))</f>
        <v/>
      </c>
      <c r="Q313" s="90">
        <f ca="1">VALUE(_xlfn.XLOOKUP($A313,Строчный!$A:$A,Строчный!N:N,"ERR",0))</f>
        <v>315</v>
      </c>
      <c r="R313" s="89" t="str">
        <f ca="1">_xlfn.XLOOKUP($G313,Фабрика!A:A,Фабрика!B:B,"ERR",0)</f>
        <v>Chapellerie Herman S.A.; Rue Jean Meunier, 6, 6922 Wellin, Belgium</v>
      </c>
      <c r="S313" s="80" t="str">
        <f ca="1">_xlfn.XLOOKUP(RIGHT(AA313,2),Размеры!D:D,Размеры!A:A,"ERR",0)</f>
        <v>56</v>
      </c>
      <c r="T313" s="80">
        <f ca="1">VALUE(_xlfn.XLOOKUP($AA313,Строчный!$S:$S,Строчный!U:U,"ERR",0))</f>
        <v>6</v>
      </c>
      <c r="U313" s="14" t="s">
        <v>265</v>
      </c>
      <c r="V313" s="101" t="str">
        <f t="shared" ca="1" si="23"/>
        <v>Бейсболка HERMAN арт. CONQUEST SWEAT (зеленый)</v>
      </c>
      <c r="W313" s="100" t="str">
        <f t="shared" ca="1" si="24"/>
        <v>Бейсболка HERMAN арт. CONQUEST SWEAT (зеленый) {green}</v>
      </c>
      <c r="X313" s="18" t="str">
        <f t="shared" ca="1" si="25"/>
        <v>зеленый</v>
      </c>
      <c r="Y313" s="18" t="str">
        <f t="shared" ca="1" si="26"/>
        <v>зеленый</v>
      </c>
      <c r="Z313" s="117" t="str">
        <f ca="1">_xlfn.LET(_xlpm.FormColors,_xlfn.XLOOKUP(A313,Строчный!A:A,Строчный!Q:Q,"",0),IF(_xlpm.FormColors=0,IFERROR(MID(I313,FIND("-",I313)+1,LEN(I313)),IFERROR(MID(I313,1,FIND("/",I313)-2),I313)),_xlpm.FormColors))</f>
        <v>зеленый</v>
      </c>
      <c r="AA313" s="73" t="str">
        <f ca="1"/>
        <v>80-161-07-56</v>
      </c>
      <c r="AB313" s="75" t="str">
        <f ca="1">VLOOKUP(C313,Группа!A:B,2,FALSE)</f>
        <v>Бейсболка</v>
      </c>
      <c r="AC313" s="97" t="str">
        <f ca="1">IFERROR(VLOOKUP(S313,Размеры!A:C,3,FALSE),"")</f>
        <v>56 S/M</v>
      </c>
      <c r="AD313" s="97" t="str">
        <f ca="1">VLOOKUP(I313,ЦветПолный!A:B,2,FALSE)</f>
        <v>11</v>
      </c>
      <c r="AE313" s="97" t="str">
        <f ca="1">IFERROR(VLOOKUP(S313,Размеры!A:D,4,FALSE),"")</f>
        <v>56</v>
      </c>
      <c r="AF313" s="97">
        <f ca="1">IF(LEFT(IFERROR(VLOOKUP(LOOKUP(2,1/SEARCH(B313,Товары!A:A),Товары!A:A),Товары!A:B,2,0),""),6)=MID(AA313,1,6),1,0)</f>
        <v>1</v>
      </c>
      <c r="AH313" s="97">
        <f ca="1">SUMIF(Группа!A:A,C313,Группа!C:C)</f>
        <v>1</v>
      </c>
      <c r="AI313" s="97">
        <f ca="1">SUMIF(Группа!B:B,AB313,Группа!C:C)</f>
        <v>1</v>
      </c>
      <c r="AJ313" s="97">
        <f ca="1">SUMIF(Формы!A:A,D313,Формы!B:B)</f>
        <v>1</v>
      </c>
      <c r="AK313" s="97">
        <f ca="1">SUMIF(Материал!A:A,K313,Материал!B:B)</f>
        <v>1</v>
      </c>
      <c r="AL313" s="97">
        <f ca="1">SUMIF(Размеры!A:A,S313,Размеры!E:E)</f>
        <v>1</v>
      </c>
      <c r="AM313" s="97">
        <f ca="1">SUMIF(Сезон!A:A,F313,Сезон!B:B)</f>
        <v>1</v>
      </c>
      <c r="AN313" s="97">
        <f ca="1">SUMIF(Состав!A:A,J313,Состав!B:B)</f>
        <v>1</v>
      </c>
      <c r="AO313" s="97">
        <f ca="1">VLOOKUP(I313,ЦветПолный!A:C,3,0)</f>
        <v>1</v>
      </c>
      <c r="AP313" s="97">
        <f ca="1">SUMIF(Цвет!A:A,Z313,Цвет!B:B)</f>
        <v>1</v>
      </c>
      <c r="AQ313" s="97">
        <f ca="1">_xlfn.XLOOKUP(L313,Пол!A:A,Пол!B:B,0,0)</f>
        <v>1</v>
      </c>
      <c r="AR313" s="97">
        <f ca="1">SUMIF(Бренд!A:A,G313,Бренд!B:B)</f>
        <v>1</v>
      </c>
      <c r="AS313" s="97">
        <f ca="1">SUMIF(Страна!A:A,M313,Страна!B:B)</f>
        <v>1</v>
      </c>
      <c r="AT313" s="64" t="str">
        <f ca="1">IF(VLOOKUP(W313,Товары!A:B,2,FALSE)=A313,"Есть в 1С","ERR")</f>
        <v>Есть в 1С</v>
      </c>
      <c r="AU313" s="65" t="str">
        <f ca="1">IF(VLOOKUP(A313,Товары!B:B,1,FALSE)=A313,"Есть в 1С","ERR")</f>
        <v>Есть в 1С</v>
      </c>
      <c r="AV313" s="96" t="str">
        <f ca="1">VLOOKUP(W313,Товары!A:B,2,FALSE)</f>
        <v>80-161-07</v>
      </c>
      <c r="AW313" s="94" t="str">
        <f ca="1">VLOOKUP(W313,Товары!A:B,1,FALSE)</f>
        <v>Бейсболка HERMAN арт. CONQUEST SWEAT (зеленый) {green}</v>
      </c>
    </row>
    <row r="314" spans="1:49" x14ac:dyDescent="0.25">
      <c r="A314" s="110" t="str">
        <f t="shared" ca="1" si="22"/>
        <v>80-116-14</v>
      </c>
      <c r="B314" s="107" t="str">
        <f ca="1">_xlfn.LET(_xlpm.CAPS,0,_xlpm.Style,TRIM(_xlfn.XLOOKUP($A314,Строчный!$A:$A,Строчный!B:B,"ERR",0)),IF(_xlpm.CAPS=0,_xlpm.Style,UPPER(_xlpm.Style)))</f>
        <v>RANGE W16002</v>
      </c>
      <c r="C314" s="81" t="str">
        <f ca="1">TRIM(PROPER(_xlfn.XLOOKUP($A314,Строчный!$A:$A,Строчный!C:C,"ERR",0)))</f>
        <v>Кепки</v>
      </c>
      <c r="D314" s="81" t="str">
        <f ca="1">_xlfn.LET(_xlpm.DATA,TRIM(_xlfn.XLOOKUP($A314,Строчный!$A:$A,Строчный!D:D,"ERR",0)),UPPER(MID(_xlpm.DATA,1,1))&amp;LOWER(MID(_xlpm.DATA,2,LEN(_xlpm.DATA)-1)))</f>
        <v>Кепка уточка</v>
      </c>
      <c r="E314" s="81" t="str">
        <f ca="1">PROPER(TRIM(_xlfn.XLOOKUP($A314,Строчный!$A:$A,Строчный!E:E,"ERR",0)))</f>
        <v>Herman</v>
      </c>
      <c r="F314" s="81" t="str">
        <f ca="1">LOWER(TRIM(_xlfn.XLOOKUP($A314,Строчный!$A:$A,Строчный!F:F,"ERR",0)))</f>
        <v>всесезон</v>
      </c>
      <c r="G314" s="81" t="str">
        <f ca="1">UPPER(TRIM(_xlfn.XLOOKUP($A314,Строчный!$A:$A,Строчный!G:G,"ERR",0)))</f>
        <v>HERMAN</v>
      </c>
      <c r="H314" s="81" t="str">
        <f ca="1">LOWER(TRIM(_xlfn.XLOOKUP($A314,Строчный!$A:$A,Строчный!H:H,"ERR",0)))</f>
        <v>brown</v>
      </c>
      <c r="I314" s="81" t="str">
        <f ca="1">LOWER(TRIM(_xlfn.XLOOKUP($A314,Строчный!$A:$A,Строчный!I:I,"ERR",0)))</f>
        <v>коричневый</v>
      </c>
      <c r="J314" s="81" t="str">
        <f ca="1">SUBSTITUTE(LOWER(TRIM(_xlfn.XLOOKUP($A314,Строчный!$A:$A,Строчный!J:J,"ERR",0))),"подклад","Подклад")</f>
        <v>100% шерсть</v>
      </c>
      <c r="K314" s="81" t="str">
        <f ca="1">LOWER(TRIM(_xlfn.XLOOKUP($A314,Строчный!$A:$A,Строчный!K:K,"ERR",0)))</f>
        <v>шерстяные</v>
      </c>
      <c r="L314" s="81" t="str">
        <f ca="1">PROPER(TRIM(_xlfn.XLOOKUP($A314,Строчный!$A:$A,Строчный!L:L,"ERR",0)))</f>
        <v>Унисекс</v>
      </c>
      <c r="M314" s="113" t="str">
        <f ca="1">PROPER(TRIM(_xlfn.XLOOKUP($A314,Строчный!$A:$A,Строчный!M:M,"ERR",0)))</f>
        <v>Италия</v>
      </c>
      <c r="N314" s="81" t="str">
        <f ca="1">UPPER(TRIM(_xlfn.XLOOKUP($A314,Строчный!$A:$A,Строчный!O:O,"ERR",0)))</f>
        <v/>
      </c>
      <c r="O314" s="102" t="str">
        <f ca="1">PROPER(TRIM(_xlfn.XLOOKUP($A314,Строчный!$A:$A,Строчный!P:P,"ERR",0)))</f>
        <v/>
      </c>
      <c r="P314" s="81" t="str">
        <f ca="1">PROPER(TRIM(_xlfn.XLOOKUP($A314,Строчный!$A:$A,Строчный!R:R,"ERR",0)))</f>
        <v/>
      </c>
      <c r="Q314" s="90">
        <f ca="1">VALUE(_xlfn.XLOOKUP($A314,Строчный!$A:$A,Строчный!N:N,"ERR",0))</f>
        <v>270</v>
      </c>
      <c r="R314" s="89" t="str">
        <f ca="1">_xlfn.XLOOKUP($G314,Фабрика!A:A,Фабрика!B:B,"ERR",0)</f>
        <v>Chapellerie Herman S.A.; Rue Jean Meunier, 6, 6922 Wellin, Belgium</v>
      </c>
      <c r="S314" s="80" t="str">
        <f ca="1">_xlfn.XLOOKUP(RIGHT(AA314,2),Размеры!D:D,Размеры!A:A,"ERR",0)</f>
        <v>61</v>
      </c>
      <c r="T314" s="80">
        <f ca="1">VALUE(_xlfn.XLOOKUP($AA314,Строчный!$S:$S,Строчный!U:U,"ERR",0))</f>
        <v>1</v>
      </c>
      <c r="U314" s="14" t="s">
        <v>265</v>
      </c>
      <c r="V314" s="101" t="str">
        <f t="shared" ca="1" si="23"/>
        <v>Кепка HERMAN арт. RANGE W16002 (коричневый)</v>
      </c>
      <c r="W314" s="100" t="str">
        <f t="shared" ca="1" si="24"/>
        <v>Кепка HERMAN арт. RANGE W16002 (коричневый) {brown}</v>
      </c>
      <c r="X314" s="18" t="str">
        <f t="shared" ca="1" si="25"/>
        <v>коричневый</v>
      </c>
      <c r="Y314" s="18" t="str">
        <f t="shared" ca="1" si="26"/>
        <v>коричневый</v>
      </c>
      <c r="Z314" s="117" t="str">
        <f ca="1">_xlfn.LET(_xlpm.FormColors,_xlfn.XLOOKUP(A314,Строчный!A:A,Строчный!Q:Q,"",0),IF(_xlpm.FormColors=0,IFERROR(MID(I314,FIND("-",I314)+1,LEN(I314)),IFERROR(MID(I314,1,FIND("/",I314)-2),I314)),_xlpm.FormColors))</f>
        <v>коричневый</v>
      </c>
      <c r="AA314" s="73" t="str">
        <f ca="1"/>
        <v>80-116-14-61</v>
      </c>
      <c r="AB314" s="75" t="str">
        <f ca="1">VLOOKUP(C314,Группа!A:B,2,FALSE)</f>
        <v>Кепка</v>
      </c>
      <c r="AC314" s="97" t="str">
        <f ca="1">IFERROR(VLOOKUP(S314,Размеры!A:C,3,FALSE),"")</f>
        <v>61 XL</v>
      </c>
      <c r="AD314" s="97" t="str">
        <f ca="1">VLOOKUP(I314,ЦветПолный!A:B,2,FALSE)</f>
        <v>14</v>
      </c>
      <c r="AE314" s="97" t="str">
        <f ca="1">IFERROR(VLOOKUP(S314,Размеры!A:D,4,FALSE),"")</f>
        <v>61</v>
      </c>
      <c r="AF314" s="97">
        <f ca="1">IF(LEFT(IFERROR(VLOOKUP(LOOKUP(2,1/SEARCH(B314,Товары!A:A),Товары!A:A),Товары!A:B,2,0),""),6)=MID(AA314,1,6),1,0)</f>
        <v>1</v>
      </c>
      <c r="AH314" s="97">
        <f ca="1">SUMIF(Группа!A:A,C314,Группа!C:C)</f>
        <v>1</v>
      </c>
      <c r="AI314" s="97">
        <f ca="1">SUMIF(Группа!B:B,AB314,Группа!C:C)</f>
        <v>1</v>
      </c>
      <c r="AJ314" s="97">
        <f ca="1">SUMIF(Формы!A:A,D314,Формы!B:B)</f>
        <v>1</v>
      </c>
      <c r="AK314" s="97">
        <f ca="1">SUMIF(Материал!A:A,K314,Материал!B:B)</f>
        <v>1</v>
      </c>
      <c r="AL314" s="97">
        <f ca="1">SUMIF(Размеры!A:A,S314,Размеры!E:E)</f>
        <v>1</v>
      </c>
      <c r="AM314" s="97">
        <f ca="1">SUMIF(Сезон!A:A,F314,Сезон!B:B)</f>
        <v>1</v>
      </c>
      <c r="AN314" s="97">
        <f ca="1">SUMIF(Состав!A:A,J314,Состав!B:B)</f>
        <v>1</v>
      </c>
      <c r="AO314" s="97">
        <f ca="1">VLOOKUP(I314,ЦветПолный!A:C,3,0)</f>
        <v>1</v>
      </c>
      <c r="AP314" s="97">
        <f ca="1">SUMIF(Цвет!A:A,Z314,Цвет!B:B)</f>
        <v>1</v>
      </c>
      <c r="AQ314" s="97">
        <f ca="1">_xlfn.XLOOKUP(L314,Пол!A:A,Пол!B:B,0,0)</f>
        <v>1</v>
      </c>
      <c r="AR314" s="97">
        <f ca="1">SUMIF(Бренд!A:A,G314,Бренд!B:B)</f>
        <v>1</v>
      </c>
      <c r="AS314" s="97">
        <f ca="1">SUMIF(Страна!A:A,M314,Страна!B:B)</f>
        <v>1</v>
      </c>
      <c r="AT314" s="64" t="str">
        <f ca="1">IF(VLOOKUP(W314,Товары!A:B,2,FALSE)=A314,"Есть в 1С","ERR")</f>
        <v>Есть в 1С</v>
      </c>
      <c r="AU314" s="65" t="str">
        <f ca="1">IF(VLOOKUP(A314,Товары!B:B,1,FALSE)=A314,"Есть в 1С","ERR")</f>
        <v>Есть в 1С</v>
      </c>
      <c r="AV314" s="96" t="str">
        <f ca="1">VLOOKUP(W314,Товары!A:B,2,FALSE)</f>
        <v>80-116-14</v>
      </c>
      <c r="AW314" s="94" t="str">
        <f ca="1">VLOOKUP(W314,Товары!A:B,1,FALSE)</f>
        <v>Кепка HERMAN арт. RANGE W16002 (коричневый) {brown}</v>
      </c>
    </row>
    <row r="315" spans="1:49" x14ac:dyDescent="0.25">
      <c r="A315" s="110" t="str">
        <f t="shared" ca="1" si="22"/>
        <v>80-116-14</v>
      </c>
      <c r="B315" s="107" t="str">
        <f ca="1">_xlfn.LET(_xlpm.CAPS,0,_xlpm.Style,TRIM(_xlfn.XLOOKUP($A315,Строчный!$A:$A,Строчный!B:B,"ERR",0)),IF(_xlpm.CAPS=0,_xlpm.Style,UPPER(_xlpm.Style)))</f>
        <v>RANGE W16002</v>
      </c>
      <c r="C315" s="81" t="str">
        <f ca="1">TRIM(PROPER(_xlfn.XLOOKUP($A315,Строчный!$A:$A,Строчный!C:C,"ERR",0)))</f>
        <v>Кепки</v>
      </c>
      <c r="D315" s="81" t="str">
        <f ca="1">_xlfn.LET(_xlpm.DATA,TRIM(_xlfn.XLOOKUP($A315,Строчный!$A:$A,Строчный!D:D,"ERR",0)),UPPER(MID(_xlpm.DATA,1,1))&amp;LOWER(MID(_xlpm.DATA,2,LEN(_xlpm.DATA)-1)))</f>
        <v>Кепка уточка</v>
      </c>
      <c r="E315" s="81" t="str">
        <f ca="1">PROPER(TRIM(_xlfn.XLOOKUP($A315,Строчный!$A:$A,Строчный!E:E,"ERR",0)))</f>
        <v>Herman</v>
      </c>
      <c r="F315" s="81" t="str">
        <f ca="1">LOWER(TRIM(_xlfn.XLOOKUP($A315,Строчный!$A:$A,Строчный!F:F,"ERR",0)))</f>
        <v>всесезон</v>
      </c>
      <c r="G315" s="81" t="str">
        <f ca="1">UPPER(TRIM(_xlfn.XLOOKUP($A315,Строчный!$A:$A,Строчный!G:G,"ERR",0)))</f>
        <v>HERMAN</v>
      </c>
      <c r="H315" s="81" t="str">
        <f ca="1">LOWER(TRIM(_xlfn.XLOOKUP($A315,Строчный!$A:$A,Строчный!H:H,"ERR",0)))</f>
        <v>brown</v>
      </c>
      <c r="I315" s="81" t="str">
        <f ca="1">LOWER(TRIM(_xlfn.XLOOKUP($A315,Строчный!$A:$A,Строчный!I:I,"ERR",0)))</f>
        <v>коричневый</v>
      </c>
      <c r="J315" s="81" t="str">
        <f ca="1">SUBSTITUTE(LOWER(TRIM(_xlfn.XLOOKUP($A315,Строчный!$A:$A,Строчный!J:J,"ERR",0))),"подклад","Подклад")</f>
        <v>100% шерсть</v>
      </c>
      <c r="K315" s="81" t="str">
        <f ca="1">LOWER(TRIM(_xlfn.XLOOKUP($A315,Строчный!$A:$A,Строчный!K:K,"ERR",0)))</f>
        <v>шерстяные</v>
      </c>
      <c r="L315" s="81" t="str">
        <f ca="1">PROPER(TRIM(_xlfn.XLOOKUP($A315,Строчный!$A:$A,Строчный!L:L,"ERR",0)))</f>
        <v>Унисекс</v>
      </c>
      <c r="M315" s="113" t="str">
        <f ca="1">PROPER(TRIM(_xlfn.XLOOKUP($A315,Строчный!$A:$A,Строчный!M:M,"ERR",0)))</f>
        <v>Италия</v>
      </c>
      <c r="N315" s="81" t="str">
        <f ca="1">UPPER(TRIM(_xlfn.XLOOKUP($A315,Строчный!$A:$A,Строчный!O:O,"ERR",0)))</f>
        <v/>
      </c>
      <c r="O315" s="102" t="str">
        <f ca="1">PROPER(TRIM(_xlfn.XLOOKUP($A315,Строчный!$A:$A,Строчный!P:P,"ERR",0)))</f>
        <v/>
      </c>
      <c r="P315" s="81" t="str">
        <f ca="1">PROPER(TRIM(_xlfn.XLOOKUP($A315,Строчный!$A:$A,Строчный!R:R,"ERR",0)))</f>
        <v/>
      </c>
      <c r="Q315" s="90">
        <f ca="1">VALUE(_xlfn.XLOOKUP($A315,Строчный!$A:$A,Строчный!N:N,"ERR",0))</f>
        <v>270</v>
      </c>
      <c r="R315" s="89" t="str">
        <f ca="1">_xlfn.XLOOKUP($G315,Фабрика!A:A,Фабрика!B:B,"ERR",0)</f>
        <v>Chapellerie Herman S.A.; Rue Jean Meunier, 6, 6922 Wellin, Belgium</v>
      </c>
      <c r="S315" s="80" t="str">
        <f ca="1">_xlfn.XLOOKUP(RIGHT(AA315,2),Размеры!D:D,Размеры!A:A,"ERR",0)</f>
        <v>59</v>
      </c>
      <c r="T315" s="80">
        <f ca="1">VALUE(_xlfn.XLOOKUP($AA315,Строчный!$S:$S,Строчный!U:U,"ERR",0))</f>
        <v>20</v>
      </c>
      <c r="U315" s="14" t="s">
        <v>265</v>
      </c>
      <c r="V315" s="101" t="str">
        <f t="shared" ca="1" si="23"/>
        <v>Кепка HERMAN арт. RANGE W16002 (коричневый)</v>
      </c>
      <c r="W315" s="100" t="str">
        <f t="shared" ca="1" si="24"/>
        <v>Кепка HERMAN арт. RANGE W16002 (коричневый) {brown}</v>
      </c>
      <c r="X315" s="18" t="str">
        <f t="shared" ca="1" si="25"/>
        <v>коричневый</v>
      </c>
      <c r="Y315" s="18" t="str">
        <f t="shared" ca="1" si="26"/>
        <v>коричневый</v>
      </c>
      <c r="Z315" s="117" t="str">
        <f ca="1">_xlfn.LET(_xlpm.FormColors,_xlfn.XLOOKUP(A315,Строчный!A:A,Строчный!Q:Q,"",0),IF(_xlpm.FormColors=0,IFERROR(MID(I315,FIND("-",I315)+1,LEN(I315)),IFERROR(MID(I315,1,FIND("/",I315)-2),I315)),_xlpm.FormColors))</f>
        <v>коричневый</v>
      </c>
      <c r="AA315" s="73" t="str">
        <f ca="1"/>
        <v>80-116-14-59</v>
      </c>
      <c r="AB315" s="75" t="str">
        <f ca="1">VLOOKUP(C315,Группа!A:B,2,FALSE)</f>
        <v>Кепка</v>
      </c>
      <c r="AC315" s="97" t="str">
        <f ca="1">IFERROR(VLOOKUP(S315,Размеры!A:C,3,FALSE),"")</f>
        <v>59 L</v>
      </c>
      <c r="AD315" s="97" t="str">
        <f ca="1">VLOOKUP(I315,ЦветПолный!A:B,2,FALSE)</f>
        <v>14</v>
      </c>
      <c r="AE315" s="97" t="str">
        <f ca="1">IFERROR(VLOOKUP(S315,Размеры!A:D,4,FALSE),"")</f>
        <v>59</v>
      </c>
      <c r="AF315" s="97">
        <f ca="1">IF(LEFT(IFERROR(VLOOKUP(LOOKUP(2,1/SEARCH(B315,Товары!A:A),Товары!A:A),Товары!A:B,2,0),""),6)=MID(AA315,1,6),1,0)</f>
        <v>1</v>
      </c>
      <c r="AH315" s="97">
        <f ca="1">SUMIF(Группа!A:A,C315,Группа!C:C)</f>
        <v>1</v>
      </c>
      <c r="AI315" s="97">
        <f ca="1">SUMIF(Группа!B:B,AB315,Группа!C:C)</f>
        <v>1</v>
      </c>
      <c r="AJ315" s="97">
        <f ca="1">SUMIF(Формы!A:A,D315,Формы!B:B)</f>
        <v>1</v>
      </c>
      <c r="AK315" s="97">
        <f ca="1">SUMIF(Материал!A:A,K315,Материал!B:B)</f>
        <v>1</v>
      </c>
      <c r="AL315" s="97">
        <f ca="1">SUMIF(Размеры!A:A,S315,Размеры!E:E)</f>
        <v>1</v>
      </c>
      <c r="AM315" s="97">
        <f ca="1">SUMIF(Сезон!A:A,F315,Сезон!B:B)</f>
        <v>1</v>
      </c>
      <c r="AN315" s="97">
        <f ca="1">SUMIF(Состав!A:A,J315,Состав!B:B)</f>
        <v>1</v>
      </c>
      <c r="AO315" s="97">
        <f ca="1">VLOOKUP(I315,ЦветПолный!A:C,3,0)</f>
        <v>1</v>
      </c>
      <c r="AP315" s="97">
        <f ca="1">SUMIF(Цвет!A:A,Z315,Цвет!B:B)</f>
        <v>1</v>
      </c>
      <c r="AQ315" s="97">
        <f ca="1">_xlfn.XLOOKUP(L315,Пол!A:A,Пол!B:B,0,0)</f>
        <v>1</v>
      </c>
      <c r="AR315" s="97">
        <f ca="1">SUMIF(Бренд!A:A,G315,Бренд!B:B)</f>
        <v>1</v>
      </c>
      <c r="AS315" s="97">
        <f ca="1">SUMIF(Страна!A:A,M315,Страна!B:B)</f>
        <v>1</v>
      </c>
      <c r="AT315" s="64" t="str">
        <f ca="1">IF(VLOOKUP(W315,Товары!A:B,2,FALSE)=A315,"Есть в 1С","ERR")</f>
        <v>Есть в 1С</v>
      </c>
      <c r="AU315" s="65" t="str">
        <f ca="1">IF(VLOOKUP(A315,Товары!B:B,1,FALSE)=A315,"Есть в 1С","ERR")</f>
        <v>Есть в 1С</v>
      </c>
      <c r="AV315" s="96" t="str">
        <f ca="1">VLOOKUP(W315,Товары!A:B,2,FALSE)</f>
        <v>80-116-14</v>
      </c>
      <c r="AW315" s="94" t="str">
        <f ca="1">VLOOKUP(W315,Товары!A:B,1,FALSE)</f>
        <v>Кепка HERMAN арт. RANGE W16002 (коричневый) {brown}</v>
      </c>
    </row>
    <row r="316" spans="1:49" x14ac:dyDescent="0.25">
      <c r="A316" s="110" t="str">
        <f t="shared" ca="1" si="22"/>
        <v>80-116-14</v>
      </c>
      <c r="B316" s="107" t="str">
        <f ca="1">_xlfn.LET(_xlpm.CAPS,0,_xlpm.Style,TRIM(_xlfn.XLOOKUP($A316,Строчный!$A:$A,Строчный!B:B,"ERR",0)),IF(_xlpm.CAPS=0,_xlpm.Style,UPPER(_xlpm.Style)))</f>
        <v>RANGE W16002</v>
      </c>
      <c r="C316" s="81" t="str">
        <f ca="1">TRIM(PROPER(_xlfn.XLOOKUP($A316,Строчный!$A:$A,Строчный!C:C,"ERR",0)))</f>
        <v>Кепки</v>
      </c>
      <c r="D316" s="81" t="str">
        <f ca="1">_xlfn.LET(_xlpm.DATA,TRIM(_xlfn.XLOOKUP($A316,Строчный!$A:$A,Строчный!D:D,"ERR",0)),UPPER(MID(_xlpm.DATA,1,1))&amp;LOWER(MID(_xlpm.DATA,2,LEN(_xlpm.DATA)-1)))</f>
        <v>Кепка уточка</v>
      </c>
      <c r="E316" s="81" t="str">
        <f ca="1">PROPER(TRIM(_xlfn.XLOOKUP($A316,Строчный!$A:$A,Строчный!E:E,"ERR",0)))</f>
        <v>Herman</v>
      </c>
      <c r="F316" s="81" t="str">
        <f ca="1">LOWER(TRIM(_xlfn.XLOOKUP($A316,Строчный!$A:$A,Строчный!F:F,"ERR",0)))</f>
        <v>всесезон</v>
      </c>
      <c r="G316" s="81" t="str">
        <f ca="1">UPPER(TRIM(_xlfn.XLOOKUP($A316,Строчный!$A:$A,Строчный!G:G,"ERR",0)))</f>
        <v>HERMAN</v>
      </c>
      <c r="H316" s="81" t="str">
        <f ca="1">LOWER(TRIM(_xlfn.XLOOKUP($A316,Строчный!$A:$A,Строчный!H:H,"ERR",0)))</f>
        <v>brown</v>
      </c>
      <c r="I316" s="81" t="str">
        <f ca="1">LOWER(TRIM(_xlfn.XLOOKUP($A316,Строчный!$A:$A,Строчный!I:I,"ERR",0)))</f>
        <v>коричневый</v>
      </c>
      <c r="J316" s="81" t="str">
        <f ca="1">SUBSTITUTE(LOWER(TRIM(_xlfn.XLOOKUP($A316,Строчный!$A:$A,Строчный!J:J,"ERR",0))),"подклад","Подклад")</f>
        <v>100% шерсть</v>
      </c>
      <c r="K316" s="81" t="str">
        <f ca="1">LOWER(TRIM(_xlfn.XLOOKUP($A316,Строчный!$A:$A,Строчный!K:K,"ERR",0)))</f>
        <v>шерстяные</v>
      </c>
      <c r="L316" s="81" t="str">
        <f ca="1">PROPER(TRIM(_xlfn.XLOOKUP($A316,Строчный!$A:$A,Строчный!L:L,"ERR",0)))</f>
        <v>Унисекс</v>
      </c>
      <c r="M316" s="113" t="str">
        <f ca="1">PROPER(TRIM(_xlfn.XLOOKUP($A316,Строчный!$A:$A,Строчный!M:M,"ERR",0)))</f>
        <v>Италия</v>
      </c>
      <c r="N316" s="81" t="str">
        <f ca="1">UPPER(TRIM(_xlfn.XLOOKUP($A316,Строчный!$A:$A,Строчный!O:O,"ERR",0)))</f>
        <v/>
      </c>
      <c r="O316" s="102" t="str">
        <f ca="1">PROPER(TRIM(_xlfn.XLOOKUP($A316,Строчный!$A:$A,Строчный!P:P,"ERR",0)))</f>
        <v/>
      </c>
      <c r="P316" s="81" t="str">
        <f ca="1">PROPER(TRIM(_xlfn.XLOOKUP($A316,Строчный!$A:$A,Строчный!R:R,"ERR",0)))</f>
        <v/>
      </c>
      <c r="Q316" s="90">
        <f ca="1">VALUE(_xlfn.XLOOKUP($A316,Строчный!$A:$A,Строчный!N:N,"ERR",0))</f>
        <v>270</v>
      </c>
      <c r="R316" s="89" t="str">
        <f ca="1">_xlfn.XLOOKUP($G316,Фабрика!A:A,Фабрика!B:B,"ERR",0)</f>
        <v>Chapellerie Herman S.A.; Rue Jean Meunier, 6, 6922 Wellin, Belgium</v>
      </c>
      <c r="S316" s="80" t="str">
        <f ca="1">_xlfn.XLOOKUP(RIGHT(AA316,2),Размеры!D:D,Размеры!A:A,"ERR",0)</f>
        <v>57</v>
      </c>
      <c r="T316" s="80">
        <f ca="1">VALUE(_xlfn.XLOOKUP($AA316,Строчный!$S:$S,Строчный!U:U,"ERR",0))</f>
        <v>1</v>
      </c>
      <c r="U316" s="14" t="s">
        <v>265</v>
      </c>
      <c r="V316" s="101" t="str">
        <f t="shared" ca="1" si="23"/>
        <v>Кепка HERMAN арт. RANGE W16002 (коричневый)</v>
      </c>
      <c r="W316" s="100" t="str">
        <f t="shared" ca="1" si="24"/>
        <v>Кепка HERMAN арт. RANGE W16002 (коричневый) {brown}</v>
      </c>
      <c r="X316" s="18" t="str">
        <f t="shared" ca="1" si="25"/>
        <v>коричневый</v>
      </c>
      <c r="Y316" s="18" t="str">
        <f t="shared" ca="1" si="26"/>
        <v>коричневый</v>
      </c>
      <c r="Z316" s="117" t="str">
        <f ca="1">_xlfn.LET(_xlpm.FormColors,_xlfn.XLOOKUP(A316,Строчный!A:A,Строчный!Q:Q,"",0),IF(_xlpm.FormColors=0,IFERROR(MID(I316,FIND("-",I316)+1,LEN(I316)),IFERROR(MID(I316,1,FIND("/",I316)-2),I316)),_xlpm.FormColors))</f>
        <v>коричневый</v>
      </c>
      <c r="AA316" s="73" t="str">
        <f ca="1"/>
        <v>80-116-14-57</v>
      </c>
      <c r="AB316" s="75" t="str">
        <f ca="1">VLOOKUP(C316,Группа!A:B,2,FALSE)</f>
        <v>Кепка</v>
      </c>
      <c r="AC316" s="97" t="str">
        <f ca="1">IFERROR(VLOOKUP(S316,Размеры!A:C,3,FALSE),"")</f>
        <v>57 M</v>
      </c>
      <c r="AD316" s="97" t="str">
        <f ca="1">VLOOKUP(I316,ЦветПолный!A:B,2,FALSE)</f>
        <v>14</v>
      </c>
      <c r="AE316" s="97" t="str">
        <f ca="1">IFERROR(VLOOKUP(S316,Размеры!A:D,4,FALSE),"")</f>
        <v>57</v>
      </c>
      <c r="AF316" s="97">
        <f ca="1">IF(LEFT(IFERROR(VLOOKUP(LOOKUP(2,1/SEARCH(B316,Товары!A:A),Товары!A:A),Товары!A:B,2,0),""),6)=MID(AA316,1,6),1,0)</f>
        <v>1</v>
      </c>
      <c r="AH316" s="97">
        <f ca="1">SUMIF(Группа!A:A,C316,Группа!C:C)</f>
        <v>1</v>
      </c>
      <c r="AI316" s="97">
        <f ca="1">SUMIF(Группа!B:B,AB316,Группа!C:C)</f>
        <v>1</v>
      </c>
      <c r="AJ316" s="97">
        <f ca="1">SUMIF(Формы!A:A,D316,Формы!B:B)</f>
        <v>1</v>
      </c>
      <c r="AK316" s="97">
        <f ca="1">SUMIF(Материал!A:A,K316,Материал!B:B)</f>
        <v>1</v>
      </c>
      <c r="AL316" s="97">
        <f ca="1">SUMIF(Размеры!A:A,S316,Размеры!E:E)</f>
        <v>1</v>
      </c>
      <c r="AM316" s="97">
        <f ca="1">SUMIF(Сезон!A:A,F316,Сезон!B:B)</f>
        <v>1</v>
      </c>
      <c r="AN316" s="97">
        <f ca="1">SUMIF(Состав!A:A,J316,Состав!B:B)</f>
        <v>1</v>
      </c>
      <c r="AO316" s="97">
        <f ca="1">VLOOKUP(I316,ЦветПолный!A:C,3,0)</f>
        <v>1</v>
      </c>
      <c r="AP316" s="97">
        <f ca="1">SUMIF(Цвет!A:A,Z316,Цвет!B:B)</f>
        <v>1</v>
      </c>
      <c r="AQ316" s="97">
        <f ca="1">_xlfn.XLOOKUP(L316,Пол!A:A,Пол!B:B,0,0)</f>
        <v>1</v>
      </c>
      <c r="AR316" s="97">
        <f ca="1">SUMIF(Бренд!A:A,G316,Бренд!B:B)</f>
        <v>1</v>
      </c>
      <c r="AS316" s="97">
        <f ca="1">SUMIF(Страна!A:A,M316,Страна!B:B)</f>
        <v>1</v>
      </c>
      <c r="AT316" s="64" t="str">
        <f ca="1">IF(VLOOKUP(W316,Товары!A:B,2,FALSE)=A316,"Есть в 1С","ERR")</f>
        <v>Есть в 1С</v>
      </c>
      <c r="AU316" s="65" t="str">
        <f ca="1">IF(VLOOKUP(A316,Товары!B:B,1,FALSE)=A316,"Есть в 1С","ERR")</f>
        <v>Есть в 1С</v>
      </c>
      <c r="AV316" s="96" t="str">
        <f ca="1">VLOOKUP(W316,Товары!A:B,2,FALSE)</f>
        <v>80-116-14</v>
      </c>
      <c r="AW316" s="94" t="str">
        <f ca="1">VLOOKUP(W316,Товары!A:B,1,FALSE)</f>
        <v>Кепка HERMAN арт. RANGE W16002 (коричневый) {brown}</v>
      </c>
    </row>
    <row r="317" spans="1:49" x14ac:dyDescent="0.25">
      <c r="A317" s="110" t="str">
        <f t="shared" ca="1" si="22"/>
        <v>80-116-14</v>
      </c>
      <c r="B317" s="107" t="str">
        <f ca="1">_xlfn.LET(_xlpm.CAPS,0,_xlpm.Style,TRIM(_xlfn.XLOOKUP($A317,Строчный!$A:$A,Строчный!B:B,"ERR",0)),IF(_xlpm.CAPS=0,_xlpm.Style,UPPER(_xlpm.Style)))</f>
        <v>RANGE W16002</v>
      </c>
      <c r="C317" s="81" t="str">
        <f ca="1">TRIM(PROPER(_xlfn.XLOOKUP($A317,Строчный!$A:$A,Строчный!C:C,"ERR",0)))</f>
        <v>Кепки</v>
      </c>
      <c r="D317" s="81" t="str">
        <f ca="1">_xlfn.LET(_xlpm.DATA,TRIM(_xlfn.XLOOKUP($A317,Строчный!$A:$A,Строчный!D:D,"ERR",0)),UPPER(MID(_xlpm.DATA,1,1))&amp;LOWER(MID(_xlpm.DATA,2,LEN(_xlpm.DATA)-1)))</f>
        <v>Кепка уточка</v>
      </c>
      <c r="E317" s="81" t="str">
        <f ca="1">PROPER(TRIM(_xlfn.XLOOKUP($A317,Строчный!$A:$A,Строчный!E:E,"ERR",0)))</f>
        <v>Herman</v>
      </c>
      <c r="F317" s="81" t="str">
        <f ca="1">LOWER(TRIM(_xlfn.XLOOKUP($A317,Строчный!$A:$A,Строчный!F:F,"ERR",0)))</f>
        <v>всесезон</v>
      </c>
      <c r="G317" s="81" t="str">
        <f ca="1">UPPER(TRIM(_xlfn.XLOOKUP($A317,Строчный!$A:$A,Строчный!G:G,"ERR",0)))</f>
        <v>HERMAN</v>
      </c>
      <c r="H317" s="81" t="str">
        <f ca="1">LOWER(TRIM(_xlfn.XLOOKUP($A317,Строчный!$A:$A,Строчный!H:H,"ERR",0)))</f>
        <v>brown</v>
      </c>
      <c r="I317" s="81" t="str">
        <f ca="1">LOWER(TRIM(_xlfn.XLOOKUP($A317,Строчный!$A:$A,Строчный!I:I,"ERR",0)))</f>
        <v>коричневый</v>
      </c>
      <c r="J317" s="81" t="str">
        <f ca="1">SUBSTITUTE(LOWER(TRIM(_xlfn.XLOOKUP($A317,Строчный!$A:$A,Строчный!J:J,"ERR",0))),"подклад","Подклад")</f>
        <v>100% шерсть</v>
      </c>
      <c r="K317" s="81" t="str">
        <f ca="1">LOWER(TRIM(_xlfn.XLOOKUP($A317,Строчный!$A:$A,Строчный!K:K,"ERR",0)))</f>
        <v>шерстяные</v>
      </c>
      <c r="L317" s="81" t="str">
        <f ca="1">PROPER(TRIM(_xlfn.XLOOKUP($A317,Строчный!$A:$A,Строчный!L:L,"ERR",0)))</f>
        <v>Унисекс</v>
      </c>
      <c r="M317" s="113" t="str">
        <f ca="1">PROPER(TRIM(_xlfn.XLOOKUP($A317,Строчный!$A:$A,Строчный!M:M,"ERR",0)))</f>
        <v>Италия</v>
      </c>
      <c r="N317" s="81" t="str">
        <f ca="1">UPPER(TRIM(_xlfn.XLOOKUP($A317,Строчный!$A:$A,Строчный!O:O,"ERR",0)))</f>
        <v/>
      </c>
      <c r="O317" s="102" t="str">
        <f ca="1">PROPER(TRIM(_xlfn.XLOOKUP($A317,Строчный!$A:$A,Строчный!P:P,"ERR",0)))</f>
        <v/>
      </c>
      <c r="P317" s="81" t="str">
        <f ca="1">PROPER(TRIM(_xlfn.XLOOKUP($A317,Строчный!$A:$A,Строчный!R:R,"ERR",0)))</f>
        <v/>
      </c>
      <c r="Q317" s="90">
        <f ca="1">VALUE(_xlfn.XLOOKUP($A317,Строчный!$A:$A,Строчный!N:N,"ERR",0))</f>
        <v>270</v>
      </c>
      <c r="R317" s="89" t="str">
        <f ca="1">_xlfn.XLOOKUP($G317,Фабрика!A:A,Фабрика!B:B,"ERR",0)</f>
        <v>Chapellerie Herman S.A.; Rue Jean Meunier, 6, 6922 Wellin, Belgium</v>
      </c>
      <c r="S317" s="80" t="str">
        <f ca="1">_xlfn.XLOOKUP(RIGHT(AA317,2),Размеры!D:D,Размеры!A:A,"ERR",0)</f>
        <v>56</v>
      </c>
      <c r="T317" s="80">
        <f ca="1">VALUE(_xlfn.XLOOKUP($AA317,Строчный!$S:$S,Строчный!U:U,"ERR",0))</f>
        <v>7</v>
      </c>
      <c r="U317" s="14" t="s">
        <v>265</v>
      </c>
      <c r="V317" s="101" t="str">
        <f t="shared" ca="1" si="23"/>
        <v>Кепка HERMAN арт. RANGE W16002 (коричневый)</v>
      </c>
      <c r="W317" s="100" t="str">
        <f t="shared" ca="1" si="24"/>
        <v>Кепка HERMAN арт. RANGE W16002 (коричневый) {brown}</v>
      </c>
      <c r="X317" s="18" t="str">
        <f t="shared" ca="1" si="25"/>
        <v>коричневый</v>
      </c>
      <c r="Y317" s="18" t="str">
        <f t="shared" ca="1" si="26"/>
        <v>коричневый</v>
      </c>
      <c r="Z317" s="117" t="str">
        <f ca="1">_xlfn.LET(_xlpm.FormColors,_xlfn.XLOOKUP(A317,Строчный!A:A,Строчный!Q:Q,"",0),IF(_xlpm.FormColors=0,IFERROR(MID(I317,FIND("-",I317)+1,LEN(I317)),IFERROR(MID(I317,1,FIND("/",I317)-2),I317)),_xlpm.FormColors))</f>
        <v>коричневый</v>
      </c>
      <c r="AA317" s="73" t="str">
        <f ca="1"/>
        <v>80-116-14-56</v>
      </c>
      <c r="AB317" s="75" t="str">
        <f ca="1">VLOOKUP(C317,Группа!A:B,2,FALSE)</f>
        <v>Кепка</v>
      </c>
      <c r="AC317" s="97" t="str">
        <f ca="1">IFERROR(VLOOKUP(S317,Размеры!A:C,3,FALSE),"")</f>
        <v>56 S/M</v>
      </c>
      <c r="AD317" s="97" t="str">
        <f ca="1">VLOOKUP(I317,ЦветПолный!A:B,2,FALSE)</f>
        <v>14</v>
      </c>
      <c r="AE317" s="97" t="str">
        <f ca="1">IFERROR(VLOOKUP(S317,Размеры!A:D,4,FALSE),"")</f>
        <v>56</v>
      </c>
      <c r="AF317" s="97">
        <f ca="1">IF(LEFT(IFERROR(VLOOKUP(LOOKUP(2,1/SEARCH(B317,Товары!A:A),Товары!A:A),Товары!A:B,2,0),""),6)=MID(AA317,1,6),1,0)</f>
        <v>1</v>
      </c>
      <c r="AH317" s="97">
        <f ca="1">SUMIF(Группа!A:A,C317,Группа!C:C)</f>
        <v>1</v>
      </c>
      <c r="AI317" s="97">
        <f ca="1">SUMIF(Группа!B:B,AB317,Группа!C:C)</f>
        <v>1</v>
      </c>
      <c r="AJ317" s="97">
        <f ca="1">SUMIF(Формы!A:A,D317,Формы!B:B)</f>
        <v>1</v>
      </c>
      <c r="AK317" s="97">
        <f ca="1">SUMIF(Материал!A:A,K317,Материал!B:B)</f>
        <v>1</v>
      </c>
      <c r="AL317" s="97">
        <f ca="1">SUMIF(Размеры!A:A,S317,Размеры!E:E)</f>
        <v>1</v>
      </c>
      <c r="AM317" s="97">
        <f ca="1">SUMIF(Сезон!A:A,F317,Сезон!B:B)</f>
        <v>1</v>
      </c>
      <c r="AN317" s="97">
        <f ca="1">SUMIF(Состав!A:A,J317,Состав!B:B)</f>
        <v>1</v>
      </c>
      <c r="AO317" s="97">
        <f ca="1">VLOOKUP(I317,ЦветПолный!A:C,3,0)</f>
        <v>1</v>
      </c>
      <c r="AP317" s="97">
        <f ca="1">SUMIF(Цвет!A:A,Z317,Цвет!B:B)</f>
        <v>1</v>
      </c>
      <c r="AQ317" s="97">
        <f ca="1">_xlfn.XLOOKUP(L317,Пол!A:A,Пол!B:B,0,0)</f>
        <v>1</v>
      </c>
      <c r="AR317" s="97">
        <f ca="1">SUMIF(Бренд!A:A,G317,Бренд!B:B)</f>
        <v>1</v>
      </c>
      <c r="AS317" s="97">
        <f ca="1">SUMIF(Страна!A:A,M317,Страна!B:B)</f>
        <v>1</v>
      </c>
      <c r="AT317" s="64" t="str">
        <f ca="1">IF(VLOOKUP(W317,Товары!A:B,2,FALSE)=A317,"Есть в 1С","ERR")</f>
        <v>Есть в 1С</v>
      </c>
      <c r="AU317" s="65" t="str">
        <f ca="1">IF(VLOOKUP(A317,Товары!B:B,1,FALSE)=A317,"Есть в 1С","ERR")</f>
        <v>Есть в 1С</v>
      </c>
      <c r="AV317" s="96" t="str">
        <f ca="1">VLOOKUP(W317,Товары!A:B,2,FALSE)</f>
        <v>80-116-14</v>
      </c>
      <c r="AW317" s="94" t="str">
        <f ca="1">VLOOKUP(W317,Товары!A:B,1,FALSE)</f>
        <v>Кепка HERMAN арт. RANGE W16002 (коричневый) {brown}</v>
      </c>
    </row>
    <row r="318" spans="1:49" x14ac:dyDescent="0.25">
      <c r="A318" s="110" t="str">
        <f t="shared" ca="1" si="22"/>
        <v>80-116-14</v>
      </c>
      <c r="B318" s="107" t="str">
        <f ca="1">_xlfn.LET(_xlpm.CAPS,0,_xlpm.Style,TRIM(_xlfn.XLOOKUP($A318,Строчный!$A:$A,Строчный!B:B,"ERR",0)),IF(_xlpm.CAPS=0,_xlpm.Style,UPPER(_xlpm.Style)))</f>
        <v>RANGE W16002</v>
      </c>
      <c r="C318" s="81" t="str">
        <f ca="1">TRIM(PROPER(_xlfn.XLOOKUP($A318,Строчный!$A:$A,Строчный!C:C,"ERR",0)))</f>
        <v>Кепки</v>
      </c>
      <c r="D318" s="81" t="str">
        <f ca="1">_xlfn.LET(_xlpm.DATA,TRIM(_xlfn.XLOOKUP($A318,Строчный!$A:$A,Строчный!D:D,"ERR",0)),UPPER(MID(_xlpm.DATA,1,1))&amp;LOWER(MID(_xlpm.DATA,2,LEN(_xlpm.DATA)-1)))</f>
        <v>Кепка уточка</v>
      </c>
      <c r="E318" s="81" t="str">
        <f ca="1">PROPER(TRIM(_xlfn.XLOOKUP($A318,Строчный!$A:$A,Строчный!E:E,"ERR",0)))</f>
        <v>Herman</v>
      </c>
      <c r="F318" s="81" t="str">
        <f ca="1">LOWER(TRIM(_xlfn.XLOOKUP($A318,Строчный!$A:$A,Строчный!F:F,"ERR",0)))</f>
        <v>всесезон</v>
      </c>
      <c r="G318" s="81" t="str">
        <f ca="1">UPPER(TRIM(_xlfn.XLOOKUP($A318,Строчный!$A:$A,Строчный!G:G,"ERR",0)))</f>
        <v>HERMAN</v>
      </c>
      <c r="H318" s="81" t="str">
        <f ca="1">LOWER(TRIM(_xlfn.XLOOKUP($A318,Строчный!$A:$A,Строчный!H:H,"ERR",0)))</f>
        <v>brown</v>
      </c>
      <c r="I318" s="81" t="str">
        <f ca="1">LOWER(TRIM(_xlfn.XLOOKUP($A318,Строчный!$A:$A,Строчный!I:I,"ERR",0)))</f>
        <v>коричневый</v>
      </c>
      <c r="J318" s="81" t="str">
        <f ca="1">SUBSTITUTE(LOWER(TRIM(_xlfn.XLOOKUP($A318,Строчный!$A:$A,Строчный!J:J,"ERR",0))),"подклад","Подклад")</f>
        <v>100% шерсть</v>
      </c>
      <c r="K318" s="81" t="str">
        <f ca="1">LOWER(TRIM(_xlfn.XLOOKUP($A318,Строчный!$A:$A,Строчный!K:K,"ERR",0)))</f>
        <v>шерстяные</v>
      </c>
      <c r="L318" s="81" t="str">
        <f ca="1">PROPER(TRIM(_xlfn.XLOOKUP($A318,Строчный!$A:$A,Строчный!L:L,"ERR",0)))</f>
        <v>Унисекс</v>
      </c>
      <c r="M318" s="113" t="str">
        <f ca="1">PROPER(TRIM(_xlfn.XLOOKUP($A318,Строчный!$A:$A,Строчный!M:M,"ERR",0)))</f>
        <v>Италия</v>
      </c>
      <c r="N318" s="81" t="str">
        <f ca="1">UPPER(TRIM(_xlfn.XLOOKUP($A318,Строчный!$A:$A,Строчный!O:O,"ERR",0)))</f>
        <v/>
      </c>
      <c r="O318" s="102" t="str">
        <f ca="1">PROPER(TRIM(_xlfn.XLOOKUP($A318,Строчный!$A:$A,Строчный!P:P,"ERR",0)))</f>
        <v/>
      </c>
      <c r="P318" s="81" t="str">
        <f ca="1">PROPER(TRIM(_xlfn.XLOOKUP($A318,Строчный!$A:$A,Строчный!R:R,"ERR",0)))</f>
        <v/>
      </c>
      <c r="Q318" s="90">
        <f ca="1">VALUE(_xlfn.XLOOKUP($A318,Строчный!$A:$A,Строчный!N:N,"ERR",0))</f>
        <v>270</v>
      </c>
      <c r="R318" s="89" t="str">
        <f ca="1">_xlfn.XLOOKUP($G318,Фабрика!A:A,Фабрика!B:B,"ERR",0)</f>
        <v>Chapellerie Herman S.A.; Rue Jean Meunier, 6, 6922 Wellin, Belgium</v>
      </c>
      <c r="S318" s="80" t="str">
        <f ca="1">_xlfn.XLOOKUP(RIGHT(AA318,2),Размеры!D:D,Размеры!A:A,"ERR",0)</f>
        <v>55</v>
      </c>
      <c r="T318" s="80">
        <f ca="1">VALUE(_xlfn.XLOOKUP($AA318,Строчный!$S:$S,Строчный!U:U,"ERR",0))</f>
        <v>2</v>
      </c>
      <c r="U318" s="14" t="s">
        <v>265</v>
      </c>
      <c r="V318" s="101" t="str">
        <f t="shared" ca="1" si="23"/>
        <v>Кепка HERMAN арт. RANGE W16002 (коричневый)</v>
      </c>
      <c r="W318" s="100" t="str">
        <f t="shared" ca="1" si="24"/>
        <v>Кепка HERMAN арт. RANGE W16002 (коричневый) {brown}</v>
      </c>
      <c r="X318" s="18" t="str">
        <f t="shared" ca="1" si="25"/>
        <v>коричневый</v>
      </c>
      <c r="Y318" s="18" t="str">
        <f t="shared" ca="1" si="26"/>
        <v>коричневый</v>
      </c>
      <c r="Z318" s="117" t="str">
        <f ca="1">_xlfn.LET(_xlpm.FormColors,_xlfn.XLOOKUP(A318,Строчный!A:A,Строчный!Q:Q,"",0),IF(_xlpm.FormColors=0,IFERROR(MID(I318,FIND("-",I318)+1,LEN(I318)),IFERROR(MID(I318,1,FIND("/",I318)-2),I318)),_xlpm.FormColors))</f>
        <v>коричневый</v>
      </c>
      <c r="AA318" s="73" t="str">
        <f ca="1"/>
        <v>80-116-14-55</v>
      </c>
      <c r="AB318" s="75" t="str">
        <f ca="1">VLOOKUP(C318,Группа!A:B,2,FALSE)</f>
        <v>Кепка</v>
      </c>
      <c r="AC318" s="97" t="str">
        <f ca="1">IFERROR(VLOOKUP(S318,Размеры!A:C,3,FALSE),"")</f>
        <v>55 S</v>
      </c>
      <c r="AD318" s="97" t="str">
        <f ca="1">VLOOKUP(I318,ЦветПолный!A:B,2,FALSE)</f>
        <v>14</v>
      </c>
      <c r="AE318" s="97" t="str">
        <f ca="1">IFERROR(VLOOKUP(S318,Размеры!A:D,4,FALSE),"")</f>
        <v>55</v>
      </c>
      <c r="AF318" s="97">
        <f ca="1">IF(LEFT(IFERROR(VLOOKUP(LOOKUP(2,1/SEARCH(B318,Товары!A:A),Товары!A:A),Товары!A:B,2,0),""),6)=MID(AA318,1,6),1,0)</f>
        <v>1</v>
      </c>
      <c r="AH318" s="97">
        <f ca="1">SUMIF(Группа!A:A,C318,Группа!C:C)</f>
        <v>1</v>
      </c>
      <c r="AI318" s="97">
        <f ca="1">SUMIF(Группа!B:B,AB318,Группа!C:C)</f>
        <v>1</v>
      </c>
      <c r="AJ318" s="97">
        <f ca="1">SUMIF(Формы!A:A,D318,Формы!B:B)</f>
        <v>1</v>
      </c>
      <c r="AK318" s="97">
        <f ca="1">SUMIF(Материал!A:A,K318,Материал!B:B)</f>
        <v>1</v>
      </c>
      <c r="AL318" s="97">
        <f ca="1">SUMIF(Размеры!A:A,S318,Размеры!E:E)</f>
        <v>1</v>
      </c>
      <c r="AM318" s="97">
        <f ca="1">SUMIF(Сезон!A:A,F318,Сезон!B:B)</f>
        <v>1</v>
      </c>
      <c r="AN318" s="97">
        <f ca="1">SUMIF(Состав!A:A,J318,Состав!B:B)</f>
        <v>1</v>
      </c>
      <c r="AO318" s="97">
        <f ca="1">VLOOKUP(I318,ЦветПолный!A:C,3,0)</f>
        <v>1</v>
      </c>
      <c r="AP318" s="97">
        <f ca="1">SUMIF(Цвет!A:A,Z318,Цвет!B:B)</f>
        <v>1</v>
      </c>
      <c r="AQ318" s="97">
        <f ca="1">_xlfn.XLOOKUP(L318,Пол!A:A,Пол!B:B,0,0)</f>
        <v>1</v>
      </c>
      <c r="AR318" s="97">
        <f ca="1">SUMIF(Бренд!A:A,G318,Бренд!B:B)</f>
        <v>1</v>
      </c>
      <c r="AS318" s="97">
        <f ca="1">SUMIF(Страна!A:A,M318,Страна!B:B)</f>
        <v>1</v>
      </c>
      <c r="AT318" s="64" t="str">
        <f ca="1">IF(VLOOKUP(W318,Товары!A:B,2,FALSE)=A318,"Есть в 1С","ERR")</f>
        <v>Есть в 1С</v>
      </c>
      <c r="AU318" s="65" t="str">
        <f ca="1">IF(VLOOKUP(A318,Товары!B:B,1,FALSE)=A318,"Есть в 1С","ERR")</f>
        <v>Есть в 1С</v>
      </c>
      <c r="AV318" s="96" t="str">
        <f ca="1">VLOOKUP(W318,Товары!A:B,2,FALSE)</f>
        <v>80-116-14</v>
      </c>
      <c r="AW318" s="94" t="str">
        <f ca="1">VLOOKUP(W318,Товары!A:B,1,FALSE)</f>
        <v>Кепка HERMAN арт. RANGE W16002 (коричневый) {brown}</v>
      </c>
    </row>
  </sheetData>
  <autoFilter ref="G1:AW318" xr:uid="{00000000-0009-0000-0000-000000000000}"/>
  <conditionalFormatting sqref="AT2:AT318">
    <cfRule type="expression" dxfId="42" priority="36">
      <formula>IFERROR(AT2,TRUE)</formula>
    </cfRule>
  </conditionalFormatting>
  <conditionalFormatting sqref="AU2:AU318">
    <cfRule type="expression" dxfId="41" priority="34">
      <formula>IFERROR(AU2,TRUE)</formula>
    </cfRule>
  </conditionalFormatting>
  <conditionalFormatting sqref="AH2:AH318 AF1:AF1048576">
    <cfRule type="cellIs" dxfId="40" priority="32" operator="lessThan">
      <formula>1</formula>
    </cfRule>
  </conditionalFormatting>
  <conditionalFormatting sqref="AC2:AS318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318">
    <cfRule type="expression" dxfId="37" priority="28">
      <formula>IFERROR(AV2,TRUE)</formula>
    </cfRule>
  </conditionalFormatting>
  <conditionalFormatting sqref="AW2:AW318">
    <cfRule type="expression" dxfId="36" priority="26">
      <formula>IFERROR(AW2,TRUE)</formula>
    </cfRule>
  </conditionalFormatting>
  <conditionalFormatting sqref="AE2:AE318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318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318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28406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28230</v>
      </c>
      <c r="C3" s="131" t="s">
        <v>25300</v>
      </c>
      <c r="D3" s="119" t="s">
        <v>28230</v>
      </c>
      <c r="E3" s="119">
        <v>1</v>
      </c>
    </row>
    <row r="4" spans="1:5" x14ac:dyDescent="0.2">
      <c r="A4" s="131" t="s">
        <v>28299</v>
      </c>
      <c r="C4" s="131" t="s">
        <v>25301</v>
      </c>
      <c r="D4" s="119" t="s">
        <v>28299</v>
      </c>
      <c r="E4" s="119">
        <v>1</v>
      </c>
    </row>
    <row r="5" spans="1:5" x14ac:dyDescent="0.2">
      <c r="A5" s="131" t="s">
        <v>28267</v>
      </c>
      <c r="C5" s="131" t="s">
        <v>25302</v>
      </c>
      <c r="D5" s="119" t="s">
        <v>28267</v>
      </c>
      <c r="E5" s="119">
        <v>1</v>
      </c>
    </row>
    <row r="6" spans="1:5" x14ac:dyDescent="0.2">
      <c r="A6" s="131" t="s">
        <v>28260</v>
      </c>
      <c r="C6" s="131" t="s">
        <v>25303</v>
      </c>
      <c r="D6" s="119" t="s">
        <v>28260</v>
      </c>
      <c r="E6" s="119">
        <v>1</v>
      </c>
    </row>
    <row r="7" spans="1:5" x14ac:dyDescent="0.2">
      <c r="A7" s="131" t="s">
        <v>28344</v>
      </c>
      <c r="C7" s="131" t="s">
        <v>25304</v>
      </c>
      <c r="D7" s="119" t="s">
        <v>28344</v>
      </c>
      <c r="E7" s="119">
        <v>1</v>
      </c>
    </row>
    <row r="8" spans="1:5" x14ac:dyDescent="0.2">
      <c r="A8" s="131" t="s">
        <v>28386</v>
      </c>
      <c r="C8" s="131" t="s">
        <v>25305</v>
      </c>
      <c r="D8" s="119" t="s">
        <v>28386</v>
      </c>
      <c r="E8" s="119">
        <v>1</v>
      </c>
    </row>
    <row r="9" spans="1:5" x14ac:dyDescent="0.2">
      <c r="A9" s="131" t="s">
        <v>28340</v>
      </c>
      <c r="C9" s="131" t="s">
        <v>25306</v>
      </c>
      <c r="D9" s="119" t="s">
        <v>28340</v>
      </c>
      <c r="E9" s="119">
        <v>1</v>
      </c>
    </row>
    <row r="10" spans="1:5" x14ac:dyDescent="0.2">
      <c r="A10" s="131" t="s">
        <v>28263</v>
      </c>
      <c r="C10" s="131" t="s">
        <v>25307</v>
      </c>
      <c r="D10" s="119" t="s">
        <v>28263</v>
      </c>
      <c r="E10" s="119">
        <v>1</v>
      </c>
    </row>
    <row r="11" spans="1:5" x14ac:dyDescent="0.2">
      <c r="A11" s="131" t="s">
        <v>28345</v>
      </c>
      <c r="C11" s="131" t="s">
        <v>25308</v>
      </c>
      <c r="D11" s="119" t="s">
        <v>28345</v>
      </c>
      <c r="E11" s="119">
        <v>1</v>
      </c>
    </row>
    <row r="12" spans="1:5" x14ac:dyDescent="0.2">
      <c r="A12" s="131" t="s">
        <v>28227</v>
      </c>
      <c r="C12" s="131" t="s">
        <v>25309</v>
      </c>
      <c r="D12" s="119" t="s">
        <v>28227</v>
      </c>
      <c r="E12" s="119">
        <v>1</v>
      </c>
    </row>
    <row r="13" spans="1:5" x14ac:dyDescent="0.2">
      <c r="A13" s="131" t="s">
        <v>28390</v>
      </c>
      <c r="C13" s="131" t="s">
        <v>25310</v>
      </c>
      <c r="D13" s="119" t="s">
        <v>28390</v>
      </c>
      <c r="E13" s="119">
        <v>1</v>
      </c>
    </row>
    <row r="14" spans="1:5" x14ac:dyDescent="0.2">
      <c r="A14" s="131" t="s">
        <v>28274</v>
      </c>
      <c r="C14" s="131" t="s">
        <v>25311</v>
      </c>
      <c r="D14" s="119" t="s">
        <v>28274</v>
      </c>
      <c r="E14" s="119">
        <v>1</v>
      </c>
    </row>
    <row r="15" spans="1:5" x14ac:dyDescent="0.2">
      <c r="A15" s="131" t="s">
        <v>28220</v>
      </c>
      <c r="C15" s="131" t="s">
        <v>25312</v>
      </c>
      <c r="D15" s="119" t="s">
        <v>28220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28273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28224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28343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28321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28238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28312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28230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28299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28267</v>
      </c>
      <c r="E25" s="119">
        <v>1</v>
      </c>
    </row>
    <row r="26" spans="1:5" x14ac:dyDescent="0.2">
      <c r="A26" s="119" t="s">
        <v>28407</v>
      </c>
      <c r="C26" s="119" t="s">
        <v>28407</v>
      </c>
      <c r="D26" s="119" t="s">
        <v>28407</v>
      </c>
      <c r="E26" s="119">
        <v>1</v>
      </c>
    </row>
    <row r="27" spans="1:5" x14ac:dyDescent="0.2">
      <c r="A27" s="119" t="s">
        <v>28408</v>
      </c>
      <c r="C27" s="119" t="s">
        <v>28408</v>
      </c>
      <c r="D27" s="119" t="s">
        <v>28220</v>
      </c>
      <c r="E27" s="119">
        <v>1</v>
      </c>
    </row>
    <row r="28" spans="1:5" x14ac:dyDescent="0.2">
      <c r="A28" s="119" t="s">
        <v>28409</v>
      </c>
      <c r="C28" s="119" t="s">
        <v>28409</v>
      </c>
      <c r="D28" s="119" t="s">
        <v>25323</v>
      </c>
      <c r="E28" s="119">
        <v>1</v>
      </c>
    </row>
    <row r="29" spans="1:5" x14ac:dyDescent="0.2">
      <c r="A29" s="119" t="s">
        <v>28410</v>
      </c>
      <c r="C29" s="119" t="s">
        <v>28410</v>
      </c>
      <c r="D29" s="119" t="s">
        <v>28243</v>
      </c>
      <c r="E29" s="119">
        <v>1</v>
      </c>
    </row>
    <row r="30" spans="1:5" x14ac:dyDescent="0.2">
      <c r="A30" s="119" t="s">
        <v>28411</v>
      </c>
      <c r="C30" s="119" t="s">
        <v>28411</v>
      </c>
      <c r="D30" s="119" t="s">
        <v>25324</v>
      </c>
      <c r="E30" s="119">
        <v>1</v>
      </c>
    </row>
    <row r="31" spans="1:5" x14ac:dyDescent="0.2">
      <c r="A31" s="119" t="s">
        <v>28412</v>
      </c>
      <c r="C31" s="119" t="s">
        <v>28412</v>
      </c>
      <c r="D31" s="119" t="s">
        <v>28362</v>
      </c>
      <c r="E31" s="119">
        <v>1</v>
      </c>
    </row>
    <row r="32" spans="1:5" ht="12.6" customHeight="1" x14ac:dyDescent="0.2">
      <c r="A32" s="119">
        <v>9</v>
      </c>
      <c r="C32" s="119" t="s">
        <v>28415</v>
      </c>
      <c r="D32" s="119" t="s">
        <v>25325</v>
      </c>
      <c r="E32" s="119">
        <v>1</v>
      </c>
    </row>
    <row r="33" spans="1:5" ht="12.6" customHeight="1" x14ac:dyDescent="0.2">
      <c r="A33" s="119" t="s">
        <v>28413</v>
      </c>
      <c r="C33" s="119" t="s">
        <v>28413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28235</v>
      </c>
      <c r="D34" s="119" t="s">
        <v>28235</v>
      </c>
      <c r="E34" s="119">
        <v>1</v>
      </c>
    </row>
    <row r="35" spans="1:5" x14ac:dyDescent="0.2">
      <c r="A35" s="119" t="s">
        <v>28414</v>
      </c>
      <c r="C35" s="119" t="s">
        <v>28414</v>
      </c>
      <c r="D35" s="119" t="s">
        <v>28288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28236</v>
      </c>
      <c r="E36" s="119">
        <v>1</v>
      </c>
    </row>
    <row r="37" spans="1:5" x14ac:dyDescent="0.2">
      <c r="A37" s="131" t="s">
        <v>28234</v>
      </c>
      <c r="C37" s="131" t="s">
        <v>28234</v>
      </c>
      <c r="D37" s="119" t="s">
        <v>28234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28406</v>
      </c>
    </row>
    <row r="2" spans="1:3" x14ac:dyDescent="0.25">
      <c r="A2" s="140" t="s">
        <v>141</v>
      </c>
      <c r="B2" s="125" t="s">
        <v>28209</v>
      </c>
      <c r="C2" s="125">
        <v>1</v>
      </c>
    </row>
    <row r="3" spans="1:3" x14ac:dyDescent="0.25">
      <c r="A3" s="125" t="s">
        <v>27</v>
      </c>
      <c r="B3" s="125" t="s">
        <v>28210</v>
      </c>
      <c r="C3" s="125">
        <v>1</v>
      </c>
    </row>
    <row r="4" spans="1:3" x14ac:dyDescent="0.25">
      <c r="A4" s="125" t="s">
        <v>58</v>
      </c>
      <c r="B4" s="125" t="s">
        <v>28211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28212</v>
      </c>
      <c r="C6" s="125">
        <v>1</v>
      </c>
    </row>
    <row r="7" spans="1:3" x14ac:dyDescent="0.25">
      <c r="A7" s="125" t="s">
        <v>28213</v>
      </c>
      <c r="B7" s="125" t="s">
        <v>28210</v>
      </c>
      <c r="C7" s="125">
        <v>1</v>
      </c>
    </row>
    <row r="8" spans="1:3" x14ac:dyDescent="0.25">
      <c r="A8" s="125" t="s">
        <v>220</v>
      </c>
      <c r="B8" s="125" t="s">
        <v>28214</v>
      </c>
      <c r="C8" s="125">
        <v>1</v>
      </c>
    </row>
    <row r="9" spans="1:3" x14ac:dyDescent="0.25">
      <c r="A9" s="125" t="s">
        <v>100</v>
      </c>
      <c r="B9" s="125" t="s">
        <v>28215</v>
      </c>
      <c r="C9" s="125">
        <v>1</v>
      </c>
    </row>
    <row r="10" spans="1:3" x14ac:dyDescent="0.25">
      <c r="A10" s="125" t="s">
        <v>147</v>
      </c>
      <c r="B10" s="125" t="s">
        <v>28216</v>
      </c>
      <c r="C10" s="125">
        <v>1</v>
      </c>
    </row>
    <row r="11" spans="1:3" x14ac:dyDescent="0.25">
      <c r="A11" s="125" t="s">
        <v>26</v>
      </c>
      <c r="B11" s="125" t="s">
        <v>28217</v>
      </c>
      <c r="C11" s="125">
        <v>1</v>
      </c>
    </row>
    <row r="12" spans="1:3" x14ac:dyDescent="0.25">
      <c r="A12" s="125" t="s">
        <v>23</v>
      </c>
      <c r="B12" s="125" t="s">
        <v>28218</v>
      </c>
      <c r="C12" s="125">
        <v>1</v>
      </c>
    </row>
    <row r="13" spans="1:3" x14ac:dyDescent="0.25">
      <c r="A13" s="125" t="s">
        <v>28219</v>
      </c>
      <c r="B13" s="125" t="s">
        <v>28220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28221</v>
      </c>
      <c r="C15" s="125">
        <v>1</v>
      </c>
    </row>
    <row r="16" spans="1:3" x14ac:dyDescent="0.25">
      <c r="A16" s="125" t="s">
        <v>201</v>
      </c>
      <c r="B16" s="125" t="s">
        <v>28222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28223</v>
      </c>
      <c r="C18" s="125">
        <v>1</v>
      </c>
    </row>
    <row r="19" spans="1:3" x14ac:dyDescent="0.25">
      <c r="A19" s="125" t="s">
        <v>25358</v>
      </c>
      <c r="B19" s="125" t="s">
        <v>28221</v>
      </c>
      <c r="C19" s="125">
        <v>1</v>
      </c>
    </row>
    <row r="20" spans="1:3" x14ac:dyDescent="0.25">
      <c r="A20" s="125" t="s">
        <v>107</v>
      </c>
      <c r="B20" s="125" t="s">
        <v>28224</v>
      </c>
      <c r="C20" s="125">
        <v>1</v>
      </c>
    </row>
    <row r="21" spans="1:3" x14ac:dyDescent="0.25">
      <c r="A21" s="125" t="s">
        <v>25463</v>
      </c>
      <c r="B21" s="125" t="s">
        <v>28225</v>
      </c>
      <c r="C21" s="125">
        <v>1</v>
      </c>
    </row>
    <row r="22" spans="1:3" x14ac:dyDescent="0.25">
      <c r="A22" s="125" t="s">
        <v>96</v>
      </c>
      <c r="B22" s="125" t="s">
        <v>28226</v>
      </c>
      <c r="C22" s="125">
        <v>1</v>
      </c>
    </row>
    <row r="23" spans="1:3" x14ac:dyDescent="0.25">
      <c r="A23" s="125" t="s">
        <v>27769</v>
      </c>
      <c r="B23" s="125" t="s">
        <v>28226</v>
      </c>
      <c r="C23" s="125">
        <v>1</v>
      </c>
    </row>
    <row r="24" spans="1:3" x14ac:dyDescent="0.25">
      <c r="A24" s="125" t="s">
        <v>97</v>
      </c>
      <c r="B24" s="125" t="s">
        <v>28227</v>
      </c>
      <c r="C24" s="125">
        <v>1</v>
      </c>
    </row>
    <row r="25" spans="1:3" x14ac:dyDescent="0.25">
      <c r="A25" s="125" t="s">
        <v>130</v>
      </c>
      <c r="B25" s="125" t="s">
        <v>28228</v>
      </c>
      <c r="C25" s="125">
        <v>1</v>
      </c>
    </row>
    <row r="26" spans="1:3" x14ac:dyDescent="0.25">
      <c r="A26" s="125" t="s">
        <v>28229</v>
      </c>
      <c r="B26" s="125" t="s">
        <v>28227</v>
      </c>
      <c r="C26" s="125">
        <v>1</v>
      </c>
    </row>
    <row r="27" spans="1:3" x14ac:dyDescent="0.25">
      <c r="A27" s="125" t="s">
        <v>25526</v>
      </c>
      <c r="B27" s="125" t="s">
        <v>28230</v>
      </c>
      <c r="C27" s="125">
        <v>1</v>
      </c>
    </row>
    <row r="28" spans="1:3" x14ac:dyDescent="0.25">
      <c r="A28" s="125" t="s">
        <v>25480</v>
      </c>
      <c r="B28" s="125" t="s">
        <v>28210</v>
      </c>
      <c r="C28" s="125">
        <v>1</v>
      </c>
    </row>
    <row r="29" spans="1:3" x14ac:dyDescent="0.25">
      <c r="A29" s="125" t="s">
        <v>25419</v>
      </c>
      <c r="B29" s="125" t="s">
        <v>28209</v>
      </c>
      <c r="C29" s="125">
        <v>1</v>
      </c>
    </row>
    <row r="30" spans="1:3" x14ac:dyDescent="0.25">
      <c r="A30" s="125" t="s">
        <v>25501</v>
      </c>
      <c r="B30" s="125" t="s">
        <v>28209</v>
      </c>
      <c r="C30" s="125">
        <v>1</v>
      </c>
    </row>
    <row r="31" spans="1:3" x14ac:dyDescent="0.25">
      <c r="A31" s="125" t="s">
        <v>137</v>
      </c>
      <c r="B31" s="125" t="s">
        <v>28231</v>
      </c>
      <c r="C31" s="125">
        <v>1</v>
      </c>
    </row>
    <row r="32" spans="1:3" x14ac:dyDescent="0.25">
      <c r="A32" s="125" t="s">
        <v>167</v>
      </c>
      <c r="B32" s="125" t="s">
        <v>28232</v>
      </c>
      <c r="C32" s="125">
        <v>1</v>
      </c>
    </row>
    <row r="33" spans="1:3" x14ac:dyDescent="0.25">
      <c r="A33" s="125" t="s">
        <v>28233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28234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28235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28209</v>
      </c>
      <c r="C39" s="125">
        <v>1</v>
      </c>
    </row>
    <row r="40" spans="1:3" x14ac:dyDescent="0.25">
      <c r="A40" s="125" t="s">
        <v>210</v>
      </c>
      <c r="B40" s="125" t="s">
        <v>28231</v>
      </c>
      <c r="C40" s="125">
        <v>1</v>
      </c>
    </row>
    <row r="41" spans="1:3" x14ac:dyDescent="0.25">
      <c r="A41" s="125" t="s">
        <v>25378</v>
      </c>
      <c r="B41" s="125" t="s">
        <v>28216</v>
      </c>
      <c r="C41" s="125">
        <v>1</v>
      </c>
    </row>
    <row r="42" spans="1:3" x14ac:dyDescent="0.25">
      <c r="A42" s="125" t="s">
        <v>197</v>
      </c>
      <c r="B42" s="125" t="s">
        <v>28236</v>
      </c>
      <c r="C42" s="125">
        <v>1</v>
      </c>
    </row>
    <row r="43" spans="1:3" x14ac:dyDescent="0.25">
      <c r="A43" s="125" t="s">
        <v>28237</v>
      </c>
      <c r="B43" s="125" t="s">
        <v>28238</v>
      </c>
      <c r="C43" s="125">
        <v>1</v>
      </c>
    </row>
    <row r="44" spans="1:3" x14ac:dyDescent="0.25">
      <c r="A44" s="125" t="s">
        <v>25523</v>
      </c>
      <c r="B44" s="125" t="s">
        <v>28223</v>
      </c>
      <c r="C44" s="125">
        <v>1</v>
      </c>
    </row>
    <row r="45" spans="1:3" x14ac:dyDescent="0.25">
      <c r="A45" s="125" t="s">
        <v>28239</v>
      </c>
      <c r="B45" s="125" t="s">
        <v>28221</v>
      </c>
      <c r="C45" s="125">
        <v>1</v>
      </c>
    </row>
    <row r="46" spans="1:3" x14ac:dyDescent="0.25">
      <c r="A46" s="125" t="s">
        <v>28240</v>
      </c>
      <c r="B46" s="125" t="s">
        <v>28241</v>
      </c>
      <c r="C46" s="125">
        <v>1</v>
      </c>
    </row>
    <row r="47" spans="1:3" x14ac:dyDescent="0.25">
      <c r="A47" s="125" t="s">
        <v>25462</v>
      </c>
      <c r="B47" s="125" t="s">
        <v>28242</v>
      </c>
      <c r="C47" s="125">
        <v>1</v>
      </c>
    </row>
    <row r="48" spans="1:3" x14ac:dyDescent="0.25">
      <c r="A48" s="125" t="s">
        <v>25365</v>
      </c>
      <c r="B48" s="125" t="s">
        <v>28225</v>
      </c>
      <c r="C48" s="125">
        <v>1</v>
      </c>
    </row>
    <row r="49" spans="1:3" x14ac:dyDescent="0.25">
      <c r="A49" s="125" t="s">
        <v>28</v>
      </c>
      <c r="B49" s="125" t="s">
        <v>28253</v>
      </c>
      <c r="C49" s="125">
        <v>1</v>
      </c>
    </row>
    <row r="50" spans="1:3" x14ac:dyDescent="0.25">
      <c r="A50" s="125" t="s">
        <v>25472</v>
      </c>
      <c r="B50" s="125" t="s">
        <v>28243</v>
      </c>
      <c r="C50" s="125">
        <v>1</v>
      </c>
    </row>
    <row r="51" spans="1:3" x14ac:dyDescent="0.25">
      <c r="A51" s="125" t="s">
        <v>25476</v>
      </c>
      <c r="B51" s="125" t="s">
        <v>28244</v>
      </c>
      <c r="C51" s="125">
        <v>1</v>
      </c>
    </row>
    <row r="52" spans="1:3" x14ac:dyDescent="0.25">
      <c r="A52" s="125" t="s">
        <v>25401</v>
      </c>
      <c r="B52" s="125" t="s">
        <v>28236</v>
      </c>
      <c r="C52" s="125">
        <v>1</v>
      </c>
    </row>
    <row r="53" spans="1:3" x14ac:dyDescent="0.25">
      <c r="A53" s="125" t="s">
        <v>25385</v>
      </c>
      <c r="B53" s="125" t="s">
        <v>28245</v>
      </c>
      <c r="C53" s="125">
        <v>1</v>
      </c>
    </row>
    <row r="54" spans="1:3" x14ac:dyDescent="0.25">
      <c r="A54" s="125" t="s">
        <v>28246</v>
      </c>
      <c r="B54" s="125" t="s">
        <v>28245</v>
      </c>
      <c r="C54" s="125">
        <v>1</v>
      </c>
    </row>
    <row r="55" spans="1:3" x14ac:dyDescent="0.25">
      <c r="A55" s="125" t="s">
        <v>28247</v>
      </c>
      <c r="B55" s="125" t="s">
        <v>28212</v>
      </c>
      <c r="C55" s="125">
        <v>1</v>
      </c>
    </row>
    <row r="56" spans="1:3" x14ac:dyDescent="0.25">
      <c r="A56" s="125" t="s">
        <v>25483</v>
      </c>
      <c r="B56" s="125" t="s">
        <v>28221</v>
      </c>
      <c r="C56" s="125">
        <v>1</v>
      </c>
    </row>
    <row r="57" spans="1:3" x14ac:dyDescent="0.25">
      <c r="A57" s="125" t="s">
        <v>28248</v>
      </c>
      <c r="B57" s="125" t="s">
        <v>28249</v>
      </c>
      <c r="C57" s="125">
        <v>1</v>
      </c>
    </row>
    <row r="58" spans="1:3" x14ac:dyDescent="0.25">
      <c r="A58" s="125" t="s">
        <v>28250</v>
      </c>
      <c r="B58" s="125" t="s">
        <v>28251</v>
      </c>
      <c r="C58" s="125">
        <v>1</v>
      </c>
    </row>
    <row r="59" spans="1:3" x14ac:dyDescent="0.25">
      <c r="A59" s="125" t="s">
        <v>25506</v>
      </c>
      <c r="B59" s="125" t="s">
        <v>28252</v>
      </c>
      <c r="C59" s="125">
        <v>1</v>
      </c>
    </row>
    <row r="60" spans="1:3" x14ac:dyDescent="0.25">
      <c r="A60" s="125" t="s">
        <v>25328</v>
      </c>
      <c r="B60" s="125" t="s">
        <v>28253</v>
      </c>
      <c r="C60" s="125">
        <v>1</v>
      </c>
    </row>
    <row r="61" spans="1:3" x14ac:dyDescent="0.25">
      <c r="A61" s="125" t="s">
        <v>25345</v>
      </c>
      <c r="B61" s="125" t="s">
        <v>28222</v>
      </c>
      <c r="C61" s="125">
        <v>1</v>
      </c>
    </row>
    <row r="62" spans="1:3" x14ac:dyDescent="0.25">
      <c r="A62" s="125" t="s">
        <v>25328</v>
      </c>
      <c r="B62" s="125" t="s">
        <v>28212</v>
      </c>
      <c r="C62" s="125">
        <v>1</v>
      </c>
    </row>
    <row r="63" spans="1:3" x14ac:dyDescent="0.25">
      <c r="A63" s="125" t="s">
        <v>25424</v>
      </c>
      <c r="B63" s="125" t="s">
        <v>28231</v>
      </c>
      <c r="C63" s="125">
        <v>1</v>
      </c>
    </row>
    <row r="64" spans="1:3" x14ac:dyDescent="0.25">
      <c r="A64" s="125" t="s">
        <v>25358</v>
      </c>
      <c r="B64" s="125" t="s">
        <v>28254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28221</v>
      </c>
      <c r="C66" s="125">
        <v>1</v>
      </c>
    </row>
    <row r="67" spans="1:3" x14ac:dyDescent="0.25">
      <c r="A67" s="125" t="s">
        <v>25437</v>
      </c>
      <c r="B67" s="125" t="s">
        <v>28255</v>
      </c>
      <c r="C67" s="125">
        <v>1</v>
      </c>
    </row>
    <row r="68" spans="1:3" x14ac:dyDescent="0.25">
      <c r="A68" s="125" t="s">
        <v>28256</v>
      </c>
      <c r="B68" s="125" t="s">
        <v>28243</v>
      </c>
      <c r="C68" s="125">
        <v>1</v>
      </c>
    </row>
    <row r="69" spans="1:3" x14ac:dyDescent="0.25">
      <c r="A69" s="125" t="s">
        <v>28257</v>
      </c>
      <c r="B69" s="125" t="s">
        <v>28212</v>
      </c>
      <c r="C69" s="125">
        <v>1</v>
      </c>
    </row>
    <row r="70" spans="1:3" x14ac:dyDescent="0.25">
      <c r="A70" s="125" t="s">
        <v>25522</v>
      </c>
      <c r="B70" s="125" t="s">
        <v>28258</v>
      </c>
      <c r="C70" s="125">
        <v>1</v>
      </c>
    </row>
    <row r="71" spans="1:3" x14ac:dyDescent="0.25">
      <c r="A71" s="125" t="s">
        <v>28259</v>
      </c>
      <c r="B71" s="125" t="s">
        <v>28245</v>
      </c>
      <c r="C71" s="125">
        <v>1</v>
      </c>
    </row>
    <row r="72" spans="1:3" x14ac:dyDescent="0.25">
      <c r="A72" s="125" t="s">
        <v>25516</v>
      </c>
      <c r="B72" s="125" t="s">
        <v>28260</v>
      </c>
      <c r="C72" s="125">
        <v>1</v>
      </c>
    </row>
    <row r="73" spans="1:3" x14ac:dyDescent="0.25">
      <c r="A73" s="125" t="s">
        <v>25528</v>
      </c>
      <c r="B73" s="125" t="s">
        <v>28261</v>
      </c>
      <c r="C73" s="125">
        <v>1</v>
      </c>
    </row>
    <row r="74" spans="1:3" x14ac:dyDescent="0.25">
      <c r="A74" s="125" t="s">
        <v>28262</v>
      </c>
      <c r="B74" s="125" t="s">
        <v>28263</v>
      </c>
      <c r="C74" s="125">
        <v>1</v>
      </c>
    </row>
    <row r="75" spans="1:3" x14ac:dyDescent="0.25">
      <c r="A75" s="125" t="s">
        <v>25488</v>
      </c>
      <c r="B75" s="125" t="s">
        <v>28264</v>
      </c>
      <c r="C75" s="125">
        <v>1</v>
      </c>
    </row>
    <row r="76" spans="1:3" x14ac:dyDescent="0.25">
      <c r="A76" s="125" t="s">
        <v>28262</v>
      </c>
      <c r="B76" s="125" t="s">
        <v>28265</v>
      </c>
      <c r="C76" s="125">
        <v>1</v>
      </c>
    </row>
    <row r="77" spans="1:3" x14ac:dyDescent="0.25">
      <c r="A77" s="125" t="s">
        <v>28266</v>
      </c>
      <c r="B77" s="125" t="s">
        <v>28267</v>
      </c>
      <c r="C77" s="125">
        <v>1</v>
      </c>
    </row>
    <row r="78" spans="1:3" x14ac:dyDescent="0.25">
      <c r="A78" s="125" t="s">
        <v>25508</v>
      </c>
      <c r="B78" s="125" t="s">
        <v>28268</v>
      </c>
      <c r="C78" s="125">
        <v>1</v>
      </c>
    </row>
    <row r="79" spans="1:3" x14ac:dyDescent="0.25">
      <c r="A79" s="125" t="s">
        <v>97</v>
      </c>
      <c r="B79" s="125" t="s">
        <v>28223</v>
      </c>
      <c r="C79" s="125">
        <v>1</v>
      </c>
    </row>
    <row r="80" spans="1:3" x14ac:dyDescent="0.25">
      <c r="A80" s="125" t="s">
        <v>200</v>
      </c>
      <c r="B80" s="125" t="s">
        <v>28269</v>
      </c>
      <c r="C80" s="125">
        <v>1</v>
      </c>
    </row>
    <row r="81" spans="1:3" x14ac:dyDescent="0.25">
      <c r="A81" s="125" t="s">
        <v>28270</v>
      </c>
      <c r="B81" s="125" t="s">
        <v>28271</v>
      </c>
      <c r="C81" s="125">
        <v>1</v>
      </c>
    </row>
    <row r="82" spans="1:3" x14ac:dyDescent="0.25">
      <c r="A82" s="125" t="s">
        <v>52</v>
      </c>
      <c r="B82" s="125" t="s">
        <v>28272</v>
      </c>
      <c r="C82" s="125">
        <v>1</v>
      </c>
    </row>
    <row r="83" spans="1:3" x14ac:dyDescent="0.25">
      <c r="A83" s="125" t="s">
        <v>25354</v>
      </c>
      <c r="B83" s="125" t="s">
        <v>28273</v>
      </c>
      <c r="C83" s="125">
        <v>1</v>
      </c>
    </row>
    <row r="84" spans="1:3" x14ac:dyDescent="0.25">
      <c r="A84" s="125" t="s">
        <v>25475</v>
      </c>
      <c r="B84" s="125" t="s">
        <v>28274</v>
      </c>
      <c r="C84" s="125">
        <v>1</v>
      </c>
    </row>
    <row r="85" spans="1:3" x14ac:dyDescent="0.25">
      <c r="A85" s="125" t="s">
        <v>54</v>
      </c>
      <c r="B85" s="125" t="s">
        <v>28210</v>
      </c>
      <c r="C85" s="125">
        <v>1</v>
      </c>
    </row>
    <row r="86" spans="1:3" x14ac:dyDescent="0.25">
      <c r="A86" s="125" t="s">
        <v>28</v>
      </c>
      <c r="B86" s="125" t="s">
        <v>28275</v>
      </c>
      <c r="C86" s="125">
        <v>1</v>
      </c>
    </row>
    <row r="87" spans="1:3" x14ac:dyDescent="0.25">
      <c r="A87" s="125" t="s">
        <v>25443</v>
      </c>
      <c r="B87" s="125" t="s">
        <v>28275</v>
      </c>
      <c r="C87" s="125">
        <v>1</v>
      </c>
    </row>
    <row r="88" spans="1:3" x14ac:dyDescent="0.25">
      <c r="A88" s="125" t="s">
        <v>22</v>
      </c>
      <c r="B88" s="125" t="s">
        <v>28276</v>
      </c>
      <c r="C88" s="125">
        <v>1</v>
      </c>
    </row>
    <row r="89" spans="1:3" x14ac:dyDescent="0.25">
      <c r="A89" s="125" t="s">
        <v>123</v>
      </c>
      <c r="B89" s="125" t="s">
        <v>28236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28231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28264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28277</v>
      </c>
      <c r="B96" s="125" t="s">
        <v>25325</v>
      </c>
      <c r="C96" s="125">
        <v>1</v>
      </c>
    </row>
    <row r="97" spans="1:3" x14ac:dyDescent="0.25">
      <c r="A97" s="125" t="s">
        <v>27771</v>
      </c>
      <c r="B97" s="125" t="s">
        <v>28210</v>
      </c>
      <c r="C97" s="125">
        <v>1</v>
      </c>
    </row>
    <row r="98" spans="1:3" x14ac:dyDescent="0.25">
      <c r="A98" s="125" t="s">
        <v>28278</v>
      </c>
      <c r="B98" s="125" t="s">
        <v>28218</v>
      </c>
      <c r="C98" s="125">
        <v>1</v>
      </c>
    </row>
    <row r="99" spans="1:3" x14ac:dyDescent="0.25">
      <c r="A99" s="125" t="s">
        <v>25353</v>
      </c>
      <c r="B99" s="125" t="s">
        <v>28215</v>
      </c>
      <c r="C99" s="125">
        <v>1</v>
      </c>
    </row>
    <row r="100" spans="1:3" x14ac:dyDescent="0.25">
      <c r="A100" s="125" t="s">
        <v>28279</v>
      </c>
      <c r="B100" s="125" t="s">
        <v>28218</v>
      </c>
      <c r="C100" s="125">
        <v>1</v>
      </c>
    </row>
    <row r="101" spans="1:3" x14ac:dyDescent="0.25">
      <c r="A101" s="125" t="s">
        <v>25466</v>
      </c>
      <c r="B101" s="125" t="s">
        <v>28244</v>
      </c>
      <c r="C101" s="125">
        <v>1</v>
      </c>
    </row>
    <row r="102" spans="1:3" x14ac:dyDescent="0.25">
      <c r="A102" s="125" t="s">
        <v>200</v>
      </c>
      <c r="B102" s="125" t="s">
        <v>28274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28280</v>
      </c>
      <c r="C105" s="125">
        <v>1</v>
      </c>
    </row>
    <row r="106" spans="1:3" x14ac:dyDescent="0.25">
      <c r="A106" s="125" t="s">
        <v>1</v>
      </c>
      <c r="B106" s="125" t="s">
        <v>28218</v>
      </c>
      <c r="C106" s="125">
        <v>1</v>
      </c>
    </row>
    <row r="107" spans="1:3" x14ac:dyDescent="0.25">
      <c r="A107" s="125" t="s">
        <v>36</v>
      </c>
      <c r="B107" s="125" t="s">
        <v>28210</v>
      </c>
      <c r="C107" s="125">
        <v>1</v>
      </c>
    </row>
    <row r="108" spans="1:3" x14ac:dyDescent="0.25">
      <c r="A108" s="125" t="s">
        <v>25358</v>
      </c>
      <c r="B108" s="125" t="s">
        <v>28215</v>
      </c>
      <c r="C108" s="125">
        <v>1</v>
      </c>
    </row>
    <row r="109" spans="1:3" x14ac:dyDescent="0.25">
      <c r="A109" s="125" t="s">
        <v>25438</v>
      </c>
      <c r="B109" s="125" t="s">
        <v>28236</v>
      </c>
      <c r="C109" s="125">
        <v>1</v>
      </c>
    </row>
    <row r="110" spans="1:3" x14ac:dyDescent="0.25">
      <c r="A110" s="125" t="s">
        <v>25411</v>
      </c>
      <c r="B110" s="125" t="s">
        <v>28231</v>
      </c>
      <c r="C110" s="125">
        <v>1</v>
      </c>
    </row>
    <row r="111" spans="1:3" x14ac:dyDescent="0.25">
      <c r="A111" s="125" t="s">
        <v>28281</v>
      </c>
      <c r="B111" s="125" t="s">
        <v>28211</v>
      </c>
      <c r="C111" s="125">
        <v>1</v>
      </c>
    </row>
    <row r="112" spans="1:3" x14ac:dyDescent="0.25">
      <c r="A112" s="125" t="s">
        <v>58</v>
      </c>
      <c r="B112" s="125" t="s">
        <v>28276</v>
      </c>
      <c r="C112" s="125">
        <v>1</v>
      </c>
    </row>
    <row r="113" spans="1:3" x14ac:dyDescent="0.25">
      <c r="A113" s="125" t="s">
        <v>28282</v>
      </c>
      <c r="B113" s="125" t="s">
        <v>28276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28283</v>
      </c>
      <c r="B115" s="125" t="s">
        <v>28268</v>
      </c>
      <c r="C115" s="125">
        <v>1</v>
      </c>
    </row>
    <row r="116" spans="1:3" x14ac:dyDescent="0.25">
      <c r="A116" s="125" t="s">
        <v>25529</v>
      </c>
      <c r="B116" s="125" t="s">
        <v>28210</v>
      </c>
      <c r="C116" s="125">
        <v>1</v>
      </c>
    </row>
    <row r="117" spans="1:3" x14ac:dyDescent="0.25">
      <c r="A117" s="125" t="s">
        <v>22</v>
      </c>
      <c r="B117" s="125" t="s">
        <v>28217</v>
      </c>
      <c r="C117" s="125">
        <v>1</v>
      </c>
    </row>
    <row r="118" spans="1:3" x14ac:dyDescent="0.25">
      <c r="A118" s="125" t="s">
        <v>35</v>
      </c>
      <c r="B118" s="125" t="s">
        <v>28276</v>
      </c>
      <c r="C118" s="125">
        <v>1</v>
      </c>
    </row>
    <row r="119" spans="1:3" x14ac:dyDescent="0.25">
      <c r="A119" s="125" t="s">
        <v>171</v>
      </c>
      <c r="B119" s="125" t="s">
        <v>28224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28223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28284</v>
      </c>
      <c r="C123" s="125">
        <v>1</v>
      </c>
    </row>
    <row r="124" spans="1:3" x14ac:dyDescent="0.25">
      <c r="A124" s="125" t="s">
        <v>28285</v>
      </c>
      <c r="B124" s="125" t="s">
        <v>28244</v>
      </c>
      <c r="C124" s="125">
        <v>1</v>
      </c>
    </row>
    <row r="125" spans="1:3" x14ac:dyDescent="0.25">
      <c r="A125" s="125" t="s">
        <v>25364</v>
      </c>
      <c r="B125" s="125" t="s">
        <v>28286</v>
      </c>
      <c r="C125" s="125">
        <v>1</v>
      </c>
    </row>
    <row r="126" spans="1:3" x14ac:dyDescent="0.25">
      <c r="A126" s="125" t="s">
        <v>25512</v>
      </c>
      <c r="B126" s="125" t="s">
        <v>28287</v>
      </c>
      <c r="C126" s="125">
        <v>1</v>
      </c>
    </row>
    <row r="127" spans="1:3" x14ac:dyDescent="0.25">
      <c r="A127" s="125" t="s">
        <v>28399</v>
      </c>
      <c r="B127" s="125" t="s">
        <v>28287</v>
      </c>
      <c r="C127" s="125">
        <v>1</v>
      </c>
    </row>
    <row r="128" spans="1:3" x14ac:dyDescent="0.25">
      <c r="A128" s="125" t="s">
        <v>55</v>
      </c>
      <c r="B128" s="125" t="s">
        <v>28276</v>
      </c>
      <c r="C128" s="125">
        <v>1</v>
      </c>
    </row>
    <row r="129" spans="1:3" x14ac:dyDescent="0.25">
      <c r="A129" s="125" t="s">
        <v>43</v>
      </c>
      <c r="B129" s="125" t="s">
        <v>28288</v>
      </c>
      <c r="C129" s="125">
        <v>1</v>
      </c>
    </row>
    <row r="130" spans="1:3" x14ac:dyDescent="0.25">
      <c r="A130" s="125" t="s">
        <v>1</v>
      </c>
      <c r="B130" s="125" t="s">
        <v>28217</v>
      </c>
      <c r="C130" s="125">
        <v>1</v>
      </c>
    </row>
    <row r="131" spans="1:3" x14ac:dyDescent="0.25">
      <c r="A131" s="125" t="s">
        <v>25481</v>
      </c>
      <c r="B131" s="125" t="s">
        <v>28243</v>
      </c>
      <c r="C131" s="125">
        <v>1</v>
      </c>
    </row>
    <row r="132" spans="1:3" x14ac:dyDescent="0.25">
      <c r="A132" s="125" t="s">
        <v>28289</v>
      </c>
      <c r="B132" s="125" t="s">
        <v>28290</v>
      </c>
      <c r="C132" s="125">
        <v>1</v>
      </c>
    </row>
    <row r="133" spans="1:3" x14ac:dyDescent="0.25">
      <c r="A133" s="125" t="s">
        <v>29</v>
      </c>
      <c r="B133" s="125" t="s">
        <v>28272</v>
      </c>
      <c r="C133" s="125">
        <v>1</v>
      </c>
    </row>
    <row r="134" spans="1:3" x14ac:dyDescent="0.25">
      <c r="A134" s="125" t="s">
        <v>42</v>
      </c>
      <c r="B134" s="125" t="s">
        <v>28230</v>
      </c>
      <c r="C134" s="125">
        <v>1</v>
      </c>
    </row>
    <row r="135" spans="1:3" x14ac:dyDescent="0.25">
      <c r="A135" s="125" t="s">
        <v>28291</v>
      </c>
      <c r="B135" s="125" t="s">
        <v>25325</v>
      </c>
      <c r="C135" s="125">
        <v>1</v>
      </c>
    </row>
    <row r="136" spans="1:3" x14ac:dyDescent="0.25">
      <c r="A136" s="125" t="s">
        <v>28509</v>
      </c>
      <c r="B136" s="125" t="s">
        <v>28234</v>
      </c>
      <c r="C136" s="125">
        <v>1</v>
      </c>
    </row>
    <row r="137" spans="1:3" x14ac:dyDescent="0.25">
      <c r="A137" s="125" t="s">
        <v>99</v>
      </c>
      <c r="B137" s="125" t="s">
        <v>28216</v>
      </c>
      <c r="C137" s="125">
        <v>1</v>
      </c>
    </row>
    <row r="138" spans="1:3" x14ac:dyDescent="0.25">
      <c r="A138" s="125" t="s">
        <v>28292</v>
      </c>
      <c r="B138" s="125" t="s">
        <v>28214</v>
      </c>
      <c r="C138" s="125">
        <v>1</v>
      </c>
    </row>
    <row r="139" spans="1:3" x14ac:dyDescent="0.25">
      <c r="A139" s="125" t="s">
        <v>25356</v>
      </c>
      <c r="B139" s="125" t="s">
        <v>28234</v>
      </c>
      <c r="C139" s="125">
        <v>1</v>
      </c>
    </row>
    <row r="140" spans="1:3" x14ac:dyDescent="0.25">
      <c r="A140" s="125" t="s">
        <v>28</v>
      </c>
      <c r="B140" s="125" t="s">
        <v>28276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28218</v>
      </c>
      <c r="C144" s="125">
        <v>1</v>
      </c>
    </row>
    <row r="145" spans="1:3" x14ac:dyDescent="0.25">
      <c r="A145" s="125" t="s">
        <v>22</v>
      </c>
      <c r="B145" s="125" t="s">
        <v>28236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28293</v>
      </c>
      <c r="B147" s="125" t="s">
        <v>28236</v>
      </c>
      <c r="C147" s="125">
        <v>1</v>
      </c>
    </row>
    <row r="148" spans="1:3" x14ac:dyDescent="0.25">
      <c r="A148" s="125" t="s">
        <v>99</v>
      </c>
      <c r="B148" s="125" t="s">
        <v>28264</v>
      </c>
      <c r="C148" s="125">
        <v>1</v>
      </c>
    </row>
    <row r="149" spans="1:3" x14ac:dyDescent="0.25">
      <c r="A149" s="125" t="s">
        <v>25415</v>
      </c>
      <c r="B149" s="125" t="s">
        <v>28276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28288</v>
      </c>
      <c r="C151" s="125">
        <v>1</v>
      </c>
    </row>
    <row r="152" spans="1:3" x14ac:dyDescent="0.25">
      <c r="A152" s="125" t="s">
        <v>220</v>
      </c>
      <c r="B152" s="125" t="s">
        <v>28236</v>
      </c>
      <c r="C152" s="125">
        <v>1</v>
      </c>
    </row>
    <row r="153" spans="1:3" x14ac:dyDescent="0.25">
      <c r="A153" s="125" t="s">
        <v>194</v>
      </c>
      <c r="B153" s="125" t="s">
        <v>28215</v>
      </c>
      <c r="C153" s="125">
        <v>1</v>
      </c>
    </row>
    <row r="154" spans="1:3" x14ac:dyDescent="0.25">
      <c r="A154" s="125" t="s">
        <v>25428</v>
      </c>
      <c r="B154" s="125" t="s">
        <v>28287</v>
      </c>
      <c r="C154" s="125">
        <v>1</v>
      </c>
    </row>
    <row r="155" spans="1:3" x14ac:dyDescent="0.25">
      <c r="A155" s="125" t="s">
        <v>25387</v>
      </c>
      <c r="B155" s="125" t="s">
        <v>28294</v>
      </c>
      <c r="C155" s="125">
        <v>1</v>
      </c>
    </row>
    <row r="156" spans="1:3" x14ac:dyDescent="0.25">
      <c r="A156" s="125" t="s">
        <v>27</v>
      </c>
      <c r="B156" s="125" t="s">
        <v>28218</v>
      </c>
      <c r="C156" s="125">
        <v>1</v>
      </c>
    </row>
    <row r="157" spans="1:3" x14ac:dyDescent="0.25">
      <c r="A157" s="125" t="s">
        <v>167</v>
      </c>
      <c r="B157" s="125" t="s">
        <v>28276</v>
      </c>
      <c r="C157" s="125">
        <v>1</v>
      </c>
    </row>
    <row r="158" spans="1:3" x14ac:dyDescent="0.25">
      <c r="A158" s="125" t="s">
        <v>25472</v>
      </c>
      <c r="B158" s="125" t="s">
        <v>28209</v>
      </c>
      <c r="C158" s="125">
        <v>1</v>
      </c>
    </row>
    <row r="159" spans="1:3" x14ac:dyDescent="0.25">
      <c r="A159" s="125" t="s">
        <v>25431</v>
      </c>
      <c r="B159" s="125" t="s">
        <v>28215</v>
      </c>
      <c r="C159" s="125">
        <v>1</v>
      </c>
    </row>
    <row r="160" spans="1:3" x14ac:dyDescent="0.25">
      <c r="A160" s="125" t="s">
        <v>28295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28224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28268</v>
      </c>
      <c r="C164" s="125">
        <v>1</v>
      </c>
    </row>
    <row r="165" spans="1:3" x14ac:dyDescent="0.25">
      <c r="A165" s="125" t="s">
        <v>27771</v>
      </c>
      <c r="B165" s="125" t="s">
        <v>28218</v>
      </c>
      <c r="C165" s="125">
        <v>1</v>
      </c>
    </row>
    <row r="166" spans="1:3" x14ac:dyDescent="0.25">
      <c r="A166" s="125" t="s">
        <v>25452</v>
      </c>
      <c r="B166" s="125" t="s">
        <v>28211</v>
      </c>
      <c r="C166" s="125">
        <v>1</v>
      </c>
    </row>
    <row r="167" spans="1:3" x14ac:dyDescent="0.25">
      <c r="A167" s="125" t="s">
        <v>210</v>
      </c>
      <c r="B167" s="125" t="s">
        <v>28209</v>
      </c>
      <c r="C167" s="125">
        <v>1</v>
      </c>
    </row>
    <row r="168" spans="1:3" x14ac:dyDescent="0.25">
      <c r="A168" s="125" t="s">
        <v>25365</v>
      </c>
      <c r="B168" s="125" t="s">
        <v>28296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28297</v>
      </c>
      <c r="C171" s="125">
        <v>1</v>
      </c>
    </row>
    <row r="172" spans="1:3" x14ac:dyDescent="0.25">
      <c r="A172" s="125" t="s">
        <v>25394</v>
      </c>
      <c r="B172" s="125" t="s">
        <v>28297</v>
      </c>
      <c r="C172" s="125">
        <v>1</v>
      </c>
    </row>
    <row r="173" spans="1:3" x14ac:dyDescent="0.25">
      <c r="A173" s="125" t="s">
        <v>41</v>
      </c>
      <c r="B173" s="125" t="s">
        <v>28251</v>
      </c>
      <c r="C173" s="125">
        <v>1</v>
      </c>
    </row>
    <row r="174" spans="1:3" x14ac:dyDescent="0.25">
      <c r="A174" s="125" t="s">
        <v>28298</v>
      </c>
      <c r="B174" s="125" t="s">
        <v>28215</v>
      </c>
      <c r="C174" s="125">
        <v>1</v>
      </c>
    </row>
    <row r="175" spans="1:3" x14ac:dyDescent="0.25">
      <c r="A175" s="125" t="s">
        <v>25504</v>
      </c>
      <c r="B175" s="125" t="s">
        <v>28244</v>
      </c>
      <c r="C175" s="125">
        <v>1</v>
      </c>
    </row>
    <row r="176" spans="1:3" x14ac:dyDescent="0.25">
      <c r="A176" s="125" t="s">
        <v>25505</v>
      </c>
      <c r="B176" s="125" t="s">
        <v>28252</v>
      </c>
      <c r="C176" s="125">
        <v>1</v>
      </c>
    </row>
    <row r="177" spans="1:3" x14ac:dyDescent="0.25">
      <c r="A177" s="125" t="s">
        <v>28416</v>
      </c>
      <c r="B177" s="125" t="s">
        <v>25299</v>
      </c>
      <c r="C177" s="125">
        <v>1</v>
      </c>
    </row>
    <row r="178" spans="1:3" x14ac:dyDescent="0.25">
      <c r="A178" s="125" t="s">
        <v>28418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28276</v>
      </c>
      <c r="C180" s="125">
        <v>1</v>
      </c>
    </row>
    <row r="181" spans="1:3" x14ac:dyDescent="0.25">
      <c r="A181" s="125" t="s">
        <v>25366</v>
      </c>
      <c r="B181" s="125" t="s">
        <v>28299</v>
      </c>
      <c r="C181" s="125">
        <v>1</v>
      </c>
    </row>
    <row r="182" spans="1:3" x14ac:dyDescent="0.25">
      <c r="A182" s="125" t="s">
        <v>25405</v>
      </c>
      <c r="B182" s="125" t="s">
        <v>28276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28300</v>
      </c>
      <c r="C184" s="125">
        <v>1</v>
      </c>
    </row>
    <row r="185" spans="1:3" x14ac:dyDescent="0.25">
      <c r="A185" s="125" t="s">
        <v>25453</v>
      </c>
      <c r="B185" s="125" t="s">
        <v>28225</v>
      </c>
      <c r="C185" s="125">
        <v>1</v>
      </c>
    </row>
    <row r="186" spans="1:3" x14ac:dyDescent="0.25">
      <c r="A186" s="125" t="s">
        <v>28</v>
      </c>
      <c r="B186" s="125" t="s">
        <v>28215</v>
      </c>
      <c r="C186" s="125">
        <v>1</v>
      </c>
    </row>
    <row r="187" spans="1:3" x14ac:dyDescent="0.25">
      <c r="A187" s="125" t="s">
        <v>25356</v>
      </c>
      <c r="B187" s="125" t="s">
        <v>28238</v>
      </c>
      <c r="C187" s="125">
        <v>1</v>
      </c>
    </row>
    <row r="188" spans="1:3" x14ac:dyDescent="0.25">
      <c r="A188" s="125" t="s">
        <v>97</v>
      </c>
      <c r="B188" s="125" t="s">
        <v>28211</v>
      </c>
      <c r="C188" s="125">
        <v>1</v>
      </c>
    </row>
    <row r="189" spans="1:3" x14ac:dyDescent="0.25">
      <c r="A189" s="125" t="s">
        <v>104</v>
      </c>
      <c r="B189" s="125" t="s">
        <v>28211</v>
      </c>
      <c r="C189" s="125">
        <v>1</v>
      </c>
    </row>
    <row r="190" spans="1:3" x14ac:dyDescent="0.25">
      <c r="A190" s="125" t="s">
        <v>25429</v>
      </c>
      <c r="B190" s="125" t="s">
        <v>28242</v>
      </c>
      <c r="C190" s="125">
        <v>1</v>
      </c>
    </row>
    <row r="191" spans="1:3" x14ac:dyDescent="0.25">
      <c r="A191" s="125" t="s">
        <v>28301</v>
      </c>
      <c r="B191" s="125" t="s">
        <v>28242</v>
      </c>
      <c r="C191" s="125">
        <v>1</v>
      </c>
    </row>
    <row r="192" spans="1:3" x14ac:dyDescent="0.25">
      <c r="A192" s="125" t="s">
        <v>25398</v>
      </c>
      <c r="B192" s="125" t="s">
        <v>28245</v>
      </c>
      <c r="C192" s="125">
        <v>1</v>
      </c>
    </row>
    <row r="193" spans="1:3" x14ac:dyDescent="0.25">
      <c r="A193" s="125" t="s">
        <v>25336</v>
      </c>
      <c r="B193" s="125" t="s">
        <v>28302</v>
      </c>
      <c r="C193" s="125">
        <v>1</v>
      </c>
    </row>
    <row r="194" spans="1:3" x14ac:dyDescent="0.25">
      <c r="A194" s="125" t="s">
        <v>27</v>
      </c>
      <c r="B194" s="125" t="s">
        <v>28216</v>
      </c>
      <c r="C194" s="125">
        <v>1</v>
      </c>
    </row>
    <row r="195" spans="1:3" x14ac:dyDescent="0.25">
      <c r="A195" s="125" t="s">
        <v>25476</v>
      </c>
      <c r="B195" s="125" t="s">
        <v>28300</v>
      </c>
      <c r="C195" s="125">
        <v>1</v>
      </c>
    </row>
    <row r="196" spans="1:3" x14ac:dyDescent="0.25">
      <c r="A196" s="125" t="s">
        <v>27</v>
      </c>
      <c r="B196" s="125" t="s">
        <v>28215</v>
      </c>
      <c r="C196" s="125">
        <v>1</v>
      </c>
    </row>
    <row r="197" spans="1:3" x14ac:dyDescent="0.25">
      <c r="A197" s="125" t="s">
        <v>23</v>
      </c>
      <c r="B197" s="125" t="s">
        <v>28210</v>
      </c>
      <c r="C197" s="125">
        <v>1</v>
      </c>
    </row>
    <row r="198" spans="1:3" x14ac:dyDescent="0.25">
      <c r="A198" s="125" t="s">
        <v>25533</v>
      </c>
      <c r="B198" s="125" t="s">
        <v>28216</v>
      </c>
      <c r="C198" s="125">
        <v>1</v>
      </c>
    </row>
    <row r="199" spans="1:3" x14ac:dyDescent="0.25">
      <c r="A199" s="125" t="s">
        <v>25523</v>
      </c>
      <c r="B199" s="125" t="s">
        <v>28245</v>
      </c>
      <c r="C199" s="125">
        <v>1</v>
      </c>
    </row>
    <row r="200" spans="1:3" x14ac:dyDescent="0.25">
      <c r="A200" s="125" t="s">
        <v>54</v>
      </c>
      <c r="B200" s="125" t="s">
        <v>28216</v>
      </c>
      <c r="C200" s="125">
        <v>1</v>
      </c>
    </row>
    <row r="201" spans="1:3" x14ac:dyDescent="0.25">
      <c r="A201" s="125" t="s">
        <v>25450</v>
      </c>
      <c r="B201" s="125" t="s">
        <v>28303</v>
      </c>
      <c r="C201" s="125">
        <v>1</v>
      </c>
    </row>
    <row r="202" spans="1:3" x14ac:dyDescent="0.25">
      <c r="A202" s="125" t="s">
        <v>52</v>
      </c>
      <c r="B202" s="125" t="s">
        <v>28276</v>
      </c>
      <c r="C202" s="125">
        <v>1</v>
      </c>
    </row>
    <row r="203" spans="1:3" x14ac:dyDescent="0.25">
      <c r="A203" s="125" t="s">
        <v>25490</v>
      </c>
      <c r="B203" s="125" t="s">
        <v>28304</v>
      </c>
      <c r="C203" s="125">
        <v>1</v>
      </c>
    </row>
    <row r="204" spans="1:3" x14ac:dyDescent="0.25">
      <c r="A204" s="125" t="s">
        <v>25339</v>
      </c>
      <c r="B204" s="125" t="s">
        <v>28299</v>
      </c>
      <c r="C204" s="125">
        <v>1</v>
      </c>
    </row>
    <row r="205" spans="1:3" x14ac:dyDescent="0.25">
      <c r="A205" s="125" t="s">
        <v>25357</v>
      </c>
      <c r="B205" s="125" t="s">
        <v>28245</v>
      </c>
      <c r="C205" s="125">
        <v>1</v>
      </c>
    </row>
    <row r="206" spans="1:3" x14ac:dyDescent="0.25">
      <c r="A206" s="125" t="s">
        <v>25481</v>
      </c>
      <c r="B206" s="125" t="s">
        <v>28210</v>
      </c>
      <c r="C206" s="125">
        <v>1</v>
      </c>
    </row>
    <row r="207" spans="1:3" x14ac:dyDescent="0.25">
      <c r="A207" s="125" t="s">
        <v>25391</v>
      </c>
      <c r="B207" s="125" t="s">
        <v>28234</v>
      </c>
      <c r="C207" s="125">
        <v>1</v>
      </c>
    </row>
    <row r="208" spans="1:3" x14ac:dyDescent="0.25">
      <c r="A208" s="125" t="s">
        <v>130</v>
      </c>
      <c r="B208" s="125" t="s">
        <v>28210</v>
      </c>
      <c r="C208" s="125">
        <v>1</v>
      </c>
    </row>
    <row r="209" spans="1:3" x14ac:dyDescent="0.25">
      <c r="A209" s="125" t="s">
        <v>25384</v>
      </c>
      <c r="B209" s="125" t="s">
        <v>28245</v>
      </c>
      <c r="C209" s="125">
        <v>1</v>
      </c>
    </row>
    <row r="210" spans="1:3" x14ac:dyDescent="0.25">
      <c r="A210" s="125" t="s">
        <v>25337</v>
      </c>
      <c r="B210" s="125" t="s">
        <v>28302</v>
      </c>
      <c r="C210" s="125">
        <v>1</v>
      </c>
    </row>
    <row r="211" spans="1:3" x14ac:dyDescent="0.25">
      <c r="A211" s="125" t="s">
        <v>25383</v>
      </c>
      <c r="B211" s="125" t="s">
        <v>28223</v>
      </c>
      <c r="C211" s="125">
        <v>1</v>
      </c>
    </row>
    <row r="212" spans="1:3" x14ac:dyDescent="0.25">
      <c r="A212" s="125" t="s">
        <v>25469</v>
      </c>
      <c r="B212" s="125" t="s">
        <v>28251</v>
      </c>
      <c r="C212" s="125">
        <v>1</v>
      </c>
    </row>
    <row r="213" spans="1:3" x14ac:dyDescent="0.25">
      <c r="A213" s="125" t="s">
        <v>25338</v>
      </c>
      <c r="B213" s="125" t="s">
        <v>28299</v>
      </c>
      <c r="C213" s="125">
        <v>1</v>
      </c>
    </row>
    <row r="214" spans="1:3" x14ac:dyDescent="0.25">
      <c r="A214" s="125" t="s">
        <v>25412</v>
      </c>
      <c r="B214" s="125" t="s">
        <v>28302</v>
      </c>
      <c r="C214" s="125">
        <v>1</v>
      </c>
    </row>
    <row r="215" spans="1:3" x14ac:dyDescent="0.25">
      <c r="A215" s="125" t="s">
        <v>25531</v>
      </c>
      <c r="B215" s="125" t="s">
        <v>28216</v>
      </c>
      <c r="C215" s="125">
        <v>1</v>
      </c>
    </row>
    <row r="216" spans="1:3" x14ac:dyDescent="0.25">
      <c r="A216" s="125" t="s">
        <v>25421</v>
      </c>
      <c r="B216" s="125" t="s">
        <v>28305</v>
      </c>
      <c r="C216" s="125">
        <v>1</v>
      </c>
    </row>
    <row r="217" spans="1:3" x14ac:dyDescent="0.25">
      <c r="A217" s="125" t="s">
        <v>215</v>
      </c>
      <c r="B217" s="125" t="s">
        <v>28288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28290</v>
      </c>
      <c r="C220" s="125">
        <v>1</v>
      </c>
    </row>
    <row r="221" spans="1:3" x14ac:dyDescent="0.25">
      <c r="A221" s="125" t="s">
        <v>28400</v>
      </c>
      <c r="B221" s="125" t="s">
        <v>28290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28306</v>
      </c>
      <c r="C223" s="125">
        <v>1</v>
      </c>
    </row>
    <row r="224" spans="1:3" x14ac:dyDescent="0.25">
      <c r="A224" s="125" t="s">
        <v>22</v>
      </c>
      <c r="B224" s="125" t="s">
        <v>28211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28263</v>
      </c>
      <c r="C226" s="125">
        <v>1</v>
      </c>
    </row>
    <row r="227" spans="1:3" x14ac:dyDescent="0.25">
      <c r="A227" s="125" t="s">
        <v>27</v>
      </c>
      <c r="B227" s="125" t="s">
        <v>28264</v>
      </c>
      <c r="C227" s="125">
        <v>1</v>
      </c>
    </row>
    <row r="228" spans="1:3" x14ac:dyDescent="0.25">
      <c r="A228" s="125" t="s">
        <v>25485</v>
      </c>
      <c r="B228" s="125" t="s">
        <v>28299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28209</v>
      </c>
      <c r="C230" s="125">
        <v>1</v>
      </c>
    </row>
    <row r="231" spans="1:3" x14ac:dyDescent="0.25">
      <c r="A231" s="125" t="s">
        <v>25482</v>
      </c>
      <c r="B231" s="125" t="s">
        <v>28210</v>
      </c>
      <c r="C231" s="125">
        <v>1</v>
      </c>
    </row>
    <row r="232" spans="1:3" x14ac:dyDescent="0.25">
      <c r="A232" s="125" t="s">
        <v>27769</v>
      </c>
      <c r="B232" s="125" t="s">
        <v>28226</v>
      </c>
      <c r="C232" s="125">
        <v>1</v>
      </c>
    </row>
    <row r="233" spans="1:3" x14ac:dyDescent="0.25">
      <c r="A233" s="125" t="s">
        <v>28307</v>
      </c>
      <c r="B233" s="125" t="s">
        <v>28215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28308</v>
      </c>
      <c r="C236" s="125">
        <v>1</v>
      </c>
    </row>
    <row r="237" spans="1:3" x14ac:dyDescent="0.25">
      <c r="A237" s="125" t="s">
        <v>27770</v>
      </c>
      <c r="B237" s="125" t="s">
        <v>28218</v>
      </c>
      <c r="C237" s="125">
        <v>1</v>
      </c>
    </row>
    <row r="238" spans="1:3" x14ac:dyDescent="0.25">
      <c r="A238" s="125" t="s">
        <v>28309</v>
      </c>
      <c r="B238" s="125" t="s">
        <v>28209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28236</v>
      </c>
      <c r="C240" s="125">
        <v>1</v>
      </c>
    </row>
    <row r="241" spans="1:3" x14ac:dyDescent="0.25">
      <c r="A241" s="125" t="s">
        <v>27772</v>
      </c>
      <c r="B241" s="125" t="s">
        <v>28276</v>
      </c>
      <c r="C241" s="125">
        <v>1</v>
      </c>
    </row>
    <row r="242" spans="1:3" x14ac:dyDescent="0.25">
      <c r="A242" s="125" t="s">
        <v>27773</v>
      </c>
      <c r="B242" s="125" t="s">
        <v>28211</v>
      </c>
      <c r="C242" s="125">
        <v>1</v>
      </c>
    </row>
    <row r="243" spans="1:3" x14ac:dyDescent="0.25">
      <c r="A243" s="125" t="s">
        <v>25472</v>
      </c>
      <c r="B243" s="125" t="s">
        <v>28215</v>
      </c>
      <c r="C243" s="125">
        <v>1</v>
      </c>
    </row>
    <row r="244" spans="1:3" x14ac:dyDescent="0.25">
      <c r="A244" s="125" t="s">
        <v>28291</v>
      </c>
      <c r="B244" s="125" t="s">
        <v>28245</v>
      </c>
      <c r="C244" s="125">
        <v>1</v>
      </c>
    </row>
    <row r="245" spans="1:3" x14ac:dyDescent="0.25">
      <c r="A245" s="125" t="s">
        <v>25406</v>
      </c>
      <c r="B245" s="125" t="s">
        <v>28276</v>
      </c>
      <c r="C245" s="125">
        <v>1</v>
      </c>
    </row>
    <row r="246" spans="1:3" x14ac:dyDescent="0.25">
      <c r="A246" s="125" t="s">
        <v>25344</v>
      </c>
      <c r="B246" s="125" t="s">
        <v>28299</v>
      </c>
      <c r="C246" s="125">
        <v>1</v>
      </c>
    </row>
    <row r="247" spans="1:3" x14ac:dyDescent="0.25">
      <c r="A247" s="125" t="s">
        <v>137</v>
      </c>
      <c r="B247" s="125" t="s">
        <v>28209</v>
      </c>
      <c r="C247" s="125">
        <v>1</v>
      </c>
    </row>
    <row r="248" spans="1:3" x14ac:dyDescent="0.25">
      <c r="A248" s="125" t="s">
        <v>25528</v>
      </c>
      <c r="B248" s="125" t="s">
        <v>28215</v>
      </c>
      <c r="C248" s="125">
        <v>1</v>
      </c>
    </row>
    <row r="249" spans="1:3" x14ac:dyDescent="0.25">
      <c r="A249" s="125" t="s">
        <v>28310</v>
      </c>
      <c r="B249" s="125" t="s">
        <v>28236</v>
      </c>
      <c r="C249" s="125">
        <v>1</v>
      </c>
    </row>
    <row r="250" spans="1:3" x14ac:dyDescent="0.25">
      <c r="A250" s="125" t="s">
        <v>25415</v>
      </c>
      <c r="B250" s="125" t="s">
        <v>28286</v>
      </c>
      <c r="C250" s="125">
        <v>1</v>
      </c>
    </row>
    <row r="251" spans="1:3" x14ac:dyDescent="0.25">
      <c r="A251" s="141" t="s">
        <v>25401</v>
      </c>
      <c r="B251" s="125" t="s">
        <v>28276</v>
      </c>
      <c r="C251" s="125">
        <v>1</v>
      </c>
    </row>
    <row r="252" spans="1:3" x14ac:dyDescent="0.25">
      <c r="A252" s="141" t="s">
        <v>28311</v>
      </c>
      <c r="B252" s="125" t="s">
        <v>28241</v>
      </c>
      <c r="C252" s="125">
        <v>1</v>
      </c>
    </row>
    <row r="253" spans="1:3" x14ac:dyDescent="0.25">
      <c r="A253" s="141" t="s">
        <v>42</v>
      </c>
      <c r="B253" s="125" t="s">
        <v>28272</v>
      </c>
      <c r="C253" s="125">
        <v>1</v>
      </c>
    </row>
    <row r="254" spans="1:3" x14ac:dyDescent="0.25">
      <c r="A254" s="141" t="s">
        <v>1</v>
      </c>
      <c r="B254" s="125" t="s">
        <v>28312</v>
      </c>
      <c r="C254" s="125">
        <v>1</v>
      </c>
    </row>
    <row r="255" spans="1:3" x14ac:dyDescent="0.25">
      <c r="A255" s="125" t="s">
        <v>25490</v>
      </c>
      <c r="B255" s="125" t="s">
        <v>28287</v>
      </c>
      <c r="C255" s="125">
        <v>1</v>
      </c>
    </row>
    <row r="256" spans="1:3" x14ac:dyDescent="0.25">
      <c r="A256" s="125" t="s">
        <v>28313</v>
      </c>
      <c r="B256" s="125" t="s">
        <v>28300</v>
      </c>
      <c r="C256" s="125">
        <v>1</v>
      </c>
    </row>
    <row r="257" spans="1:3" x14ac:dyDescent="0.25">
      <c r="A257" s="125" t="s">
        <v>25384</v>
      </c>
      <c r="B257" s="125" t="s">
        <v>28314</v>
      </c>
      <c r="C257" s="125">
        <v>1</v>
      </c>
    </row>
    <row r="258" spans="1:3" x14ac:dyDescent="0.25">
      <c r="A258" s="125" t="s">
        <v>25431</v>
      </c>
      <c r="B258" s="125" t="s">
        <v>28315</v>
      </c>
      <c r="C258" s="125">
        <v>1</v>
      </c>
    </row>
    <row r="259" spans="1:3" x14ac:dyDescent="0.25">
      <c r="A259" s="125" t="s">
        <v>34</v>
      </c>
      <c r="B259" s="125" t="s">
        <v>28216</v>
      </c>
      <c r="C259" s="125">
        <v>1</v>
      </c>
    </row>
    <row r="260" spans="1:3" x14ac:dyDescent="0.25">
      <c r="A260" s="125" t="s">
        <v>25503</v>
      </c>
      <c r="B260" s="125" t="s">
        <v>28214</v>
      </c>
      <c r="C260" s="125">
        <v>1</v>
      </c>
    </row>
    <row r="261" spans="1:3" x14ac:dyDescent="0.25">
      <c r="A261" s="125" t="s">
        <v>28316</v>
      </c>
      <c r="B261" s="125" t="s">
        <v>28261</v>
      </c>
      <c r="C261" s="125">
        <v>1</v>
      </c>
    </row>
    <row r="262" spans="1:3" x14ac:dyDescent="0.25">
      <c r="A262" s="125" t="s">
        <v>28317</v>
      </c>
      <c r="B262" s="125" t="s">
        <v>28299</v>
      </c>
      <c r="C262" s="125">
        <v>1</v>
      </c>
    </row>
    <row r="263" spans="1:3" x14ac:dyDescent="0.25">
      <c r="A263" s="125" t="s">
        <v>28318</v>
      </c>
      <c r="B263" s="125" t="s">
        <v>28268</v>
      </c>
      <c r="C263" s="125">
        <v>1</v>
      </c>
    </row>
    <row r="264" spans="1:3" x14ac:dyDescent="0.25">
      <c r="A264" s="125" t="s">
        <v>28319</v>
      </c>
      <c r="B264" s="125" t="s">
        <v>28288</v>
      </c>
      <c r="C264" s="125">
        <v>1</v>
      </c>
    </row>
    <row r="265" spans="1:3" x14ac:dyDescent="0.25">
      <c r="A265" s="125" t="s">
        <v>25439</v>
      </c>
      <c r="B265" s="125" t="s">
        <v>28254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28290</v>
      </c>
      <c r="C267" s="125">
        <v>1</v>
      </c>
    </row>
    <row r="268" spans="1:3" x14ac:dyDescent="0.25">
      <c r="A268" s="125" t="s">
        <v>28401</v>
      </c>
      <c r="B268" s="125" t="s">
        <v>28290</v>
      </c>
      <c r="C268" s="125">
        <v>1</v>
      </c>
    </row>
    <row r="269" spans="1:3" x14ac:dyDescent="0.25">
      <c r="A269" s="125" t="s">
        <v>28320</v>
      </c>
      <c r="B269" s="125" t="s">
        <v>28321</v>
      </c>
      <c r="C269" s="125">
        <v>1</v>
      </c>
    </row>
    <row r="270" spans="1:3" x14ac:dyDescent="0.25">
      <c r="A270" s="125" t="s">
        <v>28322</v>
      </c>
      <c r="B270" s="125" t="s">
        <v>28302</v>
      </c>
      <c r="C270" s="125">
        <v>1</v>
      </c>
    </row>
    <row r="271" spans="1:3" x14ac:dyDescent="0.25">
      <c r="A271" s="125" t="s">
        <v>25495</v>
      </c>
      <c r="B271" s="125" t="s">
        <v>28242</v>
      </c>
      <c r="C271" s="125">
        <v>1</v>
      </c>
    </row>
    <row r="272" spans="1:3" x14ac:dyDescent="0.25">
      <c r="A272" s="125" t="s">
        <v>28323</v>
      </c>
      <c r="B272" s="125" t="s">
        <v>28306</v>
      </c>
      <c r="C272" s="125">
        <v>1</v>
      </c>
    </row>
    <row r="273" spans="1:3" x14ac:dyDescent="0.25">
      <c r="A273" s="125" t="s">
        <v>25533</v>
      </c>
      <c r="B273" s="125" t="s">
        <v>28308</v>
      </c>
      <c r="C273" s="125">
        <v>1</v>
      </c>
    </row>
    <row r="274" spans="1:3" x14ac:dyDescent="0.25">
      <c r="A274" s="125" t="s">
        <v>25439</v>
      </c>
      <c r="B274" s="125" t="s">
        <v>28214</v>
      </c>
      <c r="C274" s="125">
        <v>1</v>
      </c>
    </row>
    <row r="275" spans="1:3" x14ac:dyDescent="0.25">
      <c r="A275" s="125" t="s">
        <v>25337</v>
      </c>
      <c r="B275" s="125" t="s">
        <v>28272</v>
      </c>
      <c r="C275" s="125">
        <v>1</v>
      </c>
    </row>
    <row r="276" spans="1:3" x14ac:dyDescent="0.25">
      <c r="A276" s="125" t="s">
        <v>28324</v>
      </c>
      <c r="B276" s="125" t="s">
        <v>28234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28267</v>
      </c>
      <c r="C278" s="125">
        <v>1</v>
      </c>
    </row>
    <row r="279" spans="1:3" x14ac:dyDescent="0.25">
      <c r="A279" s="125" t="s">
        <v>34</v>
      </c>
      <c r="B279" s="125" t="s">
        <v>28325</v>
      </c>
      <c r="C279" s="125">
        <v>1</v>
      </c>
    </row>
    <row r="280" spans="1:3" x14ac:dyDescent="0.25">
      <c r="A280" s="125" t="s">
        <v>25503</v>
      </c>
      <c r="B280" s="125" t="s">
        <v>28254</v>
      </c>
      <c r="C280" s="125">
        <v>1</v>
      </c>
    </row>
    <row r="281" spans="1:3" x14ac:dyDescent="0.25">
      <c r="A281" s="125" t="s">
        <v>28326</v>
      </c>
      <c r="B281" s="125" t="s">
        <v>28209</v>
      </c>
      <c r="C281" s="125">
        <v>1</v>
      </c>
    </row>
    <row r="282" spans="1:3" x14ac:dyDescent="0.25">
      <c r="A282" s="125" t="s">
        <v>28327</v>
      </c>
      <c r="B282" s="125" t="s">
        <v>28214</v>
      </c>
      <c r="C282" s="125">
        <v>1</v>
      </c>
    </row>
    <row r="283" spans="1:3" x14ac:dyDescent="0.25">
      <c r="A283" s="125" t="s">
        <v>28240</v>
      </c>
      <c r="B283" s="125" t="s">
        <v>28218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28328</v>
      </c>
      <c r="C285" s="125">
        <v>1</v>
      </c>
    </row>
    <row r="286" spans="1:3" x14ac:dyDescent="0.25">
      <c r="A286" s="125" t="s">
        <v>29</v>
      </c>
      <c r="B286" s="125" t="s">
        <v>28300</v>
      </c>
      <c r="C286" s="125">
        <v>1</v>
      </c>
    </row>
    <row r="287" spans="1:3" x14ac:dyDescent="0.25">
      <c r="A287" s="125" t="s">
        <v>220</v>
      </c>
      <c r="B287" s="125" t="s">
        <v>28272</v>
      </c>
      <c r="C287" s="125">
        <v>1</v>
      </c>
    </row>
    <row r="288" spans="1:3" x14ac:dyDescent="0.25">
      <c r="A288" s="125" t="s">
        <v>25485</v>
      </c>
      <c r="B288" s="125" t="s">
        <v>28231</v>
      </c>
      <c r="C288" s="125">
        <v>1</v>
      </c>
    </row>
    <row r="289" spans="1:3" x14ac:dyDescent="0.25">
      <c r="A289" s="125" t="s">
        <v>25490</v>
      </c>
      <c r="B289" s="125" t="s">
        <v>28242</v>
      </c>
      <c r="C289" s="125">
        <v>1</v>
      </c>
    </row>
    <row r="290" spans="1:3" x14ac:dyDescent="0.25">
      <c r="A290" s="125" t="s">
        <v>25502</v>
      </c>
      <c r="B290" s="125" t="s">
        <v>28329</v>
      </c>
      <c r="C290" s="125">
        <v>1</v>
      </c>
    </row>
    <row r="291" spans="1:3" x14ac:dyDescent="0.25">
      <c r="A291" s="125" t="s">
        <v>25379</v>
      </c>
      <c r="B291" s="125" t="s">
        <v>28252</v>
      </c>
      <c r="C291" s="125">
        <v>1</v>
      </c>
    </row>
    <row r="292" spans="1:3" x14ac:dyDescent="0.25">
      <c r="A292" s="125" t="s">
        <v>25416</v>
      </c>
      <c r="B292" s="125" t="s">
        <v>28286</v>
      </c>
      <c r="C292" s="125">
        <v>1</v>
      </c>
    </row>
    <row r="293" spans="1:3" x14ac:dyDescent="0.25">
      <c r="A293" s="125" t="s">
        <v>25510</v>
      </c>
      <c r="B293" s="125" t="s">
        <v>28242</v>
      </c>
      <c r="C293" s="125">
        <v>1</v>
      </c>
    </row>
    <row r="294" spans="1:3" x14ac:dyDescent="0.25">
      <c r="A294" s="125" t="s">
        <v>28330</v>
      </c>
      <c r="B294" s="125" t="s">
        <v>28299</v>
      </c>
      <c r="C294" s="125">
        <v>1</v>
      </c>
    </row>
    <row r="295" spans="1:3" x14ac:dyDescent="0.25">
      <c r="A295" s="125" t="s">
        <v>28331</v>
      </c>
      <c r="B295" s="125" t="s">
        <v>28271</v>
      </c>
      <c r="C295" s="125">
        <v>1</v>
      </c>
    </row>
    <row r="296" spans="1:3" x14ac:dyDescent="0.25">
      <c r="A296" s="125" t="s">
        <v>28332</v>
      </c>
      <c r="B296" s="125" t="s">
        <v>28225</v>
      </c>
      <c r="C296" s="125">
        <v>1</v>
      </c>
    </row>
    <row r="297" spans="1:3" x14ac:dyDescent="0.25">
      <c r="A297" s="125" t="s">
        <v>25467</v>
      </c>
      <c r="B297" s="125" t="s">
        <v>28267</v>
      </c>
      <c r="C297" s="125">
        <v>1</v>
      </c>
    </row>
    <row r="298" spans="1:3" x14ac:dyDescent="0.25">
      <c r="A298" s="125" t="s">
        <v>25334</v>
      </c>
      <c r="B298" s="125" t="s">
        <v>28252</v>
      </c>
      <c r="C298" s="125">
        <v>1</v>
      </c>
    </row>
    <row r="299" spans="1:3" x14ac:dyDescent="0.25">
      <c r="A299" s="125" t="s">
        <v>25344</v>
      </c>
      <c r="B299" s="125" t="s">
        <v>28267</v>
      </c>
      <c r="C299" s="125">
        <v>1</v>
      </c>
    </row>
    <row r="300" spans="1:3" x14ac:dyDescent="0.25">
      <c r="A300" s="125" t="s">
        <v>25346</v>
      </c>
      <c r="B300" s="125" t="s">
        <v>28333</v>
      </c>
      <c r="C300" s="125">
        <v>1</v>
      </c>
    </row>
    <row r="301" spans="1:3" x14ac:dyDescent="0.25">
      <c r="A301" s="125" t="s">
        <v>28229</v>
      </c>
      <c r="B301" s="125" t="s">
        <v>28216</v>
      </c>
      <c r="C301" s="125">
        <v>1</v>
      </c>
    </row>
    <row r="302" spans="1:3" x14ac:dyDescent="0.25">
      <c r="A302" s="125" t="s">
        <v>210</v>
      </c>
      <c r="B302" s="125" t="s">
        <v>28334</v>
      </c>
      <c r="C302" s="125">
        <v>1</v>
      </c>
    </row>
    <row r="303" spans="1:3" x14ac:dyDescent="0.25">
      <c r="A303" s="125" t="s">
        <v>25427</v>
      </c>
      <c r="B303" s="125" t="s">
        <v>28214</v>
      </c>
      <c r="C303" s="125">
        <v>1</v>
      </c>
    </row>
    <row r="304" spans="1:3" x14ac:dyDescent="0.25">
      <c r="A304" s="125" t="s">
        <v>28335</v>
      </c>
      <c r="B304" s="125" t="s">
        <v>28300</v>
      </c>
      <c r="C304" s="125">
        <v>1</v>
      </c>
    </row>
    <row r="305" spans="1:3" x14ac:dyDescent="0.25">
      <c r="A305" s="125" t="s">
        <v>25505</v>
      </c>
      <c r="B305" s="125" t="s">
        <v>28255</v>
      </c>
      <c r="C305" s="125">
        <v>1</v>
      </c>
    </row>
    <row r="306" spans="1:3" x14ac:dyDescent="0.25">
      <c r="A306" s="125" t="s">
        <v>25461</v>
      </c>
      <c r="B306" s="125" t="s">
        <v>28328</v>
      </c>
      <c r="C306" s="125">
        <v>1</v>
      </c>
    </row>
    <row r="307" spans="1:3" x14ac:dyDescent="0.25">
      <c r="A307" s="125" t="s">
        <v>28</v>
      </c>
      <c r="B307" s="125" t="s">
        <v>28217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28336</v>
      </c>
      <c r="B309" s="125" t="s">
        <v>28328</v>
      </c>
      <c r="C309" s="125">
        <v>1</v>
      </c>
    </row>
    <row r="310" spans="1:3" x14ac:dyDescent="0.25">
      <c r="A310" s="125" t="s">
        <v>25343</v>
      </c>
      <c r="B310" s="125" t="s">
        <v>28214</v>
      </c>
      <c r="C310" s="125">
        <v>1</v>
      </c>
    </row>
    <row r="311" spans="1:3" x14ac:dyDescent="0.25">
      <c r="A311" s="125" t="s">
        <v>28270</v>
      </c>
      <c r="B311" s="125" t="s">
        <v>28300</v>
      </c>
      <c r="C311" s="125">
        <v>1</v>
      </c>
    </row>
    <row r="312" spans="1:3" x14ac:dyDescent="0.25">
      <c r="A312" s="125" t="s">
        <v>25440</v>
      </c>
      <c r="B312" s="125" t="s">
        <v>28302</v>
      </c>
      <c r="C312" s="125">
        <v>1</v>
      </c>
    </row>
    <row r="313" spans="1:3" x14ac:dyDescent="0.25">
      <c r="A313" s="125" t="s">
        <v>25441</v>
      </c>
      <c r="B313" s="125" t="s">
        <v>28337</v>
      </c>
      <c r="C313" s="125">
        <v>1</v>
      </c>
    </row>
    <row r="314" spans="1:3" x14ac:dyDescent="0.25">
      <c r="A314" s="125" t="s">
        <v>25445</v>
      </c>
      <c r="B314" s="125" t="s">
        <v>28299</v>
      </c>
      <c r="C314" s="125">
        <v>1</v>
      </c>
    </row>
    <row r="315" spans="1:3" x14ac:dyDescent="0.25">
      <c r="A315" s="125" t="s">
        <v>25486</v>
      </c>
      <c r="B315" s="125" t="s">
        <v>28338</v>
      </c>
      <c r="C315" s="125">
        <v>1</v>
      </c>
    </row>
    <row r="316" spans="1:3" x14ac:dyDescent="0.25">
      <c r="A316" s="125" t="s">
        <v>25491</v>
      </c>
      <c r="B316" s="125" t="s">
        <v>28339</v>
      </c>
      <c r="C316" s="125">
        <v>1</v>
      </c>
    </row>
    <row r="317" spans="1:3" x14ac:dyDescent="0.25">
      <c r="A317" s="125" t="s">
        <v>25492</v>
      </c>
      <c r="B317" s="125" t="s">
        <v>28249</v>
      </c>
      <c r="C317" s="125">
        <v>1</v>
      </c>
    </row>
    <row r="318" spans="1:3" x14ac:dyDescent="0.25">
      <c r="A318" s="125" t="s">
        <v>25493</v>
      </c>
      <c r="B318" s="125" t="s">
        <v>28274</v>
      </c>
      <c r="C318" s="125">
        <v>1</v>
      </c>
    </row>
    <row r="319" spans="1:3" x14ac:dyDescent="0.25">
      <c r="A319" s="125" t="s">
        <v>25525</v>
      </c>
      <c r="B319" s="125" t="s">
        <v>28303</v>
      </c>
      <c r="C319" s="125">
        <v>1</v>
      </c>
    </row>
    <row r="320" spans="1:3" x14ac:dyDescent="0.25">
      <c r="A320" s="125" t="s">
        <v>25530</v>
      </c>
      <c r="B320" s="125" t="s">
        <v>28275</v>
      </c>
      <c r="C320" s="125">
        <v>1</v>
      </c>
    </row>
    <row r="321" spans="1:3" x14ac:dyDescent="0.25">
      <c r="A321" s="125" t="s">
        <v>25361</v>
      </c>
      <c r="B321" s="125" t="s">
        <v>28340</v>
      </c>
      <c r="C321" s="125">
        <v>1</v>
      </c>
    </row>
    <row r="322" spans="1:3" x14ac:dyDescent="0.25">
      <c r="A322" s="125" t="s">
        <v>25457</v>
      </c>
      <c r="B322" s="125" t="s">
        <v>28211</v>
      </c>
      <c r="C322" s="125">
        <v>1</v>
      </c>
    </row>
    <row r="323" spans="1:3" x14ac:dyDescent="0.25">
      <c r="A323" s="125" t="s">
        <v>1</v>
      </c>
      <c r="B323" s="125" t="s">
        <v>28230</v>
      </c>
      <c r="C323" s="125">
        <v>1</v>
      </c>
    </row>
    <row r="324" spans="1:3" x14ac:dyDescent="0.25">
      <c r="A324" s="125" t="s">
        <v>25454</v>
      </c>
      <c r="B324" s="125" t="s">
        <v>28314</v>
      </c>
      <c r="C324" s="125">
        <v>1</v>
      </c>
    </row>
    <row r="325" spans="1:3" x14ac:dyDescent="0.25">
      <c r="A325" s="125" t="s">
        <v>28402</v>
      </c>
      <c r="B325" s="125" t="s">
        <v>28314</v>
      </c>
      <c r="C325" s="125">
        <v>1</v>
      </c>
    </row>
    <row r="326" spans="1:3" x14ac:dyDescent="0.25">
      <c r="A326" s="125" t="s">
        <v>35</v>
      </c>
      <c r="B326" s="125" t="s">
        <v>28210</v>
      </c>
      <c r="C326" s="125">
        <v>1</v>
      </c>
    </row>
    <row r="327" spans="1:3" x14ac:dyDescent="0.25">
      <c r="A327" s="125" t="s">
        <v>25411</v>
      </c>
      <c r="B327" s="125" t="s">
        <v>28308</v>
      </c>
      <c r="C327" s="125">
        <v>1</v>
      </c>
    </row>
    <row r="328" spans="1:3" x14ac:dyDescent="0.25">
      <c r="A328" s="125">
        <v>0</v>
      </c>
      <c r="B328" s="125" t="s">
        <v>28314</v>
      </c>
      <c r="C328" s="125">
        <v>1</v>
      </c>
    </row>
    <row r="329" spans="1:3" x14ac:dyDescent="0.25">
      <c r="A329" s="125">
        <v>0</v>
      </c>
      <c r="B329" s="125" t="s">
        <v>28210</v>
      </c>
      <c r="C329" s="125">
        <v>1</v>
      </c>
    </row>
    <row r="330" spans="1:3" x14ac:dyDescent="0.25">
      <c r="A330" s="125">
        <v>0</v>
      </c>
      <c r="B330" s="125" t="s">
        <v>28300</v>
      </c>
      <c r="C330" s="125">
        <v>1</v>
      </c>
    </row>
    <row r="331" spans="1:3" x14ac:dyDescent="0.25">
      <c r="A331" s="125">
        <v>0</v>
      </c>
      <c r="B331" s="125" t="s">
        <v>28211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28272</v>
      </c>
      <c r="C333" s="125">
        <v>1</v>
      </c>
    </row>
    <row r="334" spans="1:3" x14ac:dyDescent="0.25">
      <c r="A334" s="125">
        <v>0</v>
      </c>
      <c r="B334" s="125" t="s">
        <v>28225</v>
      </c>
      <c r="C334" s="125">
        <v>1</v>
      </c>
    </row>
    <row r="335" spans="1:3" x14ac:dyDescent="0.25">
      <c r="A335" s="125">
        <v>0</v>
      </c>
      <c r="B335" s="125" t="s">
        <v>28217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28276</v>
      </c>
      <c r="C337" s="125">
        <v>1</v>
      </c>
    </row>
    <row r="338" spans="1:3" x14ac:dyDescent="0.25">
      <c r="A338" s="125" t="s">
        <v>25465</v>
      </c>
      <c r="B338" s="125" t="s">
        <v>28276</v>
      </c>
      <c r="C338" s="125">
        <v>1</v>
      </c>
    </row>
    <row r="339" spans="1:3" x14ac:dyDescent="0.25">
      <c r="A339" s="125" t="s">
        <v>25371</v>
      </c>
      <c r="B339" s="125" t="s">
        <v>28276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28276</v>
      </c>
      <c r="C341" s="125">
        <v>1</v>
      </c>
    </row>
    <row r="342" spans="1:3" x14ac:dyDescent="0.25">
      <c r="A342" s="125" t="s">
        <v>28341</v>
      </c>
      <c r="B342" s="125" t="s">
        <v>28306</v>
      </c>
      <c r="C342" s="125">
        <v>1</v>
      </c>
    </row>
    <row r="343" spans="1:3" x14ac:dyDescent="0.25">
      <c r="A343" s="125" t="s">
        <v>26</v>
      </c>
      <c r="B343" s="125" t="s">
        <v>28234</v>
      </c>
      <c r="C343" s="125">
        <v>1</v>
      </c>
    </row>
    <row r="344" spans="1:3" x14ac:dyDescent="0.25">
      <c r="A344" s="125" t="s">
        <v>25414</v>
      </c>
      <c r="B344" s="125" t="s">
        <v>28276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28212</v>
      </c>
      <c r="C347" s="125">
        <v>1</v>
      </c>
    </row>
    <row r="348" spans="1:3" x14ac:dyDescent="0.25">
      <c r="A348" s="125" t="s">
        <v>25463</v>
      </c>
      <c r="B348" s="125" t="s">
        <v>28212</v>
      </c>
      <c r="C348" s="125">
        <v>1</v>
      </c>
    </row>
    <row r="349" spans="1:3" x14ac:dyDescent="0.25">
      <c r="A349" s="125" t="s">
        <v>25479</v>
      </c>
      <c r="B349" s="125" t="s">
        <v>28273</v>
      </c>
      <c r="C349" s="125">
        <v>1</v>
      </c>
    </row>
    <row r="350" spans="1:3" x14ac:dyDescent="0.25">
      <c r="A350" s="125" t="s">
        <v>26</v>
      </c>
      <c r="B350" s="125" t="s">
        <v>28225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28272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28329</v>
      </c>
      <c r="C355" s="125">
        <v>1</v>
      </c>
    </row>
    <row r="356" spans="1:3" x14ac:dyDescent="0.25">
      <c r="A356" s="125" t="s">
        <v>107</v>
      </c>
      <c r="B356" s="125" t="s">
        <v>28230</v>
      </c>
      <c r="C356" s="125">
        <v>1</v>
      </c>
    </row>
    <row r="357" spans="1:3" x14ac:dyDescent="0.25">
      <c r="A357" s="125" t="s">
        <v>28342</v>
      </c>
      <c r="B357" s="125" t="s">
        <v>28224</v>
      </c>
      <c r="C357" s="125">
        <v>1</v>
      </c>
    </row>
    <row r="358" spans="1:3" x14ac:dyDescent="0.25">
      <c r="A358" s="125" t="s">
        <v>1</v>
      </c>
      <c r="B358" s="125" t="s">
        <v>28300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28272</v>
      </c>
      <c r="C360" s="125">
        <v>1</v>
      </c>
    </row>
    <row r="361" spans="1:3" x14ac:dyDescent="0.25">
      <c r="A361" s="125" t="s">
        <v>25359</v>
      </c>
      <c r="B361" s="125" t="s">
        <v>28211</v>
      </c>
      <c r="C361" s="125">
        <v>1</v>
      </c>
    </row>
    <row r="362" spans="1:3" x14ac:dyDescent="0.25">
      <c r="A362" s="125" t="s">
        <v>25374</v>
      </c>
      <c r="B362" s="125" t="s">
        <v>28216</v>
      </c>
      <c r="C362" s="125">
        <v>1</v>
      </c>
    </row>
    <row r="363" spans="1:3" x14ac:dyDescent="0.25">
      <c r="A363" s="125" t="s">
        <v>201</v>
      </c>
      <c r="B363" s="125" t="s">
        <v>28244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28268</v>
      </c>
      <c r="C365" s="125">
        <v>1</v>
      </c>
    </row>
    <row r="366" spans="1:3" x14ac:dyDescent="0.25">
      <c r="A366" s="125" t="s">
        <v>25417</v>
      </c>
      <c r="B366" s="125" t="s">
        <v>28284</v>
      </c>
      <c r="C366" s="125">
        <v>1</v>
      </c>
    </row>
    <row r="367" spans="1:3" x14ac:dyDescent="0.25">
      <c r="A367" s="125" t="s">
        <v>25428</v>
      </c>
      <c r="B367" s="125" t="s">
        <v>28221</v>
      </c>
      <c r="C367" s="125">
        <v>1</v>
      </c>
    </row>
    <row r="368" spans="1:3" x14ac:dyDescent="0.25">
      <c r="A368" s="125" t="s">
        <v>52</v>
      </c>
      <c r="B368" s="125" t="s">
        <v>28245</v>
      </c>
      <c r="C368" s="125">
        <v>1</v>
      </c>
    </row>
    <row r="369" spans="1:3" x14ac:dyDescent="0.25">
      <c r="A369" s="125" t="s">
        <v>25512</v>
      </c>
      <c r="B369" s="125" t="s">
        <v>28226</v>
      </c>
      <c r="C369" s="125">
        <v>1</v>
      </c>
    </row>
    <row r="370" spans="1:3" x14ac:dyDescent="0.25">
      <c r="A370" s="125" t="s">
        <v>201</v>
      </c>
      <c r="B370" s="125" t="s">
        <v>28273</v>
      </c>
      <c r="C370" s="125">
        <v>1</v>
      </c>
    </row>
    <row r="371" spans="1:3" x14ac:dyDescent="0.25">
      <c r="A371" s="125" t="s">
        <v>25405</v>
      </c>
      <c r="B371" s="125" t="s">
        <v>28302</v>
      </c>
      <c r="C371" s="125">
        <v>1</v>
      </c>
    </row>
    <row r="372" spans="1:3" x14ac:dyDescent="0.25">
      <c r="A372" s="125" t="s">
        <v>25415</v>
      </c>
      <c r="B372" s="125" t="s">
        <v>28337</v>
      </c>
      <c r="C372" s="125">
        <v>1</v>
      </c>
    </row>
    <row r="373" spans="1:3" x14ac:dyDescent="0.25">
      <c r="A373" s="125" t="s">
        <v>43</v>
      </c>
      <c r="B373" s="125" t="s">
        <v>28220</v>
      </c>
      <c r="C373" s="125">
        <v>1</v>
      </c>
    </row>
    <row r="374" spans="1:3" x14ac:dyDescent="0.25">
      <c r="A374" s="125" t="s">
        <v>25472</v>
      </c>
      <c r="B374" s="125" t="s">
        <v>28299</v>
      </c>
      <c r="C374" s="125">
        <v>1</v>
      </c>
    </row>
    <row r="375" spans="1:3" x14ac:dyDescent="0.25">
      <c r="A375" s="125" t="s">
        <v>25477</v>
      </c>
      <c r="B375" s="125" t="s">
        <v>28315</v>
      </c>
      <c r="C375" s="125">
        <v>1</v>
      </c>
    </row>
    <row r="376" spans="1:3" x14ac:dyDescent="0.25">
      <c r="A376" s="125" t="s">
        <v>58</v>
      </c>
      <c r="B376" s="125" t="s">
        <v>28234</v>
      </c>
      <c r="C376" s="125">
        <v>1</v>
      </c>
    </row>
    <row r="377" spans="1:3" x14ac:dyDescent="0.25">
      <c r="A377" s="125" t="s">
        <v>28403</v>
      </c>
      <c r="B377" s="125" t="s">
        <v>28234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28343</v>
      </c>
      <c r="C379" s="125">
        <v>1</v>
      </c>
    </row>
    <row r="380" spans="1:3" x14ac:dyDescent="0.25">
      <c r="A380" s="125" t="s">
        <v>56</v>
      </c>
      <c r="B380" s="125" t="s">
        <v>28302</v>
      </c>
      <c r="C380" s="125">
        <v>1</v>
      </c>
    </row>
    <row r="381" spans="1:3" x14ac:dyDescent="0.25">
      <c r="A381" s="125" t="s">
        <v>25472</v>
      </c>
      <c r="B381" s="125" t="s">
        <v>28329</v>
      </c>
      <c r="C381" s="125">
        <v>1</v>
      </c>
    </row>
    <row r="382" spans="1:3" x14ac:dyDescent="0.25">
      <c r="A382" s="125" t="s">
        <v>25488</v>
      </c>
      <c r="B382" s="125" t="s">
        <v>28238</v>
      </c>
      <c r="C382" s="125">
        <v>1</v>
      </c>
    </row>
    <row r="383" spans="1:3" x14ac:dyDescent="0.25">
      <c r="A383" s="125" t="s">
        <v>25397</v>
      </c>
      <c r="B383" s="125" t="s">
        <v>28253</v>
      </c>
      <c r="C383" s="125">
        <v>1</v>
      </c>
    </row>
    <row r="384" spans="1:3" x14ac:dyDescent="0.25">
      <c r="A384" s="125" t="s">
        <v>25402</v>
      </c>
      <c r="B384" s="125" t="s">
        <v>28236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28276</v>
      </c>
      <c r="C386" s="125">
        <v>1</v>
      </c>
    </row>
    <row r="387" spans="1:3" x14ac:dyDescent="0.25">
      <c r="A387" s="125" t="s">
        <v>28419</v>
      </c>
      <c r="B387" s="125" t="s">
        <v>28212</v>
      </c>
      <c r="C387" s="125">
        <v>1</v>
      </c>
    </row>
    <row r="388" spans="1:3" x14ac:dyDescent="0.25">
      <c r="A388" s="125" t="s">
        <v>28417</v>
      </c>
      <c r="B388" s="125" t="s">
        <v>28275</v>
      </c>
      <c r="C388" s="125">
        <v>1</v>
      </c>
    </row>
    <row r="389" spans="1:3" x14ac:dyDescent="0.25">
      <c r="A389" s="125" t="s">
        <v>25403</v>
      </c>
      <c r="B389" s="125" t="s">
        <v>28214</v>
      </c>
      <c r="C389" s="125">
        <v>1</v>
      </c>
    </row>
    <row r="390" spans="1:3" x14ac:dyDescent="0.25">
      <c r="A390" s="125" t="s">
        <v>28</v>
      </c>
      <c r="B390" s="125" t="s">
        <v>28210</v>
      </c>
      <c r="C390" s="125">
        <v>1</v>
      </c>
    </row>
    <row r="391" spans="1:3" x14ac:dyDescent="0.25">
      <c r="A391" s="125" t="s">
        <v>25377</v>
      </c>
      <c r="B391" s="125" t="s">
        <v>28308</v>
      </c>
      <c r="C391" s="125">
        <v>1</v>
      </c>
    </row>
    <row r="392" spans="1:3" x14ac:dyDescent="0.25">
      <c r="A392" s="125" t="s">
        <v>25498</v>
      </c>
      <c r="B392" s="125" t="s">
        <v>28306</v>
      </c>
      <c r="C392" s="125">
        <v>1</v>
      </c>
    </row>
    <row r="393" spans="1:3" x14ac:dyDescent="0.25">
      <c r="A393" s="125" t="s">
        <v>25390</v>
      </c>
      <c r="B393" s="125" t="s">
        <v>28280</v>
      </c>
      <c r="C393" s="125">
        <v>1</v>
      </c>
    </row>
    <row r="394" spans="1:3" x14ac:dyDescent="0.25">
      <c r="A394" s="125" t="s">
        <v>25330</v>
      </c>
      <c r="B394" s="125" t="s">
        <v>28252</v>
      </c>
      <c r="C394" s="125">
        <v>1</v>
      </c>
    </row>
    <row r="395" spans="1:3" x14ac:dyDescent="0.25">
      <c r="A395" s="125" t="s">
        <v>96</v>
      </c>
      <c r="B395" s="125" t="s">
        <v>28209</v>
      </c>
      <c r="C395" s="125">
        <v>1</v>
      </c>
    </row>
    <row r="396" spans="1:3" x14ac:dyDescent="0.25">
      <c r="A396" s="125" t="s">
        <v>25372</v>
      </c>
      <c r="B396" s="125" t="s">
        <v>28242</v>
      </c>
      <c r="C396" s="125">
        <v>1</v>
      </c>
    </row>
    <row r="397" spans="1:3" x14ac:dyDescent="0.25">
      <c r="A397" s="125" t="s">
        <v>25428</v>
      </c>
      <c r="B397" s="125" t="s">
        <v>28329</v>
      </c>
      <c r="C397" s="125">
        <v>1</v>
      </c>
    </row>
    <row r="398" spans="1:3" x14ac:dyDescent="0.25">
      <c r="A398" s="125" t="s">
        <v>22</v>
      </c>
      <c r="B398" s="125" t="s">
        <v>28216</v>
      </c>
      <c r="C398" s="125">
        <v>1</v>
      </c>
    </row>
    <row r="399" spans="1:3" x14ac:dyDescent="0.25">
      <c r="A399" s="125" t="s">
        <v>25500</v>
      </c>
      <c r="B399" s="125" t="s">
        <v>28308</v>
      </c>
      <c r="C399" s="125">
        <v>1</v>
      </c>
    </row>
    <row r="400" spans="1:3" x14ac:dyDescent="0.25">
      <c r="A400" s="125" t="s">
        <v>25442</v>
      </c>
      <c r="B400" s="125" t="s">
        <v>28226</v>
      </c>
      <c r="C400" s="125">
        <v>1</v>
      </c>
    </row>
    <row r="401" spans="1:3" x14ac:dyDescent="0.25">
      <c r="A401" s="125" t="s">
        <v>25456</v>
      </c>
      <c r="B401" s="125" t="s">
        <v>28290</v>
      </c>
      <c r="C401" s="125">
        <v>1</v>
      </c>
    </row>
    <row r="402" spans="1:3" x14ac:dyDescent="0.25">
      <c r="A402" s="125" t="s">
        <v>25455</v>
      </c>
      <c r="B402" s="125" t="s">
        <v>28216</v>
      </c>
      <c r="C402" s="125">
        <v>1</v>
      </c>
    </row>
    <row r="403" spans="1:3" x14ac:dyDescent="0.25">
      <c r="A403" s="125" t="s">
        <v>52</v>
      </c>
      <c r="B403" s="125" t="s">
        <v>28260</v>
      </c>
      <c r="C403" s="125">
        <v>1</v>
      </c>
    </row>
    <row r="404" spans="1:3" x14ac:dyDescent="0.25">
      <c r="A404" s="125" t="s">
        <v>25373</v>
      </c>
      <c r="B404" s="125" t="s">
        <v>28344</v>
      </c>
      <c r="C404" s="125">
        <v>1</v>
      </c>
    </row>
    <row r="405" spans="1:3" x14ac:dyDescent="0.25">
      <c r="A405" s="125" t="s">
        <v>147</v>
      </c>
      <c r="B405" s="125" t="s">
        <v>28296</v>
      </c>
      <c r="C405" s="125">
        <v>1</v>
      </c>
    </row>
    <row r="406" spans="1:3" x14ac:dyDescent="0.25">
      <c r="A406" s="125" t="s">
        <v>25362</v>
      </c>
      <c r="B406" s="125" t="s">
        <v>28321</v>
      </c>
      <c r="C406" s="125">
        <v>1</v>
      </c>
    </row>
    <row r="407" spans="1:3" x14ac:dyDescent="0.25">
      <c r="A407" s="125" t="s">
        <v>52</v>
      </c>
      <c r="B407" s="125" t="s">
        <v>28314</v>
      </c>
      <c r="C407" s="125">
        <v>1</v>
      </c>
    </row>
    <row r="408" spans="1:3" x14ac:dyDescent="0.25">
      <c r="A408" s="125" t="s">
        <v>123</v>
      </c>
      <c r="B408" s="125" t="s">
        <v>28232</v>
      </c>
      <c r="C408" s="125">
        <v>1</v>
      </c>
    </row>
    <row r="409" spans="1:3" x14ac:dyDescent="0.25">
      <c r="A409" s="125" t="s">
        <v>25471</v>
      </c>
      <c r="B409" s="125" t="s">
        <v>28290</v>
      </c>
      <c r="C409" s="125">
        <v>1</v>
      </c>
    </row>
    <row r="410" spans="1:3" x14ac:dyDescent="0.25">
      <c r="A410" s="125" t="s">
        <v>25537</v>
      </c>
      <c r="B410" s="125" t="s">
        <v>28308</v>
      </c>
      <c r="C410" s="125">
        <v>1</v>
      </c>
    </row>
    <row r="411" spans="1:3" x14ac:dyDescent="0.25">
      <c r="A411" s="125" t="s">
        <v>25534</v>
      </c>
      <c r="B411" s="125" t="s">
        <v>28241</v>
      </c>
      <c r="C411" s="125">
        <v>1</v>
      </c>
    </row>
    <row r="412" spans="1:3" x14ac:dyDescent="0.25">
      <c r="A412" s="125" t="s">
        <v>25535</v>
      </c>
      <c r="B412" s="125" t="s">
        <v>28345</v>
      </c>
      <c r="C412" s="125">
        <v>1</v>
      </c>
    </row>
    <row r="413" spans="1:3" x14ac:dyDescent="0.25">
      <c r="A413" s="125" t="s">
        <v>25537</v>
      </c>
      <c r="B413" s="125" t="s">
        <v>28305</v>
      </c>
      <c r="C413" s="125">
        <v>1</v>
      </c>
    </row>
    <row r="414" spans="1:3" x14ac:dyDescent="0.25">
      <c r="A414" s="125" t="s">
        <v>25536</v>
      </c>
      <c r="B414" s="125" t="s">
        <v>28343</v>
      </c>
      <c r="C414" s="125">
        <v>1</v>
      </c>
    </row>
    <row r="415" spans="1:3" x14ac:dyDescent="0.25">
      <c r="A415" s="125" t="s">
        <v>25534</v>
      </c>
      <c r="B415" s="125" t="s">
        <v>28231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28288</v>
      </c>
      <c r="C417" s="125">
        <v>1</v>
      </c>
    </row>
    <row r="418" spans="1:3" x14ac:dyDescent="0.25">
      <c r="A418" s="125" t="s">
        <v>25529</v>
      </c>
      <c r="B418" s="125" t="s">
        <v>28254</v>
      </c>
      <c r="C418" s="125">
        <v>1</v>
      </c>
    </row>
    <row r="419" spans="1:3" x14ac:dyDescent="0.25">
      <c r="A419" s="125" t="s">
        <v>25396</v>
      </c>
      <c r="B419" s="125" t="s">
        <v>28290</v>
      </c>
      <c r="C419" s="125">
        <v>1</v>
      </c>
    </row>
    <row r="420" spans="1:3" x14ac:dyDescent="0.25">
      <c r="A420" s="125" t="s">
        <v>42</v>
      </c>
      <c r="B420" s="125" t="s">
        <v>28264</v>
      </c>
      <c r="C420" s="125">
        <v>1</v>
      </c>
    </row>
    <row r="421" spans="1:3" x14ac:dyDescent="0.25">
      <c r="A421" s="125" t="s">
        <v>22</v>
      </c>
      <c r="B421" s="125" t="s">
        <v>28284</v>
      </c>
      <c r="C421" s="125">
        <v>1</v>
      </c>
    </row>
    <row r="422" spans="1:3" x14ac:dyDescent="0.25">
      <c r="A422" s="125" t="s">
        <v>25459</v>
      </c>
      <c r="B422" s="125" t="s">
        <v>28308</v>
      </c>
      <c r="C422" s="125">
        <v>1</v>
      </c>
    </row>
    <row r="423" spans="1:3" x14ac:dyDescent="0.25">
      <c r="A423" s="125" t="s">
        <v>25409</v>
      </c>
      <c r="B423" s="125" t="s">
        <v>28276</v>
      </c>
      <c r="C423" s="125">
        <v>1</v>
      </c>
    </row>
    <row r="424" spans="1:3" x14ac:dyDescent="0.25">
      <c r="A424" s="125" t="s">
        <v>25368</v>
      </c>
      <c r="B424" s="125" t="s">
        <v>28226</v>
      </c>
      <c r="C424" s="125">
        <v>1</v>
      </c>
    </row>
    <row r="425" spans="1:3" x14ac:dyDescent="0.25">
      <c r="A425" s="125" t="s">
        <v>25485</v>
      </c>
      <c r="B425" s="125" t="s">
        <v>28210</v>
      </c>
      <c r="C425" s="125">
        <v>1</v>
      </c>
    </row>
    <row r="426" spans="1:3" x14ac:dyDescent="0.25">
      <c r="A426" s="125" t="s">
        <v>25409</v>
      </c>
      <c r="B426" s="125" t="s">
        <v>28234</v>
      </c>
      <c r="C426" s="125">
        <v>1</v>
      </c>
    </row>
    <row r="427" spans="1:3" x14ac:dyDescent="0.25">
      <c r="A427" s="125" t="s">
        <v>25415</v>
      </c>
      <c r="B427" s="125" t="s">
        <v>28210</v>
      </c>
      <c r="C427" s="125">
        <v>1</v>
      </c>
    </row>
    <row r="428" spans="1:3" x14ac:dyDescent="0.25">
      <c r="A428" s="125" t="s">
        <v>130</v>
      </c>
      <c r="B428" s="125" t="s">
        <v>28209</v>
      </c>
      <c r="C428" s="125">
        <v>1</v>
      </c>
    </row>
    <row r="429" spans="1:3" x14ac:dyDescent="0.25">
      <c r="A429" s="125" t="s">
        <v>25333</v>
      </c>
      <c r="B429" s="125" t="s">
        <v>28225</v>
      </c>
      <c r="C429" s="125">
        <v>1</v>
      </c>
    </row>
    <row r="430" spans="1:3" x14ac:dyDescent="0.25">
      <c r="A430" s="125" t="s">
        <v>25335</v>
      </c>
      <c r="B430" s="125" t="s">
        <v>28272</v>
      </c>
      <c r="C430" s="125">
        <v>1</v>
      </c>
    </row>
    <row r="431" spans="1:3" x14ac:dyDescent="0.25">
      <c r="A431" s="125" t="s">
        <v>25348</v>
      </c>
      <c r="B431" s="125" t="s">
        <v>28211</v>
      </c>
      <c r="C431" s="125">
        <v>1</v>
      </c>
    </row>
    <row r="432" spans="1:3" x14ac:dyDescent="0.25">
      <c r="A432" s="125" t="s">
        <v>25345</v>
      </c>
      <c r="B432" s="125" t="s">
        <v>28272</v>
      </c>
      <c r="C432" s="125">
        <v>1</v>
      </c>
    </row>
    <row r="433" spans="1:3" x14ac:dyDescent="0.25">
      <c r="A433" s="125" t="s">
        <v>56</v>
      </c>
      <c r="B433" s="125" t="s">
        <v>28276</v>
      </c>
      <c r="C433" s="125">
        <v>1</v>
      </c>
    </row>
    <row r="434" spans="1:3" x14ac:dyDescent="0.25">
      <c r="A434" s="125" t="s">
        <v>215</v>
      </c>
      <c r="B434" s="125" t="s">
        <v>28276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28272</v>
      </c>
      <c r="C436" s="125">
        <v>1</v>
      </c>
    </row>
    <row r="437" spans="1:3" x14ac:dyDescent="0.25">
      <c r="A437" s="125" t="s">
        <v>36</v>
      </c>
      <c r="B437" s="125" t="s">
        <v>28286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28236</v>
      </c>
      <c r="C439" s="125">
        <v>1</v>
      </c>
    </row>
    <row r="440" spans="1:3" x14ac:dyDescent="0.25">
      <c r="A440" s="125" t="s">
        <v>25535</v>
      </c>
      <c r="B440" s="125" t="s">
        <v>28218</v>
      </c>
      <c r="C440" s="125">
        <v>1</v>
      </c>
    </row>
    <row r="441" spans="1:3" x14ac:dyDescent="0.25">
      <c r="A441" s="125" t="s">
        <v>43</v>
      </c>
      <c r="B441" s="125" t="s">
        <v>28234</v>
      </c>
      <c r="C441" s="125">
        <v>1</v>
      </c>
    </row>
    <row r="442" spans="1:3" x14ac:dyDescent="0.25">
      <c r="A442" s="125" t="s">
        <v>28346</v>
      </c>
      <c r="B442" s="125" t="s">
        <v>28329</v>
      </c>
      <c r="C442" s="125">
        <v>1</v>
      </c>
    </row>
    <row r="443" spans="1:3" x14ac:dyDescent="0.25">
      <c r="A443" s="125" t="s">
        <v>27</v>
      </c>
      <c r="B443" s="125" t="s">
        <v>28261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28347</v>
      </c>
      <c r="C445" s="125">
        <v>1</v>
      </c>
    </row>
    <row r="446" spans="1:3" x14ac:dyDescent="0.25">
      <c r="A446" s="125" t="s">
        <v>25356</v>
      </c>
      <c r="B446" s="125" t="s">
        <v>28215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28348</v>
      </c>
      <c r="B448" s="125" t="s">
        <v>28286</v>
      </c>
      <c r="C448" s="125">
        <v>1</v>
      </c>
    </row>
    <row r="449" spans="1:3" x14ac:dyDescent="0.25">
      <c r="A449" s="125" t="s">
        <v>28349</v>
      </c>
      <c r="B449" s="125" t="s">
        <v>28344</v>
      </c>
      <c r="C449" s="125">
        <v>1</v>
      </c>
    </row>
    <row r="450" spans="1:3" x14ac:dyDescent="0.25">
      <c r="A450" s="125" t="s">
        <v>36</v>
      </c>
      <c r="B450" s="125" t="s">
        <v>28350</v>
      </c>
      <c r="C450" s="125">
        <v>1</v>
      </c>
    </row>
    <row r="451" spans="1:3" x14ac:dyDescent="0.25">
      <c r="A451" s="125" t="s">
        <v>25334</v>
      </c>
      <c r="B451" s="125" t="s">
        <v>28272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28351</v>
      </c>
      <c r="B453" s="125" t="s">
        <v>28236</v>
      </c>
      <c r="C453" s="125">
        <v>1</v>
      </c>
    </row>
    <row r="454" spans="1:3" x14ac:dyDescent="0.25">
      <c r="A454" s="125" t="s">
        <v>25409</v>
      </c>
      <c r="B454" s="125" t="s">
        <v>28242</v>
      </c>
      <c r="C454" s="125">
        <v>1</v>
      </c>
    </row>
    <row r="455" spans="1:3" x14ac:dyDescent="0.25">
      <c r="A455" s="125" t="s">
        <v>130</v>
      </c>
      <c r="B455" s="125" t="s">
        <v>28218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28302</v>
      </c>
      <c r="C457" s="125">
        <v>1</v>
      </c>
    </row>
    <row r="458" spans="1:3" x14ac:dyDescent="0.25">
      <c r="A458" s="125" t="s">
        <v>28352</v>
      </c>
      <c r="B458" s="125" t="s">
        <v>28276</v>
      </c>
      <c r="C458" s="125">
        <v>1</v>
      </c>
    </row>
    <row r="459" spans="1:3" x14ac:dyDescent="0.25">
      <c r="A459" s="125" t="s">
        <v>22</v>
      </c>
      <c r="B459" s="125" t="s">
        <v>28302</v>
      </c>
      <c r="C459" s="125">
        <v>1</v>
      </c>
    </row>
    <row r="460" spans="1:3" x14ac:dyDescent="0.25">
      <c r="A460" s="125" t="s">
        <v>28353</v>
      </c>
      <c r="B460" s="125" t="s">
        <v>28210</v>
      </c>
      <c r="C460" s="125">
        <v>1</v>
      </c>
    </row>
    <row r="461" spans="1:3" x14ac:dyDescent="0.25">
      <c r="A461" s="125" t="s">
        <v>43</v>
      </c>
      <c r="B461" s="125" t="s">
        <v>28268</v>
      </c>
      <c r="C461" s="125">
        <v>1</v>
      </c>
    </row>
    <row r="462" spans="1:3" x14ac:dyDescent="0.25">
      <c r="A462" s="125" t="s">
        <v>215</v>
      </c>
      <c r="B462" s="125" t="s">
        <v>28308</v>
      </c>
      <c r="C462" s="125">
        <v>1</v>
      </c>
    </row>
    <row r="463" spans="1:3" x14ac:dyDescent="0.25">
      <c r="A463" s="125" t="s">
        <v>22</v>
      </c>
      <c r="B463" s="125" t="s">
        <v>28268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28351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28252</v>
      </c>
      <c r="C466" s="125">
        <v>1</v>
      </c>
    </row>
    <row r="467" spans="1:3" x14ac:dyDescent="0.25">
      <c r="A467" s="125" t="s">
        <v>28283</v>
      </c>
      <c r="B467" s="125" t="s">
        <v>28211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28210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28244</v>
      </c>
      <c r="C471" s="125">
        <v>1</v>
      </c>
    </row>
    <row r="472" spans="1:3" x14ac:dyDescent="0.25">
      <c r="A472" s="125" t="s">
        <v>25407</v>
      </c>
      <c r="B472" s="125" t="s">
        <v>28276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28354</v>
      </c>
      <c r="B474" s="125" t="s">
        <v>25324</v>
      </c>
      <c r="C474" s="125">
        <v>1</v>
      </c>
    </row>
    <row r="475" spans="1:3" x14ac:dyDescent="0.25">
      <c r="A475" s="125" t="s">
        <v>28355</v>
      </c>
      <c r="B475" s="125" t="s">
        <v>28210</v>
      </c>
      <c r="C475" s="125">
        <v>1</v>
      </c>
    </row>
    <row r="476" spans="1:3" x14ac:dyDescent="0.25">
      <c r="A476" s="125" t="s">
        <v>42</v>
      </c>
      <c r="B476" s="125" t="s">
        <v>28220</v>
      </c>
      <c r="C476" s="125">
        <v>1</v>
      </c>
    </row>
    <row r="477" spans="1:3" x14ac:dyDescent="0.25">
      <c r="A477" s="125" t="s">
        <v>25485</v>
      </c>
      <c r="B477" s="125" t="s">
        <v>28244</v>
      </c>
      <c r="C477" s="125">
        <v>1</v>
      </c>
    </row>
    <row r="478" spans="1:3" x14ac:dyDescent="0.25">
      <c r="A478" s="125" t="s">
        <v>28356</v>
      </c>
      <c r="B478" s="125" t="s">
        <v>28210</v>
      </c>
      <c r="C478" s="125">
        <v>1</v>
      </c>
    </row>
    <row r="479" spans="1:3" x14ac:dyDescent="0.25">
      <c r="A479" s="125" t="s">
        <v>25463</v>
      </c>
      <c r="B479" s="125" t="s">
        <v>28218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28212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28216</v>
      </c>
      <c r="C483" s="125">
        <v>1</v>
      </c>
    </row>
    <row r="484" spans="1:3" x14ac:dyDescent="0.25">
      <c r="A484" s="125" t="s">
        <v>25331</v>
      </c>
      <c r="B484" s="125" t="s">
        <v>28215</v>
      </c>
      <c r="C484" s="125">
        <v>1</v>
      </c>
    </row>
    <row r="485" spans="1:3" x14ac:dyDescent="0.25">
      <c r="A485" s="125" t="s">
        <v>25343</v>
      </c>
      <c r="B485" s="125" t="s">
        <v>28272</v>
      </c>
      <c r="C485" s="125">
        <v>1</v>
      </c>
    </row>
    <row r="486" spans="1:3" x14ac:dyDescent="0.25">
      <c r="A486" s="125" t="s">
        <v>52</v>
      </c>
      <c r="B486" s="125" t="s">
        <v>28300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28245</v>
      </c>
      <c r="C488" s="125">
        <v>1</v>
      </c>
    </row>
    <row r="489" spans="1:3" x14ac:dyDescent="0.25">
      <c r="A489" s="125" t="s">
        <v>25376</v>
      </c>
      <c r="B489" s="125" t="s">
        <v>28216</v>
      </c>
      <c r="C489" s="125">
        <v>1</v>
      </c>
    </row>
    <row r="490" spans="1:3" x14ac:dyDescent="0.25">
      <c r="A490" s="125" t="s">
        <v>25449</v>
      </c>
      <c r="B490" s="125" t="s">
        <v>28274</v>
      </c>
      <c r="C490" s="125">
        <v>1</v>
      </c>
    </row>
    <row r="491" spans="1:3" x14ac:dyDescent="0.25">
      <c r="A491" s="125" t="s">
        <v>25358</v>
      </c>
      <c r="B491" s="125" t="s">
        <v>28231</v>
      </c>
      <c r="C491" s="125">
        <v>1</v>
      </c>
    </row>
    <row r="492" spans="1:3" x14ac:dyDescent="0.25">
      <c r="A492" s="125" t="s">
        <v>25358</v>
      </c>
      <c r="B492" s="125" t="s">
        <v>28209</v>
      </c>
      <c r="C492" s="125">
        <v>1</v>
      </c>
    </row>
    <row r="493" spans="1:3" x14ac:dyDescent="0.25">
      <c r="A493" s="125" t="s">
        <v>28259</v>
      </c>
      <c r="B493" s="125" t="s">
        <v>28350</v>
      </c>
      <c r="C493" s="125">
        <v>1</v>
      </c>
    </row>
    <row r="494" spans="1:3" x14ac:dyDescent="0.25">
      <c r="A494" s="125" t="s">
        <v>28357</v>
      </c>
      <c r="B494" s="125" t="s">
        <v>28245</v>
      </c>
      <c r="C494" s="125">
        <v>1</v>
      </c>
    </row>
    <row r="495" spans="1:3" x14ac:dyDescent="0.25">
      <c r="A495" s="125" t="s">
        <v>25443</v>
      </c>
      <c r="B495" s="125" t="s">
        <v>28210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28358</v>
      </c>
      <c r="B497" s="125" t="s">
        <v>28236</v>
      </c>
      <c r="C497" s="125">
        <v>1</v>
      </c>
    </row>
    <row r="498" spans="1:3" x14ac:dyDescent="0.25">
      <c r="A498" s="125" t="s">
        <v>201</v>
      </c>
      <c r="B498" s="125" t="s">
        <v>28215</v>
      </c>
      <c r="C498" s="125">
        <v>1</v>
      </c>
    </row>
    <row r="499" spans="1:3" x14ac:dyDescent="0.25">
      <c r="A499" s="125" t="s">
        <v>208</v>
      </c>
      <c r="B499" s="125" t="s">
        <v>28231</v>
      </c>
      <c r="C499" s="125">
        <v>1</v>
      </c>
    </row>
    <row r="500" spans="1:3" x14ac:dyDescent="0.25">
      <c r="A500" s="125" t="s">
        <v>25535</v>
      </c>
      <c r="B500" s="125" t="s">
        <v>28231</v>
      </c>
      <c r="C500" s="125">
        <v>1</v>
      </c>
    </row>
    <row r="501" spans="1:3" x14ac:dyDescent="0.25">
      <c r="A501" s="125" t="s">
        <v>23</v>
      </c>
      <c r="B501" s="125" t="s">
        <v>28345</v>
      </c>
      <c r="C501" s="125">
        <v>1</v>
      </c>
    </row>
    <row r="502" spans="1:3" x14ac:dyDescent="0.25">
      <c r="A502" s="125" t="s">
        <v>25447</v>
      </c>
      <c r="B502" s="125" t="s">
        <v>28214</v>
      </c>
      <c r="C502" s="125">
        <v>1</v>
      </c>
    </row>
    <row r="503" spans="1:3" x14ac:dyDescent="0.25">
      <c r="A503" s="125" t="s">
        <v>43</v>
      </c>
      <c r="B503" s="125" t="s">
        <v>28272</v>
      </c>
      <c r="C503" s="125">
        <v>1</v>
      </c>
    </row>
    <row r="504" spans="1:3" x14ac:dyDescent="0.25">
      <c r="A504" s="125" t="s">
        <v>25341</v>
      </c>
      <c r="B504" s="125" t="s">
        <v>28272</v>
      </c>
      <c r="C504" s="125">
        <v>1</v>
      </c>
    </row>
    <row r="505" spans="1:3" x14ac:dyDescent="0.25">
      <c r="A505" s="125" t="s">
        <v>25479</v>
      </c>
      <c r="B505" s="125" t="s">
        <v>28210</v>
      </c>
      <c r="C505" s="125">
        <v>1</v>
      </c>
    </row>
    <row r="506" spans="1:3" x14ac:dyDescent="0.25">
      <c r="A506" s="125" t="s">
        <v>130</v>
      </c>
      <c r="B506" s="125" t="s">
        <v>28231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28222</v>
      </c>
      <c r="C508" s="125">
        <v>1</v>
      </c>
    </row>
    <row r="509" spans="1:3" x14ac:dyDescent="0.25">
      <c r="A509" s="125" t="s">
        <v>25386</v>
      </c>
      <c r="B509" s="125" t="s">
        <v>28245</v>
      </c>
      <c r="C509" s="125">
        <v>1</v>
      </c>
    </row>
    <row r="510" spans="1:3" x14ac:dyDescent="0.25">
      <c r="A510" s="125" t="s">
        <v>25382</v>
      </c>
      <c r="B510" s="125" t="s">
        <v>28216</v>
      </c>
      <c r="C510" s="125">
        <v>1</v>
      </c>
    </row>
    <row r="511" spans="1:3" x14ac:dyDescent="0.25">
      <c r="A511" s="125" t="s">
        <v>25448</v>
      </c>
      <c r="B511" s="125" t="s">
        <v>28214</v>
      </c>
      <c r="C511" s="125">
        <v>1</v>
      </c>
    </row>
    <row r="512" spans="1:3" x14ac:dyDescent="0.25">
      <c r="A512" s="125" t="s">
        <v>25471</v>
      </c>
      <c r="B512" s="125" t="s">
        <v>28217</v>
      </c>
      <c r="C512" s="125">
        <v>1</v>
      </c>
    </row>
    <row r="513" spans="1:3" x14ac:dyDescent="0.25">
      <c r="A513" s="125" t="s">
        <v>25397</v>
      </c>
      <c r="B513" s="125" t="s">
        <v>28234</v>
      </c>
      <c r="C513" s="125">
        <v>1</v>
      </c>
    </row>
    <row r="514" spans="1:3" x14ac:dyDescent="0.25">
      <c r="A514" s="125" t="s">
        <v>25532</v>
      </c>
      <c r="B514" s="125" t="s">
        <v>28211</v>
      </c>
      <c r="C514" s="125">
        <v>1</v>
      </c>
    </row>
    <row r="515" spans="1:3" x14ac:dyDescent="0.25">
      <c r="A515" s="125" t="s">
        <v>123</v>
      </c>
      <c r="B515" s="125" t="s">
        <v>28245</v>
      </c>
      <c r="C515" s="125">
        <v>1</v>
      </c>
    </row>
    <row r="516" spans="1:3" x14ac:dyDescent="0.25">
      <c r="A516" s="125" t="s">
        <v>58</v>
      </c>
      <c r="B516" s="125" t="s">
        <v>28217</v>
      </c>
      <c r="C516" s="125">
        <v>1</v>
      </c>
    </row>
    <row r="517" spans="1:3" x14ac:dyDescent="0.25">
      <c r="A517" s="125" t="s">
        <v>29</v>
      </c>
      <c r="B517" s="125" t="s">
        <v>28245</v>
      </c>
      <c r="C517" s="125">
        <v>1</v>
      </c>
    </row>
    <row r="518" spans="1:3" x14ac:dyDescent="0.25">
      <c r="A518" s="125" t="s">
        <v>25383</v>
      </c>
      <c r="B518" s="125" t="s">
        <v>28216</v>
      </c>
      <c r="C518" s="125">
        <v>1</v>
      </c>
    </row>
    <row r="519" spans="1:3" x14ac:dyDescent="0.25">
      <c r="A519" s="125" t="s">
        <v>1</v>
      </c>
      <c r="B519" s="125" t="s">
        <v>28287</v>
      </c>
      <c r="C519" s="125">
        <v>1</v>
      </c>
    </row>
    <row r="520" spans="1:3" x14ac:dyDescent="0.25">
      <c r="A520" s="125" t="s">
        <v>25375</v>
      </c>
      <c r="B520" s="125" t="s">
        <v>28216</v>
      </c>
      <c r="C520" s="125">
        <v>1</v>
      </c>
    </row>
    <row r="521" spans="1:3" x14ac:dyDescent="0.25">
      <c r="A521" s="125" t="s">
        <v>25520</v>
      </c>
      <c r="B521" s="125" t="s">
        <v>28276</v>
      </c>
      <c r="C521" s="125">
        <v>1</v>
      </c>
    </row>
    <row r="522" spans="1:3" x14ac:dyDescent="0.25">
      <c r="A522" s="125" t="s">
        <v>25372</v>
      </c>
      <c r="B522" s="125" t="s">
        <v>28268</v>
      </c>
      <c r="C522" s="125">
        <v>1</v>
      </c>
    </row>
    <row r="523" spans="1:3" x14ac:dyDescent="0.25">
      <c r="A523" s="125" t="s">
        <v>1</v>
      </c>
      <c r="B523" s="125" t="s">
        <v>28276</v>
      </c>
      <c r="C523" s="125">
        <v>1</v>
      </c>
    </row>
    <row r="524" spans="1:3" x14ac:dyDescent="0.25">
      <c r="A524" s="125" t="s">
        <v>197</v>
      </c>
      <c r="B524" s="125" t="s">
        <v>28211</v>
      </c>
      <c r="C524" s="125">
        <v>1</v>
      </c>
    </row>
    <row r="525" spans="1:3" x14ac:dyDescent="0.25">
      <c r="A525" s="125" t="s">
        <v>25472</v>
      </c>
      <c r="B525" s="125" t="s">
        <v>28344</v>
      </c>
      <c r="C525" s="125">
        <v>1</v>
      </c>
    </row>
    <row r="526" spans="1:3" x14ac:dyDescent="0.25">
      <c r="A526" s="125" t="s">
        <v>25480</v>
      </c>
      <c r="B526" s="125" t="s">
        <v>28216</v>
      </c>
      <c r="C526" s="125">
        <v>1</v>
      </c>
    </row>
    <row r="527" spans="1:3" x14ac:dyDescent="0.25">
      <c r="A527" s="125" t="s">
        <v>25488</v>
      </c>
      <c r="B527" s="125" t="s">
        <v>28290</v>
      </c>
      <c r="C527" s="125">
        <v>1</v>
      </c>
    </row>
    <row r="528" spans="1:3" x14ac:dyDescent="0.25">
      <c r="A528" s="125" t="s">
        <v>28359</v>
      </c>
      <c r="B528" s="125" t="s">
        <v>28287</v>
      </c>
      <c r="C528" s="125">
        <v>1</v>
      </c>
    </row>
    <row r="529" spans="1:3" x14ac:dyDescent="0.25">
      <c r="A529" s="125" t="s">
        <v>127</v>
      </c>
      <c r="B529" s="125" t="s">
        <v>28245</v>
      </c>
      <c r="C529" s="125">
        <v>1</v>
      </c>
    </row>
    <row r="530" spans="1:3" x14ac:dyDescent="0.25">
      <c r="A530" s="125" t="s">
        <v>55</v>
      </c>
      <c r="B530" s="125" t="s">
        <v>28236</v>
      </c>
      <c r="C530" s="125">
        <v>1</v>
      </c>
    </row>
    <row r="531" spans="1:3" x14ac:dyDescent="0.25">
      <c r="A531" s="125" t="s">
        <v>22</v>
      </c>
      <c r="B531" s="125" t="s">
        <v>28215</v>
      </c>
      <c r="C531" s="125">
        <v>1</v>
      </c>
    </row>
    <row r="532" spans="1:3" x14ac:dyDescent="0.25">
      <c r="A532" s="125" t="s">
        <v>35</v>
      </c>
      <c r="B532" s="125" t="s">
        <v>28211</v>
      </c>
      <c r="C532" s="125">
        <v>1</v>
      </c>
    </row>
    <row r="533" spans="1:3" x14ac:dyDescent="0.25">
      <c r="A533" s="125" t="s">
        <v>25499</v>
      </c>
      <c r="B533" s="125" t="s">
        <v>28302</v>
      </c>
      <c r="C533" s="125">
        <v>1</v>
      </c>
    </row>
    <row r="534" spans="1:3" x14ac:dyDescent="0.25">
      <c r="A534" s="125" t="s">
        <v>25404</v>
      </c>
      <c r="B534" s="125" t="s">
        <v>28209</v>
      </c>
      <c r="C534" s="125">
        <v>1</v>
      </c>
    </row>
    <row r="535" spans="1:3" x14ac:dyDescent="0.25">
      <c r="A535" s="125" t="s">
        <v>28282</v>
      </c>
      <c r="B535" s="125" t="s">
        <v>28360</v>
      </c>
      <c r="C535" s="125">
        <v>1</v>
      </c>
    </row>
    <row r="536" spans="1:3" x14ac:dyDescent="0.25">
      <c r="A536" s="125" t="s">
        <v>28278</v>
      </c>
      <c r="B536" s="125" t="s">
        <v>28223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28234</v>
      </c>
      <c r="C538" s="125">
        <v>1</v>
      </c>
    </row>
    <row r="539" spans="1:3" x14ac:dyDescent="0.25">
      <c r="A539" s="125" t="s">
        <v>25507</v>
      </c>
      <c r="B539" s="125" t="s">
        <v>28286</v>
      </c>
      <c r="C539" s="125">
        <v>1</v>
      </c>
    </row>
    <row r="540" spans="1:3" x14ac:dyDescent="0.25">
      <c r="A540" s="125" t="s">
        <v>25468</v>
      </c>
      <c r="B540" s="125" t="s">
        <v>28321</v>
      </c>
      <c r="C540" s="125">
        <v>1</v>
      </c>
    </row>
    <row r="541" spans="1:3" x14ac:dyDescent="0.25">
      <c r="A541" s="125" t="s">
        <v>25508</v>
      </c>
      <c r="B541" s="125" t="s">
        <v>28218</v>
      </c>
      <c r="C541" s="125">
        <v>1</v>
      </c>
    </row>
    <row r="542" spans="1:3" x14ac:dyDescent="0.25">
      <c r="A542" s="125" t="s">
        <v>25385</v>
      </c>
      <c r="B542" s="125" t="s">
        <v>28218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28236</v>
      </c>
      <c r="C544" s="125">
        <v>1</v>
      </c>
    </row>
    <row r="545" spans="1:3" x14ac:dyDescent="0.25">
      <c r="A545" s="125" t="s">
        <v>25474</v>
      </c>
      <c r="B545" s="125" t="s">
        <v>28255</v>
      </c>
      <c r="C545" s="125">
        <v>1</v>
      </c>
    </row>
    <row r="546" spans="1:3" x14ac:dyDescent="0.25">
      <c r="A546" s="125" t="s">
        <v>25495</v>
      </c>
      <c r="B546" s="125" t="s">
        <v>28209</v>
      </c>
      <c r="C546" s="125">
        <v>1</v>
      </c>
    </row>
    <row r="547" spans="1:3" x14ac:dyDescent="0.25">
      <c r="A547" s="125" t="s">
        <v>27</v>
      </c>
      <c r="B547" s="125" t="s">
        <v>28217</v>
      </c>
      <c r="C547" s="125">
        <v>1</v>
      </c>
    </row>
    <row r="548" spans="1:3" x14ac:dyDescent="0.25">
      <c r="A548" s="125" t="s">
        <v>52</v>
      </c>
      <c r="B548" s="125" t="s">
        <v>28212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28361</v>
      </c>
      <c r="C550" s="125">
        <v>1</v>
      </c>
    </row>
    <row r="551" spans="1:3" x14ac:dyDescent="0.25">
      <c r="A551" s="125" t="s">
        <v>52</v>
      </c>
      <c r="B551" s="125" t="s">
        <v>28294</v>
      </c>
      <c r="C551" s="125">
        <v>1</v>
      </c>
    </row>
    <row r="552" spans="1:3" x14ac:dyDescent="0.25">
      <c r="A552" s="125" t="s">
        <v>25497</v>
      </c>
      <c r="B552" s="125" t="s">
        <v>28290</v>
      </c>
      <c r="C552" s="125">
        <v>1</v>
      </c>
    </row>
    <row r="553" spans="1:3" x14ac:dyDescent="0.25">
      <c r="A553" s="125" t="s">
        <v>25329</v>
      </c>
      <c r="B553" s="125" t="s">
        <v>28231</v>
      </c>
      <c r="C553" s="125">
        <v>1</v>
      </c>
    </row>
    <row r="554" spans="1:3" x14ac:dyDescent="0.25">
      <c r="A554" s="125" t="s">
        <v>25410</v>
      </c>
      <c r="B554" s="125" t="s">
        <v>28294</v>
      </c>
      <c r="C554" s="125">
        <v>1</v>
      </c>
    </row>
    <row r="555" spans="1:3" x14ac:dyDescent="0.25">
      <c r="A555" s="125" t="s">
        <v>25517</v>
      </c>
      <c r="B555" s="125" t="s">
        <v>28312</v>
      </c>
      <c r="C555" s="125">
        <v>1</v>
      </c>
    </row>
    <row r="556" spans="1:3" x14ac:dyDescent="0.25">
      <c r="A556" s="125" t="s">
        <v>25432</v>
      </c>
      <c r="B556" s="125" t="s">
        <v>28302</v>
      </c>
      <c r="C556" s="125">
        <v>1</v>
      </c>
    </row>
    <row r="557" spans="1:3" x14ac:dyDescent="0.25">
      <c r="A557" s="125" t="s">
        <v>25459</v>
      </c>
      <c r="B557" s="125" t="s">
        <v>28347</v>
      </c>
      <c r="C557" s="125">
        <v>1</v>
      </c>
    </row>
    <row r="558" spans="1:3" x14ac:dyDescent="0.25">
      <c r="A558" s="125" t="s">
        <v>25521</v>
      </c>
      <c r="B558" s="125" t="s">
        <v>28258</v>
      </c>
      <c r="C558" s="125">
        <v>1</v>
      </c>
    </row>
    <row r="559" spans="1:3" x14ac:dyDescent="0.25">
      <c r="A559" s="125" t="s">
        <v>25384</v>
      </c>
      <c r="B559" s="125" t="s">
        <v>28234</v>
      </c>
      <c r="C559" s="125">
        <v>1</v>
      </c>
    </row>
    <row r="560" spans="1:3" x14ac:dyDescent="0.25">
      <c r="A560" s="125" t="s">
        <v>123</v>
      </c>
      <c r="B560" s="125" t="s">
        <v>28275</v>
      </c>
      <c r="C560" s="125">
        <v>1</v>
      </c>
    </row>
    <row r="561" spans="1:3" x14ac:dyDescent="0.25">
      <c r="A561" s="125" t="s">
        <v>25357</v>
      </c>
      <c r="B561" s="125" t="s">
        <v>28227</v>
      </c>
      <c r="C561" s="125">
        <v>1</v>
      </c>
    </row>
    <row r="562" spans="1:3" x14ac:dyDescent="0.25">
      <c r="A562" s="125" t="s">
        <v>25413</v>
      </c>
      <c r="B562" s="125" t="s">
        <v>28305</v>
      </c>
      <c r="C562" s="125">
        <v>1</v>
      </c>
    </row>
    <row r="563" spans="1:3" x14ac:dyDescent="0.25">
      <c r="A563" s="125" t="s">
        <v>25367</v>
      </c>
      <c r="B563" s="125" t="s">
        <v>28220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28215</v>
      </c>
      <c r="C565" s="125">
        <v>1</v>
      </c>
    </row>
    <row r="566" spans="1:3" x14ac:dyDescent="0.25">
      <c r="A566" s="125" t="s">
        <v>25368</v>
      </c>
      <c r="B566" s="125" t="s">
        <v>28287</v>
      </c>
      <c r="C566" s="125">
        <v>1</v>
      </c>
    </row>
    <row r="567" spans="1:3" x14ac:dyDescent="0.25">
      <c r="A567" s="125" t="s">
        <v>25451</v>
      </c>
      <c r="B567" s="125" t="s">
        <v>28245</v>
      </c>
      <c r="C567" s="125">
        <v>1</v>
      </c>
    </row>
    <row r="568" spans="1:3" x14ac:dyDescent="0.25">
      <c r="A568" s="125" t="s">
        <v>25464</v>
      </c>
      <c r="B568" s="125" t="s">
        <v>28225</v>
      </c>
      <c r="C568" s="125">
        <v>1</v>
      </c>
    </row>
    <row r="569" spans="1:3" x14ac:dyDescent="0.25">
      <c r="A569" s="125" t="s">
        <v>25516</v>
      </c>
      <c r="B569" s="125" t="s">
        <v>28211</v>
      </c>
      <c r="C569" s="125">
        <v>1</v>
      </c>
    </row>
    <row r="570" spans="1:3" x14ac:dyDescent="0.25">
      <c r="A570" s="125" t="s">
        <v>25462</v>
      </c>
      <c r="B570" s="125" t="s">
        <v>28362</v>
      </c>
      <c r="C570" s="125">
        <v>1</v>
      </c>
    </row>
    <row r="571" spans="1:3" x14ac:dyDescent="0.25">
      <c r="A571" s="125" t="s">
        <v>25471</v>
      </c>
      <c r="B571" s="125" t="s">
        <v>28276</v>
      </c>
      <c r="C571" s="125">
        <v>1</v>
      </c>
    </row>
    <row r="572" spans="1:3" x14ac:dyDescent="0.25">
      <c r="A572" s="125" t="s">
        <v>25483</v>
      </c>
      <c r="B572" s="125" t="s">
        <v>28210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28209</v>
      </c>
      <c r="C575" s="125">
        <v>1</v>
      </c>
    </row>
    <row r="576" spans="1:3" x14ac:dyDescent="0.25">
      <c r="A576" s="125" t="s">
        <v>25444</v>
      </c>
      <c r="B576" s="125" t="s">
        <v>28214</v>
      </c>
      <c r="C576" s="125">
        <v>1</v>
      </c>
    </row>
    <row r="577" spans="1:3" x14ac:dyDescent="0.25">
      <c r="A577" s="125" t="s">
        <v>25396</v>
      </c>
      <c r="B577" s="125" t="s">
        <v>28234</v>
      </c>
      <c r="C577" s="125">
        <v>1</v>
      </c>
    </row>
    <row r="578" spans="1:3" x14ac:dyDescent="0.25">
      <c r="A578" s="125" t="s">
        <v>25359</v>
      </c>
      <c r="B578" s="125" t="s">
        <v>28363</v>
      </c>
      <c r="C578" s="125">
        <v>1</v>
      </c>
    </row>
    <row r="579" spans="1:3" x14ac:dyDescent="0.25">
      <c r="A579" s="125" t="s">
        <v>25458</v>
      </c>
      <c r="B579" s="125" t="s">
        <v>28265</v>
      </c>
      <c r="C579" s="125">
        <v>1</v>
      </c>
    </row>
    <row r="580" spans="1:3" x14ac:dyDescent="0.25">
      <c r="A580" s="125" t="s">
        <v>25484</v>
      </c>
      <c r="B580" s="125" t="s">
        <v>28228</v>
      </c>
      <c r="C580" s="125">
        <v>1</v>
      </c>
    </row>
    <row r="581" spans="1:3" x14ac:dyDescent="0.25">
      <c r="A581" s="125" t="s">
        <v>25513</v>
      </c>
      <c r="B581" s="125" t="s">
        <v>28333</v>
      </c>
      <c r="C581" s="125">
        <v>1</v>
      </c>
    </row>
    <row r="582" spans="1:3" x14ac:dyDescent="0.25">
      <c r="A582" s="125" t="s">
        <v>25462</v>
      </c>
      <c r="B582" s="125" t="s">
        <v>28236</v>
      </c>
      <c r="C582" s="125">
        <v>1</v>
      </c>
    </row>
    <row r="583" spans="1:3" x14ac:dyDescent="0.25">
      <c r="A583" s="125" t="s">
        <v>41</v>
      </c>
      <c r="B583" s="125" t="s">
        <v>28249</v>
      </c>
      <c r="C583" s="125">
        <v>1</v>
      </c>
    </row>
    <row r="584" spans="1:3" x14ac:dyDescent="0.25">
      <c r="A584" s="125" t="s">
        <v>25435</v>
      </c>
      <c r="B584" s="125" t="s">
        <v>28255</v>
      </c>
      <c r="C584" s="125">
        <v>1</v>
      </c>
    </row>
    <row r="585" spans="1:3" x14ac:dyDescent="0.25">
      <c r="A585" s="125" t="s">
        <v>25349</v>
      </c>
      <c r="B585" s="125" t="s">
        <v>28272</v>
      </c>
      <c r="C585" s="125">
        <v>1</v>
      </c>
    </row>
    <row r="586" spans="1:3" x14ac:dyDescent="0.25">
      <c r="A586" s="125" t="s">
        <v>25450</v>
      </c>
      <c r="B586" s="125" t="s">
        <v>28287</v>
      </c>
      <c r="C586" s="125">
        <v>1</v>
      </c>
    </row>
    <row r="587" spans="1:3" x14ac:dyDescent="0.25">
      <c r="A587" s="125" t="s">
        <v>28</v>
      </c>
      <c r="B587" s="125" t="s">
        <v>28209</v>
      </c>
      <c r="C587" s="125">
        <v>1</v>
      </c>
    </row>
    <row r="588" spans="1:3" x14ac:dyDescent="0.25">
      <c r="A588" s="125" t="s">
        <v>25365</v>
      </c>
      <c r="B588" s="125" t="s">
        <v>28216</v>
      </c>
      <c r="C588" s="125">
        <v>1</v>
      </c>
    </row>
    <row r="589" spans="1:3" x14ac:dyDescent="0.25">
      <c r="A589" s="125" t="s">
        <v>28342</v>
      </c>
      <c r="B589" s="125" t="s">
        <v>28300</v>
      </c>
      <c r="C589" s="125">
        <v>1</v>
      </c>
    </row>
    <row r="590" spans="1:3" x14ac:dyDescent="0.25">
      <c r="A590" s="125" t="s">
        <v>25509</v>
      </c>
      <c r="B590" s="125" t="s">
        <v>28218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28218</v>
      </c>
      <c r="C592" s="125">
        <v>1</v>
      </c>
    </row>
    <row r="593" spans="1:3" x14ac:dyDescent="0.25">
      <c r="A593" s="125" t="s">
        <v>25488</v>
      </c>
      <c r="B593" s="125" t="s">
        <v>28210</v>
      </c>
      <c r="C593" s="125">
        <v>1</v>
      </c>
    </row>
    <row r="594" spans="1:3" x14ac:dyDescent="0.25">
      <c r="A594" s="125" t="s">
        <v>28266</v>
      </c>
      <c r="B594" s="125" t="s">
        <v>28217</v>
      </c>
      <c r="C594" s="125">
        <v>1</v>
      </c>
    </row>
    <row r="595" spans="1:3" x14ac:dyDescent="0.25">
      <c r="A595" s="125" t="s">
        <v>34</v>
      </c>
      <c r="B595" s="125" t="s">
        <v>28218</v>
      </c>
      <c r="C595" s="125">
        <v>1</v>
      </c>
    </row>
    <row r="596" spans="1:3" x14ac:dyDescent="0.25">
      <c r="A596" s="125" t="s">
        <v>23</v>
      </c>
      <c r="B596" s="125" t="s">
        <v>28325</v>
      </c>
      <c r="C596" s="125">
        <v>1</v>
      </c>
    </row>
    <row r="597" spans="1:3" x14ac:dyDescent="0.25">
      <c r="A597" s="125" t="s">
        <v>54</v>
      </c>
      <c r="B597" s="125" t="s">
        <v>28350</v>
      </c>
      <c r="C597" s="125">
        <v>1</v>
      </c>
    </row>
    <row r="598" spans="1:3" x14ac:dyDescent="0.25">
      <c r="A598" s="125" t="s">
        <v>27770</v>
      </c>
      <c r="B598" s="125" t="s">
        <v>28210</v>
      </c>
      <c r="C598" s="125">
        <v>1</v>
      </c>
    </row>
    <row r="599" spans="1:3" x14ac:dyDescent="0.25">
      <c r="A599" s="125" t="s">
        <v>28239</v>
      </c>
      <c r="B599" s="125" t="s">
        <v>28212</v>
      </c>
      <c r="C599" s="125">
        <v>1</v>
      </c>
    </row>
    <row r="600" spans="1:3" x14ac:dyDescent="0.25">
      <c r="A600" s="125" t="s">
        <v>28364</v>
      </c>
      <c r="B600" s="125" t="s">
        <v>28350</v>
      </c>
      <c r="C600" s="125">
        <v>1</v>
      </c>
    </row>
    <row r="601" spans="1:3" x14ac:dyDescent="0.25">
      <c r="A601" s="125" t="s">
        <v>54</v>
      </c>
      <c r="B601" s="125" t="s">
        <v>28211</v>
      </c>
      <c r="C601" s="125">
        <v>1</v>
      </c>
    </row>
    <row r="602" spans="1:3" x14ac:dyDescent="0.25">
      <c r="A602" s="125" t="s">
        <v>147</v>
      </c>
      <c r="B602" s="125" t="s">
        <v>28210</v>
      </c>
      <c r="C602" s="125">
        <v>1</v>
      </c>
    </row>
    <row r="603" spans="1:3" x14ac:dyDescent="0.25">
      <c r="A603" s="125" t="s">
        <v>200</v>
      </c>
      <c r="B603" s="125" t="s">
        <v>28214</v>
      </c>
      <c r="C603" s="125">
        <v>1</v>
      </c>
    </row>
    <row r="604" spans="1:3" x14ac:dyDescent="0.25">
      <c r="A604" s="125" t="s">
        <v>25367</v>
      </c>
      <c r="B604" s="125" t="s">
        <v>28274</v>
      </c>
      <c r="C604" s="125">
        <v>1</v>
      </c>
    </row>
    <row r="605" spans="1:3" x14ac:dyDescent="0.25">
      <c r="A605" s="125" t="s">
        <v>25514</v>
      </c>
      <c r="B605" s="125" t="s">
        <v>28287</v>
      </c>
      <c r="C605" s="125">
        <v>1</v>
      </c>
    </row>
    <row r="606" spans="1:3" x14ac:dyDescent="0.25">
      <c r="A606" s="125" t="s">
        <v>25391</v>
      </c>
      <c r="B606" s="125" t="s">
        <v>28238</v>
      </c>
      <c r="C606" s="125">
        <v>1</v>
      </c>
    </row>
    <row r="607" spans="1:3" x14ac:dyDescent="0.25">
      <c r="A607" s="125" t="s">
        <v>25438</v>
      </c>
      <c r="B607" s="125" t="s">
        <v>28228</v>
      </c>
      <c r="C607" s="125">
        <v>1</v>
      </c>
    </row>
    <row r="608" spans="1:3" x14ac:dyDescent="0.25">
      <c r="A608" s="125" t="s">
        <v>25472</v>
      </c>
      <c r="B608" s="125" t="s">
        <v>28217</v>
      </c>
      <c r="C608" s="125">
        <v>1</v>
      </c>
    </row>
    <row r="609" spans="1:3" x14ac:dyDescent="0.25">
      <c r="A609" s="125" t="s">
        <v>25487</v>
      </c>
      <c r="B609" s="125" t="s">
        <v>28210</v>
      </c>
      <c r="C609" s="125">
        <v>1</v>
      </c>
    </row>
    <row r="610" spans="1:3" x14ac:dyDescent="0.25">
      <c r="A610" s="125" t="s">
        <v>25478</v>
      </c>
      <c r="B610" s="125" t="s">
        <v>28210</v>
      </c>
      <c r="C610" s="125">
        <v>1</v>
      </c>
    </row>
    <row r="611" spans="1:3" x14ac:dyDescent="0.25">
      <c r="A611" s="125" t="s">
        <v>25355</v>
      </c>
      <c r="B611" s="125" t="s">
        <v>28215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28215</v>
      </c>
      <c r="C613" s="125">
        <v>1</v>
      </c>
    </row>
    <row r="614" spans="1:3" x14ac:dyDescent="0.25">
      <c r="A614" s="125" t="s">
        <v>25483</v>
      </c>
      <c r="B614" s="125" t="s">
        <v>28228</v>
      </c>
      <c r="C614" s="125">
        <v>1</v>
      </c>
    </row>
    <row r="615" spans="1:3" x14ac:dyDescent="0.25">
      <c r="A615" s="125" t="s">
        <v>25392</v>
      </c>
      <c r="B615" s="125" t="s">
        <v>28234</v>
      </c>
      <c r="C615" s="125">
        <v>1</v>
      </c>
    </row>
    <row r="616" spans="1:3" x14ac:dyDescent="0.25">
      <c r="A616" s="125" t="s">
        <v>25353</v>
      </c>
      <c r="B616" s="125" t="s">
        <v>28231</v>
      </c>
      <c r="C616" s="125">
        <v>1</v>
      </c>
    </row>
    <row r="617" spans="1:3" x14ac:dyDescent="0.25">
      <c r="A617" s="125" t="s">
        <v>25380</v>
      </c>
      <c r="B617" s="125" t="s">
        <v>28216</v>
      </c>
      <c r="C617" s="125">
        <v>1</v>
      </c>
    </row>
    <row r="618" spans="1:3" x14ac:dyDescent="0.25">
      <c r="A618" s="125" t="s">
        <v>25446</v>
      </c>
      <c r="B618" s="125" t="s">
        <v>28214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28316</v>
      </c>
      <c r="B620" s="125" t="s">
        <v>28214</v>
      </c>
      <c r="C620" s="125">
        <v>1</v>
      </c>
    </row>
    <row r="621" spans="1:3" x14ac:dyDescent="0.25">
      <c r="A621" s="125" t="s">
        <v>28365</v>
      </c>
      <c r="B621" s="125" t="s">
        <v>25299</v>
      </c>
      <c r="C621" s="125">
        <v>1</v>
      </c>
    </row>
    <row r="622" spans="1:3" x14ac:dyDescent="0.25">
      <c r="A622" s="125" t="s">
        <v>28365</v>
      </c>
      <c r="B622" s="125" t="s">
        <v>28304</v>
      </c>
      <c r="C622" s="125">
        <v>1</v>
      </c>
    </row>
    <row r="623" spans="1:3" x14ac:dyDescent="0.25">
      <c r="A623" s="125" t="s">
        <v>25343</v>
      </c>
      <c r="B623" s="125" t="s">
        <v>28215</v>
      </c>
      <c r="C623" s="125">
        <v>1</v>
      </c>
    </row>
    <row r="624" spans="1:3" x14ac:dyDescent="0.25">
      <c r="A624" s="125" t="s">
        <v>28366</v>
      </c>
      <c r="B624" s="125" t="s">
        <v>28215</v>
      </c>
      <c r="C624" s="125">
        <v>1</v>
      </c>
    </row>
    <row r="625" spans="1:3" x14ac:dyDescent="0.25">
      <c r="A625" s="125" t="s">
        <v>28367</v>
      </c>
      <c r="B625" s="125" t="s">
        <v>28226</v>
      </c>
      <c r="C625" s="125">
        <v>1</v>
      </c>
    </row>
    <row r="626" spans="1:3" x14ac:dyDescent="0.25">
      <c r="A626" s="125" t="s">
        <v>28368</v>
      </c>
      <c r="B626" s="125" t="s">
        <v>28210</v>
      </c>
      <c r="C626" s="125">
        <v>1</v>
      </c>
    </row>
    <row r="627" spans="1:3" x14ac:dyDescent="0.25">
      <c r="A627" s="125" t="s">
        <v>28311</v>
      </c>
      <c r="B627" s="125" t="s">
        <v>28234</v>
      </c>
      <c r="C627" s="125">
        <v>1</v>
      </c>
    </row>
    <row r="628" spans="1:3" x14ac:dyDescent="0.25">
      <c r="A628" s="125" t="s">
        <v>28369</v>
      </c>
      <c r="B628" s="125" t="s">
        <v>28234</v>
      </c>
      <c r="C628" s="125">
        <v>1</v>
      </c>
    </row>
    <row r="629" spans="1:3" x14ac:dyDescent="0.25">
      <c r="A629" s="125" t="s">
        <v>28370</v>
      </c>
      <c r="B629" s="125" t="s">
        <v>28272</v>
      </c>
      <c r="C629" s="125">
        <v>1</v>
      </c>
    </row>
    <row r="630" spans="1:3" x14ac:dyDescent="0.25">
      <c r="A630" s="125" t="s">
        <v>28371</v>
      </c>
      <c r="B630" s="125" t="s">
        <v>28226</v>
      </c>
      <c r="C630" s="125">
        <v>1</v>
      </c>
    </row>
    <row r="631" spans="1:3" x14ac:dyDescent="0.25">
      <c r="A631" s="125" t="s">
        <v>28372</v>
      </c>
      <c r="B631" s="125" t="s">
        <v>28226</v>
      </c>
      <c r="C631" s="125">
        <v>1</v>
      </c>
    </row>
    <row r="632" spans="1:3" x14ac:dyDescent="0.25">
      <c r="A632" s="125" t="s">
        <v>28</v>
      </c>
      <c r="B632" s="125" t="s">
        <v>28225</v>
      </c>
      <c r="C632" s="125">
        <v>1</v>
      </c>
    </row>
    <row r="633" spans="1:3" x14ac:dyDescent="0.25">
      <c r="A633" s="125" t="s">
        <v>25414</v>
      </c>
      <c r="B633" s="125" t="s">
        <v>28373</v>
      </c>
      <c r="C633" s="125">
        <v>1</v>
      </c>
    </row>
    <row r="634" spans="1:3" x14ac:dyDescent="0.25">
      <c r="A634" s="125" t="s">
        <v>28374</v>
      </c>
      <c r="B634" s="125" t="s">
        <v>28245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28251</v>
      </c>
      <c r="C636" s="125">
        <v>1</v>
      </c>
    </row>
    <row r="637" spans="1:3" x14ac:dyDescent="0.25">
      <c r="A637" s="125" t="s">
        <v>25476</v>
      </c>
      <c r="B637" s="125" t="s">
        <v>28235</v>
      </c>
      <c r="C637" s="125">
        <v>1</v>
      </c>
    </row>
    <row r="638" spans="1:3" x14ac:dyDescent="0.25">
      <c r="A638" s="125" t="s">
        <v>28375</v>
      </c>
      <c r="B638" s="125" t="s">
        <v>28216</v>
      </c>
      <c r="C638" s="125">
        <v>1</v>
      </c>
    </row>
    <row r="639" spans="1:3" x14ac:dyDescent="0.25">
      <c r="A639" s="125" t="s">
        <v>28376</v>
      </c>
      <c r="B639" s="125" t="s">
        <v>28234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28300</v>
      </c>
      <c r="C641" s="125">
        <v>1</v>
      </c>
    </row>
    <row r="642" spans="1:3" x14ac:dyDescent="0.25">
      <c r="A642" s="125" t="s">
        <v>22</v>
      </c>
      <c r="B642" s="125" t="s">
        <v>28225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28232</v>
      </c>
      <c r="C644" s="125">
        <v>1</v>
      </c>
    </row>
    <row r="645" spans="1:3" x14ac:dyDescent="0.25">
      <c r="A645" s="125" t="s">
        <v>25430</v>
      </c>
      <c r="B645" s="125" t="s">
        <v>28315</v>
      </c>
      <c r="C645" s="125">
        <v>1</v>
      </c>
    </row>
    <row r="646" spans="1:3" x14ac:dyDescent="0.25">
      <c r="A646" s="125" t="s">
        <v>25395</v>
      </c>
      <c r="B646" s="125" t="s">
        <v>28377</v>
      </c>
      <c r="C646" s="125">
        <v>1</v>
      </c>
    </row>
    <row r="647" spans="1:3" x14ac:dyDescent="0.25">
      <c r="A647" s="125" t="s">
        <v>28378</v>
      </c>
      <c r="B647" s="125" t="s">
        <v>28215</v>
      </c>
      <c r="C647" s="125">
        <v>1</v>
      </c>
    </row>
    <row r="648" spans="1:3" x14ac:dyDescent="0.25">
      <c r="A648" s="125" t="s">
        <v>28379</v>
      </c>
      <c r="B648" s="125" t="s">
        <v>28236</v>
      </c>
      <c r="C648" s="125">
        <v>1</v>
      </c>
    </row>
    <row r="649" spans="1:3" x14ac:dyDescent="0.25">
      <c r="A649" s="125" t="s">
        <v>28380</v>
      </c>
      <c r="B649" s="125" t="s">
        <v>28214</v>
      </c>
      <c r="C649" s="125">
        <v>1</v>
      </c>
    </row>
    <row r="650" spans="1:3" x14ac:dyDescent="0.25">
      <c r="A650" s="125" t="s">
        <v>28381</v>
      </c>
      <c r="B650" s="125" t="s">
        <v>28214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28209</v>
      </c>
      <c r="C652" s="125">
        <v>1</v>
      </c>
    </row>
    <row r="653" spans="1:3" x14ac:dyDescent="0.25">
      <c r="A653" s="125" t="s">
        <v>25389</v>
      </c>
      <c r="B653" s="125" t="s">
        <v>28245</v>
      </c>
      <c r="C653" s="125">
        <v>1</v>
      </c>
    </row>
    <row r="654" spans="1:3" x14ac:dyDescent="0.25">
      <c r="A654" s="125" t="s">
        <v>147</v>
      </c>
      <c r="B654" s="125" t="s">
        <v>28209</v>
      </c>
      <c r="C654" s="125">
        <v>1</v>
      </c>
    </row>
    <row r="655" spans="1:3" x14ac:dyDescent="0.25">
      <c r="A655" s="125" t="s">
        <v>25477</v>
      </c>
      <c r="B655" s="125" t="s">
        <v>28212</v>
      </c>
      <c r="C655" s="125">
        <v>1</v>
      </c>
    </row>
    <row r="656" spans="1:3" x14ac:dyDescent="0.25">
      <c r="A656" s="125" t="s">
        <v>25457</v>
      </c>
      <c r="B656" s="125" t="s">
        <v>28234</v>
      </c>
      <c r="C656" s="125">
        <v>1</v>
      </c>
    </row>
    <row r="657" spans="1:3" x14ac:dyDescent="0.25">
      <c r="A657" s="125" t="s">
        <v>25503</v>
      </c>
      <c r="B657" s="125" t="s">
        <v>28242</v>
      </c>
      <c r="C657" s="125">
        <v>1</v>
      </c>
    </row>
    <row r="658" spans="1:3" x14ac:dyDescent="0.25">
      <c r="A658" s="125" t="s">
        <v>25470</v>
      </c>
      <c r="B658" s="125" t="s">
        <v>28217</v>
      </c>
      <c r="C658" s="125">
        <v>1</v>
      </c>
    </row>
    <row r="659" spans="1:3" x14ac:dyDescent="0.25">
      <c r="A659" s="125" t="s">
        <v>28382</v>
      </c>
      <c r="B659" s="125" t="s">
        <v>28234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28319</v>
      </c>
      <c r="B661" s="125" t="s">
        <v>28223</v>
      </c>
      <c r="C661" s="125">
        <v>1</v>
      </c>
    </row>
    <row r="662" spans="1:3" x14ac:dyDescent="0.25">
      <c r="A662" s="125" t="s">
        <v>141</v>
      </c>
      <c r="B662" s="125" t="s">
        <v>28236</v>
      </c>
      <c r="C662" s="125">
        <v>1</v>
      </c>
    </row>
    <row r="663" spans="1:3" x14ac:dyDescent="0.25">
      <c r="A663" s="125" t="s">
        <v>123</v>
      </c>
      <c r="B663" s="125" t="s">
        <v>28209</v>
      </c>
      <c r="C663" s="125">
        <v>1</v>
      </c>
    </row>
    <row r="664" spans="1:3" x14ac:dyDescent="0.25">
      <c r="A664" s="125" t="s">
        <v>25418</v>
      </c>
      <c r="B664" s="125" t="s">
        <v>28268</v>
      </c>
      <c r="C664" s="125">
        <v>1</v>
      </c>
    </row>
    <row r="665" spans="1:3" x14ac:dyDescent="0.25">
      <c r="A665" s="125" t="s">
        <v>197</v>
      </c>
      <c r="B665" s="125" t="s">
        <v>28288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28290</v>
      </c>
      <c r="C667" s="125">
        <v>1</v>
      </c>
    </row>
    <row r="668" spans="1:3" x14ac:dyDescent="0.25">
      <c r="A668" s="125" t="s">
        <v>215</v>
      </c>
      <c r="B668" s="125" t="s">
        <v>28300</v>
      </c>
      <c r="C668" s="125">
        <v>1</v>
      </c>
    </row>
    <row r="669" spans="1:3" x14ac:dyDescent="0.25">
      <c r="A669" s="125" t="s">
        <v>25357</v>
      </c>
      <c r="B669" s="125" t="s">
        <v>28261</v>
      </c>
      <c r="C669" s="125">
        <v>1</v>
      </c>
    </row>
    <row r="670" spans="1:3" x14ac:dyDescent="0.25">
      <c r="A670" s="125" t="s">
        <v>25340</v>
      </c>
      <c r="B670" s="125" t="s">
        <v>28302</v>
      </c>
      <c r="C670" s="125">
        <v>1</v>
      </c>
    </row>
    <row r="671" spans="1:3" x14ac:dyDescent="0.25">
      <c r="A671" s="125" t="s">
        <v>25357</v>
      </c>
      <c r="B671" s="125" t="s">
        <v>28345</v>
      </c>
      <c r="C671" s="125">
        <v>1</v>
      </c>
    </row>
    <row r="672" spans="1:3" x14ac:dyDescent="0.25">
      <c r="A672" s="125" t="s">
        <v>107</v>
      </c>
      <c r="B672" s="125" t="s">
        <v>28286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28383</v>
      </c>
      <c r="B674" s="125" t="s">
        <v>28212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28268</v>
      </c>
      <c r="C676" s="125">
        <v>1</v>
      </c>
    </row>
    <row r="677" spans="1:3" x14ac:dyDescent="0.25">
      <c r="A677" s="125" t="s">
        <v>25401</v>
      </c>
      <c r="B677" s="125" t="s">
        <v>28261</v>
      </c>
      <c r="C677" s="125">
        <v>1</v>
      </c>
    </row>
    <row r="678" spans="1:3" x14ac:dyDescent="0.25">
      <c r="A678" s="125" t="s">
        <v>25460</v>
      </c>
      <c r="B678" s="125" t="s">
        <v>28211</v>
      </c>
      <c r="C678" s="125">
        <v>1</v>
      </c>
    </row>
    <row r="679" spans="1:3" x14ac:dyDescent="0.25">
      <c r="A679" s="125" t="s">
        <v>25463</v>
      </c>
      <c r="B679" s="125" t="s">
        <v>28272</v>
      </c>
      <c r="C679" s="125">
        <v>1</v>
      </c>
    </row>
    <row r="680" spans="1:3" x14ac:dyDescent="0.25">
      <c r="A680" s="125" t="s">
        <v>25354</v>
      </c>
      <c r="B680" s="125" t="s">
        <v>28216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28218</v>
      </c>
      <c r="C683" s="125">
        <v>1</v>
      </c>
    </row>
    <row r="684" spans="1:3" x14ac:dyDescent="0.25">
      <c r="A684" s="125" t="s">
        <v>25345</v>
      </c>
      <c r="B684" s="125" t="s">
        <v>28230</v>
      </c>
      <c r="C684" s="125">
        <v>1</v>
      </c>
    </row>
    <row r="685" spans="1:3" x14ac:dyDescent="0.25">
      <c r="A685" s="125" t="s">
        <v>42</v>
      </c>
      <c r="B685" s="125" t="s">
        <v>28224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28224</v>
      </c>
      <c r="C687" s="125">
        <v>1</v>
      </c>
    </row>
    <row r="688" spans="1:3" x14ac:dyDescent="0.25">
      <c r="A688" s="125" t="s">
        <v>25337</v>
      </c>
      <c r="B688" s="125" t="s">
        <v>28231</v>
      </c>
      <c r="C688" s="125">
        <v>1</v>
      </c>
    </row>
    <row r="689" spans="1:3" x14ac:dyDescent="0.25">
      <c r="A689" s="125" t="s">
        <v>52</v>
      </c>
      <c r="B689" s="125" t="s">
        <v>28288</v>
      </c>
      <c r="C689" s="125">
        <v>1</v>
      </c>
    </row>
    <row r="690" spans="1:3" x14ac:dyDescent="0.25">
      <c r="A690" s="125" t="s">
        <v>100</v>
      </c>
      <c r="B690" s="125" t="s">
        <v>28272</v>
      </c>
      <c r="C690" s="125">
        <v>1</v>
      </c>
    </row>
    <row r="691" spans="1:3" x14ac:dyDescent="0.25">
      <c r="A691" s="125" t="s">
        <v>43</v>
      </c>
      <c r="B691" s="125" t="s">
        <v>28300</v>
      </c>
      <c r="C691" s="125">
        <v>1</v>
      </c>
    </row>
    <row r="692" spans="1:3" x14ac:dyDescent="0.25">
      <c r="A692" s="125" t="s">
        <v>28384</v>
      </c>
      <c r="B692" s="125" t="s">
        <v>28274</v>
      </c>
      <c r="C692" s="125">
        <v>1</v>
      </c>
    </row>
    <row r="693" spans="1:3" x14ac:dyDescent="0.25">
      <c r="A693" s="125" t="s">
        <v>25345</v>
      </c>
      <c r="B693" s="125" t="s">
        <v>28325</v>
      </c>
      <c r="C693" s="125">
        <v>1</v>
      </c>
    </row>
    <row r="694" spans="1:3" x14ac:dyDescent="0.25">
      <c r="A694" s="125" t="s">
        <v>28262</v>
      </c>
      <c r="B694" s="125" t="s">
        <v>28258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28257</v>
      </c>
      <c r="B696" s="125" t="s">
        <v>28272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28220</v>
      </c>
      <c r="C698" s="125">
        <v>1</v>
      </c>
    </row>
    <row r="699" spans="1:3" x14ac:dyDescent="0.25">
      <c r="A699" s="125" t="s">
        <v>96</v>
      </c>
      <c r="B699" s="125" t="s">
        <v>28228</v>
      </c>
      <c r="C699" s="125">
        <v>1</v>
      </c>
    </row>
    <row r="700" spans="1:3" x14ac:dyDescent="0.25">
      <c r="A700" s="125" t="s">
        <v>28341</v>
      </c>
      <c r="B700" s="125" t="s">
        <v>28290</v>
      </c>
      <c r="C700" s="125">
        <v>1</v>
      </c>
    </row>
    <row r="701" spans="1:3" x14ac:dyDescent="0.25">
      <c r="A701" s="125" t="s">
        <v>25402</v>
      </c>
      <c r="B701" s="125" t="s">
        <v>28227</v>
      </c>
      <c r="C701" s="125">
        <v>1</v>
      </c>
    </row>
    <row r="702" spans="1:3" x14ac:dyDescent="0.25">
      <c r="A702" s="125" t="s">
        <v>28385</v>
      </c>
      <c r="B702" s="125" t="s">
        <v>28360</v>
      </c>
      <c r="C702" s="125">
        <v>1</v>
      </c>
    </row>
    <row r="703" spans="1:3" x14ac:dyDescent="0.25">
      <c r="A703" s="125" t="s">
        <v>197</v>
      </c>
      <c r="B703" s="125" t="s">
        <v>28302</v>
      </c>
      <c r="C703" s="125">
        <v>1</v>
      </c>
    </row>
    <row r="704" spans="1:3" x14ac:dyDescent="0.25">
      <c r="A704" s="125" t="s">
        <v>25460</v>
      </c>
      <c r="B704" s="125" t="s">
        <v>28386</v>
      </c>
      <c r="C704" s="125">
        <v>1</v>
      </c>
    </row>
    <row r="705" spans="1:3" x14ac:dyDescent="0.25">
      <c r="A705" s="125" t="s">
        <v>25495</v>
      </c>
      <c r="B705" s="125" t="s">
        <v>28226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28236</v>
      </c>
      <c r="C707" s="125">
        <v>1</v>
      </c>
    </row>
    <row r="708" spans="1:3" x14ac:dyDescent="0.25">
      <c r="A708" s="125" t="s">
        <v>28387</v>
      </c>
      <c r="B708" s="125" t="s">
        <v>28300</v>
      </c>
      <c r="C708" s="125">
        <v>1</v>
      </c>
    </row>
    <row r="709" spans="1:3" x14ac:dyDescent="0.25">
      <c r="A709" s="125" t="s">
        <v>25400</v>
      </c>
      <c r="B709" s="125" t="s">
        <v>28223</v>
      </c>
      <c r="C709" s="125">
        <v>1</v>
      </c>
    </row>
    <row r="710" spans="1:3" x14ac:dyDescent="0.25">
      <c r="A710" s="125" t="s">
        <v>25401</v>
      </c>
      <c r="B710" s="125" t="s">
        <v>28305</v>
      </c>
      <c r="C710" s="125">
        <v>1</v>
      </c>
    </row>
    <row r="711" spans="1:3" x14ac:dyDescent="0.25">
      <c r="A711" s="125" t="s">
        <v>43</v>
      </c>
      <c r="B711" s="125" t="s">
        <v>28276</v>
      </c>
      <c r="C711" s="125">
        <v>1</v>
      </c>
    </row>
    <row r="712" spans="1:3" x14ac:dyDescent="0.25">
      <c r="A712" s="125" t="s">
        <v>197</v>
      </c>
      <c r="B712" s="125" t="s">
        <v>28245</v>
      </c>
      <c r="C712" s="125">
        <v>1</v>
      </c>
    </row>
    <row r="713" spans="1:3" x14ac:dyDescent="0.25">
      <c r="A713" s="125" t="s">
        <v>1</v>
      </c>
      <c r="B713" s="125" t="s">
        <v>28235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28388</v>
      </c>
      <c r="B715" s="125" t="s">
        <v>28238</v>
      </c>
      <c r="C715" s="125">
        <v>1</v>
      </c>
    </row>
    <row r="716" spans="1:3" x14ac:dyDescent="0.25">
      <c r="A716" s="125" t="s">
        <v>25402</v>
      </c>
      <c r="B716" s="125" t="s">
        <v>28288</v>
      </c>
      <c r="C716" s="125">
        <v>1</v>
      </c>
    </row>
    <row r="717" spans="1:3" x14ac:dyDescent="0.25">
      <c r="A717" s="125" t="s">
        <v>43</v>
      </c>
      <c r="B717" s="125" t="s">
        <v>28253</v>
      </c>
      <c r="C717" s="125">
        <v>1</v>
      </c>
    </row>
    <row r="718" spans="1:3" x14ac:dyDescent="0.25">
      <c r="A718" s="125" t="s">
        <v>28382</v>
      </c>
      <c r="B718" s="125" t="s">
        <v>28245</v>
      </c>
      <c r="C718" s="125">
        <v>1</v>
      </c>
    </row>
    <row r="719" spans="1:3" x14ac:dyDescent="0.25">
      <c r="A719" s="125" t="s">
        <v>35</v>
      </c>
      <c r="B719" s="125" t="s">
        <v>28234</v>
      </c>
      <c r="C719" s="125">
        <v>1</v>
      </c>
    </row>
    <row r="720" spans="1:3" x14ac:dyDescent="0.25">
      <c r="A720" s="125" t="s">
        <v>25344</v>
      </c>
      <c r="B720" s="125" t="s">
        <v>28272</v>
      </c>
      <c r="C720" s="125">
        <v>1</v>
      </c>
    </row>
    <row r="721" spans="1:3" x14ac:dyDescent="0.25">
      <c r="A721" s="125" t="s">
        <v>197</v>
      </c>
      <c r="B721" s="125" t="s">
        <v>28272</v>
      </c>
      <c r="C721" s="125">
        <v>1</v>
      </c>
    </row>
    <row r="722" spans="1:3" x14ac:dyDescent="0.25">
      <c r="A722" s="125" t="s">
        <v>25476</v>
      </c>
      <c r="B722" s="125" t="s">
        <v>28225</v>
      </c>
      <c r="C722" s="125">
        <v>1</v>
      </c>
    </row>
    <row r="723" spans="1:3" x14ac:dyDescent="0.25">
      <c r="A723" s="125" t="s">
        <v>96</v>
      </c>
      <c r="B723" s="125" t="s">
        <v>28334</v>
      </c>
      <c r="C723" s="125">
        <v>1</v>
      </c>
    </row>
    <row r="724" spans="1:3" x14ac:dyDescent="0.25">
      <c r="A724" s="125" t="s">
        <v>28346</v>
      </c>
      <c r="B724" s="125" t="s">
        <v>28268</v>
      </c>
      <c r="C724" s="125">
        <v>1</v>
      </c>
    </row>
    <row r="725" spans="1:3" x14ac:dyDescent="0.25">
      <c r="A725" s="125" t="s">
        <v>28</v>
      </c>
      <c r="B725" s="125" t="s">
        <v>28272</v>
      </c>
      <c r="C725" s="125">
        <v>1</v>
      </c>
    </row>
    <row r="726" spans="1:3" x14ac:dyDescent="0.25">
      <c r="A726" s="125" t="s">
        <v>25494</v>
      </c>
      <c r="B726" s="125" t="s">
        <v>28288</v>
      </c>
      <c r="C726" s="125">
        <v>1</v>
      </c>
    </row>
    <row r="727" spans="1:3" x14ac:dyDescent="0.25">
      <c r="A727" s="125" t="s">
        <v>28389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28334</v>
      </c>
      <c r="C728" s="125">
        <v>1</v>
      </c>
    </row>
    <row r="729" spans="1:3" x14ac:dyDescent="0.25">
      <c r="A729" s="125" t="s">
        <v>147</v>
      </c>
      <c r="B729" s="125" t="s">
        <v>28263</v>
      </c>
      <c r="C729" s="125">
        <v>1</v>
      </c>
    </row>
    <row r="730" spans="1:3" x14ac:dyDescent="0.25">
      <c r="A730" s="125" t="s">
        <v>25424</v>
      </c>
      <c r="B730" s="125" t="s">
        <v>28306</v>
      </c>
      <c r="C730" s="125">
        <v>1</v>
      </c>
    </row>
    <row r="731" spans="1:3" x14ac:dyDescent="0.25">
      <c r="A731" s="125" t="s">
        <v>25478</v>
      </c>
      <c r="B731" s="125" t="s">
        <v>28276</v>
      </c>
      <c r="C731" s="125">
        <v>1</v>
      </c>
    </row>
    <row r="732" spans="1:3" x14ac:dyDescent="0.25">
      <c r="A732" s="125" t="s">
        <v>25485</v>
      </c>
      <c r="B732" s="125" t="s">
        <v>28268</v>
      </c>
      <c r="C732" s="125">
        <v>1</v>
      </c>
    </row>
    <row r="733" spans="1:3" x14ac:dyDescent="0.25">
      <c r="A733" s="125" t="s">
        <v>25515</v>
      </c>
      <c r="B733" s="125" t="s">
        <v>28329</v>
      </c>
      <c r="C733" s="125">
        <v>1</v>
      </c>
    </row>
    <row r="734" spans="1:3" x14ac:dyDescent="0.25">
      <c r="A734" s="125" t="s">
        <v>25425</v>
      </c>
      <c r="B734" s="125" t="s">
        <v>28212</v>
      </c>
      <c r="C734" s="125">
        <v>1</v>
      </c>
    </row>
    <row r="735" spans="1:3" x14ac:dyDescent="0.25">
      <c r="A735" s="125" t="s">
        <v>25477</v>
      </c>
      <c r="B735" s="125" t="s">
        <v>28337</v>
      </c>
      <c r="C735" s="125">
        <v>1</v>
      </c>
    </row>
    <row r="736" spans="1:3" x14ac:dyDescent="0.25">
      <c r="A736" s="125" t="s">
        <v>25454</v>
      </c>
      <c r="B736" s="125" t="s">
        <v>28271</v>
      </c>
      <c r="C736" s="125">
        <v>1</v>
      </c>
    </row>
    <row r="737" spans="1:3" x14ac:dyDescent="0.25">
      <c r="A737" s="125" t="s">
        <v>25463</v>
      </c>
      <c r="B737" s="125" t="s">
        <v>28215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28364</v>
      </c>
      <c r="B739" s="125" t="s">
        <v>28211</v>
      </c>
      <c r="C739" s="125">
        <v>1</v>
      </c>
    </row>
    <row r="740" spans="1:3" x14ac:dyDescent="0.25">
      <c r="A740" s="125" t="s">
        <v>25331</v>
      </c>
      <c r="B740" s="125" t="s">
        <v>28212</v>
      </c>
      <c r="C740" s="125">
        <v>1</v>
      </c>
    </row>
    <row r="741" spans="1:3" x14ac:dyDescent="0.25">
      <c r="A741" s="125" t="s">
        <v>25518</v>
      </c>
      <c r="B741" s="125" t="s">
        <v>28230</v>
      </c>
      <c r="C741" s="125">
        <v>1</v>
      </c>
    </row>
    <row r="742" spans="1:3" x14ac:dyDescent="0.25">
      <c r="A742" s="125" t="s">
        <v>25454</v>
      </c>
      <c r="B742" s="125" t="s">
        <v>28361</v>
      </c>
      <c r="C742" s="125">
        <v>1</v>
      </c>
    </row>
    <row r="743" spans="1:3" x14ac:dyDescent="0.25">
      <c r="A743" s="125" t="s">
        <v>25518</v>
      </c>
      <c r="B743" s="125" t="s">
        <v>28224</v>
      </c>
      <c r="C743" s="125">
        <v>1</v>
      </c>
    </row>
    <row r="744" spans="1:3" x14ac:dyDescent="0.25">
      <c r="A744" s="125" t="s">
        <v>25338</v>
      </c>
      <c r="B744" s="125" t="s">
        <v>28264</v>
      </c>
      <c r="C744" s="125">
        <v>1</v>
      </c>
    </row>
    <row r="745" spans="1:3" x14ac:dyDescent="0.25">
      <c r="A745" s="125" t="s">
        <v>25351</v>
      </c>
      <c r="B745" s="125" t="s">
        <v>28343</v>
      </c>
      <c r="C745" s="125">
        <v>1</v>
      </c>
    </row>
    <row r="746" spans="1:3" x14ac:dyDescent="0.25">
      <c r="A746" s="125" t="s">
        <v>25355</v>
      </c>
      <c r="B746" s="125" t="s">
        <v>28245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28325</v>
      </c>
      <c r="C748" s="125">
        <v>1</v>
      </c>
    </row>
    <row r="749" spans="1:3" x14ac:dyDescent="0.25">
      <c r="A749" s="125" t="s">
        <v>25478</v>
      </c>
      <c r="B749" s="125" t="s">
        <v>28252</v>
      </c>
      <c r="C749" s="125">
        <v>1</v>
      </c>
    </row>
    <row r="750" spans="1:3" x14ac:dyDescent="0.25">
      <c r="A750" s="125" t="s">
        <v>25524</v>
      </c>
      <c r="B750" s="125" t="s">
        <v>28258</v>
      </c>
      <c r="C750" s="125">
        <v>1</v>
      </c>
    </row>
    <row r="751" spans="1:3" x14ac:dyDescent="0.25">
      <c r="A751" s="125" t="s">
        <v>25351</v>
      </c>
      <c r="B751" s="125" t="s">
        <v>28215</v>
      </c>
      <c r="C751" s="125">
        <v>1</v>
      </c>
    </row>
    <row r="752" spans="1:3" x14ac:dyDescent="0.25">
      <c r="A752" s="125" t="s">
        <v>25401</v>
      </c>
      <c r="B752" s="125" t="s">
        <v>28242</v>
      </c>
      <c r="C752" s="125">
        <v>1</v>
      </c>
    </row>
    <row r="753" spans="1:3" x14ac:dyDescent="0.25">
      <c r="A753" s="125" t="s">
        <v>25490</v>
      </c>
      <c r="B753" s="125" t="s">
        <v>28226</v>
      </c>
      <c r="C753" s="125">
        <v>1</v>
      </c>
    </row>
    <row r="754" spans="1:3" x14ac:dyDescent="0.25">
      <c r="A754" s="125" t="s">
        <v>25334</v>
      </c>
      <c r="B754" s="125" t="s">
        <v>28216</v>
      </c>
      <c r="C754" s="125">
        <v>1</v>
      </c>
    </row>
    <row r="755" spans="1:3" x14ac:dyDescent="0.25">
      <c r="A755" s="125" t="s">
        <v>25351</v>
      </c>
      <c r="B755" s="125" t="s">
        <v>28340</v>
      </c>
      <c r="C755" s="125">
        <v>1</v>
      </c>
    </row>
    <row r="756" spans="1:3" x14ac:dyDescent="0.25">
      <c r="A756" s="125" t="s">
        <v>25361</v>
      </c>
      <c r="B756" s="125" t="s">
        <v>28215</v>
      </c>
      <c r="C756" s="125">
        <v>1</v>
      </c>
    </row>
    <row r="757" spans="1:3" x14ac:dyDescent="0.25">
      <c r="A757" s="125" t="s">
        <v>25360</v>
      </c>
      <c r="B757" s="125" t="s">
        <v>28340</v>
      </c>
      <c r="C757" s="125">
        <v>1</v>
      </c>
    </row>
    <row r="758" spans="1:3" x14ac:dyDescent="0.25">
      <c r="A758" s="125" t="s">
        <v>25361</v>
      </c>
      <c r="B758" s="125" t="s">
        <v>28214</v>
      </c>
      <c r="C758" s="125">
        <v>1</v>
      </c>
    </row>
    <row r="759" spans="1:3" x14ac:dyDescent="0.25">
      <c r="A759" s="125" t="s">
        <v>25369</v>
      </c>
      <c r="B759" s="125" t="s">
        <v>28226</v>
      </c>
      <c r="C759" s="125">
        <v>1</v>
      </c>
    </row>
    <row r="760" spans="1:3" x14ac:dyDescent="0.25">
      <c r="A760" s="125" t="s">
        <v>25385</v>
      </c>
      <c r="B760" s="125" t="s">
        <v>28236</v>
      </c>
      <c r="C760" s="125">
        <v>1</v>
      </c>
    </row>
    <row r="761" spans="1:3" x14ac:dyDescent="0.25">
      <c r="A761" s="125" t="s">
        <v>25454</v>
      </c>
      <c r="B761" s="125" t="s">
        <v>28243</v>
      </c>
      <c r="C761" s="125">
        <v>1</v>
      </c>
    </row>
    <row r="762" spans="1:3" x14ac:dyDescent="0.25">
      <c r="A762" s="125" t="s">
        <v>25462</v>
      </c>
      <c r="B762" s="125" t="s">
        <v>28252</v>
      </c>
      <c r="C762" s="125">
        <v>1</v>
      </c>
    </row>
    <row r="763" spans="1:3" x14ac:dyDescent="0.25">
      <c r="A763" s="125" t="s">
        <v>34</v>
      </c>
      <c r="B763" s="125" t="s">
        <v>28333</v>
      </c>
      <c r="C763" s="125">
        <v>1</v>
      </c>
    </row>
    <row r="764" spans="1:3" x14ac:dyDescent="0.25">
      <c r="A764" s="125" t="s">
        <v>28320</v>
      </c>
      <c r="B764" s="125" t="s">
        <v>28274</v>
      </c>
      <c r="C764" s="125">
        <v>1</v>
      </c>
    </row>
    <row r="765" spans="1:3" x14ac:dyDescent="0.25">
      <c r="A765" s="125" t="s">
        <v>25479</v>
      </c>
      <c r="B765" s="125" t="s">
        <v>28218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28357</v>
      </c>
      <c r="B767" s="125" t="s">
        <v>28350</v>
      </c>
      <c r="C767" s="125">
        <v>1</v>
      </c>
    </row>
    <row r="768" spans="1:3" x14ac:dyDescent="0.25">
      <c r="A768" s="125" t="s">
        <v>28320</v>
      </c>
      <c r="B768" s="125" t="s">
        <v>28345</v>
      </c>
      <c r="C768" s="125">
        <v>1</v>
      </c>
    </row>
    <row r="769" spans="1:3" x14ac:dyDescent="0.25">
      <c r="A769" s="125" t="s">
        <v>25494</v>
      </c>
      <c r="B769" s="125" t="s">
        <v>28340</v>
      </c>
      <c r="C769" s="125">
        <v>1</v>
      </c>
    </row>
    <row r="770" spans="1:3" x14ac:dyDescent="0.25">
      <c r="A770" s="125" t="s">
        <v>25496</v>
      </c>
      <c r="B770" s="125" t="s">
        <v>28390</v>
      </c>
      <c r="C770" s="125">
        <v>1</v>
      </c>
    </row>
    <row r="771" spans="1:3" x14ac:dyDescent="0.25">
      <c r="A771" s="125" t="s">
        <v>1</v>
      </c>
      <c r="B771" s="125" t="s">
        <v>28224</v>
      </c>
      <c r="C771" s="125">
        <v>1</v>
      </c>
    </row>
    <row r="772" spans="1:3" x14ac:dyDescent="0.25">
      <c r="A772" s="125" t="s">
        <v>25495</v>
      </c>
      <c r="B772" s="125" t="s">
        <v>28276</v>
      </c>
      <c r="C772" s="125">
        <v>1</v>
      </c>
    </row>
    <row r="773" spans="1:3" x14ac:dyDescent="0.25">
      <c r="A773" s="125" t="s">
        <v>25433</v>
      </c>
      <c r="B773" s="125" t="s">
        <v>28211</v>
      </c>
      <c r="C773" s="125">
        <v>1</v>
      </c>
    </row>
    <row r="774" spans="1:3" x14ac:dyDescent="0.25">
      <c r="A774" s="125" t="s">
        <v>25434</v>
      </c>
      <c r="B774" s="125" t="s">
        <v>28236</v>
      </c>
      <c r="C774" s="125">
        <v>1</v>
      </c>
    </row>
    <row r="775" spans="1:3" x14ac:dyDescent="0.25">
      <c r="A775" s="125" t="s">
        <v>25332</v>
      </c>
      <c r="B775" s="125" t="s">
        <v>28272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28391</v>
      </c>
      <c r="B777" s="125" t="s">
        <v>28218</v>
      </c>
      <c r="C777" s="125">
        <v>1</v>
      </c>
    </row>
    <row r="778" spans="1:3" x14ac:dyDescent="0.25">
      <c r="A778" s="125" t="s">
        <v>28320</v>
      </c>
      <c r="B778" s="125" t="s">
        <v>28287</v>
      </c>
      <c r="C778" s="125">
        <v>1</v>
      </c>
    </row>
    <row r="779" spans="1:3" x14ac:dyDescent="0.25">
      <c r="A779" s="125" t="s">
        <v>25365</v>
      </c>
      <c r="B779" s="125" t="s">
        <v>28210</v>
      </c>
      <c r="C779" s="125">
        <v>1</v>
      </c>
    </row>
    <row r="780" spans="1:3" x14ac:dyDescent="0.25">
      <c r="A780" s="125" t="s">
        <v>25503</v>
      </c>
      <c r="B780" s="125" t="s">
        <v>28347</v>
      </c>
      <c r="C780" s="125">
        <v>1</v>
      </c>
    </row>
    <row r="781" spans="1:3" x14ac:dyDescent="0.25">
      <c r="A781" s="125" t="s">
        <v>28392</v>
      </c>
      <c r="B781" s="125" t="s">
        <v>28220</v>
      </c>
      <c r="C781" s="125">
        <v>1</v>
      </c>
    </row>
    <row r="782" spans="1:3" x14ac:dyDescent="0.25">
      <c r="A782" s="125" t="s">
        <v>25384</v>
      </c>
      <c r="B782" s="125" t="s">
        <v>28236</v>
      </c>
      <c r="C782" s="125">
        <v>1</v>
      </c>
    </row>
    <row r="783" spans="1:3" x14ac:dyDescent="0.25">
      <c r="A783" s="125" t="s">
        <v>197</v>
      </c>
      <c r="B783" s="125" t="s">
        <v>28268</v>
      </c>
      <c r="C783" s="125">
        <v>1</v>
      </c>
    </row>
    <row r="784" spans="1:3" x14ac:dyDescent="0.25">
      <c r="A784" s="125" t="s">
        <v>25351</v>
      </c>
      <c r="B784" s="125" t="s">
        <v>28363</v>
      </c>
      <c r="C784" s="125">
        <v>1</v>
      </c>
    </row>
    <row r="785" spans="1:3" x14ac:dyDescent="0.25">
      <c r="A785" s="125" t="s">
        <v>25351</v>
      </c>
      <c r="B785" s="125" t="s">
        <v>28321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28272</v>
      </c>
      <c r="C787" s="125">
        <v>1</v>
      </c>
    </row>
    <row r="788" spans="1:3" x14ac:dyDescent="0.25">
      <c r="A788" s="125" t="s">
        <v>25518</v>
      </c>
      <c r="B788" s="125" t="s">
        <v>28231</v>
      </c>
      <c r="C788" s="125">
        <v>1</v>
      </c>
    </row>
    <row r="789" spans="1:3" x14ac:dyDescent="0.25">
      <c r="A789" s="125" t="s">
        <v>25332</v>
      </c>
      <c r="B789" s="125" t="s">
        <v>28302</v>
      </c>
      <c r="C789" s="125">
        <v>1</v>
      </c>
    </row>
    <row r="790" spans="1:3" x14ac:dyDescent="0.25">
      <c r="A790" s="125" t="s">
        <v>107</v>
      </c>
      <c r="B790" s="125" t="s">
        <v>28215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28363</v>
      </c>
      <c r="C792" s="125">
        <v>1</v>
      </c>
    </row>
    <row r="793" spans="1:3" x14ac:dyDescent="0.25">
      <c r="A793" s="125" t="s">
        <v>58</v>
      </c>
      <c r="B793" s="125" t="s">
        <v>28272</v>
      </c>
      <c r="C793" s="125">
        <v>1</v>
      </c>
    </row>
    <row r="794" spans="1:3" x14ac:dyDescent="0.25">
      <c r="A794" s="125" t="s">
        <v>107</v>
      </c>
      <c r="B794" s="125" t="s">
        <v>28231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28360</v>
      </c>
      <c r="C796" s="125">
        <v>1</v>
      </c>
    </row>
    <row r="797" spans="1:3" x14ac:dyDescent="0.25">
      <c r="A797" s="125" t="s">
        <v>25457</v>
      </c>
      <c r="B797" s="125" t="s">
        <v>28217</v>
      </c>
      <c r="C797" s="125">
        <v>1</v>
      </c>
    </row>
    <row r="798" spans="1:3" x14ac:dyDescent="0.25">
      <c r="A798" s="125" t="s">
        <v>25466</v>
      </c>
      <c r="B798" s="125" t="s">
        <v>28216</v>
      </c>
      <c r="C798" s="125">
        <v>1</v>
      </c>
    </row>
    <row r="799" spans="1:3" x14ac:dyDescent="0.25">
      <c r="A799" s="125" t="s">
        <v>25345</v>
      </c>
      <c r="B799" s="125" t="s">
        <v>28210</v>
      </c>
      <c r="C799" s="125">
        <v>1</v>
      </c>
    </row>
    <row r="800" spans="1:3" x14ac:dyDescent="0.25">
      <c r="A800" s="125" t="s">
        <v>194</v>
      </c>
      <c r="B800" s="125" t="s">
        <v>28275</v>
      </c>
      <c r="C800" s="125">
        <v>1</v>
      </c>
    </row>
    <row r="801" spans="1:3" x14ac:dyDescent="0.25">
      <c r="A801" s="125" t="s">
        <v>25350</v>
      </c>
      <c r="B801" s="125" t="s">
        <v>28272</v>
      </c>
      <c r="C801" s="125">
        <v>1</v>
      </c>
    </row>
    <row r="802" spans="1:3" x14ac:dyDescent="0.25">
      <c r="A802" s="125" t="s">
        <v>52</v>
      </c>
      <c r="B802" s="125" t="s">
        <v>28236</v>
      </c>
      <c r="C802" s="125">
        <v>1</v>
      </c>
    </row>
    <row r="803" spans="1:3" x14ac:dyDescent="0.25">
      <c r="A803" s="125" t="s">
        <v>96</v>
      </c>
      <c r="B803" s="125" t="s">
        <v>28287</v>
      </c>
      <c r="C803" s="125">
        <v>1</v>
      </c>
    </row>
    <row r="804" spans="1:3" x14ac:dyDescent="0.25">
      <c r="A804" s="125" t="s">
        <v>25381</v>
      </c>
      <c r="B804" s="125" t="s">
        <v>28315</v>
      </c>
      <c r="C804" s="125">
        <v>1</v>
      </c>
    </row>
    <row r="805" spans="1:3" x14ac:dyDescent="0.25">
      <c r="A805" s="125" t="s">
        <v>25345</v>
      </c>
      <c r="B805" s="125" t="s">
        <v>28212</v>
      </c>
      <c r="C805" s="125">
        <v>1</v>
      </c>
    </row>
    <row r="806" spans="1:3" x14ac:dyDescent="0.25">
      <c r="A806" s="125" t="s">
        <v>25338</v>
      </c>
      <c r="B806" s="125" t="s">
        <v>28360</v>
      </c>
      <c r="C806" s="125">
        <v>1</v>
      </c>
    </row>
    <row r="807" spans="1:3" x14ac:dyDescent="0.25">
      <c r="A807" s="125" t="s">
        <v>25424</v>
      </c>
      <c r="B807" s="125" t="s">
        <v>28210</v>
      </c>
      <c r="C807" s="125">
        <v>1</v>
      </c>
    </row>
    <row r="808" spans="1:3" x14ac:dyDescent="0.25">
      <c r="A808" s="125" t="s">
        <v>25436</v>
      </c>
      <c r="B808" s="125" t="s">
        <v>28236</v>
      </c>
      <c r="C808" s="125">
        <v>1</v>
      </c>
    </row>
    <row r="809" spans="1:3" x14ac:dyDescent="0.25">
      <c r="A809" s="125" t="s">
        <v>25338</v>
      </c>
      <c r="B809" s="125" t="s">
        <v>28209</v>
      </c>
      <c r="C809" s="125">
        <v>1</v>
      </c>
    </row>
    <row r="810" spans="1:3" x14ac:dyDescent="0.25">
      <c r="A810" s="125" t="s">
        <v>25332</v>
      </c>
      <c r="B810" s="125" t="s">
        <v>28209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28212</v>
      </c>
      <c r="C812" s="125">
        <v>1</v>
      </c>
    </row>
    <row r="813" spans="1:3" x14ac:dyDescent="0.25">
      <c r="A813" s="125" t="s">
        <v>25418</v>
      </c>
      <c r="B813" s="125" t="s">
        <v>28288</v>
      </c>
      <c r="C813" s="125">
        <v>1</v>
      </c>
    </row>
    <row r="814" spans="1:3" x14ac:dyDescent="0.25">
      <c r="A814" s="125" t="s">
        <v>25336</v>
      </c>
      <c r="B814" s="125" t="s">
        <v>28234</v>
      </c>
      <c r="C814" s="125">
        <v>1</v>
      </c>
    </row>
    <row r="815" spans="1:3" x14ac:dyDescent="0.25">
      <c r="A815" s="125" t="s">
        <v>25332</v>
      </c>
      <c r="B815" s="125" t="s">
        <v>28226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28315</v>
      </c>
      <c r="C817" s="125">
        <v>1</v>
      </c>
    </row>
    <row r="818" spans="1:3" x14ac:dyDescent="0.25">
      <c r="A818" s="125" t="s">
        <v>52</v>
      </c>
      <c r="B818" s="125" t="s">
        <v>28215</v>
      </c>
      <c r="C818" s="125">
        <v>1</v>
      </c>
    </row>
    <row r="819" spans="1:3" x14ac:dyDescent="0.25">
      <c r="A819" s="125" t="s">
        <v>42</v>
      </c>
      <c r="B819" s="125" t="s">
        <v>28231</v>
      </c>
      <c r="C819" s="125">
        <v>1</v>
      </c>
    </row>
    <row r="820" spans="1:3" x14ac:dyDescent="0.25">
      <c r="A820" s="125" t="s">
        <v>25352</v>
      </c>
      <c r="B820" s="125" t="s">
        <v>28215</v>
      </c>
      <c r="C820" s="125">
        <v>1</v>
      </c>
    </row>
    <row r="821" spans="1:3" x14ac:dyDescent="0.25">
      <c r="A821" s="125" t="s">
        <v>28393</v>
      </c>
      <c r="B821" s="125" t="s">
        <v>28230</v>
      </c>
      <c r="C821" s="125">
        <v>1</v>
      </c>
    </row>
    <row r="822" spans="1:3" x14ac:dyDescent="0.25">
      <c r="A822" s="125" t="s">
        <v>25342</v>
      </c>
      <c r="B822" s="125" t="s">
        <v>28275</v>
      </c>
      <c r="C822" s="125">
        <v>1</v>
      </c>
    </row>
    <row r="823" spans="1:3" x14ac:dyDescent="0.25">
      <c r="A823" s="125" t="s">
        <v>25341</v>
      </c>
      <c r="B823" s="125" t="s">
        <v>28299</v>
      </c>
      <c r="C823" s="125">
        <v>1</v>
      </c>
    </row>
    <row r="824" spans="1:3" x14ac:dyDescent="0.25">
      <c r="A824" s="125" t="s">
        <v>25343</v>
      </c>
      <c r="B824" s="125" t="s">
        <v>28302</v>
      </c>
      <c r="C824" s="125">
        <v>1</v>
      </c>
    </row>
    <row r="825" spans="1:3" x14ac:dyDescent="0.25">
      <c r="A825" s="125" t="s">
        <v>25331</v>
      </c>
      <c r="B825" s="125" t="s">
        <v>28272</v>
      </c>
      <c r="C825" s="125">
        <v>1</v>
      </c>
    </row>
    <row r="826" spans="1:3" x14ac:dyDescent="0.25">
      <c r="A826" s="125" t="s">
        <v>25420</v>
      </c>
      <c r="B826" s="125" t="s">
        <v>28302</v>
      </c>
      <c r="C826" s="125">
        <v>1</v>
      </c>
    </row>
    <row r="827" spans="1:3" x14ac:dyDescent="0.25">
      <c r="A827" s="125" t="s">
        <v>25360</v>
      </c>
      <c r="B827" s="125" t="s">
        <v>28215</v>
      </c>
      <c r="C827" s="125">
        <v>1</v>
      </c>
    </row>
    <row r="828" spans="1:3" x14ac:dyDescent="0.25">
      <c r="A828" s="125" t="s">
        <v>28510</v>
      </c>
      <c r="B828" s="125" t="s">
        <v>28260</v>
      </c>
      <c r="C828" s="125">
        <v>1</v>
      </c>
    </row>
    <row r="829" spans="1:3" x14ac:dyDescent="0.25">
      <c r="A829" s="125" t="s">
        <v>25471</v>
      </c>
      <c r="B829" s="125" t="s">
        <v>28267</v>
      </c>
      <c r="C829" s="125">
        <v>1</v>
      </c>
    </row>
    <row r="830" spans="1:3" x14ac:dyDescent="0.25">
      <c r="A830" s="125" t="s">
        <v>25347</v>
      </c>
      <c r="B830" s="125" t="s">
        <v>28272</v>
      </c>
      <c r="C830" s="125">
        <v>1</v>
      </c>
    </row>
    <row r="831" spans="1:3" x14ac:dyDescent="0.25">
      <c r="A831" s="125" t="s">
        <v>28511</v>
      </c>
      <c r="B831" s="125" t="s">
        <v>28223</v>
      </c>
      <c r="C831" s="125">
        <v>1</v>
      </c>
    </row>
    <row r="832" spans="1:3" x14ac:dyDescent="0.25">
      <c r="A832" s="125" t="s">
        <v>29553</v>
      </c>
      <c r="B832" s="125" t="s">
        <v>28267</v>
      </c>
      <c r="C832" s="125">
        <v>1</v>
      </c>
    </row>
    <row r="833" spans="1:3" x14ac:dyDescent="0.25">
      <c r="A833" s="125" t="s">
        <v>29554</v>
      </c>
      <c r="B833" s="125" t="s">
        <v>28260</v>
      </c>
      <c r="C833" s="125">
        <v>1</v>
      </c>
    </row>
    <row r="834" spans="1:3" x14ac:dyDescent="0.25">
      <c r="A834" s="125" t="s">
        <v>29555</v>
      </c>
      <c r="B834" s="125" t="s">
        <v>28344</v>
      </c>
      <c r="C834" s="125">
        <v>1</v>
      </c>
    </row>
    <row r="835" spans="1:3" x14ac:dyDescent="0.25">
      <c r="A835" s="125" t="s">
        <v>29556</v>
      </c>
      <c r="B835" s="125" t="s">
        <v>28386</v>
      </c>
      <c r="C835" s="125">
        <v>1</v>
      </c>
    </row>
    <row r="836" spans="1:3" x14ac:dyDescent="0.25">
      <c r="A836" s="125" t="s">
        <v>29557</v>
      </c>
      <c r="B836" s="125" t="s">
        <v>28223</v>
      </c>
      <c r="C836" s="125">
        <v>1</v>
      </c>
    </row>
    <row r="837" spans="1:3" x14ac:dyDescent="0.25">
      <c r="A837" s="125" t="s">
        <v>29558</v>
      </c>
      <c r="B837" s="125" t="s">
        <v>28263</v>
      </c>
      <c r="C837" s="125">
        <v>1</v>
      </c>
    </row>
    <row r="838" spans="1:3" x14ac:dyDescent="0.25">
      <c r="A838" s="125" t="s">
        <v>29559</v>
      </c>
      <c r="B838" s="125" t="s">
        <v>28345</v>
      </c>
      <c r="C838" s="125">
        <v>1</v>
      </c>
    </row>
    <row r="839" spans="1:3" x14ac:dyDescent="0.25">
      <c r="A839" s="125" t="s">
        <v>29560</v>
      </c>
      <c r="B839" s="125" t="s">
        <v>28227</v>
      </c>
      <c r="C839" s="125">
        <v>1</v>
      </c>
    </row>
    <row r="840" spans="1:3" x14ac:dyDescent="0.25">
      <c r="A840" s="125" t="s">
        <v>29561</v>
      </c>
      <c r="B840" s="125" t="s">
        <v>28390</v>
      </c>
      <c r="C840" s="125">
        <v>1</v>
      </c>
    </row>
    <row r="841" spans="1:3" x14ac:dyDescent="0.25">
      <c r="A841" s="125" t="s">
        <v>29562</v>
      </c>
      <c r="B841" s="125" t="s">
        <v>28274</v>
      </c>
      <c r="C841" s="125">
        <v>1</v>
      </c>
    </row>
    <row r="842" spans="1:3" x14ac:dyDescent="0.25">
      <c r="A842" s="125" t="s">
        <v>29563</v>
      </c>
      <c r="B842" s="125" t="s">
        <v>28249</v>
      </c>
      <c r="C842" s="125">
        <v>1</v>
      </c>
    </row>
    <row r="843" spans="1:3" x14ac:dyDescent="0.25">
      <c r="A843" s="125" t="s">
        <v>29564</v>
      </c>
      <c r="B843" s="125" t="s">
        <v>28308</v>
      </c>
      <c r="C843" s="125">
        <v>1</v>
      </c>
    </row>
    <row r="844" spans="1:3" x14ac:dyDescent="0.25">
      <c r="A844" s="125" t="s">
        <v>29565</v>
      </c>
      <c r="B844" s="125" t="s">
        <v>28373</v>
      </c>
      <c r="C844" s="125">
        <v>1</v>
      </c>
    </row>
    <row r="845" spans="1:3" x14ac:dyDescent="0.25">
      <c r="A845" s="125" t="s">
        <v>29566</v>
      </c>
      <c r="B845" s="125" t="s">
        <v>28255</v>
      </c>
      <c r="C845" s="125">
        <v>1</v>
      </c>
    </row>
    <row r="846" spans="1:3" x14ac:dyDescent="0.25">
      <c r="A846" s="125" t="s">
        <v>194</v>
      </c>
      <c r="B846" s="125" t="s">
        <v>28244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28394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28508</v>
      </c>
      <c r="B23" s="135">
        <v>1</v>
      </c>
    </row>
    <row r="24" spans="1:2" x14ac:dyDescent="0.25">
      <c r="A24" s="136" t="s">
        <v>29567</v>
      </c>
      <c r="B24" s="135">
        <v>1</v>
      </c>
    </row>
    <row r="25" spans="1:2" x14ac:dyDescent="0.25">
      <c r="A25" s="34" t="s">
        <v>29571</v>
      </c>
      <c r="B25" s="135">
        <v>1</v>
      </c>
    </row>
    <row r="26" spans="1:2" x14ac:dyDescent="0.25">
      <c r="A26" s="34" t="s">
        <v>29572</v>
      </c>
      <c r="B26" s="135">
        <v>1</v>
      </c>
    </row>
    <row r="27" spans="1:2" x14ac:dyDescent="0.25">
      <c r="A27" s="34" t="s">
        <v>29573</v>
      </c>
      <c r="B27" s="135">
        <v>1</v>
      </c>
    </row>
    <row r="28" spans="1:2" x14ac:dyDescent="0.25">
      <c r="A28" s="34" t="s">
        <v>29574</v>
      </c>
      <c r="B28" s="135">
        <v>1</v>
      </c>
    </row>
    <row r="29" spans="1:2" x14ac:dyDescent="0.25">
      <c r="A29" s="34" t="s">
        <v>29575</v>
      </c>
      <c r="B29" s="135">
        <v>1</v>
      </c>
    </row>
    <row r="30" spans="1:2" x14ac:dyDescent="0.25">
      <c r="A30" s="136" t="s">
        <v>28398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28508</v>
      </c>
      <c r="B22" s="34" t="s">
        <v>29581</v>
      </c>
    </row>
    <row r="23" spans="1:2" x14ac:dyDescent="0.25">
      <c r="A23" s="34" t="s">
        <v>29567</v>
      </c>
      <c r="B23" s="34" t="s">
        <v>29568</v>
      </c>
    </row>
    <row r="24" spans="1:2" x14ac:dyDescent="0.25">
      <c r="A24" s="34" t="s">
        <v>29569</v>
      </c>
      <c r="B24" s="34" t="s">
        <v>29570</v>
      </c>
    </row>
    <row r="25" spans="1:2" x14ac:dyDescent="0.25">
      <c r="A25" s="34" t="s">
        <v>29571</v>
      </c>
      <c r="B25" s="34" t="s">
        <v>29578</v>
      </c>
    </row>
    <row r="26" spans="1:2" x14ac:dyDescent="0.25">
      <c r="A26" s="34" t="s">
        <v>29572</v>
      </c>
      <c r="B26" s="34" t="s">
        <v>29577</v>
      </c>
    </row>
    <row r="27" spans="1:2" x14ac:dyDescent="0.25">
      <c r="A27" s="34" t="s">
        <v>29573</v>
      </c>
      <c r="B27" s="34" t="s">
        <v>29579</v>
      </c>
    </row>
    <row r="28" spans="1:2" x14ac:dyDescent="0.25">
      <c r="A28" s="34" t="s">
        <v>29574</v>
      </c>
      <c r="B28" s="34" t="s">
        <v>29578</v>
      </c>
    </row>
    <row r="29" spans="1:2" x14ac:dyDescent="0.25">
      <c r="A29" s="34" t="s">
        <v>29575</v>
      </c>
      <c r="B29" s="34" t="s">
        <v>29580</v>
      </c>
    </row>
    <row r="30" spans="1:2" x14ac:dyDescent="0.25">
      <c r="A30" s="34" t="s">
        <v>28398</v>
      </c>
      <c r="B30" s="34" t="s">
        <v>28421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29576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AF4" sqref="AF4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27576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28404</v>
      </c>
      <c r="P1" s="79" t="s">
        <v>28405</v>
      </c>
      <c r="Q1" s="79" t="s">
        <v>2</v>
      </c>
      <c r="R1" s="145" t="s">
        <v>28420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 t="s">
        <v>28343</v>
      </c>
      <c r="AK1" s="85" t="s">
        <v>28238</v>
      </c>
      <c r="AL1" s="85" t="s">
        <v>28230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21909</v>
      </c>
      <c r="B2" s="80" t="s">
        <v>29582</v>
      </c>
      <c r="C2" s="80" t="s">
        <v>8</v>
      </c>
      <c r="D2" s="80" t="s">
        <v>21</v>
      </c>
      <c r="E2" s="80" t="s">
        <v>25636</v>
      </c>
      <c r="F2" s="80" t="s">
        <v>26643</v>
      </c>
      <c r="G2" s="80" t="s">
        <v>25636</v>
      </c>
      <c r="H2" s="80" t="s">
        <v>29712</v>
      </c>
      <c r="I2" s="80" t="s">
        <v>25345</v>
      </c>
      <c r="J2" s="83" t="s">
        <v>25731</v>
      </c>
      <c r="K2" s="80" t="s">
        <v>25676</v>
      </c>
      <c r="L2" s="80" t="s">
        <v>25597</v>
      </c>
      <c r="M2" s="80" t="s">
        <v>12</v>
      </c>
      <c r="N2" s="80">
        <v>497.70000000000005</v>
      </c>
      <c r="O2" s="80"/>
      <c r="P2" s="80"/>
      <c r="Q2" s="80" t="s">
        <v>52</v>
      </c>
      <c r="R2" s="146"/>
      <c r="S2" s="103" t="str">
        <f>A2&amp;"-"&amp;T2</f>
        <v>81-054-32-</v>
      </c>
      <c r="Y2" s="81">
        <v>2</v>
      </c>
      <c r="AA2" s="81">
        <v>10</v>
      </c>
      <c r="AC2" s="81">
        <v>25</v>
      </c>
      <c r="AE2" s="81">
        <v>19</v>
      </c>
    </row>
    <row r="3" spans="1:45" ht="15" customHeight="1" x14ac:dyDescent="0.2">
      <c r="A3" s="81" t="s">
        <v>21083</v>
      </c>
      <c r="B3" s="81" t="s">
        <v>29583</v>
      </c>
      <c r="C3" s="81" t="s">
        <v>8</v>
      </c>
      <c r="D3" s="81" t="s">
        <v>9</v>
      </c>
      <c r="E3" s="81" t="s">
        <v>25636</v>
      </c>
      <c r="F3" s="81" t="s">
        <v>26643</v>
      </c>
      <c r="G3" s="81" t="s">
        <v>25636</v>
      </c>
      <c r="H3" s="81" t="s">
        <v>29713</v>
      </c>
      <c r="I3" s="81" t="s">
        <v>52</v>
      </c>
      <c r="J3" s="84" t="s">
        <v>25731</v>
      </c>
      <c r="K3" s="81" t="s">
        <v>25676</v>
      </c>
      <c r="L3" s="81" t="s">
        <v>25597</v>
      </c>
      <c r="M3" s="81" t="s">
        <v>12</v>
      </c>
      <c r="N3" s="81">
        <v>434.7</v>
      </c>
      <c r="Q3" s="80" t="s">
        <v>52</v>
      </c>
      <c r="R3" s="146"/>
      <c r="S3" s="103" t="str">
        <f t="shared" ref="S3:S66" si="0">A3&amp;"-"&amp;T3</f>
        <v>80-786-02-</v>
      </c>
      <c r="AA3" s="81">
        <v>16</v>
      </c>
      <c r="AC3" s="81">
        <v>19</v>
      </c>
      <c r="AE3" s="81">
        <v>12</v>
      </c>
    </row>
    <row r="4" spans="1:45" ht="15" customHeight="1" x14ac:dyDescent="0.2">
      <c r="A4" s="81" t="s">
        <v>21189</v>
      </c>
      <c r="B4" s="81" t="s">
        <v>29584</v>
      </c>
      <c r="C4" s="81" t="s">
        <v>31</v>
      </c>
      <c r="D4" s="81" t="s">
        <v>25548</v>
      </c>
      <c r="E4" s="81" t="s">
        <v>25636</v>
      </c>
      <c r="F4" s="81" t="s">
        <v>91</v>
      </c>
      <c r="G4" s="81" t="s">
        <v>25636</v>
      </c>
      <c r="H4" s="81" t="s">
        <v>29714</v>
      </c>
      <c r="I4" s="81" t="s">
        <v>23</v>
      </c>
      <c r="J4" s="84" t="s">
        <v>192</v>
      </c>
      <c r="K4" s="81" t="s">
        <v>264</v>
      </c>
      <c r="L4" s="81" t="s">
        <v>25597</v>
      </c>
      <c r="M4" s="81" t="s">
        <v>12</v>
      </c>
      <c r="N4" s="81">
        <v>1001.7</v>
      </c>
      <c r="Q4" s="80" t="s">
        <v>27</v>
      </c>
      <c r="R4" s="146"/>
      <c r="S4" s="103" t="str">
        <f t="shared" si="0"/>
        <v>80-820-16-</v>
      </c>
      <c r="Y4" s="81">
        <v>5</v>
      </c>
      <c r="AA4" s="81">
        <v>10</v>
      </c>
      <c r="AC4" s="81">
        <v>13</v>
      </c>
      <c r="AE4" s="81">
        <v>6</v>
      </c>
    </row>
    <row r="5" spans="1:45" ht="15" customHeight="1" x14ac:dyDescent="0.2">
      <c r="A5" s="81" t="s">
        <v>21883</v>
      </c>
      <c r="B5" s="81" t="s">
        <v>29585</v>
      </c>
      <c r="C5" s="81" t="s">
        <v>8</v>
      </c>
      <c r="D5" s="81" t="s">
        <v>21</v>
      </c>
      <c r="E5" s="81" t="s">
        <v>25636</v>
      </c>
      <c r="F5" s="81" t="s">
        <v>26643</v>
      </c>
      <c r="G5" s="81" t="s">
        <v>25636</v>
      </c>
      <c r="H5" s="81" t="s">
        <v>29712</v>
      </c>
      <c r="I5" s="81" t="s">
        <v>25345</v>
      </c>
      <c r="J5" s="84" t="s">
        <v>25731</v>
      </c>
      <c r="K5" s="81" t="s">
        <v>25676</v>
      </c>
      <c r="L5" s="81" t="s">
        <v>25597</v>
      </c>
      <c r="M5" s="81" t="s">
        <v>12</v>
      </c>
      <c r="N5" s="81">
        <v>497.70000000000005</v>
      </c>
      <c r="Q5" s="80" t="s">
        <v>52</v>
      </c>
      <c r="R5" s="146"/>
      <c r="S5" s="103" t="str">
        <f t="shared" si="0"/>
        <v>81-045-32-</v>
      </c>
      <c r="Y5" s="81">
        <v>3</v>
      </c>
      <c r="AA5" s="81">
        <v>8</v>
      </c>
      <c r="AC5" s="81">
        <v>14</v>
      </c>
      <c r="AE5" s="81">
        <v>6</v>
      </c>
    </row>
    <row r="6" spans="1:45" ht="15" customHeight="1" x14ac:dyDescent="0.2">
      <c r="A6" s="81" t="s">
        <v>21879</v>
      </c>
      <c r="B6" s="81" t="s">
        <v>29586</v>
      </c>
      <c r="C6" s="81" t="s">
        <v>8</v>
      </c>
      <c r="D6" s="81" t="s">
        <v>25573</v>
      </c>
      <c r="E6" s="81" t="s">
        <v>25636</v>
      </c>
      <c r="F6" s="81" t="s">
        <v>26643</v>
      </c>
      <c r="G6" s="81" t="s">
        <v>25636</v>
      </c>
      <c r="H6" s="81" t="s">
        <v>29715</v>
      </c>
      <c r="I6" s="81" t="s">
        <v>42</v>
      </c>
      <c r="J6" s="84" t="s">
        <v>25731</v>
      </c>
      <c r="K6" s="81" t="s">
        <v>25676</v>
      </c>
      <c r="L6" s="81" t="s">
        <v>25597</v>
      </c>
      <c r="M6" s="81" t="s">
        <v>12</v>
      </c>
      <c r="N6" s="81">
        <v>560.70000000000005</v>
      </c>
      <c r="Q6" s="80" t="s">
        <v>52</v>
      </c>
      <c r="R6" s="146"/>
      <c r="S6" s="103" t="str">
        <f t="shared" si="0"/>
        <v>81-043-53-</v>
      </c>
      <c r="AA6" s="81">
        <v>10</v>
      </c>
      <c r="AC6" s="81">
        <v>12</v>
      </c>
    </row>
    <row r="7" spans="1:45" ht="15" customHeight="1" x14ac:dyDescent="0.2">
      <c r="A7" s="81" t="s">
        <v>21891</v>
      </c>
      <c r="B7" s="81" t="s">
        <v>29587</v>
      </c>
      <c r="C7" s="81" t="s">
        <v>8</v>
      </c>
      <c r="D7" s="81" t="s">
        <v>21</v>
      </c>
      <c r="E7" s="81" t="s">
        <v>25636</v>
      </c>
      <c r="F7" s="81" t="s">
        <v>26643</v>
      </c>
      <c r="G7" s="81" t="s">
        <v>25636</v>
      </c>
      <c r="H7" s="81" t="s">
        <v>29713</v>
      </c>
      <c r="I7" s="81" t="s">
        <v>52</v>
      </c>
      <c r="J7" s="84" t="s">
        <v>25731</v>
      </c>
      <c r="K7" s="81" t="s">
        <v>25676</v>
      </c>
      <c r="L7" s="81" t="s">
        <v>25597</v>
      </c>
      <c r="M7" s="81" t="s">
        <v>12</v>
      </c>
      <c r="N7" s="81">
        <v>1001.7</v>
      </c>
      <c r="Q7" s="80" t="s">
        <v>52</v>
      </c>
      <c r="R7" s="146"/>
      <c r="S7" s="103" t="str">
        <f t="shared" si="0"/>
        <v>81-047-02-</v>
      </c>
      <c r="AC7" s="81">
        <v>3</v>
      </c>
      <c r="AE7" s="81">
        <v>3</v>
      </c>
    </row>
    <row r="8" spans="1:45" ht="15" customHeight="1" x14ac:dyDescent="0.2">
      <c r="A8" s="81" t="s">
        <v>21547</v>
      </c>
      <c r="B8" s="81" t="s">
        <v>29588</v>
      </c>
      <c r="C8" s="81" t="s">
        <v>46</v>
      </c>
      <c r="D8" s="81" t="s">
        <v>47</v>
      </c>
      <c r="E8" s="81" t="s">
        <v>25636</v>
      </c>
      <c r="F8" s="81" t="s">
        <v>26643</v>
      </c>
      <c r="G8" s="81" t="s">
        <v>25636</v>
      </c>
      <c r="H8" s="81" t="s">
        <v>29716</v>
      </c>
      <c r="I8" s="81" t="s">
        <v>147</v>
      </c>
      <c r="J8" s="84" t="s">
        <v>11</v>
      </c>
      <c r="K8" s="81" t="s">
        <v>25678</v>
      </c>
      <c r="L8" s="81" t="s">
        <v>25598</v>
      </c>
      <c r="M8" s="81" t="s">
        <v>12</v>
      </c>
      <c r="N8" s="81">
        <v>497.70000000000005</v>
      </c>
      <c r="Q8" s="80" t="s">
        <v>147</v>
      </c>
      <c r="R8" s="146"/>
      <c r="S8" s="103" t="str">
        <f t="shared" si="0"/>
        <v>80-941-19-</v>
      </c>
      <c r="AC8" s="81">
        <v>20</v>
      </c>
    </row>
    <row r="9" spans="1:45" ht="15" customHeight="1" x14ac:dyDescent="0.2">
      <c r="A9" s="81" t="s">
        <v>21847</v>
      </c>
      <c r="B9" s="81" t="s">
        <v>29589</v>
      </c>
      <c r="C9" s="81" t="s">
        <v>198</v>
      </c>
      <c r="D9" s="81" t="s">
        <v>199</v>
      </c>
      <c r="E9" s="81" t="s">
        <v>25636</v>
      </c>
      <c r="F9" s="81" t="s">
        <v>91</v>
      </c>
      <c r="G9" s="81" t="s">
        <v>25636</v>
      </c>
      <c r="H9" s="81" t="s">
        <v>29717</v>
      </c>
      <c r="I9" s="81" t="s">
        <v>28</v>
      </c>
      <c r="J9" s="84" t="s">
        <v>11</v>
      </c>
      <c r="K9" s="81" t="s">
        <v>25678</v>
      </c>
      <c r="L9" s="81" t="s">
        <v>25597</v>
      </c>
      <c r="M9" s="81" t="s">
        <v>12</v>
      </c>
      <c r="N9" s="81">
        <v>812.69999999999993</v>
      </c>
      <c r="Q9" s="80" t="s">
        <v>28</v>
      </c>
      <c r="R9" s="146"/>
      <c r="S9" s="103" t="str">
        <f t="shared" si="0"/>
        <v>81-036-08-</v>
      </c>
      <c r="Y9" s="81">
        <v>10</v>
      </c>
      <c r="AA9" s="81">
        <v>27</v>
      </c>
      <c r="AC9" s="81">
        <v>32</v>
      </c>
      <c r="AE9" s="81">
        <v>7</v>
      </c>
    </row>
    <row r="10" spans="1:45" ht="15" customHeight="1" x14ac:dyDescent="0.2">
      <c r="A10" s="81" t="s">
        <v>21853</v>
      </c>
      <c r="B10" s="81" t="s">
        <v>29589</v>
      </c>
      <c r="C10" s="81" t="s">
        <v>198</v>
      </c>
      <c r="D10" s="81" t="s">
        <v>199</v>
      </c>
      <c r="E10" s="81" t="s">
        <v>25636</v>
      </c>
      <c r="F10" s="81" t="s">
        <v>91</v>
      </c>
      <c r="G10" s="81" t="s">
        <v>25636</v>
      </c>
      <c r="H10" s="81" t="s">
        <v>29714</v>
      </c>
      <c r="I10" s="81" t="s">
        <v>23</v>
      </c>
      <c r="J10" s="84" t="s">
        <v>11</v>
      </c>
      <c r="K10" s="81" t="s">
        <v>25678</v>
      </c>
      <c r="L10" s="81" t="s">
        <v>25597</v>
      </c>
      <c r="M10" s="81" t="s">
        <v>12</v>
      </c>
      <c r="N10" s="81">
        <v>812.69999999999993</v>
      </c>
      <c r="Q10" s="80" t="s">
        <v>27</v>
      </c>
      <c r="R10" s="146"/>
      <c r="S10" s="103" t="str">
        <f t="shared" si="0"/>
        <v>81-036-16-</v>
      </c>
      <c r="Y10" s="81">
        <v>11</v>
      </c>
      <c r="AA10" s="81">
        <v>30</v>
      </c>
      <c r="AC10" s="81">
        <v>33</v>
      </c>
      <c r="AE10" s="81">
        <v>6</v>
      </c>
    </row>
    <row r="11" spans="1:45" ht="15" customHeight="1" x14ac:dyDescent="0.2">
      <c r="A11" s="81" t="s">
        <v>21849</v>
      </c>
      <c r="B11" s="81" t="s">
        <v>29589</v>
      </c>
      <c r="C11" s="81" t="s">
        <v>198</v>
      </c>
      <c r="D11" s="81" t="s">
        <v>199</v>
      </c>
      <c r="E11" s="81" t="s">
        <v>25636</v>
      </c>
      <c r="F11" s="81" t="s">
        <v>91</v>
      </c>
      <c r="G11" s="81" t="s">
        <v>25636</v>
      </c>
      <c r="H11" s="81" t="s">
        <v>29715</v>
      </c>
      <c r="I11" s="81" t="s">
        <v>1</v>
      </c>
      <c r="J11" s="84" t="s">
        <v>11</v>
      </c>
      <c r="K11" s="81" t="s">
        <v>25678</v>
      </c>
      <c r="L11" s="81" t="s">
        <v>25597</v>
      </c>
      <c r="M11" s="81" t="s">
        <v>12</v>
      </c>
      <c r="N11" s="81">
        <v>812.69999999999993</v>
      </c>
      <c r="Q11" s="80" t="s">
        <v>1</v>
      </c>
      <c r="R11" s="146"/>
      <c r="S11" s="103" t="str">
        <f t="shared" si="0"/>
        <v>81-036-09-</v>
      </c>
      <c r="Y11" s="81">
        <v>10</v>
      </c>
      <c r="AA11" s="81">
        <v>30</v>
      </c>
      <c r="AC11" s="81">
        <v>31</v>
      </c>
      <c r="AE11" s="81">
        <v>14</v>
      </c>
    </row>
    <row r="12" spans="1:45" ht="15" customHeight="1" x14ac:dyDescent="0.2">
      <c r="A12" s="81" t="s">
        <v>18782</v>
      </c>
      <c r="B12" s="81" t="s">
        <v>29590</v>
      </c>
      <c r="C12" s="81" t="s">
        <v>46</v>
      </c>
      <c r="D12" s="81" t="s">
        <v>47</v>
      </c>
      <c r="E12" s="81" t="s">
        <v>25636</v>
      </c>
      <c r="F12" s="81" t="s">
        <v>26643</v>
      </c>
      <c r="G12" s="81" t="s">
        <v>25636</v>
      </c>
      <c r="H12" s="81" t="s">
        <v>29717</v>
      </c>
      <c r="I12" s="81" t="s">
        <v>28</v>
      </c>
      <c r="J12" s="84" t="s">
        <v>11</v>
      </c>
      <c r="K12" s="81" t="s">
        <v>25678</v>
      </c>
      <c r="L12" s="81" t="s">
        <v>25598</v>
      </c>
      <c r="M12" s="81" t="s">
        <v>20</v>
      </c>
      <c r="N12" s="81">
        <v>315</v>
      </c>
      <c r="Q12" s="80" t="s">
        <v>28</v>
      </c>
      <c r="R12" s="146"/>
      <c r="S12" s="103" t="str">
        <f t="shared" si="0"/>
        <v>80-161-08-</v>
      </c>
      <c r="AA12" s="81">
        <v>1</v>
      </c>
      <c r="AD12" s="81">
        <v>2</v>
      </c>
      <c r="AE12" s="81">
        <v>1</v>
      </c>
    </row>
    <row r="13" spans="1:45" ht="15" customHeight="1" x14ac:dyDescent="0.2">
      <c r="A13" s="80" t="s">
        <v>18780</v>
      </c>
      <c r="B13" s="81" t="s">
        <v>29590</v>
      </c>
      <c r="C13" s="81" t="s">
        <v>46</v>
      </c>
      <c r="D13" s="81" t="s">
        <v>47</v>
      </c>
      <c r="E13" s="81" t="s">
        <v>25636</v>
      </c>
      <c r="F13" s="81" t="s">
        <v>91</v>
      </c>
      <c r="G13" s="81" t="s">
        <v>25636</v>
      </c>
      <c r="H13" s="81" t="s">
        <v>29718</v>
      </c>
      <c r="I13" s="80" t="s">
        <v>54</v>
      </c>
      <c r="J13" s="84" t="s">
        <v>11</v>
      </c>
      <c r="K13" s="81" t="s">
        <v>25678</v>
      </c>
      <c r="L13" s="81" t="s">
        <v>25598</v>
      </c>
      <c r="M13" s="81" t="s">
        <v>20</v>
      </c>
      <c r="N13" s="81">
        <v>315</v>
      </c>
      <c r="Q13" s="80" t="s">
        <v>54</v>
      </c>
      <c r="R13" s="146"/>
      <c r="S13" s="103" t="str">
        <f t="shared" si="0"/>
        <v>80-161-07-</v>
      </c>
      <c r="Z13" s="81">
        <v>6</v>
      </c>
      <c r="AB13" s="81">
        <v>1</v>
      </c>
      <c r="AC13" s="81">
        <v>1</v>
      </c>
      <c r="AD13" s="81">
        <v>4</v>
      </c>
      <c r="AF13" s="81">
        <v>1</v>
      </c>
    </row>
    <row r="14" spans="1:45" ht="15" customHeight="1" x14ac:dyDescent="0.2">
      <c r="A14" s="81" t="s">
        <v>21143</v>
      </c>
      <c r="B14" s="81" t="s">
        <v>29591</v>
      </c>
      <c r="C14" s="81" t="s">
        <v>31</v>
      </c>
      <c r="D14" s="81" t="s">
        <v>32</v>
      </c>
      <c r="E14" s="81" t="s">
        <v>25636</v>
      </c>
      <c r="F14" s="81" t="s">
        <v>91</v>
      </c>
      <c r="G14" s="81" t="s">
        <v>25636</v>
      </c>
      <c r="H14" s="81" t="s">
        <v>29719</v>
      </c>
      <c r="I14" s="81" t="s">
        <v>96</v>
      </c>
      <c r="J14" s="84" t="s">
        <v>192</v>
      </c>
      <c r="K14" s="81" t="s">
        <v>264</v>
      </c>
      <c r="L14" s="81" t="s">
        <v>25598</v>
      </c>
      <c r="M14" s="81" t="s">
        <v>12</v>
      </c>
      <c r="N14" s="81">
        <v>270</v>
      </c>
      <c r="Q14" s="80" t="s">
        <v>96</v>
      </c>
      <c r="R14" s="146"/>
      <c r="S14" s="103" t="str">
        <f t="shared" si="0"/>
        <v>80-805-12-</v>
      </c>
      <c r="Y14" s="81">
        <v>1</v>
      </c>
      <c r="AA14" s="81">
        <v>2</v>
      </c>
      <c r="AC14" s="81">
        <v>2</v>
      </c>
      <c r="AE14" s="81">
        <v>1</v>
      </c>
    </row>
    <row r="15" spans="1:45" ht="15" customHeight="1" x14ac:dyDescent="0.2">
      <c r="A15" s="81" t="s">
        <v>20565</v>
      </c>
      <c r="B15" s="81" t="s">
        <v>29592</v>
      </c>
      <c r="C15" s="81" t="s">
        <v>31</v>
      </c>
      <c r="D15" s="81" t="s">
        <v>32</v>
      </c>
      <c r="E15" s="81" t="s">
        <v>25636</v>
      </c>
      <c r="F15" s="81" t="s">
        <v>91</v>
      </c>
      <c r="G15" s="81" t="s">
        <v>25636</v>
      </c>
      <c r="H15" s="81" t="s">
        <v>29717</v>
      </c>
      <c r="I15" s="81" t="s">
        <v>28</v>
      </c>
      <c r="J15" s="84" t="s">
        <v>0</v>
      </c>
      <c r="K15" s="81" t="s">
        <v>264</v>
      </c>
      <c r="L15" s="81" t="s">
        <v>25598</v>
      </c>
      <c r="M15" s="81" t="s">
        <v>20</v>
      </c>
      <c r="N15" s="81">
        <v>360</v>
      </c>
      <c r="Q15" s="80" t="s">
        <v>28</v>
      </c>
      <c r="R15" s="146"/>
      <c r="S15" s="103" t="str">
        <f t="shared" si="0"/>
        <v>80-632-08-</v>
      </c>
      <c r="Y15" s="81">
        <v>6</v>
      </c>
      <c r="Z15" s="81">
        <v>2</v>
      </c>
      <c r="AC15" s="81">
        <v>18</v>
      </c>
    </row>
    <row r="16" spans="1:45" ht="15" customHeight="1" x14ac:dyDescent="0.2">
      <c r="A16" s="81" t="s">
        <v>20567</v>
      </c>
      <c r="B16" s="81" t="s">
        <v>29592</v>
      </c>
      <c r="C16" s="81" t="s">
        <v>31</v>
      </c>
      <c r="D16" s="81" t="s">
        <v>32</v>
      </c>
      <c r="E16" s="81" t="s">
        <v>25636</v>
      </c>
      <c r="F16" s="81" t="s">
        <v>91</v>
      </c>
      <c r="G16" s="81" t="s">
        <v>25636</v>
      </c>
      <c r="H16" s="81" t="s">
        <v>29720</v>
      </c>
      <c r="I16" s="81" t="s">
        <v>22</v>
      </c>
      <c r="J16" s="84" t="s">
        <v>0</v>
      </c>
      <c r="K16" s="81" t="s">
        <v>264</v>
      </c>
      <c r="L16" s="81" t="s">
        <v>25598</v>
      </c>
      <c r="M16" s="81" t="s">
        <v>20</v>
      </c>
      <c r="N16" s="81">
        <v>360</v>
      </c>
      <c r="Q16" s="80" t="s">
        <v>22</v>
      </c>
      <c r="R16" s="146"/>
      <c r="S16" s="103" t="str">
        <f t="shared" si="0"/>
        <v>80-632-14-</v>
      </c>
      <c r="Y16" s="81">
        <v>4</v>
      </c>
      <c r="AA16" s="81">
        <v>4</v>
      </c>
      <c r="AC16" s="81">
        <v>7</v>
      </c>
    </row>
    <row r="17" spans="1:31" ht="15" customHeight="1" x14ac:dyDescent="0.2">
      <c r="A17" s="81" t="s">
        <v>20571</v>
      </c>
      <c r="B17" s="81" t="s">
        <v>29593</v>
      </c>
      <c r="C17" s="81" t="s">
        <v>31</v>
      </c>
      <c r="D17" s="81" t="s">
        <v>32</v>
      </c>
      <c r="E17" s="81" t="s">
        <v>25636</v>
      </c>
      <c r="F17" s="81" t="s">
        <v>91</v>
      </c>
      <c r="G17" s="81" t="s">
        <v>25636</v>
      </c>
      <c r="H17" s="81" t="s">
        <v>29717</v>
      </c>
      <c r="I17" s="81" t="s">
        <v>28</v>
      </c>
      <c r="J17" s="84" t="s">
        <v>26008</v>
      </c>
      <c r="K17" s="81" t="s">
        <v>264</v>
      </c>
      <c r="L17" s="81" t="s">
        <v>25598</v>
      </c>
      <c r="M17" s="81" t="s">
        <v>20</v>
      </c>
      <c r="N17" s="81">
        <v>270</v>
      </c>
      <c r="Q17" s="80" t="s">
        <v>28</v>
      </c>
      <c r="R17" s="146"/>
      <c r="S17" s="103" t="str">
        <f t="shared" si="0"/>
        <v>80-633-08-</v>
      </c>
      <c r="AA17" s="81">
        <v>5</v>
      </c>
    </row>
    <row r="18" spans="1:31" ht="15" customHeight="1" x14ac:dyDescent="0.2">
      <c r="A18" s="81" t="s">
        <v>20583</v>
      </c>
      <c r="B18" s="81" t="s">
        <v>29594</v>
      </c>
      <c r="C18" s="81" t="s">
        <v>31</v>
      </c>
      <c r="D18" s="81" t="s">
        <v>32</v>
      </c>
      <c r="E18" s="81" t="s">
        <v>25636</v>
      </c>
      <c r="F18" s="81" t="s">
        <v>91</v>
      </c>
      <c r="G18" s="81" t="s">
        <v>25636</v>
      </c>
      <c r="H18" s="81" t="s">
        <v>29716</v>
      </c>
      <c r="I18" s="81" t="s">
        <v>27</v>
      </c>
      <c r="J18" s="84" t="s">
        <v>26135</v>
      </c>
      <c r="K18" s="81" t="s">
        <v>264</v>
      </c>
      <c r="L18" s="81" t="s">
        <v>25598</v>
      </c>
      <c r="M18" s="81" t="s">
        <v>20</v>
      </c>
      <c r="N18" s="81">
        <v>135</v>
      </c>
      <c r="Q18" s="80" t="s">
        <v>27</v>
      </c>
      <c r="R18" s="146"/>
      <c r="S18" s="103" t="str">
        <f t="shared" si="0"/>
        <v>80-637-06-</v>
      </c>
      <c r="Y18" s="81">
        <v>1</v>
      </c>
      <c r="AC18" s="81">
        <v>2</v>
      </c>
      <c r="AE18" s="81">
        <v>1</v>
      </c>
    </row>
    <row r="19" spans="1:31" ht="15" customHeight="1" x14ac:dyDescent="0.2">
      <c r="A19" s="81" t="s">
        <v>20587</v>
      </c>
      <c r="B19" s="81" t="s">
        <v>29594</v>
      </c>
      <c r="C19" s="81" t="s">
        <v>31</v>
      </c>
      <c r="D19" s="81" t="s">
        <v>32</v>
      </c>
      <c r="E19" s="81" t="s">
        <v>25636</v>
      </c>
      <c r="F19" s="81" t="s">
        <v>91</v>
      </c>
      <c r="G19" s="81" t="s">
        <v>25636</v>
      </c>
      <c r="H19" s="81" t="s">
        <v>29721</v>
      </c>
      <c r="I19" s="81" t="s">
        <v>141</v>
      </c>
      <c r="J19" s="84" t="s">
        <v>26135</v>
      </c>
      <c r="K19" s="81" t="s">
        <v>264</v>
      </c>
      <c r="L19" s="81" t="s">
        <v>25598</v>
      </c>
      <c r="M19" s="81" t="s">
        <v>20</v>
      </c>
      <c r="N19" s="81">
        <v>135</v>
      </c>
      <c r="Q19" s="80" t="s">
        <v>141</v>
      </c>
      <c r="R19" s="146"/>
      <c r="S19" s="103" t="str">
        <f t="shared" si="0"/>
        <v>80-637-18-</v>
      </c>
      <c r="AA19" s="81">
        <v>1</v>
      </c>
      <c r="AC19" s="81">
        <v>9</v>
      </c>
      <c r="AE19" s="81">
        <v>1</v>
      </c>
    </row>
    <row r="20" spans="1:31" ht="15" customHeight="1" x14ac:dyDescent="0.2">
      <c r="A20" s="81" t="s">
        <v>21709</v>
      </c>
      <c r="B20" s="81" t="s">
        <v>29595</v>
      </c>
      <c r="C20" s="81" t="s">
        <v>31</v>
      </c>
      <c r="D20" s="81" t="s">
        <v>32</v>
      </c>
      <c r="E20" s="81" t="s">
        <v>25636</v>
      </c>
      <c r="F20" s="81" t="s">
        <v>91</v>
      </c>
      <c r="G20" s="81" t="s">
        <v>25636</v>
      </c>
      <c r="H20" s="81" t="s">
        <v>29716</v>
      </c>
      <c r="I20" s="81" t="s">
        <v>27</v>
      </c>
      <c r="J20" s="84" t="s">
        <v>26066</v>
      </c>
      <c r="K20" s="81" t="s">
        <v>264</v>
      </c>
      <c r="L20" s="81" t="s">
        <v>25598</v>
      </c>
      <c r="M20" s="81" t="s">
        <v>12</v>
      </c>
      <c r="N20" s="81">
        <v>270</v>
      </c>
      <c r="Q20" s="80" t="s">
        <v>27</v>
      </c>
      <c r="R20" s="146"/>
      <c r="S20" s="103" t="str">
        <f t="shared" si="0"/>
        <v>81-001-06-</v>
      </c>
      <c r="Y20" s="81">
        <v>1</v>
      </c>
      <c r="AA20" s="81">
        <v>2</v>
      </c>
      <c r="AC20" s="81">
        <v>2</v>
      </c>
      <c r="AE20" s="81">
        <v>1</v>
      </c>
    </row>
    <row r="21" spans="1:31" ht="15" customHeight="1" x14ac:dyDescent="0.2">
      <c r="A21" s="81" t="s">
        <v>21326</v>
      </c>
      <c r="B21" s="81" t="s">
        <v>29596</v>
      </c>
      <c r="C21" s="81" t="s">
        <v>49</v>
      </c>
      <c r="D21" s="81" t="s">
        <v>57</v>
      </c>
      <c r="E21" s="81" t="s">
        <v>25636</v>
      </c>
      <c r="F21" s="81" t="s">
        <v>26642</v>
      </c>
      <c r="G21" s="81" t="s">
        <v>25636</v>
      </c>
      <c r="H21" s="81" t="s">
        <v>29722</v>
      </c>
      <c r="I21" s="81" t="s">
        <v>52</v>
      </c>
      <c r="J21" s="84" t="s">
        <v>59</v>
      </c>
      <c r="L21" s="81" t="s">
        <v>25598</v>
      </c>
      <c r="M21" s="81" t="s">
        <v>12</v>
      </c>
      <c r="N21" s="81">
        <v>270</v>
      </c>
      <c r="Q21" s="80" t="s">
        <v>52</v>
      </c>
      <c r="R21" s="146"/>
      <c r="S21" s="103" t="str">
        <f t="shared" si="0"/>
        <v>80-863-02-</v>
      </c>
      <c r="Y21" s="81">
        <v>6</v>
      </c>
      <c r="AA21" s="81">
        <v>1</v>
      </c>
      <c r="AC21" s="81">
        <v>1</v>
      </c>
    </row>
    <row r="22" spans="1:31" ht="15" customHeight="1" x14ac:dyDescent="0.2">
      <c r="A22" s="81" t="s">
        <v>21330</v>
      </c>
      <c r="B22" s="81" t="s">
        <v>29597</v>
      </c>
      <c r="C22" s="81" t="s">
        <v>49</v>
      </c>
      <c r="D22" s="81" t="s">
        <v>57</v>
      </c>
      <c r="E22" s="81" t="s">
        <v>25636</v>
      </c>
      <c r="F22" s="81" t="s">
        <v>26642</v>
      </c>
      <c r="G22" s="81" t="s">
        <v>25636</v>
      </c>
      <c r="H22" s="81" t="s">
        <v>29723</v>
      </c>
      <c r="I22" s="81" t="s">
        <v>123</v>
      </c>
      <c r="J22" s="84" t="s">
        <v>25993</v>
      </c>
      <c r="K22" s="81" t="s">
        <v>25678</v>
      </c>
      <c r="L22" s="81" t="s">
        <v>25598</v>
      </c>
      <c r="M22" s="81" t="s">
        <v>12</v>
      </c>
      <c r="N22" s="81">
        <v>270</v>
      </c>
      <c r="Q22" s="80" t="s">
        <v>123</v>
      </c>
      <c r="R22" s="146"/>
      <c r="S22" s="103" t="str">
        <f t="shared" si="0"/>
        <v>80-864-13-</v>
      </c>
      <c r="AA22" s="81">
        <v>7</v>
      </c>
      <c r="AC22" s="81">
        <v>7</v>
      </c>
      <c r="AE22" s="81">
        <v>4</v>
      </c>
    </row>
    <row r="23" spans="1:31" ht="15" customHeight="1" x14ac:dyDescent="0.2">
      <c r="A23" s="81" t="s">
        <v>21338</v>
      </c>
      <c r="B23" s="81" t="s">
        <v>29598</v>
      </c>
      <c r="C23" s="81" t="s">
        <v>49</v>
      </c>
      <c r="D23" s="81" t="s">
        <v>57</v>
      </c>
      <c r="E23" s="81" t="s">
        <v>25636</v>
      </c>
      <c r="F23" s="81" t="s">
        <v>26642</v>
      </c>
      <c r="G23" s="81" t="s">
        <v>25636</v>
      </c>
      <c r="H23" s="81" t="s">
        <v>29714</v>
      </c>
      <c r="I23" s="81" t="s">
        <v>23</v>
      </c>
      <c r="J23" s="84" t="s">
        <v>59</v>
      </c>
      <c r="L23" s="81" t="s">
        <v>25598</v>
      </c>
      <c r="M23" s="81" t="s">
        <v>12</v>
      </c>
      <c r="N23" s="81">
        <v>270</v>
      </c>
      <c r="Q23" s="80" t="s">
        <v>27</v>
      </c>
      <c r="R23" s="146"/>
      <c r="S23" s="103" t="str">
        <f t="shared" si="0"/>
        <v>80-865-16-</v>
      </c>
      <c r="Y23" s="81">
        <v>4</v>
      </c>
      <c r="AA23" s="81">
        <v>6</v>
      </c>
      <c r="AC23" s="81">
        <v>4</v>
      </c>
      <c r="AE23" s="81">
        <v>4</v>
      </c>
    </row>
    <row r="24" spans="1:31" ht="15" customHeight="1" x14ac:dyDescent="0.2">
      <c r="A24" s="81" t="s">
        <v>21336</v>
      </c>
      <c r="B24" s="81" t="s">
        <v>29598</v>
      </c>
      <c r="C24" s="81" t="s">
        <v>49</v>
      </c>
      <c r="D24" s="81" t="s">
        <v>57</v>
      </c>
      <c r="E24" s="81" t="s">
        <v>25636</v>
      </c>
      <c r="F24" s="81" t="s">
        <v>26642</v>
      </c>
      <c r="G24" s="81" t="s">
        <v>25636</v>
      </c>
      <c r="H24" s="81" t="s">
        <v>29718</v>
      </c>
      <c r="I24" s="81" t="s">
        <v>54</v>
      </c>
      <c r="J24" s="84" t="s">
        <v>59</v>
      </c>
      <c r="L24" s="81" t="s">
        <v>25598</v>
      </c>
      <c r="M24" s="81" t="s">
        <v>12</v>
      </c>
      <c r="N24" s="81">
        <v>270</v>
      </c>
      <c r="Q24" s="80" t="s">
        <v>54</v>
      </c>
      <c r="R24" s="146"/>
      <c r="S24" s="103" t="str">
        <f t="shared" si="0"/>
        <v>80-865-11-</v>
      </c>
      <c r="AA24" s="81">
        <v>2</v>
      </c>
      <c r="AC24" s="81">
        <v>1</v>
      </c>
      <c r="AE24" s="81">
        <v>3</v>
      </c>
    </row>
    <row r="25" spans="1:31" ht="15" customHeight="1" x14ac:dyDescent="0.2">
      <c r="A25" s="81" t="s">
        <v>19956</v>
      </c>
      <c r="B25" s="81" t="s">
        <v>29599</v>
      </c>
      <c r="C25" s="81" t="s">
        <v>49</v>
      </c>
      <c r="D25" s="81" t="s">
        <v>212</v>
      </c>
      <c r="E25" s="81" t="s">
        <v>25636</v>
      </c>
      <c r="F25" s="81" t="s">
        <v>26642</v>
      </c>
      <c r="G25" s="81" t="s">
        <v>25636</v>
      </c>
      <c r="H25" s="81" t="s">
        <v>29714</v>
      </c>
      <c r="I25" s="81" t="s">
        <v>23</v>
      </c>
      <c r="J25" s="84" t="s">
        <v>0</v>
      </c>
      <c r="K25" s="81" t="s">
        <v>264</v>
      </c>
      <c r="L25" s="81" t="s">
        <v>25598</v>
      </c>
      <c r="M25" s="81" t="s">
        <v>20</v>
      </c>
      <c r="N25" s="81">
        <v>180</v>
      </c>
      <c r="Q25" s="80" t="s">
        <v>27</v>
      </c>
      <c r="R25" s="146"/>
      <c r="S25" s="103" t="str">
        <f t="shared" si="0"/>
        <v>80-483-16-</v>
      </c>
      <c r="V25" s="81">
        <v>30</v>
      </c>
    </row>
    <row r="26" spans="1:31" ht="15" customHeight="1" x14ac:dyDescent="0.2">
      <c r="A26" s="81" t="s">
        <v>20098</v>
      </c>
      <c r="B26" s="81" t="s">
        <v>29600</v>
      </c>
      <c r="C26" s="81" t="s">
        <v>26638</v>
      </c>
      <c r="D26" s="81" t="s">
        <v>25572</v>
      </c>
      <c r="E26" s="81" t="s">
        <v>25636</v>
      </c>
      <c r="F26" s="81" t="s">
        <v>26642</v>
      </c>
      <c r="G26" s="81" t="s">
        <v>25636</v>
      </c>
      <c r="H26" s="81" t="s">
        <v>29714</v>
      </c>
      <c r="I26" s="81" t="s">
        <v>23</v>
      </c>
      <c r="J26" s="84" t="s">
        <v>0</v>
      </c>
      <c r="K26" s="81" t="s">
        <v>264</v>
      </c>
      <c r="L26" s="81" t="s">
        <v>25598</v>
      </c>
      <c r="M26" s="81" t="s">
        <v>20</v>
      </c>
      <c r="N26" s="81">
        <v>270</v>
      </c>
      <c r="Q26" s="80" t="s">
        <v>27</v>
      </c>
      <c r="R26" s="146"/>
      <c r="S26" s="103" t="str">
        <f t="shared" si="0"/>
        <v>80-506-16-</v>
      </c>
      <c r="V26" s="81">
        <v>8</v>
      </c>
    </row>
    <row r="27" spans="1:31" ht="15" customHeight="1" x14ac:dyDescent="0.2">
      <c r="A27" s="81" t="s">
        <v>20096</v>
      </c>
      <c r="B27" s="81" t="s">
        <v>29600</v>
      </c>
      <c r="C27" s="81" t="s">
        <v>26638</v>
      </c>
      <c r="D27" s="81" t="s">
        <v>25572</v>
      </c>
      <c r="E27" s="81" t="s">
        <v>25636</v>
      </c>
      <c r="F27" s="81" t="s">
        <v>26642</v>
      </c>
      <c r="G27" s="81" t="s">
        <v>25636</v>
      </c>
      <c r="H27" s="81" t="s">
        <v>29715</v>
      </c>
      <c r="I27" s="81" t="s">
        <v>1</v>
      </c>
      <c r="J27" s="84" t="s">
        <v>0</v>
      </c>
      <c r="K27" s="81" t="s">
        <v>264</v>
      </c>
      <c r="L27" s="81" t="s">
        <v>25598</v>
      </c>
      <c r="M27" s="81" t="s">
        <v>20</v>
      </c>
      <c r="N27" s="81">
        <v>270</v>
      </c>
      <c r="Q27" s="80" t="s">
        <v>1</v>
      </c>
      <c r="R27" s="146"/>
      <c r="S27" s="103" t="str">
        <f t="shared" si="0"/>
        <v>80-506-09-</v>
      </c>
      <c r="V27" s="81">
        <v>20</v>
      </c>
    </row>
    <row r="28" spans="1:31" ht="15" customHeight="1" x14ac:dyDescent="0.2">
      <c r="A28" s="81" t="s">
        <v>20028</v>
      </c>
      <c r="B28" s="81" t="s">
        <v>29601</v>
      </c>
      <c r="C28" s="81" t="s">
        <v>49</v>
      </c>
      <c r="D28" s="81" t="s">
        <v>212</v>
      </c>
      <c r="E28" s="81" t="s">
        <v>25636</v>
      </c>
      <c r="F28" s="81" t="s">
        <v>26642</v>
      </c>
      <c r="G28" s="81" t="s">
        <v>25636</v>
      </c>
      <c r="H28" s="81" t="s">
        <v>29717</v>
      </c>
      <c r="I28" s="81" t="s">
        <v>28</v>
      </c>
      <c r="J28" s="84" t="s">
        <v>26269</v>
      </c>
      <c r="K28" s="81" t="s">
        <v>264</v>
      </c>
      <c r="L28" s="81" t="s">
        <v>25598</v>
      </c>
      <c r="M28" s="81" t="s">
        <v>12</v>
      </c>
      <c r="N28" s="81">
        <v>180</v>
      </c>
      <c r="Q28" s="80" t="s">
        <v>28</v>
      </c>
      <c r="R28" s="146"/>
      <c r="S28" s="103" t="str">
        <f t="shared" si="0"/>
        <v>80-494-08-</v>
      </c>
      <c r="V28" s="81">
        <v>20</v>
      </c>
    </row>
    <row r="29" spans="1:31" ht="15" customHeight="1" x14ac:dyDescent="0.2">
      <c r="A29" s="81" t="s">
        <v>19182</v>
      </c>
      <c r="B29" s="81" t="s">
        <v>29602</v>
      </c>
      <c r="C29" s="81" t="s">
        <v>49</v>
      </c>
      <c r="D29" s="81" t="s">
        <v>212</v>
      </c>
      <c r="E29" s="81" t="s">
        <v>25636</v>
      </c>
      <c r="F29" s="81" t="s">
        <v>26642</v>
      </c>
      <c r="G29" s="81" t="s">
        <v>25636</v>
      </c>
      <c r="H29" s="81" t="s">
        <v>29714</v>
      </c>
      <c r="I29" s="81" t="s">
        <v>23</v>
      </c>
      <c r="J29" s="84" t="s">
        <v>26269</v>
      </c>
      <c r="K29" s="81" t="s">
        <v>264</v>
      </c>
      <c r="L29" s="81" t="s">
        <v>25598</v>
      </c>
      <c r="M29" s="81" t="s">
        <v>12</v>
      </c>
      <c r="N29" s="81">
        <v>180</v>
      </c>
      <c r="Q29" s="80" t="s">
        <v>27</v>
      </c>
      <c r="R29" s="146"/>
      <c r="S29" s="103" t="str">
        <f t="shared" si="0"/>
        <v>80-268-16-</v>
      </c>
      <c r="V29" s="81">
        <v>30</v>
      </c>
    </row>
    <row r="30" spans="1:31" ht="15" customHeight="1" x14ac:dyDescent="0.2">
      <c r="A30" s="81" t="s">
        <v>19180</v>
      </c>
      <c r="B30" s="81" t="s">
        <v>29602</v>
      </c>
      <c r="C30" s="81" t="s">
        <v>49</v>
      </c>
      <c r="D30" s="81" t="s">
        <v>212</v>
      </c>
      <c r="E30" s="81" t="s">
        <v>25636</v>
      </c>
      <c r="F30" s="81" t="s">
        <v>26642</v>
      </c>
      <c r="G30" s="81" t="s">
        <v>25636</v>
      </c>
      <c r="H30" s="81" t="s">
        <v>29715</v>
      </c>
      <c r="I30" s="81" t="s">
        <v>1</v>
      </c>
      <c r="J30" s="84" t="s">
        <v>26269</v>
      </c>
      <c r="K30" s="81" t="s">
        <v>264</v>
      </c>
      <c r="L30" s="81" t="s">
        <v>25598</v>
      </c>
      <c r="M30" s="81" t="s">
        <v>12</v>
      </c>
      <c r="N30" s="81">
        <v>180</v>
      </c>
      <c r="Q30" s="80" t="s">
        <v>1</v>
      </c>
      <c r="R30" s="146"/>
      <c r="S30" s="103" t="str">
        <f t="shared" si="0"/>
        <v>80-268-09-</v>
      </c>
      <c r="V30" s="81">
        <v>45</v>
      </c>
    </row>
    <row r="31" spans="1:31" ht="15" customHeight="1" x14ac:dyDescent="0.2">
      <c r="A31" s="81" t="s">
        <v>20402</v>
      </c>
      <c r="B31" s="81" t="s">
        <v>29603</v>
      </c>
      <c r="C31" s="81" t="s">
        <v>8</v>
      </c>
      <c r="D31" s="81" t="s">
        <v>21</v>
      </c>
      <c r="E31" s="81" t="s">
        <v>25636</v>
      </c>
      <c r="F31" s="81" t="s">
        <v>91</v>
      </c>
      <c r="G31" s="81" t="s">
        <v>25636</v>
      </c>
      <c r="H31" s="81" t="s">
        <v>29720</v>
      </c>
      <c r="I31" s="81" t="s">
        <v>22</v>
      </c>
      <c r="J31" s="84" t="s">
        <v>25976</v>
      </c>
      <c r="L31" s="81" t="s">
        <v>25598</v>
      </c>
      <c r="M31" s="81" t="s">
        <v>20</v>
      </c>
      <c r="N31" s="81">
        <v>450</v>
      </c>
      <c r="Q31" s="80" t="s">
        <v>22</v>
      </c>
      <c r="R31" s="146"/>
      <c r="S31" s="103" t="str">
        <f t="shared" si="0"/>
        <v>80-588-14-</v>
      </c>
      <c r="Y31" s="81">
        <v>1</v>
      </c>
      <c r="AA31" s="81">
        <v>1</v>
      </c>
      <c r="AC31" s="81">
        <v>1</v>
      </c>
      <c r="AE31" s="81">
        <v>1</v>
      </c>
    </row>
    <row r="32" spans="1:31" ht="15" customHeight="1" x14ac:dyDescent="0.2">
      <c r="A32" s="81" t="s">
        <v>20403</v>
      </c>
      <c r="B32" s="81" t="s">
        <v>29604</v>
      </c>
      <c r="C32" s="81" t="s">
        <v>8</v>
      </c>
      <c r="D32" s="81" t="s">
        <v>9</v>
      </c>
      <c r="E32" s="81" t="s">
        <v>25636</v>
      </c>
      <c r="F32" s="81" t="s">
        <v>91</v>
      </c>
      <c r="G32" s="81" t="s">
        <v>25636</v>
      </c>
      <c r="H32" s="81" t="s">
        <v>29717</v>
      </c>
      <c r="I32" s="81" t="s">
        <v>28</v>
      </c>
      <c r="J32" s="84" t="s">
        <v>0</v>
      </c>
      <c r="K32" s="81" t="s">
        <v>264</v>
      </c>
      <c r="L32" s="81" t="s">
        <v>25598</v>
      </c>
      <c r="M32" s="81" t="s">
        <v>20</v>
      </c>
      <c r="N32" s="81">
        <v>450</v>
      </c>
      <c r="Q32" s="80" t="s">
        <v>28</v>
      </c>
      <c r="R32" s="146"/>
      <c r="S32" s="103" t="str">
        <f t="shared" si="0"/>
        <v>80-589-08-</v>
      </c>
      <c r="Y32" s="81">
        <v>1</v>
      </c>
      <c r="AA32" s="81">
        <v>3</v>
      </c>
    </row>
    <row r="33" spans="1:31" ht="15" customHeight="1" x14ac:dyDescent="0.2">
      <c r="A33" s="81" t="s">
        <v>19538</v>
      </c>
      <c r="B33" s="81" t="s">
        <v>29605</v>
      </c>
      <c r="C33" s="81" t="s">
        <v>8</v>
      </c>
      <c r="D33" s="81" t="s">
        <v>9</v>
      </c>
      <c r="E33" s="81" t="s">
        <v>25636</v>
      </c>
      <c r="F33" s="81" t="s">
        <v>91</v>
      </c>
      <c r="G33" s="81" t="s">
        <v>25636</v>
      </c>
      <c r="H33" s="81" t="s">
        <v>29715</v>
      </c>
      <c r="I33" s="81" t="s">
        <v>1</v>
      </c>
      <c r="J33" s="84" t="s">
        <v>0</v>
      </c>
      <c r="K33" s="81" t="s">
        <v>25677</v>
      </c>
      <c r="L33" s="81" t="s">
        <v>25598</v>
      </c>
      <c r="M33" s="81" t="s">
        <v>20</v>
      </c>
      <c r="N33" s="81">
        <v>450</v>
      </c>
      <c r="Q33" s="80" t="s">
        <v>1</v>
      </c>
      <c r="R33" s="146"/>
      <c r="S33" s="103" t="str">
        <f t="shared" si="0"/>
        <v>80-361-52-</v>
      </c>
      <c r="Y33" s="81">
        <v>1</v>
      </c>
      <c r="AA33" s="81">
        <v>1</v>
      </c>
      <c r="AC33" s="81">
        <v>2</v>
      </c>
      <c r="AE33" s="81">
        <v>4</v>
      </c>
    </row>
    <row r="34" spans="1:31" ht="15" customHeight="1" x14ac:dyDescent="0.2">
      <c r="A34" s="81" t="s">
        <v>19562</v>
      </c>
      <c r="B34" s="81" t="s">
        <v>29606</v>
      </c>
      <c r="C34" s="81" t="s">
        <v>8</v>
      </c>
      <c r="D34" s="81" t="s">
        <v>21</v>
      </c>
      <c r="E34" s="81" t="s">
        <v>25636</v>
      </c>
      <c r="F34" s="81" t="s">
        <v>91</v>
      </c>
      <c r="G34" s="81" t="s">
        <v>25636</v>
      </c>
      <c r="H34" s="81" t="s">
        <v>29719</v>
      </c>
      <c r="I34" s="81" t="s">
        <v>96</v>
      </c>
      <c r="J34" s="84" t="s">
        <v>0</v>
      </c>
      <c r="K34" s="81" t="s">
        <v>25677</v>
      </c>
      <c r="L34" s="81" t="s">
        <v>25596</v>
      </c>
      <c r="M34" s="81" t="s">
        <v>20</v>
      </c>
      <c r="N34" s="81">
        <v>450</v>
      </c>
      <c r="Q34" s="80" t="s">
        <v>96</v>
      </c>
      <c r="R34" s="146"/>
      <c r="S34" s="103" t="str">
        <f t="shared" si="0"/>
        <v>80-365-41-</v>
      </c>
      <c r="AA34" s="81">
        <v>3</v>
      </c>
      <c r="AC34" s="81">
        <v>1</v>
      </c>
    </row>
    <row r="35" spans="1:31" ht="15" customHeight="1" x14ac:dyDescent="0.2">
      <c r="A35" s="81" t="s">
        <v>19558</v>
      </c>
      <c r="B35" s="81" t="s">
        <v>29606</v>
      </c>
      <c r="C35" s="81" t="s">
        <v>8</v>
      </c>
      <c r="D35" s="81" t="s">
        <v>21</v>
      </c>
      <c r="E35" s="81" t="s">
        <v>25636</v>
      </c>
      <c r="F35" s="81" t="s">
        <v>91</v>
      </c>
      <c r="G35" s="81" t="s">
        <v>25636</v>
      </c>
      <c r="H35" s="81" t="s">
        <v>29714</v>
      </c>
      <c r="I35" s="81" t="s">
        <v>23</v>
      </c>
      <c r="J35" s="84" t="s">
        <v>0</v>
      </c>
      <c r="K35" s="81" t="s">
        <v>25677</v>
      </c>
      <c r="L35" s="81" t="s">
        <v>25596</v>
      </c>
      <c r="M35" s="81" t="s">
        <v>20</v>
      </c>
      <c r="N35" s="81">
        <v>450</v>
      </c>
      <c r="Q35" s="80" t="s">
        <v>27</v>
      </c>
      <c r="R35" s="146"/>
      <c r="S35" s="103" t="str">
        <f t="shared" si="0"/>
        <v>80-365-16-</v>
      </c>
      <c r="Y35" s="81">
        <v>2</v>
      </c>
      <c r="AA35" s="81">
        <v>2</v>
      </c>
      <c r="AC35" s="81">
        <v>2</v>
      </c>
    </row>
    <row r="36" spans="1:31" ht="15" customHeight="1" x14ac:dyDescent="0.2">
      <c r="A36" s="81" t="s">
        <v>19556</v>
      </c>
      <c r="B36" s="81" t="s">
        <v>29606</v>
      </c>
      <c r="C36" s="81" t="s">
        <v>8</v>
      </c>
      <c r="D36" s="81" t="s">
        <v>21</v>
      </c>
      <c r="E36" s="81" t="s">
        <v>25636</v>
      </c>
      <c r="F36" s="81" t="s">
        <v>91</v>
      </c>
      <c r="G36" s="81" t="s">
        <v>25636</v>
      </c>
      <c r="H36" s="81" t="s">
        <v>29723</v>
      </c>
      <c r="I36" s="81" t="s">
        <v>123</v>
      </c>
      <c r="J36" s="84" t="s">
        <v>0</v>
      </c>
      <c r="K36" s="81" t="s">
        <v>25677</v>
      </c>
      <c r="L36" s="81" t="s">
        <v>25596</v>
      </c>
      <c r="M36" s="81" t="s">
        <v>20</v>
      </c>
      <c r="N36" s="81">
        <v>450</v>
      </c>
      <c r="Q36" s="80" t="s">
        <v>123</v>
      </c>
      <c r="R36" s="146"/>
      <c r="S36" s="103" t="str">
        <f t="shared" si="0"/>
        <v>80-365-13-</v>
      </c>
      <c r="Y36" s="81">
        <v>3</v>
      </c>
      <c r="AA36" s="81">
        <v>6</v>
      </c>
      <c r="AC36" s="81">
        <v>4</v>
      </c>
    </row>
    <row r="37" spans="1:31" ht="15" customHeight="1" x14ac:dyDescent="0.2">
      <c r="A37" s="81" t="s">
        <v>19554</v>
      </c>
      <c r="B37" s="81" t="s">
        <v>29606</v>
      </c>
      <c r="C37" s="81" t="s">
        <v>8</v>
      </c>
      <c r="D37" s="81" t="s">
        <v>21</v>
      </c>
      <c r="E37" s="81" t="s">
        <v>25636</v>
      </c>
      <c r="F37" s="81" t="s">
        <v>91</v>
      </c>
      <c r="G37" s="81" t="s">
        <v>25636</v>
      </c>
      <c r="H37" s="81" t="s">
        <v>29724</v>
      </c>
      <c r="I37" s="81" t="s">
        <v>27</v>
      </c>
      <c r="J37" s="84" t="s">
        <v>0</v>
      </c>
      <c r="K37" s="81" t="s">
        <v>25677</v>
      </c>
      <c r="L37" s="81" t="s">
        <v>25596</v>
      </c>
      <c r="M37" s="81" t="s">
        <v>20</v>
      </c>
      <c r="N37" s="81">
        <v>450</v>
      </c>
      <c r="Q37" s="80" t="s">
        <v>27</v>
      </c>
      <c r="R37" s="146"/>
      <c r="S37" s="103" t="str">
        <f t="shared" si="0"/>
        <v>80-365-06-</v>
      </c>
      <c r="Y37" s="81">
        <v>3</v>
      </c>
      <c r="AA37" s="81">
        <v>6</v>
      </c>
      <c r="AC37" s="81">
        <v>4</v>
      </c>
    </row>
    <row r="38" spans="1:31" ht="15" customHeight="1" x14ac:dyDescent="0.2">
      <c r="A38" s="81" t="s">
        <v>19550</v>
      </c>
      <c r="B38" s="81" t="s">
        <v>29606</v>
      </c>
      <c r="C38" s="81" t="s">
        <v>8</v>
      </c>
      <c r="D38" s="81" t="s">
        <v>21</v>
      </c>
      <c r="E38" s="81" t="s">
        <v>25636</v>
      </c>
      <c r="F38" s="81" t="s">
        <v>91</v>
      </c>
      <c r="G38" s="81" t="s">
        <v>25636</v>
      </c>
      <c r="H38" s="81" t="s">
        <v>29725</v>
      </c>
      <c r="I38" s="81" t="s">
        <v>25463</v>
      </c>
      <c r="J38" s="84" t="s">
        <v>0</v>
      </c>
      <c r="K38" s="81" t="s">
        <v>25677</v>
      </c>
      <c r="L38" s="81" t="s">
        <v>25596</v>
      </c>
      <c r="M38" s="81" t="s">
        <v>20</v>
      </c>
      <c r="N38" s="81">
        <v>450</v>
      </c>
      <c r="Q38" s="80" t="s">
        <v>28</v>
      </c>
      <c r="R38" s="146"/>
      <c r="S38" s="103" t="str">
        <f t="shared" si="0"/>
        <v>80-365-01-</v>
      </c>
      <c r="Y38" s="81">
        <v>4</v>
      </c>
      <c r="AA38" s="81">
        <v>5</v>
      </c>
      <c r="AC38" s="81">
        <v>5</v>
      </c>
    </row>
    <row r="39" spans="1:31" ht="15" customHeight="1" x14ac:dyDescent="0.2">
      <c r="A39" s="81" t="s">
        <v>20437</v>
      </c>
      <c r="B39" s="81" t="s">
        <v>29607</v>
      </c>
      <c r="C39" s="81" t="s">
        <v>8</v>
      </c>
      <c r="D39" s="81" t="s">
        <v>21</v>
      </c>
      <c r="E39" s="81" t="s">
        <v>25636</v>
      </c>
      <c r="F39" s="81" t="s">
        <v>91</v>
      </c>
      <c r="G39" s="81" t="s">
        <v>25636</v>
      </c>
      <c r="H39" s="81" t="s">
        <v>29715</v>
      </c>
      <c r="I39" s="81" t="s">
        <v>1</v>
      </c>
      <c r="J39" s="84" t="s">
        <v>0</v>
      </c>
      <c r="K39" s="81" t="s">
        <v>25677</v>
      </c>
      <c r="L39" s="81" t="s">
        <v>25598</v>
      </c>
      <c r="M39" s="81" t="s">
        <v>12</v>
      </c>
      <c r="N39" s="81">
        <v>450</v>
      </c>
      <c r="Q39" s="80" t="s">
        <v>1</v>
      </c>
      <c r="R39" s="146"/>
      <c r="S39" s="103" t="str">
        <f t="shared" si="0"/>
        <v>80-599-09-</v>
      </c>
      <c r="Y39" s="81">
        <v>4</v>
      </c>
    </row>
    <row r="40" spans="1:31" ht="15" customHeight="1" x14ac:dyDescent="0.2">
      <c r="A40" s="81" t="s">
        <v>21521</v>
      </c>
      <c r="B40" s="81" t="s">
        <v>29608</v>
      </c>
      <c r="C40" s="81" t="s">
        <v>8</v>
      </c>
      <c r="D40" s="81" t="s">
        <v>21</v>
      </c>
      <c r="E40" s="81" t="s">
        <v>25636</v>
      </c>
      <c r="F40" s="81" t="s">
        <v>91</v>
      </c>
      <c r="G40" s="81" t="s">
        <v>25636</v>
      </c>
      <c r="H40" s="81" t="s">
        <v>29716</v>
      </c>
      <c r="I40" s="81" t="s">
        <v>27</v>
      </c>
      <c r="J40" s="84" t="s">
        <v>0</v>
      </c>
      <c r="K40" s="81" t="s">
        <v>25677</v>
      </c>
      <c r="L40" s="81" t="s">
        <v>25596</v>
      </c>
      <c r="M40" s="81" t="s">
        <v>12</v>
      </c>
      <c r="N40" s="81">
        <v>450</v>
      </c>
      <c r="Q40" s="80" t="s">
        <v>27</v>
      </c>
      <c r="R40" s="146"/>
      <c r="S40" s="103" t="str">
        <f t="shared" si="0"/>
        <v>80-933-06-</v>
      </c>
      <c r="Y40" s="81">
        <v>4</v>
      </c>
      <c r="AA40" s="81">
        <v>6</v>
      </c>
    </row>
    <row r="41" spans="1:31" ht="15" customHeight="1" x14ac:dyDescent="0.2">
      <c r="A41" s="81" t="s">
        <v>19588</v>
      </c>
      <c r="B41" s="81" t="s">
        <v>29609</v>
      </c>
      <c r="C41" s="81" t="s">
        <v>8</v>
      </c>
      <c r="D41" s="81" t="s">
        <v>25576</v>
      </c>
      <c r="E41" s="81" t="s">
        <v>25636</v>
      </c>
      <c r="F41" s="81" t="s">
        <v>91</v>
      </c>
      <c r="G41" s="81" t="s">
        <v>25636</v>
      </c>
      <c r="H41" s="81" t="s">
        <v>29715</v>
      </c>
      <c r="I41" s="81" t="s">
        <v>1</v>
      </c>
      <c r="J41" s="84" t="s">
        <v>0</v>
      </c>
      <c r="K41" s="81" t="s">
        <v>25677</v>
      </c>
      <c r="L41" s="81" t="s">
        <v>25596</v>
      </c>
      <c r="M41" s="81" t="s">
        <v>12</v>
      </c>
      <c r="N41" s="81">
        <v>450</v>
      </c>
      <c r="Q41" s="80" t="s">
        <v>1</v>
      </c>
      <c r="R41" s="146"/>
      <c r="S41" s="103" t="str">
        <f t="shared" si="0"/>
        <v>80-372-52-</v>
      </c>
      <c r="AA41" s="81">
        <v>5</v>
      </c>
    </row>
    <row r="42" spans="1:31" ht="15" customHeight="1" x14ac:dyDescent="0.2">
      <c r="A42" s="81" t="s">
        <v>21869</v>
      </c>
      <c r="B42" s="81" t="s">
        <v>29610</v>
      </c>
      <c r="C42" s="81" t="s">
        <v>49</v>
      </c>
      <c r="D42" s="81" t="s">
        <v>25567</v>
      </c>
      <c r="E42" s="81" t="s">
        <v>25636</v>
      </c>
      <c r="F42" s="81" t="s">
        <v>91</v>
      </c>
      <c r="G42" s="81" t="s">
        <v>25636</v>
      </c>
      <c r="H42" s="81" t="s">
        <v>29714</v>
      </c>
      <c r="I42" s="81" t="s">
        <v>23</v>
      </c>
      <c r="J42" s="84" t="s">
        <v>11</v>
      </c>
      <c r="K42" s="81" t="s">
        <v>29744</v>
      </c>
      <c r="L42" s="81" t="s">
        <v>25597</v>
      </c>
      <c r="M42" s="81" t="s">
        <v>12</v>
      </c>
      <c r="N42" s="81">
        <v>579.6</v>
      </c>
      <c r="Q42" s="80" t="s">
        <v>27</v>
      </c>
      <c r="R42" s="146"/>
      <c r="S42" s="103" t="str">
        <f t="shared" si="0"/>
        <v>81-039-16-</v>
      </c>
      <c r="V42" s="81">
        <v>3</v>
      </c>
    </row>
    <row r="43" spans="1:31" ht="15" customHeight="1" x14ac:dyDescent="0.2">
      <c r="A43" s="81" t="s">
        <v>21867</v>
      </c>
      <c r="B43" s="81" t="s">
        <v>29610</v>
      </c>
      <c r="C43" s="81" t="s">
        <v>49</v>
      </c>
      <c r="D43" s="81" t="s">
        <v>25567</v>
      </c>
      <c r="E43" s="81" t="s">
        <v>25636</v>
      </c>
      <c r="F43" s="81" t="s">
        <v>91</v>
      </c>
      <c r="G43" s="81" t="s">
        <v>25636</v>
      </c>
      <c r="H43" s="81" t="s">
        <v>29715</v>
      </c>
      <c r="I43" s="81" t="s">
        <v>1</v>
      </c>
      <c r="J43" s="84" t="s">
        <v>11</v>
      </c>
      <c r="K43" s="81" t="s">
        <v>29744</v>
      </c>
      <c r="L43" s="81" t="s">
        <v>25597</v>
      </c>
      <c r="M43" s="81" t="s">
        <v>12</v>
      </c>
      <c r="N43" s="81">
        <v>579.6</v>
      </c>
      <c r="Q43" s="80" t="s">
        <v>1</v>
      </c>
      <c r="R43" s="146"/>
      <c r="S43" s="103" t="str">
        <f t="shared" si="0"/>
        <v>81-039-09-</v>
      </c>
      <c r="V43" s="81">
        <v>6</v>
      </c>
    </row>
    <row r="44" spans="1:31" ht="15" customHeight="1" x14ac:dyDescent="0.2">
      <c r="A44" s="81" t="s">
        <v>21865</v>
      </c>
      <c r="B44" s="81" t="s">
        <v>29611</v>
      </c>
      <c r="C44" s="81" t="s">
        <v>49</v>
      </c>
      <c r="D44" s="81" t="s">
        <v>25567</v>
      </c>
      <c r="E44" s="81" t="s">
        <v>25636</v>
      </c>
      <c r="F44" s="81" t="s">
        <v>91</v>
      </c>
      <c r="G44" s="81" t="s">
        <v>25636</v>
      </c>
      <c r="H44" s="81" t="s">
        <v>29714</v>
      </c>
      <c r="I44" s="81" t="s">
        <v>23</v>
      </c>
      <c r="J44" s="84" t="s">
        <v>11</v>
      </c>
      <c r="K44" s="81" t="s">
        <v>25678</v>
      </c>
      <c r="L44" s="81" t="s">
        <v>25597</v>
      </c>
      <c r="M44" s="81" t="s">
        <v>12</v>
      </c>
      <c r="N44" s="81">
        <v>579.6</v>
      </c>
      <c r="Q44" s="80" t="s">
        <v>27</v>
      </c>
      <c r="R44" s="146"/>
      <c r="S44" s="103" t="str">
        <f t="shared" si="0"/>
        <v>81-038-16-</v>
      </c>
      <c r="V44" s="81">
        <v>6</v>
      </c>
    </row>
    <row r="45" spans="1:31" ht="15" customHeight="1" x14ac:dyDescent="0.2">
      <c r="A45" s="81" t="s">
        <v>21863</v>
      </c>
      <c r="B45" s="81" t="s">
        <v>29611</v>
      </c>
      <c r="C45" s="81" t="s">
        <v>49</v>
      </c>
      <c r="D45" s="81" t="s">
        <v>25567</v>
      </c>
      <c r="E45" s="81" t="s">
        <v>25636</v>
      </c>
      <c r="F45" s="81" t="s">
        <v>91</v>
      </c>
      <c r="G45" s="81" t="s">
        <v>25636</v>
      </c>
      <c r="H45" s="81" t="s">
        <v>29715</v>
      </c>
      <c r="I45" s="81" t="s">
        <v>1</v>
      </c>
      <c r="J45" s="84" t="s">
        <v>11</v>
      </c>
      <c r="K45" s="81" t="s">
        <v>25678</v>
      </c>
      <c r="L45" s="81" t="s">
        <v>25597</v>
      </c>
      <c r="M45" s="81" t="s">
        <v>12</v>
      </c>
      <c r="N45" s="81">
        <v>579.6</v>
      </c>
      <c r="Q45" s="80" t="s">
        <v>1</v>
      </c>
      <c r="R45" s="146"/>
      <c r="S45" s="103" t="str">
        <f t="shared" si="0"/>
        <v>81-038-09-</v>
      </c>
      <c r="V45" s="81">
        <v>12</v>
      </c>
    </row>
    <row r="46" spans="1:31" ht="15" customHeight="1" x14ac:dyDescent="0.2">
      <c r="A46" s="81" t="s">
        <v>21793</v>
      </c>
      <c r="B46" s="81" t="s">
        <v>29612</v>
      </c>
      <c r="C46" s="81" t="s">
        <v>8</v>
      </c>
      <c r="D46" s="81" t="s">
        <v>21</v>
      </c>
      <c r="E46" s="81" t="s">
        <v>25636</v>
      </c>
      <c r="F46" s="81" t="s">
        <v>91</v>
      </c>
      <c r="G46" s="81" t="s">
        <v>25636</v>
      </c>
      <c r="H46" s="81" t="s">
        <v>29726</v>
      </c>
      <c r="I46" s="81" t="s">
        <v>26</v>
      </c>
      <c r="J46" s="84" t="s">
        <v>0</v>
      </c>
      <c r="K46" s="81" t="s">
        <v>25677</v>
      </c>
      <c r="L46" s="81" t="s">
        <v>25597</v>
      </c>
      <c r="M46" s="81" t="s">
        <v>12</v>
      </c>
      <c r="N46" s="81">
        <v>1457.1000000000001</v>
      </c>
      <c r="Q46" s="80" t="s">
        <v>28</v>
      </c>
      <c r="R46" s="146"/>
      <c r="S46" s="103" t="str">
        <f t="shared" si="0"/>
        <v>81-023-05-</v>
      </c>
      <c r="Y46" s="81">
        <v>6</v>
      </c>
      <c r="AA46" s="81">
        <v>11</v>
      </c>
      <c r="AC46" s="81">
        <v>22</v>
      </c>
      <c r="AE46" s="81">
        <v>16</v>
      </c>
    </row>
    <row r="47" spans="1:31" ht="15" customHeight="1" x14ac:dyDescent="0.2">
      <c r="A47" s="81" t="s">
        <v>21795</v>
      </c>
      <c r="B47" s="81" t="s">
        <v>29612</v>
      </c>
      <c r="C47" s="81" t="s">
        <v>8</v>
      </c>
      <c r="D47" s="81" t="s">
        <v>21</v>
      </c>
      <c r="E47" s="81" t="s">
        <v>25636</v>
      </c>
      <c r="F47" s="81" t="s">
        <v>91</v>
      </c>
      <c r="G47" s="81" t="s">
        <v>25636</v>
      </c>
      <c r="H47" s="81" t="s">
        <v>29717</v>
      </c>
      <c r="I47" s="81" t="s">
        <v>28</v>
      </c>
      <c r="J47" s="84" t="s">
        <v>0</v>
      </c>
      <c r="K47" s="81" t="s">
        <v>25677</v>
      </c>
      <c r="L47" s="81" t="s">
        <v>25598</v>
      </c>
      <c r="M47" s="81" t="s">
        <v>12</v>
      </c>
      <c r="N47" s="81">
        <v>1457.1000000000001</v>
      </c>
      <c r="Q47" s="80" t="s">
        <v>28</v>
      </c>
      <c r="R47" s="146"/>
      <c r="S47" s="103" t="str">
        <f t="shared" si="0"/>
        <v>81-023-08-</v>
      </c>
      <c r="Y47" s="81">
        <v>3</v>
      </c>
      <c r="AA47" s="81">
        <v>8</v>
      </c>
      <c r="AC47" s="81">
        <v>11</v>
      </c>
      <c r="AE47" s="81">
        <v>8</v>
      </c>
    </row>
    <row r="48" spans="1:31" ht="15" customHeight="1" x14ac:dyDescent="0.2">
      <c r="A48" s="81" t="s">
        <v>21799</v>
      </c>
      <c r="B48" s="81" t="s">
        <v>29612</v>
      </c>
      <c r="C48" s="81" t="s">
        <v>8</v>
      </c>
      <c r="D48" s="81" t="s">
        <v>21</v>
      </c>
      <c r="E48" s="81" t="s">
        <v>25636</v>
      </c>
      <c r="F48" s="81" t="s">
        <v>91</v>
      </c>
      <c r="G48" s="81" t="s">
        <v>25636</v>
      </c>
      <c r="H48" s="81" t="s">
        <v>29720</v>
      </c>
      <c r="I48" s="81" t="s">
        <v>22</v>
      </c>
      <c r="J48" s="84" t="s">
        <v>0</v>
      </c>
      <c r="K48" s="81" t="s">
        <v>25677</v>
      </c>
      <c r="L48" s="81" t="s">
        <v>25597</v>
      </c>
      <c r="M48" s="81" t="s">
        <v>12</v>
      </c>
      <c r="N48" s="81">
        <v>1457.1000000000001</v>
      </c>
      <c r="Q48" s="80" t="s">
        <v>22</v>
      </c>
      <c r="R48" s="146"/>
      <c r="S48" s="103" t="str">
        <f t="shared" si="0"/>
        <v>81-023-14-</v>
      </c>
      <c r="Y48" s="81">
        <v>3</v>
      </c>
      <c r="AA48" s="81">
        <v>6</v>
      </c>
      <c r="AC48" s="81">
        <v>9</v>
      </c>
      <c r="AE48" s="81">
        <v>9</v>
      </c>
    </row>
    <row r="49" spans="1:31" ht="15" customHeight="1" x14ac:dyDescent="0.2">
      <c r="A49" s="81" t="s">
        <v>21791</v>
      </c>
      <c r="B49" s="81" t="s">
        <v>29613</v>
      </c>
      <c r="C49" s="81" t="s">
        <v>8</v>
      </c>
      <c r="D49" s="81" t="s">
        <v>21</v>
      </c>
      <c r="E49" s="81" t="s">
        <v>25636</v>
      </c>
      <c r="F49" s="81" t="s">
        <v>91</v>
      </c>
      <c r="G49" s="81" t="s">
        <v>25636</v>
      </c>
      <c r="H49" s="81" t="s">
        <v>29714</v>
      </c>
      <c r="I49" s="81" t="s">
        <v>23</v>
      </c>
      <c r="J49" s="84" t="s">
        <v>0</v>
      </c>
      <c r="K49" s="81" t="s">
        <v>25677</v>
      </c>
      <c r="L49" s="81" t="s">
        <v>25598</v>
      </c>
      <c r="M49" s="81" t="s">
        <v>12</v>
      </c>
      <c r="N49" s="81">
        <v>1281.5999999999999</v>
      </c>
      <c r="Q49" s="80" t="s">
        <v>27</v>
      </c>
      <c r="R49" s="146"/>
      <c r="S49" s="103" t="str">
        <f t="shared" si="0"/>
        <v>81-022-16-</v>
      </c>
      <c r="AA49" s="81">
        <v>5</v>
      </c>
      <c r="AC49" s="81">
        <v>11</v>
      </c>
      <c r="AE49" s="81">
        <v>4</v>
      </c>
    </row>
    <row r="50" spans="1:31" ht="15" customHeight="1" x14ac:dyDescent="0.2">
      <c r="A50" s="81" t="s">
        <v>21787</v>
      </c>
      <c r="B50" s="81" t="s">
        <v>29613</v>
      </c>
      <c r="C50" s="81" t="s">
        <v>8</v>
      </c>
      <c r="D50" s="81" t="s">
        <v>21</v>
      </c>
      <c r="E50" s="81" t="s">
        <v>25636</v>
      </c>
      <c r="F50" s="81" t="s">
        <v>91</v>
      </c>
      <c r="G50" s="81" t="s">
        <v>25636</v>
      </c>
      <c r="H50" s="81" t="s">
        <v>29715</v>
      </c>
      <c r="I50" s="81" t="s">
        <v>1</v>
      </c>
      <c r="J50" s="84" t="s">
        <v>0</v>
      </c>
      <c r="K50" s="81" t="s">
        <v>25677</v>
      </c>
      <c r="L50" s="81" t="s">
        <v>25598</v>
      </c>
      <c r="M50" s="81" t="s">
        <v>12</v>
      </c>
      <c r="N50" s="81">
        <v>1281.5999999999999</v>
      </c>
      <c r="Q50" s="80" t="s">
        <v>1</v>
      </c>
      <c r="R50" s="146"/>
      <c r="S50" s="103" t="str">
        <f t="shared" si="0"/>
        <v>81-022-09-</v>
      </c>
      <c r="Y50" s="81">
        <v>4</v>
      </c>
      <c r="AA50" s="81">
        <v>17</v>
      </c>
      <c r="AC50" s="81">
        <v>19</v>
      </c>
      <c r="AE50" s="81">
        <v>14</v>
      </c>
    </row>
    <row r="51" spans="1:31" ht="15" customHeight="1" x14ac:dyDescent="0.2">
      <c r="A51" s="81" t="s">
        <v>21789</v>
      </c>
      <c r="B51" s="81" t="s">
        <v>29613</v>
      </c>
      <c r="C51" s="81" t="s">
        <v>8</v>
      </c>
      <c r="D51" s="81" t="s">
        <v>21</v>
      </c>
      <c r="E51" s="81" t="s">
        <v>25636</v>
      </c>
      <c r="F51" s="81" t="s">
        <v>91</v>
      </c>
      <c r="G51" s="81" t="s">
        <v>25636</v>
      </c>
      <c r="H51" s="81" t="s">
        <v>29718</v>
      </c>
      <c r="I51" s="81" t="s">
        <v>54</v>
      </c>
      <c r="J51" s="84" t="s">
        <v>0</v>
      </c>
      <c r="K51" s="81" t="s">
        <v>25677</v>
      </c>
      <c r="L51" s="81" t="s">
        <v>25598</v>
      </c>
      <c r="M51" s="81" t="s">
        <v>12</v>
      </c>
      <c r="N51" s="81">
        <v>1281.5999999999999</v>
      </c>
      <c r="Q51" s="80" t="s">
        <v>54</v>
      </c>
      <c r="R51" s="146"/>
      <c r="S51" s="103" t="str">
        <f t="shared" si="0"/>
        <v>81-022-11-</v>
      </c>
      <c r="Y51" s="81">
        <v>2</v>
      </c>
      <c r="AA51" s="81">
        <v>2</v>
      </c>
      <c r="AC51" s="81">
        <v>7</v>
      </c>
      <c r="AE51" s="81">
        <v>6</v>
      </c>
    </row>
    <row r="52" spans="1:31" ht="15" customHeight="1" x14ac:dyDescent="0.2">
      <c r="A52" s="81" t="s">
        <v>19570</v>
      </c>
      <c r="B52" s="81" t="s">
        <v>29614</v>
      </c>
      <c r="C52" s="81" t="s">
        <v>8</v>
      </c>
      <c r="D52" s="81" t="s">
        <v>21</v>
      </c>
      <c r="E52" s="81" t="s">
        <v>25636</v>
      </c>
      <c r="F52" s="81" t="s">
        <v>91</v>
      </c>
      <c r="G52" s="81" t="s">
        <v>25636</v>
      </c>
      <c r="H52" s="81" t="s">
        <v>29727</v>
      </c>
      <c r="I52" s="81" t="s">
        <v>26</v>
      </c>
      <c r="J52" s="84" t="s">
        <v>0</v>
      </c>
      <c r="K52" s="81" t="s">
        <v>25677</v>
      </c>
      <c r="L52" s="81" t="s">
        <v>25596</v>
      </c>
      <c r="M52" s="81" t="s">
        <v>12</v>
      </c>
      <c r="N52" s="81">
        <v>1398.6</v>
      </c>
      <c r="Q52" s="80" t="s">
        <v>28</v>
      </c>
      <c r="R52" s="146"/>
      <c r="S52" s="103" t="str">
        <f t="shared" si="0"/>
        <v>80-369-05-</v>
      </c>
      <c r="Y52" s="81">
        <v>7</v>
      </c>
      <c r="AA52" s="81">
        <v>9</v>
      </c>
      <c r="AC52" s="81">
        <v>8</v>
      </c>
      <c r="AE52" s="81">
        <v>2</v>
      </c>
    </row>
    <row r="53" spans="1:31" ht="15" customHeight="1" x14ac:dyDescent="0.2">
      <c r="A53" s="81" t="s">
        <v>19582</v>
      </c>
      <c r="B53" s="81" t="s">
        <v>29614</v>
      </c>
      <c r="C53" s="81" t="s">
        <v>8</v>
      </c>
      <c r="D53" s="81" t="s">
        <v>21</v>
      </c>
      <c r="E53" s="81" t="s">
        <v>25636</v>
      </c>
      <c r="F53" s="81" t="s">
        <v>91</v>
      </c>
      <c r="G53" s="81" t="s">
        <v>25636</v>
      </c>
      <c r="H53" s="81" t="s">
        <v>29722</v>
      </c>
      <c r="I53" s="81" t="s">
        <v>25362</v>
      </c>
      <c r="J53" s="84" t="s">
        <v>0</v>
      </c>
      <c r="K53" s="81" t="s">
        <v>25677</v>
      </c>
      <c r="L53" s="81" t="s">
        <v>25596</v>
      </c>
      <c r="M53" s="81" t="s">
        <v>12</v>
      </c>
      <c r="N53" s="81">
        <v>1398.6</v>
      </c>
      <c r="Q53" s="80" t="s">
        <v>100</v>
      </c>
      <c r="R53" s="146"/>
      <c r="S53" s="103" t="str">
        <f t="shared" si="0"/>
        <v>80-369-50-</v>
      </c>
      <c r="Y53" s="81">
        <v>7</v>
      </c>
      <c r="AA53" s="81">
        <v>6</v>
      </c>
      <c r="AC53" s="81">
        <v>1</v>
      </c>
    </row>
    <row r="54" spans="1:31" ht="15" customHeight="1" x14ac:dyDescent="0.2">
      <c r="A54" s="81" t="s">
        <v>19572</v>
      </c>
      <c r="B54" s="81" t="s">
        <v>29614</v>
      </c>
      <c r="C54" s="81" t="s">
        <v>8</v>
      </c>
      <c r="D54" s="81" t="s">
        <v>21</v>
      </c>
      <c r="E54" s="81" t="s">
        <v>25636</v>
      </c>
      <c r="F54" s="81" t="s">
        <v>91</v>
      </c>
      <c r="G54" s="81" t="s">
        <v>25636</v>
      </c>
      <c r="H54" s="81" t="s">
        <v>29716</v>
      </c>
      <c r="I54" s="81" t="s">
        <v>27</v>
      </c>
      <c r="J54" s="84" t="s">
        <v>0</v>
      </c>
      <c r="K54" s="81" t="s">
        <v>25677</v>
      </c>
      <c r="L54" s="81" t="s">
        <v>25596</v>
      </c>
      <c r="M54" s="81" t="s">
        <v>12</v>
      </c>
      <c r="N54" s="81">
        <v>1398.6</v>
      </c>
      <c r="Q54" s="80" t="s">
        <v>27</v>
      </c>
      <c r="R54" s="146"/>
      <c r="S54" s="103" t="str">
        <f t="shared" si="0"/>
        <v>80-369-06-</v>
      </c>
      <c r="AA54" s="81">
        <v>5</v>
      </c>
      <c r="AC54" s="81">
        <v>3</v>
      </c>
    </row>
    <row r="55" spans="1:31" ht="15" customHeight="1" x14ac:dyDescent="0.2">
      <c r="A55" s="81" t="s">
        <v>19574</v>
      </c>
      <c r="B55" s="81" t="s">
        <v>29614</v>
      </c>
      <c r="C55" s="81" t="s">
        <v>8</v>
      </c>
      <c r="D55" s="81" t="s">
        <v>21</v>
      </c>
      <c r="E55" s="81" t="s">
        <v>25636</v>
      </c>
      <c r="F55" s="81" t="s">
        <v>91</v>
      </c>
      <c r="G55" s="81" t="s">
        <v>25636</v>
      </c>
      <c r="H55" s="81" t="s">
        <v>29717</v>
      </c>
      <c r="I55" s="81" t="s">
        <v>28</v>
      </c>
      <c r="J55" s="84" t="s">
        <v>0</v>
      </c>
      <c r="K55" s="81" t="s">
        <v>25677</v>
      </c>
      <c r="L55" s="81" t="s">
        <v>25596</v>
      </c>
      <c r="M55" s="81" t="s">
        <v>12</v>
      </c>
      <c r="N55" s="81">
        <v>1398.6</v>
      </c>
      <c r="Q55" s="80" t="s">
        <v>28</v>
      </c>
      <c r="R55" s="146"/>
      <c r="S55" s="103" t="str">
        <f t="shared" si="0"/>
        <v>80-369-08-</v>
      </c>
      <c r="Y55" s="81">
        <v>5</v>
      </c>
      <c r="AA55" s="81">
        <v>5</v>
      </c>
      <c r="AC55" s="81">
        <v>5</v>
      </c>
    </row>
    <row r="56" spans="1:31" ht="15" customHeight="1" x14ac:dyDescent="0.2">
      <c r="A56" s="81" t="s">
        <v>19580</v>
      </c>
      <c r="B56" s="81" t="s">
        <v>29614</v>
      </c>
      <c r="C56" s="81" t="s">
        <v>8</v>
      </c>
      <c r="D56" s="81" t="s">
        <v>21</v>
      </c>
      <c r="E56" s="81" t="s">
        <v>25636</v>
      </c>
      <c r="F56" s="81" t="s">
        <v>91</v>
      </c>
      <c r="G56" s="81" t="s">
        <v>25636</v>
      </c>
      <c r="H56" s="81" t="s">
        <v>29728</v>
      </c>
      <c r="I56" s="81" t="s">
        <v>220</v>
      </c>
      <c r="J56" s="84" t="s">
        <v>0</v>
      </c>
      <c r="K56" s="81" t="s">
        <v>25677</v>
      </c>
      <c r="L56" s="81" t="s">
        <v>25596</v>
      </c>
      <c r="M56" s="81" t="s">
        <v>12</v>
      </c>
      <c r="N56" s="81">
        <v>1398.6</v>
      </c>
      <c r="Q56" s="80" t="s">
        <v>220</v>
      </c>
      <c r="R56" s="146"/>
      <c r="S56" s="103" t="str">
        <f t="shared" si="0"/>
        <v>80-369-34-</v>
      </c>
      <c r="Y56" s="81">
        <v>5</v>
      </c>
      <c r="AA56" s="81">
        <v>7</v>
      </c>
      <c r="AC56" s="81">
        <v>4</v>
      </c>
    </row>
    <row r="57" spans="1:31" ht="15" customHeight="1" x14ac:dyDescent="0.2">
      <c r="A57" s="81" t="s">
        <v>21719</v>
      </c>
      <c r="B57" s="81" t="s">
        <v>29615</v>
      </c>
      <c r="C57" s="81" t="s">
        <v>8</v>
      </c>
      <c r="D57" s="81" t="s">
        <v>21</v>
      </c>
      <c r="E57" s="81" t="s">
        <v>25636</v>
      </c>
      <c r="F57" s="81" t="s">
        <v>91</v>
      </c>
      <c r="G57" s="81" t="s">
        <v>25636</v>
      </c>
      <c r="H57" s="81" t="s">
        <v>29726</v>
      </c>
      <c r="I57" s="81" t="s">
        <v>28</v>
      </c>
      <c r="J57" s="84" t="s">
        <v>0</v>
      </c>
      <c r="K57" s="81" t="s">
        <v>25677</v>
      </c>
      <c r="L57" s="81" t="s">
        <v>25598</v>
      </c>
      <c r="M57" s="81" t="s">
        <v>12</v>
      </c>
      <c r="N57" s="81">
        <v>1340.1000000000001</v>
      </c>
      <c r="Q57" s="80" t="s">
        <v>28</v>
      </c>
      <c r="R57" s="146"/>
      <c r="S57" s="103" t="str">
        <f t="shared" si="0"/>
        <v>81-004-08-</v>
      </c>
      <c r="Y57" s="81">
        <v>5</v>
      </c>
      <c r="AA57" s="81">
        <v>14</v>
      </c>
      <c r="AC57" s="81">
        <v>15</v>
      </c>
      <c r="AE57" s="81">
        <v>11</v>
      </c>
    </row>
    <row r="58" spans="1:31" ht="15" customHeight="1" x14ac:dyDescent="0.2">
      <c r="A58" s="81" t="s">
        <v>21723</v>
      </c>
      <c r="B58" s="81" t="s">
        <v>29615</v>
      </c>
      <c r="C58" s="81" t="s">
        <v>8</v>
      </c>
      <c r="D58" s="81" t="s">
        <v>21</v>
      </c>
      <c r="E58" s="81" t="s">
        <v>25636</v>
      </c>
      <c r="F58" s="81" t="s">
        <v>91</v>
      </c>
      <c r="G58" s="81" t="s">
        <v>25636</v>
      </c>
      <c r="H58" s="81" t="s">
        <v>29720</v>
      </c>
      <c r="I58" s="81" t="s">
        <v>22</v>
      </c>
      <c r="J58" s="84" t="s">
        <v>0</v>
      </c>
      <c r="K58" s="81" t="s">
        <v>25677</v>
      </c>
      <c r="L58" s="81" t="s">
        <v>25598</v>
      </c>
      <c r="M58" s="81" t="s">
        <v>12</v>
      </c>
      <c r="N58" s="81">
        <v>1340.1000000000001</v>
      </c>
      <c r="Q58" s="80" t="s">
        <v>22</v>
      </c>
      <c r="R58" s="146"/>
      <c r="S58" s="103" t="str">
        <f t="shared" si="0"/>
        <v>81-004-14-</v>
      </c>
      <c r="Y58" s="81">
        <v>7</v>
      </c>
      <c r="AA58" s="81">
        <v>18</v>
      </c>
      <c r="AC58" s="81">
        <v>20</v>
      </c>
      <c r="AE58" s="81">
        <v>16</v>
      </c>
    </row>
    <row r="59" spans="1:31" ht="15" customHeight="1" x14ac:dyDescent="0.2">
      <c r="A59" s="81" t="s">
        <v>21721</v>
      </c>
      <c r="B59" s="81" t="s">
        <v>29615</v>
      </c>
      <c r="C59" s="81" t="s">
        <v>8</v>
      </c>
      <c r="D59" s="81" t="s">
        <v>21</v>
      </c>
      <c r="E59" s="81" t="s">
        <v>25636</v>
      </c>
      <c r="F59" s="81" t="s">
        <v>91</v>
      </c>
      <c r="G59" s="81" t="s">
        <v>25636</v>
      </c>
      <c r="H59" s="81" t="s">
        <v>29715</v>
      </c>
      <c r="I59" s="81" t="s">
        <v>1</v>
      </c>
      <c r="J59" s="84" t="s">
        <v>0</v>
      </c>
      <c r="K59" s="81" t="s">
        <v>25677</v>
      </c>
      <c r="L59" s="81" t="s">
        <v>25598</v>
      </c>
      <c r="M59" s="81" t="s">
        <v>12</v>
      </c>
      <c r="N59" s="81">
        <v>1340.1000000000001</v>
      </c>
      <c r="Q59" s="80" t="s">
        <v>1</v>
      </c>
      <c r="R59" s="146"/>
      <c r="S59" s="103" t="str">
        <f t="shared" si="0"/>
        <v>81-004-09-</v>
      </c>
      <c r="Y59" s="81">
        <v>18</v>
      </c>
      <c r="AA59" s="81">
        <v>40</v>
      </c>
      <c r="AC59" s="81">
        <v>45</v>
      </c>
      <c r="AE59" s="81">
        <v>25</v>
      </c>
    </row>
    <row r="60" spans="1:31" ht="15" customHeight="1" x14ac:dyDescent="0.2">
      <c r="A60" s="81" t="s">
        <v>21735</v>
      </c>
      <c r="B60" s="81" t="s">
        <v>29616</v>
      </c>
      <c r="C60" s="81" t="s">
        <v>8</v>
      </c>
      <c r="D60" s="81" t="s">
        <v>21</v>
      </c>
      <c r="E60" s="81" t="s">
        <v>25636</v>
      </c>
      <c r="F60" s="81" t="s">
        <v>91</v>
      </c>
      <c r="G60" s="81" t="s">
        <v>25636</v>
      </c>
      <c r="H60" s="81" t="s">
        <v>29715</v>
      </c>
      <c r="I60" s="81" t="s">
        <v>1</v>
      </c>
      <c r="J60" s="84" t="s">
        <v>0</v>
      </c>
      <c r="K60" s="81" t="s">
        <v>25677</v>
      </c>
      <c r="L60" s="81" t="s">
        <v>25598</v>
      </c>
      <c r="M60" s="81" t="s">
        <v>12</v>
      </c>
      <c r="N60" s="81">
        <v>1164.5999999999999</v>
      </c>
      <c r="Q60" s="80" t="s">
        <v>1</v>
      </c>
      <c r="R60" s="146"/>
      <c r="S60" s="103" t="str">
        <f t="shared" si="0"/>
        <v>81-008-09-</v>
      </c>
      <c r="Y60" s="81">
        <v>19</v>
      </c>
      <c r="AA60" s="81">
        <v>26</v>
      </c>
      <c r="AC60" s="81">
        <v>40</v>
      </c>
      <c r="AE60" s="81">
        <v>15</v>
      </c>
    </row>
    <row r="61" spans="1:31" ht="15" customHeight="1" x14ac:dyDescent="0.2">
      <c r="A61" s="81" t="s">
        <v>21509</v>
      </c>
      <c r="B61" s="81" t="s">
        <v>29617</v>
      </c>
      <c r="C61" s="81" t="s">
        <v>8</v>
      </c>
      <c r="D61" s="81" t="s">
        <v>25577</v>
      </c>
      <c r="E61" s="81" t="s">
        <v>25636</v>
      </c>
      <c r="F61" s="81" t="s">
        <v>91</v>
      </c>
      <c r="G61" s="81" t="s">
        <v>25636</v>
      </c>
      <c r="H61" s="81" t="s">
        <v>29715</v>
      </c>
      <c r="I61" s="81" t="s">
        <v>1</v>
      </c>
      <c r="J61" s="84" t="s">
        <v>0</v>
      </c>
      <c r="K61" s="81" t="s">
        <v>25677</v>
      </c>
      <c r="L61" s="81" t="s">
        <v>25597</v>
      </c>
      <c r="M61" s="81" t="s">
        <v>12</v>
      </c>
      <c r="N61" s="81">
        <v>1164.5999999999999</v>
      </c>
      <c r="Q61" s="80" t="s">
        <v>1</v>
      </c>
      <c r="R61" s="146"/>
      <c r="S61" s="103" t="str">
        <f t="shared" si="0"/>
        <v>80-929-09-</v>
      </c>
      <c r="AA61" s="81">
        <v>20</v>
      </c>
      <c r="AC61" s="81">
        <v>20</v>
      </c>
    </row>
    <row r="62" spans="1:31" ht="15" customHeight="1" x14ac:dyDescent="0.2">
      <c r="A62" s="81" t="s">
        <v>21322</v>
      </c>
      <c r="B62" s="81" t="s">
        <v>29618</v>
      </c>
      <c r="C62" s="81" t="s">
        <v>49</v>
      </c>
      <c r="D62" s="81" t="s">
        <v>57</v>
      </c>
      <c r="E62" s="81" t="s">
        <v>25636</v>
      </c>
      <c r="F62" s="81" t="s">
        <v>26642</v>
      </c>
      <c r="G62" s="81" t="s">
        <v>25636</v>
      </c>
      <c r="H62" s="81" t="s">
        <v>29720</v>
      </c>
      <c r="I62" s="81" t="s">
        <v>22</v>
      </c>
      <c r="J62" s="84" t="s">
        <v>59</v>
      </c>
      <c r="L62" s="81" t="s">
        <v>25597</v>
      </c>
      <c r="M62" s="81" t="s">
        <v>12</v>
      </c>
      <c r="N62" s="81">
        <v>872.09999999999991</v>
      </c>
      <c r="Q62" s="80" t="s">
        <v>22</v>
      </c>
      <c r="R62" s="146"/>
      <c r="S62" s="103" t="str">
        <f t="shared" si="0"/>
        <v>80-862-14-</v>
      </c>
      <c r="Y62" s="81">
        <v>2</v>
      </c>
      <c r="AA62" s="81">
        <v>16</v>
      </c>
      <c r="AC62" s="81">
        <v>24</v>
      </c>
      <c r="AE62" s="81">
        <v>16</v>
      </c>
    </row>
    <row r="63" spans="1:31" ht="15" customHeight="1" x14ac:dyDescent="0.2">
      <c r="A63" s="81" t="s">
        <v>20292</v>
      </c>
      <c r="B63" s="81" t="s">
        <v>29619</v>
      </c>
      <c r="C63" s="81" t="s">
        <v>49</v>
      </c>
      <c r="D63" s="81" t="s">
        <v>212</v>
      </c>
      <c r="E63" s="81" t="s">
        <v>25636</v>
      </c>
      <c r="F63" s="81" t="s">
        <v>26642</v>
      </c>
      <c r="G63" s="81" t="s">
        <v>25636</v>
      </c>
      <c r="H63" s="81" t="s">
        <v>29727</v>
      </c>
      <c r="I63" s="81" t="s">
        <v>26</v>
      </c>
      <c r="J63" s="84" t="s">
        <v>213</v>
      </c>
      <c r="K63" s="81" t="s">
        <v>25669</v>
      </c>
      <c r="L63" s="81" t="s">
        <v>25597</v>
      </c>
      <c r="M63" s="81" t="s">
        <v>12</v>
      </c>
      <c r="N63" s="81">
        <v>345.59999999999997</v>
      </c>
      <c r="Q63" s="80" t="s">
        <v>28</v>
      </c>
      <c r="R63" s="146"/>
      <c r="S63" s="103" t="str">
        <f t="shared" si="0"/>
        <v>80-556-05-</v>
      </c>
      <c r="V63" s="81">
        <v>20</v>
      </c>
    </row>
    <row r="64" spans="1:31" ht="15" customHeight="1" x14ac:dyDescent="0.2">
      <c r="A64" s="81" t="s">
        <v>20296</v>
      </c>
      <c r="B64" s="81" t="s">
        <v>29619</v>
      </c>
      <c r="C64" s="81" t="s">
        <v>49</v>
      </c>
      <c r="D64" s="81" t="s">
        <v>212</v>
      </c>
      <c r="E64" s="81" t="s">
        <v>25636</v>
      </c>
      <c r="F64" s="81" t="s">
        <v>26642</v>
      </c>
      <c r="G64" s="81" t="s">
        <v>25636</v>
      </c>
      <c r="H64" s="81" t="s">
        <v>29714</v>
      </c>
      <c r="I64" s="81" t="s">
        <v>23</v>
      </c>
      <c r="J64" s="84" t="s">
        <v>213</v>
      </c>
      <c r="K64" s="81" t="s">
        <v>25669</v>
      </c>
      <c r="L64" s="81" t="s">
        <v>25597</v>
      </c>
      <c r="M64" s="81" t="s">
        <v>12</v>
      </c>
      <c r="N64" s="81">
        <v>345.59999999999997</v>
      </c>
      <c r="Q64" s="80" t="s">
        <v>27</v>
      </c>
      <c r="R64" s="146"/>
      <c r="S64" s="103" t="str">
        <f t="shared" si="0"/>
        <v>80-556-16-</v>
      </c>
      <c r="V64" s="81">
        <v>20</v>
      </c>
    </row>
    <row r="65" spans="1:32" ht="15" customHeight="1" x14ac:dyDescent="0.2">
      <c r="A65" s="81" t="s">
        <v>20294</v>
      </c>
      <c r="B65" s="81" t="s">
        <v>29619</v>
      </c>
      <c r="C65" s="81" t="s">
        <v>49</v>
      </c>
      <c r="D65" s="81" t="s">
        <v>212</v>
      </c>
      <c r="E65" s="81" t="s">
        <v>25636</v>
      </c>
      <c r="F65" s="81" t="s">
        <v>26642</v>
      </c>
      <c r="G65" s="81" t="s">
        <v>25636</v>
      </c>
      <c r="H65" s="81" t="s">
        <v>29715</v>
      </c>
      <c r="I65" s="81" t="s">
        <v>1</v>
      </c>
      <c r="J65" s="84" t="s">
        <v>213</v>
      </c>
      <c r="K65" s="81" t="s">
        <v>25669</v>
      </c>
      <c r="L65" s="81" t="s">
        <v>25597</v>
      </c>
      <c r="M65" s="81" t="s">
        <v>12</v>
      </c>
      <c r="N65" s="81">
        <v>345.59999999999997</v>
      </c>
      <c r="Q65" s="80" t="s">
        <v>1</v>
      </c>
      <c r="R65" s="146"/>
      <c r="S65" s="103" t="str">
        <f t="shared" si="0"/>
        <v>80-556-09-</v>
      </c>
      <c r="V65" s="81">
        <v>20</v>
      </c>
    </row>
    <row r="66" spans="1:32" ht="15" customHeight="1" x14ac:dyDescent="0.2">
      <c r="A66" s="81" t="s">
        <v>18786</v>
      </c>
      <c r="B66" s="81" t="s">
        <v>29590</v>
      </c>
      <c r="C66" s="81" t="s">
        <v>46</v>
      </c>
      <c r="D66" s="81" t="s">
        <v>47</v>
      </c>
      <c r="E66" s="81" t="s">
        <v>25636</v>
      </c>
      <c r="F66" s="81" t="s">
        <v>91</v>
      </c>
      <c r="G66" s="81" t="s">
        <v>25636</v>
      </c>
      <c r="H66" s="81" t="s">
        <v>29714</v>
      </c>
      <c r="I66" s="81" t="s">
        <v>23</v>
      </c>
      <c r="J66" s="84" t="s">
        <v>11</v>
      </c>
      <c r="K66" s="81" t="s">
        <v>25678</v>
      </c>
      <c r="L66" s="81" t="s">
        <v>25598</v>
      </c>
      <c r="M66" s="81" t="s">
        <v>20</v>
      </c>
      <c r="N66" s="81">
        <v>315</v>
      </c>
      <c r="Q66" s="80"/>
      <c r="R66" s="146"/>
      <c r="S66" s="103" t="str">
        <f t="shared" si="0"/>
        <v>80-161-16-</v>
      </c>
      <c r="Y66" s="81">
        <v>2</v>
      </c>
      <c r="Z66" s="81">
        <v>58</v>
      </c>
      <c r="AA66" s="81">
        <v>112</v>
      </c>
      <c r="AB66" s="81">
        <v>48</v>
      </c>
      <c r="AC66" s="81">
        <v>114</v>
      </c>
      <c r="AD66" s="81">
        <v>47</v>
      </c>
      <c r="AE66" s="81">
        <v>18</v>
      </c>
      <c r="AF66" s="81">
        <v>4</v>
      </c>
    </row>
    <row r="67" spans="1:32" ht="15" customHeight="1" x14ac:dyDescent="0.2">
      <c r="A67" s="81" t="s">
        <v>18784</v>
      </c>
      <c r="B67" s="81" t="s">
        <v>29590</v>
      </c>
      <c r="C67" s="81" t="s">
        <v>46</v>
      </c>
      <c r="D67" s="81" t="s">
        <v>47</v>
      </c>
      <c r="E67" s="81" t="s">
        <v>25636</v>
      </c>
      <c r="F67" s="81" t="s">
        <v>91</v>
      </c>
      <c r="G67" s="81" t="s">
        <v>25636</v>
      </c>
      <c r="H67" s="81" t="s">
        <v>29715</v>
      </c>
      <c r="I67" s="81" t="s">
        <v>1</v>
      </c>
      <c r="J67" s="84" t="s">
        <v>11</v>
      </c>
      <c r="K67" s="81" t="s">
        <v>25678</v>
      </c>
      <c r="L67" s="81" t="s">
        <v>25598</v>
      </c>
      <c r="M67" s="81" t="s">
        <v>20</v>
      </c>
      <c r="N67" s="81">
        <v>315</v>
      </c>
      <c r="Q67" s="80"/>
      <c r="R67" s="146"/>
      <c r="S67" s="103" t="str">
        <f t="shared" ref="S67:S130" si="1">A67&amp;"-"&amp;T67</f>
        <v>80-161-09-</v>
      </c>
      <c r="Y67" s="81">
        <v>21</v>
      </c>
      <c r="Z67" s="81">
        <v>57</v>
      </c>
      <c r="AA67" s="81">
        <v>72</v>
      </c>
      <c r="AB67" s="81">
        <v>59</v>
      </c>
      <c r="AC67" s="81">
        <v>69</v>
      </c>
      <c r="AD67" s="81">
        <v>70</v>
      </c>
      <c r="AE67" s="81">
        <v>3</v>
      </c>
      <c r="AF67" s="81">
        <v>3</v>
      </c>
    </row>
    <row r="68" spans="1:32" ht="15" customHeight="1" x14ac:dyDescent="0.2">
      <c r="A68" s="81" t="s">
        <v>18615</v>
      </c>
      <c r="B68" s="81" t="s">
        <v>29620</v>
      </c>
      <c r="C68" s="81" t="s">
        <v>31</v>
      </c>
      <c r="D68" s="81" t="s">
        <v>32</v>
      </c>
      <c r="E68" s="81" t="s">
        <v>25636</v>
      </c>
      <c r="F68" s="81" t="s">
        <v>91</v>
      </c>
      <c r="G68" s="81" t="s">
        <v>25636</v>
      </c>
      <c r="H68" s="81" t="s">
        <v>29720</v>
      </c>
      <c r="I68" s="81" t="s">
        <v>22</v>
      </c>
      <c r="J68" s="84" t="s">
        <v>0</v>
      </c>
      <c r="K68" s="81" t="s">
        <v>264</v>
      </c>
      <c r="L68" s="81" t="s">
        <v>25598</v>
      </c>
      <c r="M68" s="81" t="s">
        <v>20</v>
      </c>
      <c r="N68" s="81">
        <v>270</v>
      </c>
      <c r="Q68" s="80"/>
      <c r="R68" s="146"/>
      <c r="S68" s="103" t="str">
        <f t="shared" si="1"/>
        <v>80-116-14-</v>
      </c>
      <c r="Y68" s="81">
        <v>2</v>
      </c>
      <c r="Z68" s="81">
        <v>7</v>
      </c>
      <c r="AA68" s="81">
        <v>1</v>
      </c>
      <c r="AC68" s="81">
        <v>20</v>
      </c>
      <c r="AE68" s="81">
        <v>1</v>
      </c>
    </row>
    <row r="69" spans="1:32" ht="15" customHeight="1" x14ac:dyDescent="0.2">
      <c r="A69" s="81" t="s">
        <v>19178</v>
      </c>
      <c r="B69" s="81" t="s">
        <v>29602</v>
      </c>
      <c r="C69" s="81" t="s">
        <v>49</v>
      </c>
      <c r="D69" s="81" t="s">
        <v>212</v>
      </c>
      <c r="E69" s="81" t="s">
        <v>25636</v>
      </c>
      <c r="F69" s="81" t="s">
        <v>26642</v>
      </c>
      <c r="G69" s="81" t="s">
        <v>25636</v>
      </c>
      <c r="H69" s="81" t="s">
        <v>29717</v>
      </c>
      <c r="I69" s="81" t="s">
        <v>28</v>
      </c>
      <c r="J69" s="84" t="s">
        <v>26269</v>
      </c>
      <c r="K69" s="81" t="s">
        <v>264</v>
      </c>
      <c r="L69" s="81" t="s">
        <v>25598</v>
      </c>
      <c r="M69" s="81" t="s">
        <v>12</v>
      </c>
      <c r="N69" s="81">
        <v>180</v>
      </c>
      <c r="Q69" s="80"/>
      <c r="R69" s="146"/>
      <c r="S69" s="103" t="str">
        <f t="shared" si="1"/>
        <v>80-268-08-</v>
      </c>
      <c r="V69" s="81">
        <v>30</v>
      </c>
    </row>
    <row r="70" spans="1:32" ht="15" customHeight="1" x14ac:dyDescent="0.2">
      <c r="A70" s="81" t="s">
        <v>27756</v>
      </c>
      <c r="B70" s="81" t="s">
        <v>29621</v>
      </c>
      <c r="C70" s="81" t="s">
        <v>8</v>
      </c>
      <c r="D70" s="81" t="s">
        <v>21</v>
      </c>
      <c r="E70" s="81" t="s">
        <v>25636</v>
      </c>
      <c r="F70" s="81" t="s">
        <v>91</v>
      </c>
      <c r="G70" s="81" t="s">
        <v>25636</v>
      </c>
      <c r="H70" s="81" t="s">
        <v>29720</v>
      </c>
      <c r="I70" s="81" t="s">
        <v>22</v>
      </c>
      <c r="J70" s="84" t="s">
        <v>0</v>
      </c>
      <c r="K70" s="81" t="s">
        <v>25677</v>
      </c>
      <c r="L70" s="81" t="s">
        <v>25598</v>
      </c>
      <c r="M70" s="81" t="s">
        <v>12</v>
      </c>
      <c r="N70" s="81">
        <v>450</v>
      </c>
      <c r="Q70" s="80"/>
      <c r="R70" s="146"/>
      <c r="S70" s="103" t="str">
        <f t="shared" si="1"/>
        <v>80-368-14-</v>
      </c>
      <c r="Y70" s="81">
        <v>2</v>
      </c>
      <c r="AC70" s="81">
        <v>2</v>
      </c>
    </row>
    <row r="71" spans="1:32" ht="15" customHeight="1" x14ac:dyDescent="0.2">
      <c r="A71" s="81" t="s">
        <v>27758</v>
      </c>
      <c r="B71" s="81" t="s">
        <v>29621</v>
      </c>
      <c r="C71" s="81" t="s">
        <v>8</v>
      </c>
      <c r="D71" s="81" t="s">
        <v>21</v>
      </c>
      <c r="E71" s="81" t="s">
        <v>25636</v>
      </c>
      <c r="F71" s="81" t="s">
        <v>91</v>
      </c>
      <c r="G71" s="81" t="s">
        <v>25636</v>
      </c>
      <c r="H71" s="81" t="s">
        <v>29715</v>
      </c>
      <c r="I71" s="81" t="s">
        <v>1</v>
      </c>
      <c r="J71" s="84" t="s">
        <v>0</v>
      </c>
      <c r="K71" s="81" t="s">
        <v>25677</v>
      </c>
      <c r="L71" s="81" t="s">
        <v>25598</v>
      </c>
      <c r="M71" s="81" t="s">
        <v>12</v>
      </c>
      <c r="N71" s="81">
        <v>450</v>
      </c>
      <c r="Q71" s="80"/>
      <c r="R71" s="146"/>
      <c r="S71" s="103" t="str">
        <f t="shared" si="1"/>
        <v>80-368-09-</v>
      </c>
      <c r="AE71" s="81">
        <v>4</v>
      </c>
    </row>
    <row r="72" spans="1:32" ht="15" customHeight="1" x14ac:dyDescent="0.2">
      <c r="A72" s="81" t="s">
        <v>27724</v>
      </c>
      <c r="B72" s="81" t="s">
        <v>29622</v>
      </c>
      <c r="C72" s="81" t="s">
        <v>8</v>
      </c>
      <c r="D72" s="81" t="s">
        <v>30</v>
      </c>
      <c r="E72" s="81" t="s">
        <v>25636</v>
      </c>
      <c r="F72" s="81" t="s">
        <v>91</v>
      </c>
      <c r="G72" s="81" t="s">
        <v>25636</v>
      </c>
      <c r="H72" s="81" t="s">
        <v>29720</v>
      </c>
      <c r="I72" s="81" t="s">
        <v>22</v>
      </c>
      <c r="J72" s="84" t="s">
        <v>25711</v>
      </c>
      <c r="K72" s="81" t="s">
        <v>25674</v>
      </c>
      <c r="L72" s="81" t="s">
        <v>25598</v>
      </c>
      <c r="M72" s="81" t="s">
        <v>12</v>
      </c>
      <c r="N72" s="81">
        <v>2100.6</v>
      </c>
      <c r="Q72" s="80"/>
      <c r="R72" s="146"/>
      <c r="S72" s="103" t="str">
        <f t="shared" si="1"/>
        <v>81-065-14-</v>
      </c>
      <c r="AC72" s="81">
        <v>3</v>
      </c>
      <c r="AE72" s="81">
        <v>4</v>
      </c>
    </row>
    <row r="73" spans="1:32" ht="15" customHeight="1" x14ac:dyDescent="0.2">
      <c r="A73" s="81" t="s">
        <v>27732</v>
      </c>
      <c r="B73" s="81" t="s">
        <v>29623</v>
      </c>
      <c r="C73" s="81" t="s">
        <v>8</v>
      </c>
      <c r="D73" s="81" t="s">
        <v>25575</v>
      </c>
      <c r="E73" s="81" t="s">
        <v>25636</v>
      </c>
      <c r="F73" s="81" t="s">
        <v>91</v>
      </c>
      <c r="G73" s="81" t="s">
        <v>25636</v>
      </c>
      <c r="H73" s="81" t="s">
        <v>29715</v>
      </c>
      <c r="I73" s="81" t="s">
        <v>1</v>
      </c>
      <c r="J73" s="84" t="s">
        <v>0</v>
      </c>
      <c r="K73" s="81" t="s">
        <v>25677</v>
      </c>
      <c r="L73" s="81" t="s">
        <v>25598</v>
      </c>
      <c r="M73" s="81" t="s">
        <v>12</v>
      </c>
      <c r="N73" s="81">
        <v>1281.5999999999999</v>
      </c>
      <c r="Q73" s="80"/>
      <c r="R73" s="146"/>
      <c r="S73" s="103" t="str">
        <f t="shared" si="1"/>
        <v>81-070-09-</v>
      </c>
      <c r="Y73" s="81">
        <v>3</v>
      </c>
      <c r="AA73" s="81">
        <v>4</v>
      </c>
      <c r="AC73" s="81">
        <v>5</v>
      </c>
      <c r="AE73" s="81">
        <v>3</v>
      </c>
    </row>
    <row r="74" spans="1:32" ht="15" customHeight="1" x14ac:dyDescent="0.2">
      <c r="A74" s="81" t="s">
        <v>29624</v>
      </c>
      <c r="B74" s="81" t="s">
        <v>29625</v>
      </c>
      <c r="C74" s="81" t="s">
        <v>198</v>
      </c>
      <c r="D74" s="81" t="s">
        <v>199</v>
      </c>
      <c r="E74" s="81" t="s">
        <v>25636</v>
      </c>
      <c r="F74" s="81" t="s">
        <v>26643</v>
      </c>
      <c r="G74" s="81" t="s">
        <v>25636</v>
      </c>
      <c r="H74" s="81" t="s">
        <v>29715</v>
      </c>
      <c r="I74" s="81" t="s">
        <v>1</v>
      </c>
      <c r="J74" s="84" t="s">
        <v>11</v>
      </c>
      <c r="K74" s="81" t="s">
        <v>25678</v>
      </c>
      <c r="L74" s="81" t="s">
        <v>25598</v>
      </c>
      <c r="M74" s="81" t="s">
        <v>12</v>
      </c>
      <c r="N74" s="81">
        <v>812.69999999999993</v>
      </c>
      <c r="Q74" s="80"/>
      <c r="R74" s="146"/>
      <c r="S74" s="103" t="str">
        <f t="shared" si="1"/>
        <v>81-074-09-</v>
      </c>
      <c r="Y74" s="81">
        <v>7</v>
      </c>
      <c r="AA74" s="81">
        <v>19</v>
      </c>
      <c r="AC74" s="81">
        <v>19</v>
      </c>
      <c r="AE74" s="81">
        <v>7</v>
      </c>
    </row>
    <row r="75" spans="1:32" ht="15" customHeight="1" x14ac:dyDescent="0.2">
      <c r="A75" s="81" t="s">
        <v>29626</v>
      </c>
      <c r="B75" s="81" t="s">
        <v>29627</v>
      </c>
      <c r="C75" s="81" t="s">
        <v>26804</v>
      </c>
      <c r="D75" s="81" t="s">
        <v>25552</v>
      </c>
      <c r="E75" s="81" t="s">
        <v>25636</v>
      </c>
      <c r="F75" s="81" t="s">
        <v>26643</v>
      </c>
      <c r="G75" s="81" t="s">
        <v>25636</v>
      </c>
      <c r="H75" s="81" t="s">
        <v>29729</v>
      </c>
      <c r="I75" s="81" t="s">
        <v>100</v>
      </c>
      <c r="J75" s="84" t="s">
        <v>11</v>
      </c>
      <c r="K75" s="81" t="s">
        <v>25678</v>
      </c>
      <c r="L75" s="81" t="s">
        <v>25598</v>
      </c>
      <c r="M75" s="81" t="s">
        <v>12</v>
      </c>
      <c r="N75" s="81">
        <v>812.69999999999993</v>
      </c>
      <c r="Q75" s="80"/>
      <c r="R75" s="146"/>
      <c r="S75" s="103" t="str">
        <f t="shared" si="1"/>
        <v>81-075-17-</v>
      </c>
      <c r="AA75" s="81">
        <v>25</v>
      </c>
    </row>
    <row r="76" spans="1:32" ht="15" customHeight="1" x14ac:dyDescent="0.2">
      <c r="A76" s="81" t="s">
        <v>29628</v>
      </c>
      <c r="B76" s="81" t="s">
        <v>29627</v>
      </c>
      <c r="C76" s="81" t="s">
        <v>26804</v>
      </c>
      <c r="D76" s="81" t="s">
        <v>25552</v>
      </c>
      <c r="E76" s="81" t="s">
        <v>25636</v>
      </c>
      <c r="F76" s="81" t="s">
        <v>26643</v>
      </c>
      <c r="G76" s="81" t="s">
        <v>25636</v>
      </c>
      <c r="H76" s="81" t="s">
        <v>29714</v>
      </c>
      <c r="I76" s="81" t="s">
        <v>23</v>
      </c>
      <c r="J76" s="84" t="s">
        <v>11</v>
      </c>
      <c r="K76" s="81" t="s">
        <v>25678</v>
      </c>
      <c r="L76" s="81" t="s">
        <v>25598</v>
      </c>
      <c r="M76" s="81" t="s">
        <v>12</v>
      </c>
      <c r="N76" s="81">
        <v>812.69999999999993</v>
      </c>
      <c r="Q76" s="80"/>
      <c r="R76" s="146"/>
      <c r="S76" s="103" t="str">
        <f t="shared" si="1"/>
        <v>81-075-16-</v>
      </c>
      <c r="AA76" s="81">
        <v>25</v>
      </c>
    </row>
    <row r="77" spans="1:32" ht="15" customHeight="1" x14ac:dyDescent="0.2">
      <c r="A77" s="81" t="s">
        <v>29629</v>
      </c>
      <c r="B77" s="81" t="s">
        <v>29630</v>
      </c>
      <c r="C77" s="81" t="s">
        <v>46</v>
      </c>
      <c r="D77" s="81" t="s">
        <v>47</v>
      </c>
      <c r="E77" s="81" t="s">
        <v>25636</v>
      </c>
      <c r="F77" s="81" t="s">
        <v>91</v>
      </c>
      <c r="G77" s="81" t="s">
        <v>25636</v>
      </c>
      <c r="H77" s="81" t="s">
        <v>29722</v>
      </c>
      <c r="I77" s="81" t="s">
        <v>25358</v>
      </c>
      <c r="J77" s="84" t="s">
        <v>11</v>
      </c>
      <c r="K77" s="81" t="s">
        <v>25678</v>
      </c>
      <c r="L77" s="81" t="s">
        <v>25598</v>
      </c>
      <c r="M77" s="81" t="s">
        <v>12</v>
      </c>
      <c r="N77" s="81">
        <v>812.69999999999993</v>
      </c>
      <c r="Q77" s="80"/>
      <c r="R77" s="146"/>
      <c r="S77" s="103" t="str">
        <f t="shared" si="1"/>
        <v>81-076-45-</v>
      </c>
      <c r="AA77" s="81">
        <v>10</v>
      </c>
      <c r="AC77" s="81">
        <v>10</v>
      </c>
    </row>
    <row r="78" spans="1:32" ht="15" customHeight="1" x14ac:dyDescent="0.2">
      <c r="A78" s="81" t="s">
        <v>29631</v>
      </c>
      <c r="B78" s="81" t="s">
        <v>29630</v>
      </c>
      <c r="C78" s="81" t="s">
        <v>46</v>
      </c>
      <c r="D78" s="81" t="s">
        <v>47</v>
      </c>
      <c r="E78" s="81" t="s">
        <v>25636</v>
      </c>
      <c r="F78" s="81" t="s">
        <v>91</v>
      </c>
      <c r="G78" s="81" t="s">
        <v>25636</v>
      </c>
      <c r="H78" s="81" t="s">
        <v>29714</v>
      </c>
      <c r="I78" s="81" t="s">
        <v>23</v>
      </c>
      <c r="J78" s="84" t="s">
        <v>11</v>
      </c>
      <c r="K78" s="81" t="s">
        <v>25678</v>
      </c>
      <c r="L78" s="81" t="s">
        <v>25598</v>
      </c>
      <c r="M78" s="81" t="s">
        <v>12</v>
      </c>
      <c r="N78" s="81">
        <v>812.69999999999993</v>
      </c>
      <c r="Q78" s="80"/>
      <c r="R78" s="146"/>
      <c r="S78" s="103" t="str">
        <f t="shared" si="1"/>
        <v>81-076-16-</v>
      </c>
      <c r="AA78" s="81">
        <v>14</v>
      </c>
      <c r="AC78" s="81">
        <v>14</v>
      </c>
    </row>
    <row r="79" spans="1:32" ht="15" customHeight="1" x14ac:dyDescent="0.2">
      <c r="A79" s="81" t="s">
        <v>29632</v>
      </c>
      <c r="B79" s="81" t="s">
        <v>29633</v>
      </c>
      <c r="C79" s="81" t="s">
        <v>26804</v>
      </c>
      <c r="D79" s="81" t="s">
        <v>25552</v>
      </c>
      <c r="E79" s="81" t="s">
        <v>25636</v>
      </c>
      <c r="F79" s="81" t="s">
        <v>26643</v>
      </c>
      <c r="G79" s="81" t="s">
        <v>25636</v>
      </c>
      <c r="H79" s="81" t="s">
        <v>29722</v>
      </c>
      <c r="I79" s="81" t="s">
        <v>52</v>
      </c>
      <c r="J79" s="84" t="s">
        <v>11</v>
      </c>
      <c r="K79" s="81" t="s">
        <v>25678</v>
      </c>
      <c r="L79" s="81" t="s">
        <v>25598</v>
      </c>
      <c r="M79" s="81" t="s">
        <v>12</v>
      </c>
      <c r="N79" s="81">
        <v>812.69999999999993</v>
      </c>
      <c r="Q79" s="80"/>
      <c r="R79" s="146"/>
      <c r="S79" s="103" t="str">
        <f t="shared" si="1"/>
        <v>81-077-02-</v>
      </c>
      <c r="AA79" s="81">
        <v>25</v>
      </c>
    </row>
    <row r="80" spans="1:32" ht="15" customHeight="1" x14ac:dyDescent="0.2">
      <c r="A80" s="81" t="s">
        <v>29634</v>
      </c>
      <c r="B80" s="81" t="s">
        <v>29633</v>
      </c>
      <c r="C80" s="81" t="s">
        <v>26804</v>
      </c>
      <c r="D80" s="81" t="s">
        <v>25552</v>
      </c>
      <c r="E80" s="81" t="s">
        <v>25636</v>
      </c>
      <c r="F80" s="81" t="s">
        <v>26643</v>
      </c>
      <c r="G80" s="81" t="s">
        <v>25636</v>
      </c>
      <c r="H80" s="81" t="s">
        <v>29714</v>
      </c>
      <c r="I80" s="81" t="s">
        <v>23</v>
      </c>
      <c r="J80" s="84" t="s">
        <v>11</v>
      </c>
      <c r="K80" s="81" t="s">
        <v>25678</v>
      </c>
      <c r="L80" s="81" t="s">
        <v>25598</v>
      </c>
      <c r="M80" s="81" t="s">
        <v>12</v>
      </c>
      <c r="N80" s="81">
        <v>812.69999999999993</v>
      </c>
      <c r="Q80" s="80"/>
      <c r="R80" s="146"/>
      <c r="S80" s="103" t="str">
        <f t="shared" si="1"/>
        <v>81-077-16-</v>
      </c>
      <c r="AA80" s="81">
        <v>25</v>
      </c>
    </row>
    <row r="81" spans="1:38" ht="15" customHeight="1" x14ac:dyDescent="0.2">
      <c r="A81" s="81" t="s">
        <v>29635</v>
      </c>
      <c r="B81" s="81" t="s">
        <v>29636</v>
      </c>
      <c r="C81" s="81" t="s">
        <v>46</v>
      </c>
      <c r="D81" s="81" t="s">
        <v>47</v>
      </c>
      <c r="E81" s="81" t="s">
        <v>25636</v>
      </c>
      <c r="F81" s="81" t="s">
        <v>91</v>
      </c>
      <c r="G81" s="81" t="s">
        <v>25636</v>
      </c>
      <c r="H81" s="81" t="s">
        <v>29730</v>
      </c>
      <c r="I81" s="81" t="s">
        <v>25385</v>
      </c>
      <c r="J81" s="84" t="s">
        <v>11</v>
      </c>
      <c r="K81" s="81" t="s">
        <v>25678</v>
      </c>
      <c r="L81" s="81" t="s">
        <v>25598</v>
      </c>
      <c r="M81" s="81" t="s">
        <v>12</v>
      </c>
      <c r="N81" s="81">
        <v>686.7</v>
      </c>
      <c r="Q81" s="80"/>
      <c r="R81" s="146"/>
      <c r="S81" s="103" t="str">
        <f t="shared" si="1"/>
        <v>81-078-20-</v>
      </c>
      <c r="AC81" s="81">
        <v>18</v>
      </c>
    </row>
    <row r="82" spans="1:38" ht="15" customHeight="1" x14ac:dyDescent="0.2">
      <c r="A82" s="81" t="s">
        <v>29637</v>
      </c>
      <c r="B82" s="81" t="s">
        <v>29636</v>
      </c>
      <c r="C82" s="81" t="s">
        <v>46</v>
      </c>
      <c r="D82" s="81" t="s">
        <v>47</v>
      </c>
      <c r="E82" s="81" t="s">
        <v>25636</v>
      </c>
      <c r="F82" s="81" t="s">
        <v>91</v>
      </c>
      <c r="G82" s="81" t="s">
        <v>25636</v>
      </c>
      <c r="H82" s="81" t="s">
        <v>29728</v>
      </c>
      <c r="I82" s="81" t="s">
        <v>220</v>
      </c>
      <c r="J82" s="84" t="s">
        <v>11</v>
      </c>
      <c r="K82" s="81" t="s">
        <v>25678</v>
      </c>
      <c r="L82" s="81" t="s">
        <v>25596</v>
      </c>
      <c r="M82" s="81" t="s">
        <v>12</v>
      </c>
      <c r="N82" s="81">
        <v>686.7</v>
      </c>
      <c r="Q82" s="80"/>
      <c r="R82" s="146"/>
      <c r="S82" s="103" t="str">
        <f t="shared" si="1"/>
        <v>81-078-34-</v>
      </c>
      <c r="AC82" s="81">
        <v>18</v>
      </c>
    </row>
    <row r="83" spans="1:38" ht="15" customHeight="1" x14ac:dyDescent="0.2">
      <c r="A83" s="81" t="s">
        <v>29638</v>
      </c>
      <c r="B83" s="81" t="s">
        <v>29639</v>
      </c>
      <c r="C83" s="81" t="s">
        <v>198</v>
      </c>
      <c r="D83" s="81" t="s">
        <v>199</v>
      </c>
      <c r="E83" s="81" t="s">
        <v>25636</v>
      </c>
      <c r="F83" s="81" t="s">
        <v>26643</v>
      </c>
      <c r="G83" s="81" t="s">
        <v>25636</v>
      </c>
      <c r="H83" s="81" t="s">
        <v>29716</v>
      </c>
      <c r="I83" s="81" t="s">
        <v>27</v>
      </c>
      <c r="J83" s="84" t="s">
        <v>11</v>
      </c>
      <c r="K83" s="81" t="s">
        <v>25678</v>
      </c>
      <c r="L83" s="81" t="s">
        <v>25598</v>
      </c>
      <c r="M83" s="81" t="s">
        <v>12</v>
      </c>
      <c r="N83" s="81">
        <v>812.69999999999993</v>
      </c>
      <c r="Q83" s="80"/>
      <c r="R83" s="146"/>
      <c r="S83" s="103" t="str">
        <f t="shared" si="1"/>
        <v>81-079-06-</v>
      </c>
      <c r="AA83" s="81">
        <v>18</v>
      </c>
      <c r="AC83" s="81">
        <v>18</v>
      </c>
      <c r="AE83" s="81">
        <v>9</v>
      </c>
    </row>
    <row r="84" spans="1:38" ht="15" customHeight="1" x14ac:dyDescent="0.2">
      <c r="A84" s="81" t="s">
        <v>29640</v>
      </c>
      <c r="B84" s="81" t="s">
        <v>29639</v>
      </c>
      <c r="C84" s="81" t="s">
        <v>198</v>
      </c>
      <c r="D84" s="81" t="s">
        <v>199</v>
      </c>
      <c r="E84" s="81" t="s">
        <v>25636</v>
      </c>
      <c r="F84" s="81" t="s">
        <v>26643</v>
      </c>
      <c r="G84" s="81" t="s">
        <v>25636</v>
      </c>
      <c r="H84" s="81" t="s">
        <v>29730</v>
      </c>
      <c r="I84" s="81" t="s">
        <v>25385</v>
      </c>
      <c r="J84" s="84" t="s">
        <v>11</v>
      </c>
      <c r="K84" s="81" t="s">
        <v>25678</v>
      </c>
      <c r="L84" s="81" t="s">
        <v>25598</v>
      </c>
      <c r="M84" s="81" t="s">
        <v>12</v>
      </c>
      <c r="N84" s="81">
        <v>812.69999999999993</v>
      </c>
      <c r="Q84" s="80"/>
      <c r="R84" s="146"/>
      <c r="S84" s="103" t="str">
        <f t="shared" si="1"/>
        <v>81-079-20-</v>
      </c>
      <c r="Y84" s="81">
        <v>9</v>
      </c>
      <c r="AA84" s="81">
        <v>18</v>
      </c>
      <c r="AC84" s="81">
        <v>18</v>
      </c>
      <c r="AE84" s="81">
        <v>9</v>
      </c>
    </row>
    <row r="85" spans="1:38" ht="15" customHeight="1" x14ac:dyDescent="0.2">
      <c r="A85" s="81" t="s">
        <v>29641</v>
      </c>
      <c r="B85" s="81" t="s">
        <v>29639</v>
      </c>
      <c r="C85" s="81" t="s">
        <v>198</v>
      </c>
      <c r="D85" s="81" t="s">
        <v>199</v>
      </c>
      <c r="E85" s="81" t="s">
        <v>25636</v>
      </c>
      <c r="F85" s="81" t="s">
        <v>26643</v>
      </c>
      <c r="G85" s="81" t="s">
        <v>25636</v>
      </c>
      <c r="H85" s="81" t="s">
        <v>29728</v>
      </c>
      <c r="I85" s="81" t="s">
        <v>220</v>
      </c>
      <c r="J85" s="84" t="s">
        <v>11</v>
      </c>
      <c r="K85" s="81" t="s">
        <v>25678</v>
      </c>
      <c r="L85" s="81" t="s">
        <v>25596</v>
      </c>
      <c r="M85" s="81" t="s">
        <v>12</v>
      </c>
      <c r="N85" s="81">
        <v>812.69999999999993</v>
      </c>
      <c r="Q85" s="80"/>
      <c r="R85" s="146"/>
      <c r="S85" s="103" t="str">
        <f t="shared" si="1"/>
        <v>81-079-34-</v>
      </c>
      <c r="Y85" s="81">
        <v>9</v>
      </c>
      <c r="AA85" s="81">
        <v>18</v>
      </c>
      <c r="AC85" s="81">
        <v>18</v>
      </c>
      <c r="AE85" s="81">
        <v>9</v>
      </c>
    </row>
    <row r="86" spans="1:38" ht="15" customHeight="1" x14ac:dyDescent="0.2">
      <c r="A86" s="81" t="s">
        <v>29642</v>
      </c>
      <c r="B86" s="81" t="s">
        <v>29643</v>
      </c>
      <c r="C86" s="81" t="s">
        <v>46</v>
      </c>
      <c r="D86" s="81" t="s">
        <v>47</v>
      </c>
      <c r="E86" s="81" t="s">
        <v>25636</v>
      </c>
      <c r="F86" s="81" t="s">
        <v>91</v>
      </c>
      <c r="G86" s="81" t="s">
        <v>25636</v>
      </c>
      <c r="H86" s="81" t="s">
        <v>29715</v>
      </c>
      <c r="I86" s="81" t="s">
        <v>1</v>
      </c>
      <c r="J86" s="84" t="s">
        <v>11</v>
      </c>
      <c r="K86" s="81" t="s">
        <v>25678</v>
      </c>
      <c r="L86" s="81" t="s">
        <v>25598</v>
      </c>
      <c r="M86" s="81" t="s">
        <v>12</v>
      </c>
      <c r="N86" s="81">
        <v>749.7</v>
      </c>
      <c r="Q86" s="80"/>
      <c r="R86" s="146"/>
      <c r="S86" s="103" t="str">
        <f t="shared" si="1"/>
        <v>80-941-09-</v>
      </c>
      <c r="AA86" s="81">
        <v>30</v>
      </c>
      <c r="AC86" s="81">
        <v>30</v>
      </c>
    </row>
    <row r="87" spans="1:38" ht="15" customHeight="1" x14ac:dyDescent="0.2">
      <c r="A87" s="81" t="s">
        <v>29644</v>
      </c>
      <c r="B87" s="81" t="s">
        <v>29643</v>
      </c>
      <c r="C87" s="81" t="s">
        <v>46</v>
      </c>
      <c r="D87" s="81" t="s">
        <v>47</v>
      </c>
      <c r="E87" s="81" t="s">
        <v>25636</v>
      </c>
      <c r="F87" s="81" t="s">
        <v>91</v>
      </c>
      <c r="G87" s="81" t="s">
        <v>25636</v>
      </c>
      <c r="H87" s="81" t="s">
        <v>29717</v>
      </c>
      <c r="I87" s="81" t="s">
        <v>28</v>
      </c>
      <c r="J87" s="84" t="s">
        <v>11</v>
      </c>
      <c r="K87" s="81" t="s">
        <v>25678</v>
      </c>
      <c r="L87" s="81" t="s">
        <v>25598</v>
      </c>
      <c r="M87" s="81" t="s">
        <v>12</v>
      </c>
      <c r="N87" s="81">
        <v>749.7</v>
      </c>
      <c r="Q87" s="80"/>
      <c r="R87" s="146"/>
      <c r="S87" s="103" t="str">
        <f t="shared" si="1"/>
        <v>80-941-80-</v>
      </c>
      <c r="AA87" s="81">
        <v>30</v>
      </c>
      <c r="AC87" s="81">
        <v>30</v>
      </c>
    </row>
    <row r="88" spans="1:38" ht="15" customHeight="1" x14ac:dyDescent="0.2">
      <c r="A88" s="81" t="s">
        <v>29645</v>
      </c>
      <c r="B88" s="81" t="s">
        <v>29646</v>
      </c>
      <c r="C88" s="81" t="s">
        <v>46</v>
      </c>
      <c r="D88" s="81" t="s">
        <v>47</v>
      </c>
      <c r="E88" s="81" t="s">
        <v>25636</v>
      </c>
      <c r="F88" s="81" t="s">
        <v>26643</v>
      </c>
      <c r="G88" s="81" t="s">
        <v>25636</v>
      </c>
      <c r="H88" s="81" t="s">
        <v>29731</v>
      </c>
      <c r="I88" s="81" t="s">
        <v>147</v>
      </c>
      <c r="J88" s="84" t="s">
        <v>11</v>
      </c>
      <c r="K88" s="81" t="s">
        <v>25678</v>
      </c>
      <c r="L88" s="81" t="s">
        <v>25595</v>
      </c>
      <c r="M88" s="81" t="s">
        <v>12</v>
      </c>
      <c r="N88" s="81">
        <v>345.59999999999997</v>
      </c>
      <c r="Q88" s="80"/>
      <c r="R88" s="146"/>
      <c r="S88" s="103" t="str">
        <f t="shared" si="1"/>
        <v>80-662-19-</v>
      </c>
      <c r="AJ88" s="81">
        <v>10</v>
      </c>
      <c r="AL88" s="81">
        <v>10</v>
      </c>
    </row>
    <row r="89" spans="1:38" ht="15" customHeight="1" x14ac:dyDescent="0.2">
      <c r="A89" s="81" t="s">
        <v>29647</v>
      </c>
      <c r="B89" s="81" t="s">
        <v>29646</v>
      </c>
      <c r="C89" s="81" t="s">
        <v>46</v>
      </c>
      <c r="D89" s="81" t="s">
        <v>47</v>
      </c>
      <c r="E89" s="81" t="s">
        <v>25636</v>
      </c>
      <c r="F89" s="81" t="s">
        <v>26643</v>
      </c>
      <c r="G89" s="81" t="s">
        <v>25636</v>
      </c>
      <c r="H89" s="81" t="s">
        <v>29716</v>
      </c>
      <c r="I89" s="81" t="s">
        <v>27</v>
      </c>
      <c r="J89" s="84" t="s">
        <v>11</v>
      </c>
      <c r="K89" s="81" t="s">
        <v>25678</v>
      </c>
      <c r="L89" s="81" t="s">
        <v>25595</v>
      </c>
      <c r="M89" s="81" t="s">
        <v>12</v>
      </c>
      <c r="N89" s="81">
        <v>345.59999999999997</v>
      </c>
      <c r="Q89" s="80"/>
      <c r="R89" s="146"/>
      <c r="S89" s="103" t="str">
        <f t="shared" si="1"/>
        <v>80-662-06-</v>
      </c>
      <c r="AJ89" s="81">
        <v>9</v>
      </c>
      <c r="AL89" s="81">
        <v>9</v>
      </c>
    </row>
    <row r="90" spans="1:38" ht="15" customHeight="1" x14ac:dyDescent="0.2">
      <c r="A90" s="81" t="s">
        <v>29648</v>
      </c>
      <c r="B90" s="81" t="s">
        <v>29646</v>
      </c>
      <c r="C90" s="81" t="s">
        <v>46</v>
      </c>
      <c r="D90" s="81" t="s">
        <v>47</v>
      </c>
      <c r="E90" s="81" t="s">
        <v>25636</v>
      </c>
      <c r="F90" s="81" t="s">
        <v>26643</v>
      </c>
      <c r="G90" s="81" t="s">
        <v>25636</v>
      </c>
      <c r="H90" s="81" t="s">
        <v>29732</v>
      </c>
      <c r="I90" s="81" t="s">
        <v>220</v>
      </c>
      <c r="J90" s="84" t="s">
        <v>11</v>
      </c>
      <c r="K90" s="81" t="s">
        <v>25678</v>
      </c>
      <c r="L90" s="81" t="s">
        <v>25595</v>
      </c>
      <c r="M90" s="81" t="s">
        <v>12</v>
      </c>
      <c r="N90" s="81">
        <v>345.59999999999997</v>
      </c>
      <c r="Q90" s="80"/>
      <c r="R90" s="146"/>
      <c r="S90" s="103" t="str">
        <f t="shared" si="1"/>
        <v>80-662-34-</v>
      </c>
      <c r="AJ90" s="81">
        <v>10</v>
      </c>
      <c r="AL90" s="81">
        <v>10</v>
      </c>
    </row>
    <row r="91" spans="1:38" ht="15" customHeight="1" x14ac:dyDescent="0.2">
      <c r="A91" s="81" t="s">
        <v>29649</v>
      </c>
      <c r="B91" s="81" t="s">
        <v>29650</v>
      </c>
      <c r="C91" s="81" t="s">
        <v>198</v>
      </c>
      <c r="D91" s="81" t="s">
        <v>199</v>
      </c>
      <c r="E91" s="81" t="s">
        <v>25636</v>
      </c>
      <c r="F91" s="81" t="s">
        <v>26643</v>
      </c>
      <c r="G91" s="81" t="s">
        <v>25636</v>
      </c>
      <c r="H91" s="81" t="s">
        <v>29731</v>
      </c>
      <c r="I91" s="81" t="s">
        <v>147</v>
      </c>
      <c r="J91" s="84" t="s">
        <v>11</v>
      </c>
      <c r="K91" s="81" t="s">
        <v>25678</v>
      </c>
      <c r="L91" s="81" t="s">
        <v>25595</v>
      </c>
      <c r="M91" s="81" t="s">
        <v>12</v>
      </c>
      <c r="N91" s="81">
        <v>345.59999999999997</v>
      </c>
      <c r="Q91" s="80"/>
      <c r="R91" s="146"/>
      <c r="S91" s="103" t="str">
        <f t="shared" si="1"/>
        <v>80-717-19-</v>
      </c>
      <c r="AK91" s="81">
        <v>12</v>
      </c>
      <c r="AL91" s="81">
        <v>12</v>
      </c>
    </row>
    <row r="92" spans="1:38" ht="15" customHeight="1" x14ac:dyDescent="0.2">
      <c r="A92" s="81" t="s">
        <v>29651</v>
      </c>
      <c r="B92" s="81" t="s">
        <v>29650</v>
      </c>
      <c r="C92" s="81" t="s">
        <v>198</v>
      </c>
      <c r="D92" s="81" t="s">
        <v>199</v>
      </c>
      <c r="E92" s="81" t="s">
        <v>25636</v>
      </c>
      <c r="F92" s="81" t="s">
        <v>26643</v>
      </c>
      <c r="G92" s="81" t="s">
        <v>25636</v>
      </c>
      <c r="H92" s="81" t="s">
        <v>29716</v>
      </c>
      <c r="I92" s="81" t="s">
        <v>27</v>
      </c>
      <c r="J92" s="84" t="s">
        <v>11</v>
      </c>
      <c r="K92" s="81" t="s">
        <v>25678</v>
      </c>
      <c r="L92" s="81" t="s">
        <v>25595</v>
      </c>
      <c r="M92" s="81" t="s">
        <v>12</v>
      </c>
      <c r="N92" s="81">
        <v>345.59999999999997</v>
      </c>
      <c r="Q92" s="80"/>
      <c r="R92" s="146"/>
      <c r="S92" s="103" t="str">
        <f t="shared" si="1"/>
        <v>80-717-06-</v>
      </c>
      <c r="AK92" s="81">
        <v>12</v>
      </c>
      <c r="AL92" s="81">
        <v>12</v>
      </c>
    </row>
    <row r="93" spans="1:38" ht="15" customHeight="1" x14ac:dyDescent="0.2">
      <c r="A93" s="81" t="s">
        <v>29652</v>
      </c>
      <c r="B93" s="81" t="s">
        <v>29650</v>
      </c>
      <c r="C93" s="81" t="s">
        <v>198</v>
      </c>
      <c r="D93" s="81" t="s">
        <v>199</v>
      </c>
      <c r="E93" s="81" t="s">
        <v>25636</v>
      </c>
      <c r="F93" s="81" t="s">
        <v>26643</v>
      </c>
      <c r="G93" s="81" t="s">
        <v>25636</v>
      </c>
      <c r="H93" s="81" t="s">
        <v>29732</v>
      </c>
      <c r="I93" s="81" t="s">
        <v>220</v>
      </c>
      <c r="J93" s="84" t="s">
        <v>11</v>
      </c>
      <c r="K93" s="81" t="s">
        <v>25678</v>
      </c>
      <c r="L93" s="81" t="s">
        <v>25595</v>
      </c>
      <c r="M93" s="81" t="s">
        <v>12</v>
      </c>
      <c r="N93" s="81">
        <v>345.59999999999997</v>
      </c>
      <c r="Q93" s="80"/>
      <c r="R93" s="146"/>
      <c r="S93" s="103" t="str">
        <f t="shared" si="1"/>
        <v>80-717-34-</v>
      </c>
      <c r="AK93" s="81">
        <v>12</v>
      </c>
      <c r="AL93" s="81">
        <v>12</v>
      </c>
    </row>
    <row r="94" spans="1:38" ht="15" customHeight="1" x14ac:dyDescent="0.2">
      <c r="A94" s="81" t="s">
        <v>29653</v>
      </c>
      <c r="B94" s="81" t="s">
        <v>29654</v>
      </c>
      <c r="C94" s="81" t="s">
        <v>31</v>
      </c>
      <c r="D94" s="81" t="s">
        <v>32</v>
      </c>
      <c r="E94" s="81" t="s">
        <v>25636</v>
      </c>
      <c r="F94" s="81" t="s">
        <v>91</v>
      </c>
      <c r="G94" s="81" t="s">
        <v>25636</v>
      </c>
      <c r="H94" s="81" t="s">
        <v>29715</v>
      </c>
      <c r="I94" s="81" t="s">
        <v>1</v>
      </c>
      <c r="J94" s="84" t="s">
        <v>25711</v>
      </c>
      <c r="K94" s="81" t="s">
        <v>25674</v>
      </c>
      <c r="L94" s="81" t="s">
        <v>25598</v>
      </c>
      <c r="M94" s="81" t="s">
        <v>12</v>
      </c>
      <c r="N94" s="81">
        <v>180</v>
      </c>
      <c r="Q94" s="80"/>
      <c r="R94" s="146"/>
      <c r="S94" s="103" t="str">
        <f t="shared" si="1"/>
        <v>81-080-09-</v>
      </c>
      <c r="Y94" s="81">
        <v>10</v>
      </c>
      <c r="AA94" s="81">
        <v>11</v>
      </c>
      <c r="AC94" s="81">
        <v>15</v>
      </c>
      <c r="AE94" s="81">
        <v>13</v>
      </c>
    </row>
    <row r="95" spans="1:38" ht="15" customHeight="1" x14ac:dyDescent="0.2">
      <c r="A95" s="81" t="s">
        <v>29655</v>
      </c>
      <c r="B95" s="81" t="s">
        <v>29656</v>
      </c>
      <c r="C95" s="81" t="s">
        <v>31</v>
      </c>
      <c r="D95" s="81" t="s">
        <v>25550</v>
      </c>
      <c r="E95" s="81" t="s">
        <v>25636</v>
      </c>
      <c r="F95" s="81" t="s">
        <v>91</v>
      </c>
      <c r="G95" s="81" t="s">
        <v>25636</v>
      </c>
      <c r="H95" s="81" t="s">
        <v>29715</v>
      </c>
      <c r="I95" s="81" t="s">
        <v>1</v>
      </c>
      <c r="J95" s="84" t="s">
        <v>0</v>
      </c>
      <c r="K95" s="81" t="s">
        <v>264</v>
      </c>
      <c r="L95" s="81" t="s">
        <v>25598</v>
      </c>
      <c r="M95" s="81" t="s">
        <v>12</v>
      </c>
      <c r="N95" s="81">
        <v>180</v>
      </c>
      <c r="Q95" s="80"/>
      <c r="R95" s="146"/>
      <c r="S95" s="103" t="str">
        <f t="shared" si="1"/>
        <v>81-081-09-</v>
      </c>
      <c r="AC95" s="81">
        <v>40</v>
      </c>
      <c r="AE95" s="81">
        <v>20</v>
      </c>
    </row>
    <row r="96" spans="1:38" ht="15" customHeight="1" x14ac:dyDescent="0.2">
      <c r="A96" s="81" t="s">
        <v>29657</v>
      </c>
      <c r="B96" s="81" t="s">
        <v>29658</v>
      </c>
      <c r="C96" s="81" t="s">
        <v>31</v>
      </c>
      <c r="D96" s="81" t="s">
        <v>25548</v>
      </c>
      <c r="E96" s="81" t="s">
        <v>25636</v>
      </c>
      <c r="F96" s="81" t="s">
        <v>91</v>
      </c>
      <c r="G96" s="81" t="s">
        <v>25636</v>
      </c>
      <c r="H96" s="81" t="s">
        <v>29716</v>
      </c>
      <c r="I96" s="81" t="s">
        <v>23</v>
      </c>
      <c r="J96" s="84" t="s">
        <v>26538</v>
      </c>
      <c r="K96" s="81" t="s">
        <v>264</v>
      </c>
      <c r="L96" s="81" t="s">
        <v>25598</v>
      </c>
      <c r="M96" s="81" t="s">
        <v>20</v>
      </c>
      <c r="N96" s="81">
        <v>360</v>
      </c>
      <c r="Q96" s="80"/>
      <c r="R96" s="146"/>
      <c r="S96" s="103" t="str">
        <f t="shared" si="1"/>
        <v>80-824-16-</v>
      </c>
      <c r="AC96" s="81">
        <v>2</v>
      </c>
      <c r="AD96" s="81">
        <v>1</v>
      </c>
      <c r="AE96" s="81">
        <v>3</v>
      </c>
    </row>
    <row r="97" spans="1:31" ht="15" customHeight="1" x14ac:dyDescent="0.2">
      <c r="A97" s="81" t="s">
        <v>29659</v>
      </c>
      <c r="B97" s="81" t="s">
        <v>29596</v>
      </c>
      <c r="C97" s="81" t="s">
        <v>49</v>
      </c>
      <c r="D97" s="81" t="s">
        <v>57</v>
      </c>
      <c r="E97" s="81" t="s">
        <v>25636</v>
      </c>
      <c r="F97" s="81" t="s">
        <v>26642</v>
      </c>
      <c r="G97" s="81" t="s">
        <v>25636</v>
      </c>
      <c r="H97" s="81" t="s">
        <v>29714</v>
      </c>
      <c r="I97" s="81" t="s">
        <v>23</v>
      </c>
      <c r="J97" s="84" t="s">
        <v>59</v>
      </c>
      <c r="L97" s="81" t="s">
        <v>25596</v>
      </c>
      <c r="M97" s="81" t="s">
        <v>12</v>
      </c>
      <c r="N97" s="81">
        <v>270</v>
      </c>
      <c r="Q97" s="80"/>
      <c r="R97" s="146"/>
      <c r="S97" s="103" t="str">
        <f t="shared" si="1"/>
        <v>80-863-16-</v>
      </c>
      <c r="Y97" s="81">
        <v>1</v>
      </c>
      <c r="AA97" s="81">
        <v>2</v>
      </c>
      <c r="AC97" s="81">
        <v>1</v>
      </c>
      <c r="AE97" s="81">
        <v>1</v>
      </c>
    </row>
    <row r="98" spans="1:31" ht="15" customHeight="1" x14ac:dyDescent="0.2">
      <c r="A98" s="81" t="s">
        <v>29660</v>
      </c>
      <c r="B98" s="81" t="s">
        <v>29596</v>
      </c>
      <c r="C98" s="81" t="s">
        <v>49</v>
      </c>
      <c r="D98" s="81" t="s">
        <v>57</v>
      </c>
      <c r="E98" s="81" t="s">
        <v>25636</v>
      </c>
      <c r="F98" s="81" t="s">
        <v>26642</v>
      </c>
      <c r="G98" s="81" t="s">
        <v>25636</v>
      </c>
      <c r="H98" s="81" t="s">
        <v>29728</v>
      </c>
      <c r="I98" s="81" t="s">
        <v>220</v>
      </c>
      <c r="J98" s="84" t="s">
        <v>59</v>
      </c>
      <c r="L98" s="81" t="s">
        <v>25596</v>
      </c>
      <c r="M98" s="81" t="s">
        <v>12</v>
      </c>
      <c r="N98" s="81">
        <v>270</v>
      </c>
      <c r="Q98" s="80"/>
      <c r="R98" s="146"/>
      <c r="S98" s="103" t="str">
        <f t="shared" si="1"/>
        <v>80-863-34-</v>
      </c>
      <c r="Y98" s="81">
        <v>6</v>
      </c>
      <c r="AA98" s="81">
        <v>14</v>
      </c>
      <c r="AC98" s="81">
        <v>5</v>
      </c>
    </row>
    <row r="99" spans="1:31" ht="15" customHeight="1" x14ac:dyDescent="0.2">
      <c r="A99" s="81" t="s">
        <v>29661</v>
      </c>
      <c r="B99" s="81" t="s">
        <v>29662</v>
      </c>
      <c r="C99" s="81" t="s">
        <v>49</v>
      </c>
      <c r="D99" s="81" t="s">
        <v>212</v>
      </c>
      <c r="E99" s="81" t="s">
        <v>25636</v>
      </c>
      <c r="F99" s="81" t="s">
        <v>26642</v>
      </c>
      <c r="G99" s="81" t="s">
        <v>25636</v>
      </c>
      <c r="H99" s="81" t="s">
        <v>29715</v>
      </c>
      <c r="I99" s="81" t="s">
        <v>1</v>
      </c>
      <c r="J99" s="84" t="s">
        <v>29738</v>
      </c>
      <c r="L99" s="81" t="s">
        <v>25598</v>
      </c>
      <c r="M99" s="81" t="s">
        <v>12</v>
      </c>
      <c r="N99" s="81">
        <v>135</v>
      </c>
      <c r="Q99" s="80"/>
      <c r="R99" s="146"/>
      <c r="S99" s="103" t="str">
        <f t="shared" si="1"/>
        <v>81-082-09-</v>
      </c>
      <c r="V99" s="81">
        <v>14</v>
      </c>
    </row>
    <row r="100" spans="1:31" ht="15" customHeight="1" x14ac:dyDescent="0.2">
      <c r="A100" s="81" t="s">
        <v>29663</v>
      </c>
      <c r="B100" s="81" t="s">
        <v>29664</v>
      </c>
      <c r="C100" s="81" t="s">
        <v>49</v>
      </c>
      <c r="D100" s="81" t="s">
        <v>212</v>
      </c>
      <c r="E100" s="81" t="s">
        <v>25636</v>
      </c>
      <c r="F100" s="81" t="s">
        <v>26642</v>
      </c>
      <c r="G100" s="81" t="s">
        <v>25636</v>
      </c>
      <c r="H100" s="81" t="s">
        <v>29733</v>
      </c>
      <c r="I100" s="81" t="s">
        <v>100</v>
      </c>
      <c r="J100" s="84" t="s">
        <v>213</v>
      </c>
      <c r="L100" s="81" t="s">
        <v>25598</v>
      </c>
      <c r="M100" s="81" t="s">
        <v>12</v>
      </c>
      <c r="N100" s="81">
        <v>135</v>
      </c>
      <c r="Q100" s="80"/>
      <c r="R100" s="146"/>
      <c r="S100" s="103" t="str">
        <f t="shared" si="1"/>
        <v>80-562-17-</v>
      </c>
      <c r="V100" s="81">
        <v>23</v>
      </c>
    </row>
    <row r="101" spans="1:31" ht="15" customHeight="1" x14ac:dyDescent="0.2">
      <c r="A101" s="81" t="s">
        <v>29665</v>
      </c>
      <c r="B101" s="81" t="s">
        <v>29600</v>
      </c>
      <c r="C101" s="81" t="s">
        <v>26638</v>
      </c>
      <c r="D101" s="81" t="s">
        <v>25572</v>
      </c>
      <c r="E101" s="81" t="s">
        <v>25636</v>
      </c>
      <c r="F101" s="81" t="s">
        <v>26642</v>
      </c>
      <c r="G101" s="81" t="s">
        <v>25636</v>
      </c>
      <c r="H101" s="81" t="s">
        <v>29720</v>
      </c>
      <c r="I101" s="81" t="s">
        <v>22</v>
      </c>
      <c r="J101" s="84" t="s">
        <v>0</v>
      </c>
      <c r="K101" s="81" t="s">
        <v>264</v>
      </c>
      <c r="L101" s="81" t="s">
        <v>25598</v>
      </c>
      <c r="M101" s="81" t="s">
        <v>20</v>
      </c>
      <c r="N101" s="81">
        <v>270</v>
      </c>
      <c r="Q101" s="80"/>
      <c r="R101" s="146"/>
      <c r="S101" s="103" t="str">
        <f t="shared" si="1"/>
        <v>80-506-14-</v>
      </c>
      <c r="V101" s="81">
        <v>4</v>
      </c>
    </row>
    <row r="102" spans="1:31" ht="15" customHeight="1" x14ac:dyDescent="0.2">
      <c r="A102" s="81" t="s">
        <v>29666</v>
      </c>
      <c r="B102" s="81" t="s">
        <v>29667</v>
      </c>
      <c r="C102" s="81" t="s">
        <v>49</v>
      </c>
      <c r="D102" s="81" t="s">
        <v>57</v>
      </c>
      <c r="E102" s="81" t="s">
        <v>25636</v>
      </c>
      <c r="F102" s="81" t="s">
        <v>26642</v>
      </c>
      <c r="G102" s="81" t="s">
        <v>25636</v>
      </c>
      <c r="H102" s="81" t="s">
        <v>29714</v>
      </c>
      <c r="I102" s="81" t="s">
        <v>23</v>
      </c>
      <c r="J102" s="84" t="s">
        <v>29739</v>
      </c>
      <c r="L102" s="81" t="s">
        <v>25598</v>
      </c>
      <c r="M102" s="81" t="s">
        <v>12</v>
      </c>
      <c r="N102" s="81">
        <v>90</v>
      </c>
      <c r="Q102" s="80"/>
      <c r="R102" s="146"/>
      <c r="S102" s="103" t="str">
        <f t="shared" si="1"/>
        <v>81-083-16-</v>
      </c>
      <c r="Y102" s="81">
        <v>4</v>
      </c>
      <c r="AA102" s="81">
        <v>17</v>
      </c>
      <c r="AC102" s="81">
        <v>21</v>
      </c>
      <c r="AE102" s="81">
        <v>8</v>
      </c>
    </row>
    <row r="103" spans="1:31" ht="15" customHeight="1" x14ac:dyDescent="0.2">
      <c r="A103" s="81" t="s">
        <v>29668</v>
      </c>
      <c r="B103" s="81" t="s">
        <v>29667</v>
      </c>
      <c r="C103" s="81" t="s">
        <v>49</v>
      </c>
      <c r="D103" s="81" t="s">
        <v>57</v>
      </c>
      <c r="E103" s="81" t="s">
        <v>25636</v>
      </c>
      <c r="F103" s="81" t="s">
        <v>26642</v>
      </c>
      <c r="G103" s="81" t="s">
        <v>25636</v>
      </c>
      <c r="H103" s="81" t="s">
        <v>29715</v>
      </c>
      <c r="I103" s="81" t="s">
        <v>1</v>
      </c>
      <c r="J103" s="84" t="s">
        <v>29739</v>
      </c>
      <c r="L103" s="81" t="s">
        <v>25598</v>
      </c>
      <c r="M103" s="81" t="s">
        <v>12</v>
      </c>
      <c r="N103" s="81">
        <v>90</v>
      </c>
      <c r="Q103" s="80"/>
      <c r="R103" s="146"/>
      <c r="S103" s="103" t="str">
        <f t="shared" si="1"/>
        <v>81-083-09-</v>
      </c>
      <c r="Y103" s="81">
        <v>4</v>
      </c>
      <c r="AA103" s="81">
        <v>9</v>
      </c>
      <c r="AC103" s="81">
        <v>8</v>
      </c>
      <c r="AE103" s="81">
        <v>5</v>
      </c>
    </row>
    <row r="104" spans="1:31" ht="15" customHeight="1" x14ac:dyDescent="0.2">
      <c r="A104" s="81" t="s">
        <v>29669</v>
      </c>
      <c r="B104" s="81" t="s">
        <v>29670</v>
      </c>
      <c r="C104" s="81" t="s">
        <v>49</v>
      </c>
      <c r="D104" s="81" t="s">
        <v>212</v>
      </c>
      <c r="E104" s="81" t="s">
        <v>25636</v>
      </c>
      <c r="F104" s="81" t="s">
        <v>26642</v>
      </c>
      <c r="G104" s="81" t="s">
        <v>25636</v>
      </c>
      <c r="H104" s="81" t="s">
        <v>29715</v>
      </c>
      <c r="I104" s="81" t="s">
        <v>1</v>
      </c>
      <c r="J104" s="84" t="s">
        <v>29739</v>
      </c>
      <c r="L104" s="81" t="s">
        <v>25598</v>
      </c>
      <c r="M104" s="81" t="s">
        <v>12</v>
      </c>
      <c r="N104" s="81">
        <v>62.999999999999993</v>
      </c>
      <c r="Q104" s="80"/>
      <c r="R104" s="146"/>
      <c r="S104" s="103" t="str">
        <f t="shared" si="1"/>
        <v>81-084-09-</v>
      </c>
      <c r="V104" s="81">
        <v>5</v>
      </c>
    </row>
    <row r="105" spans="1:31" ht="15" customHeight="1" x14ac:dyDescent="0.2">
      <c r="A105" s="81" t="s">
        <v>29671</v>
      </c>
      <c r="B105" s="81" t="s">
        <v>29670</v>
      </c>
      <c r="C105" s="81" t="s">
        <v>49</v>
      </c>
      <c r="D105" s="81" t="s">
        <v>212</v>
      </c>
      <c r="E105" s="81" t="s">
        <v>25636</v>
      </c>
      <c r="F105" s="81" t="s">
        <v>26642</v>
      </c>
      <c r="G105" s="81" t="s">
        <v>25636</v>
      </c>
      <c r="H105" s="81" t="s">
        <v>29718</v>
      </c>
      <c r="I105" s="81" t="s">
        <v>54</v>
      </c>
      <c r="J105" s="84" t="s">
        <v>29739</v>
      </c>
      <c r="L105" s="81" t="s">
        <v>25598</v>
      </c>
      <c r="M105" s="81" t="s">
        <v>12</v>
      </c>
      <c r="N105" s="81">
        <v>62.999999999999993</v>
      </c>
      <c r="Q105" s="80"/>
      <c r="R105" s="146"/>
      <c r="S105" s="103" t="str">
        <f t="shared" si="1"/>
        <v>81-084-11-</v>
      </c>
      <c r="V105" s="81">
        <v>30</v>
      </c>
    </row>
    <row r="106" spans="1:31" ht="15" customHeight="1" x14ac:dyDescent="0.2">
      <c r="A106" s="81" t="s">
        <v>29672</v>
      </c>
      <c r="B106" s="81" t="s">
        <v>29673</v>
      </c>
      <c r="C106" s="81" t="s">
        <v>49</v>
      </c>
      <c r="D106" s="81" t="s">
        <v>212</v>
      </c>
      <c r="E106" s="81" t="s">
        <v>25636</v>
      </c>
      <c r="F106" s="81" t="s">
        <v>26642</v>
      </c>
      <c r="G106" s="81" t="s">
        <v>25636</v>
      </c>
      <c r="H106" s="81" t="s">
        <v>29720</v>
      </c>
      <c r="I106" s="81" t="s">
        <v>22</v>
      </c>
      <c r="J106" s="84" t="s">
        <v>29740</v>
      </c>
      <c r="L106" s="81" t="s">
        <v>25598</v>
      </c>
      <c r="M106" s="81" t="s">
        <v>12</v>
      </c>
      <c r="N106" s="81">
        <v>270</v>
      </c>
      <c r="Q106" s="80"/>
      <c r="R106" s="146"/>
      <c r="S106" s="103" t="str">
        <f t="shared" si="1"/>
        <v>81-085-14-</v>
      </c>
      <c r="V106" s="81">
        <v>20</v>
      </c>
    </row>
    <row r="107" spans="1:31" ht="15" customHeight="1" x14ac:dyDescent="0.2">
      <c r="A107" s="81" t="s">
        <v>29674</v>
      </c>
      <c r="B107" s="81" t="s">
        <v>29673</v>
      </c>
      <c r="C107" s="81" t="s">
        <v>49</v>
      </c>
      <c r="D107" s="81" t="s">
        <v>212</v>
      </c>
      <c r="E107" s="81" t="s">
        <v>25636</v>
      </c>
      <c r="F107" s="81" t="s">
        <v>26642</v>
      </c>
      <c r="G107" s="81" t="s">
        <v>25636</v>
      </c>
      <c r="H107" s="81" t="s">
        <v>29715</v>
      </c>
      <c r="I107" s="81" t="s">
        <v>1</v>
      </c>
      <c r="J107" s="84" t="s">
        <v>29740</v>
      </c>
      <c r="L107" s="81" t="s">
        <v>25598</v>
      </c>
      <c r="M107" s="81" t="s">
        <v>12</v>
      </c>
      <c r="N107" s="81">
        <v>270</v>
      </c>
      <c r="Q107" s="80"/>
      <c r="R107" s="146"/>
      <c r="S107" s="103" t="str">
        <f t="shared" si="1"/>
        <v>81-085-09-</v>
      </c>
      <c r="V107" s="81">
        <v>30</v>
      </c>
    </row>
    <row r="108" spans="1:31" ht="15" customHeight="1" x14ac:dyDescent="0.2">
      <c r="A108" s="81" t="s">
        <v>29675</v>
      </c>
      <c r="B108" s="81" t="s">
        <v>29676</v>
      </c>
      <c r="C108" s="81" t="s">
        <v>26638</v>
      </c>
      <c r="D108" s="81" t="s">
        <v>25572</v>
      </c>
      <c r="E108" s="81" t="s">
        <v>25636</v>
      </c>
      <c r="F108" s="81" t="s">
        <v>26642</v>
      </c>
      <c r="G108" s="81" t="s">
        <v>25636</v>
      </c>
      <c r="H108" s="81" t="s">
        <v>29716</v>
      </c>
      <c r="I108" s="81" t="s">
        <v>23</v>
      </c>
      <c r="J108" s="84" t="s">
        <v>29741</v>
      </c>
      <c r="K108" s="81" t="s">
        <v>264</v>
      </c>
      <c r="L108" s="81" t="s">
        <v>25598</v>
      </c>
      <c r="M108" s="81" t="s">
        <v>20</v>
      </c>
      <c r="N108" s="81">
        <v>225</v>
      </c>
      <c r="Q108" s="80"/>
      <c r="R108" s="146"/>
      <c r="S108" s="103" t="str">
        <f t="shared" si="1"/>
        <v>81-086-16-</v>
      </c>
      <c r="V108" s="81">
        <v>12</v>
      </c>
    </row>
    <row r="109" spans="1:31" ht="15" customHeight="1" x14ac:dyDescent="0.2">
      <c r="A109" s="81" t="s">
        <v>29677</v>
      </c>
      <c r="B109" s="81" t="s">
        <v>29676</v>
      </c>
      <c r="C109" s="81" t="s">
        <v>26638</v>
      </c>
      <c r="D109" s="81" t="s">
        <v>25572</v>
      </c>
      <c r="E109" s="81" t="s">
        <v>25636</v>
      </c>
      <c r="F109" s="81" t="s">
        <v>26642</v>
      </c>
      <c r="G109" s="81" t="s">
        <v>25636</v>
      </c>
      <c r="H109" s="81" t="s">
        <v>29734</v>
      </c>
      <c r="I109" s="81" t="s">
        <v>54</v>
      </c>
      <c r="J109" s="84" t="s">
        <v>29741</v>
      </c>
      <c r="K109" s="81" t="s">
        <v>264</v>
      </c>
      <c r="L109" s="81" t="s">
        <v>25598</v>
      </c>
      <c r="M109" s="81" t="s">
        <v>20</v>
      </c>
      <c r="N109" s="81">
        <v>225</v>
      </c>
      <c r="Q109" s="80"/>
      <c r="R109" s="146"/>
      <c r="S109" s="103" t="str">
        <f t="shared" si="1"/>
        <v>81-086-11-</v>
      </c>
      <c r="V109" s="81">
        <v>12</v>
      </c>
    </row>
    <row r="110" spans="1:31" ht="15" customHeight="1" x14ac:dyDescent="0.2">
      <c r="A110" s="81" t="s">
        <v>29678</v>
      </c>
      <c r="B110" s="81" t="s">
        <v>29679</v>
      </c>
      <c r="C110" s="81" t="s">
        <v>26638</v>
      </c>
      <c r="D110" s="81" t="s">
        <v>25572</v>
      </c>
      <c r="E110" s="81" t="s">
        <v>25636</v>
      </c>
      <c r="F110" s="81" t="s">
        <v>26642</v>
      </c>
      <c r="G110" s="81" t="s">
        <v>25636</v>
      </c>
      <c r="H110" s="81" t="s">
        <v>29714</v>
      </c>
      <c r="I110" s="81" t="s">
        <v>23</v>
      </c>
      <c r="J110" s="84" t="s">
        <v>0</v>
      </c>
      <c r="K110" s="81" t="s">
        <v>264</v>
      </c>
      <c r="L110" s="81" t="s">
        <v>25598</v>
      </c>
      <c r="M110" s="81" t="s">
        <v>20</v>
      </c>
      <c r="N110" s="81">
        <v>225</v>
      </c>
      <c r="Q110" s="80"/>
      <c r="R110" s="146"/>
      <c r="S110" s="103" t="str">
        <f t="shared" si="1"/>
        <v>81-087-16-</v>
      </c>
      <c r="V110" s="81">
        <v>8</v>
      </c>
    </row>
    <row r="111" spans="1:31" ht="15" customHeight="1" x14ac:dyDescent="0.2">
      <c r="A111" s="81" t="s">
        <v>29680</v>
      </c>
      <c r="B111" s="81" t="s">
        <v>29679</v>
      </c>
      <c r="C111" s="81" t="s">
        <v>26638</v>
      </c>
      <c r="D111" s="81" t="s">
        <v>25572</v>
      </c>
      <c r="E111" s="81" t="s">
        <v>25636</v>
      </c>
      <c r="F111" s="81" t="s">
        <v>26642</v>
      </c>
      <c r="G111" s="81" t="s">
        <v>25636</v>
      </c>
      <c r="H111" s="81" t="s">
        <v>29715</v>
      </c>
      <c r="I111" s="81" t="s">
        <v>1</v>
      </c>
      <c r="J111" s="84" t="s">
        <v>0</v>
      </c>
      <c r="K111" s="81" t="s">
        <v>264</v>
      </c>
      <c r="L111" s="81" t="s">
        <v>25598</v>
      </c>
      <c r="M111" s="81" t="s">
        <v>20</v>
      </c>
      <c r="N111" s="81">
        <v>225</v>
      </c>
      <c r="Q111" s="80"/>
      <c r="R111" s="146"/>
      <c r="S111" s="103" t="str">
        <f t="shared" si="1"/>
        <v>81-087-09-</v>
      </c>
      <c r="V111" s="81">
        <v>12</v>
      </c>
    </row>
    <row r="112" spans="1:31" ht="15" customHeight="1" x14ac:dyDescent="0.2">
      <c r="A112" s="81" t="s">
        <v>29681</v>
      </c>
      <c r="B112" s="81" t="s">
        <v>29682</v>
      </c>
      <c r="C112" s="81" t="s">
        <v>26638</v>
      </c>
      <c r="D112" s="81" t="s">
        <v>25572</v>
      </c>
      <c r="E112" s="81" t="s">
        <v>25636</v>
      </c>
      <c r="F112" s="81" t="s">
        <v>26642</v>
      </c>
      <c r="G112" s="81" t="s">
        <v>25636</v>
      </c>
      <c r="H112" s="81" t="s">
        <v>29721</v>
      </c>
      <c r="I112" s="81" t="s">
        <v>130</v>
      </c>
      <c r="J112" s="84" t="s">
        <v>29742</v>
      </c>
      <c r="K112" s="81" t="s">
        <v>264</v>
      </c>
      <c r="L112" s="81" t="s">
        <v>25598</v>
      </c>
      <c r="M112" s="81" t="s">
        <v>20</v>
      </c>
      <c r="N112" s="81">
        <v>270</v>
      </c>
      <c r="Q112" s="80"/>
      <c r="R112" s="146"/>
      <c r="S112" s="103" t="str">
        <f t="shared" si="1"/>
        <v>81-088-21-</v>
      </c>
      <c r="V112" s="81">
        <v>10</v>
      </c>
    </row>
    <row r="113" spans="1:31" ht="15" customHeight="1" x14ac:dyDescent="0.2">
      <c r="A113" s="81" t="s">
        <v>29683</v>
      </c>
      <c r="B113" s="81" t="s">
        <v>29682</v>
      </c>
      <c r="C113" s="81" t="s">
        <v>26638</v>
      </c>
      <c r="D113" s="81" t="s">
        <v>25572</v>
      </c>
      <c r="E113" s="81" t="s">
        <v>25636</v>
      </c>
      <c r="F113" s="81" t="s">
        <v>26642</v>
      </c>
      <c r="G113" s="81" t="s">
        <v>25636</v>
      </c>
      <c r="H113" s="81" t="s">
        <v>29734</v>
      </c>
      <c r="I113" s="81" t="s">
        <v>25471</v>
      </c>
      <c r="J113" s="84" t="s">
        <v>29742</v>
      </c>
      <c r="K113" s="81" t="s">
        <v>264</v>
      </c>
      <c r="L113" s="81" t="s">
        <v>25598</v>
      </c>
      <c r="M113" s="81" t="s">
        <v>20</v>
      </c>
      <c r="N113" s="81">
        <v>270</v>
      </c>
      <c r="Q113" s="80"/>
      <c r="R113" s="146"/>
      <c r="S113" s="103" t="str">
        <f t="shared" si="1"/>
        <v>81-088-08-</v>
      </c>
      <c r="V113" s="81">
        <v>14</v>
      </c>
    </row>
    <row r="114" spans="1:31" ht="15" customHeight="1" x14ac:dyDescent="0.2">
      <c r="A114" s="81" t="s">
        <v>29684</v>
      </c>
      <c r="B114" s="81" t="s">
        <v>29603</v>
      </c>
      <c r="C114" s="81" t="s">
        <v>8</v>
      </c>
      <c r="D114" s="81" t="s">
        <v>21</v>
      </c>
      <c r="E114" s="81" t="s">
        <v>25636</v>
      </c>
      <c r="F114" s="81" t="s">
        <v>91</v>
      </c>
      <c r="G114" s="81" t="s">
        <v>25636</v>
      </c>
      <c r="H114" s="81" t="s">
        <v>29717</v>
      </c>
      <c r="I114" s="81" t="s">
        <v>28</v>
      </c>
      <c r="J114" s="84" t="s">
        <v>25976</v>
      </c>
      <c r="L114" s="81" t="s">
        <v>25598</v>
      </c>
      <c r="M114" s="81" t="s">
        <v>20</v>
      </c>
      <c r="N114" s="81">
        <v>450</v>
      </c>
      <c r="Q114" s="80"/>
      <c r="R114" s="146"/>
      <c r="S114" s="103" t="str">
        <f t="shared" si="1"/>
        <v>80-588-80-</v>
      </c>
      <c r="AA114" s="81">
        <v>5</v>
      </c>
      <c r="AC114" s="81">
        <v>7</v>
      </c>
    </row>
    <row r="115" spans="1:31" ht="15" customHeight="1" x14ac:dyDescent="0.2">
      <c r="A115" s="81" t="s">
        <v>29685</v>
      </c>
      <c r="B115" s="81" t="s">
        <v>29686</v>
      </c>
      <c r="C115" s="81" t="s">
        <v>8</v>
      </c>
      <c r="D115" s="81" t="s">
        <v>9</v>
      </c>
      <c r="E115" s="81" t="s">
        <v>25636</v>
      </c>
      <c r="F115" s="81" t="s">
        <v>91</v>
      </c>
      <c r="G115" s="81" t="s">
        <v>25636</v>
      </c>
      <c r="H115" s="81" t="s">
        <v>29715</v>
      </c>
      <c r="I115" s="81" t="s">
        <v>1</v>
      </c>
      <c r="J115" s="84" t="s">
        <v>25972</v>
      </c>
      <c r="L115" s="81" t="s">
        <v>25598</v>
      </c>
      <c r="M115" s="81" t="s">
        <v>20</v>
      </c>
      <c r="N115" s="81">
        <v>450</v>
      </c>
      <c r="Q115" s="80"/>
      <c r="R115" s="146"/>
      <c r="S115" s="103" t="str">
        <f t="shared" si="1"/>
        <v>80-590-09-</v>
      </c>
      <c r="Y115" s="81">
        <v>1</v>
      </c>
      <c r="AA115" s="81">
        <v>1</v>
      </c>
      <c r="AC115" s="81">
        <v>1</v>
      </c>
      <c r="AE115" s="81">
        <v>1</v>
      </c>
    </row>
    <row r="116" spans="1:31" ht="15" customHeight="1" x14ac:dyDescent="0.2">
      <c r="A116" s="81" t="s">
        <v>29687</v>
      </c>
      <c r="B116" s="81" t="s">
        <v>29688</v>
      </c>
      <c r="C116" s="81" t="s">
        <v>8</v>
      </c>
      <c r="D116" s="81" t="s">
        <v>25576</v>
      </c>
      <c r="E116" s="81" t="s">
        <v>25636</v>
      </c>
      <c r="F116" s="81" t="s">
        <v>91</v>
      </c>
      <c r="G116" s="81" t="s">
        <v>25636</v>
      </c>
      <c r="H116" s="81" t="s">
        <v>29714</v>
      </c>
      <c r="I116" s="81" t="s">
        <v>23</v>
      </c>
      <c r="J116" s="84" t="s">
        <v>26014</v>
      </c>
      <c r="K116" s="81" t="s">
        <v>264</v>
      </c>
      <c r="L116" s="81" t="s">
        <v>25596</v>
      </c>
      <c r="M116" s="81" t="s">
        <v>20</v>
      </c>
      <c r="N116" s="81">
        <v>270</v>
      </c>
      <c r="Q116" s="80"/>
      <c r="R116" s="146"/>
      <c r="S116" s="103" t="str">
        <f t="shared" si="1"/>
        <v>80-591-16-</v>
      </c>
      <c r="Y116" s="81">
        <v>8</v>
      </c>
      <c r="AA116" s="81">
        <v>10</v>
      </c>
    </row>
    <row r="117" spans="1:31" ht="15" customHeight="1" x14ac:dyDescent="0.2">
      <c r="A117" s="81" t="s">
        <v>29689</v>
      </c>
      <c r="B117" s="81" t="s">
        <v>29690</v>
      </c>
      <c r="C117" s="81" t="s">
        <v>8</v>
      </c>
      <c r="D117" s="81" t="s">
        <v>21</v>
      </c>
      <c r="E117" s="81" t="s">
        <v>25636</v>
      </c>
      <c r="F117" s="81" t="s">
        <v>91</v>
      </c>
      <c r="G117" s="81" t="s">
        <v>25636</v>
      </c>
      <c r="H117" s="81" t="s">
        <v>29714</v>
      </c>
      <c r="I117" s="81" t="s">
        <v>23</v>
      </c>
      <c r="J117" s="84" t="s">
        <v>0</v>
      </c>
      <c r="K117" s="81" t="s">
        <v>25677</v>
      </c>
      <c r="L117" s="81" t="s">
        <v>25596</v>
      </c>
      <c r="M117" s="81" t="s">
        <v>12</v>
      </c>
      <c r="N117" s="81">
        <v>450</v>
      </c>
      <c r="Q117" s="80"/>
      <c r="R117" s="146"/>
      <c r="S117" s="103" t="str">
        <f t="shared" si="1"/>
        <v>81-089-16-</v>
      </c>
      <c r="AA117" s="81">
        <v>6</v>
      </c>
      <c r="AC117" s="81">
        <v>15</v>
      </c>
    </row>
    <row r="118" spans="1:31" ht="15" customHeight="1" x14ac:dyDescent="0.2">
      <c r="A118" s="81" t="s">
        <v>29691</v>
      </c>
      <c r="B118" s="81" t="s">
        <v>29692</v>
      </c>
      <c r="C118" s="81" t="s">
        <v>46</v>
      </c>
      <c r="D118" s="81" t="s">
        <v>47</v>
      </c>
      <c r="E118" s="81" t="s">
        <v>25636</v>
      </c>
      <c r="F118" s="81" t="s">
        <v>91</v>
      </c>
      <c r="G118" s="81" t="s">
        <v>25636</v>
      </c>
      <c r="H118" s="81" t="s">
        <v>29735</v>
      </c>
      <c r="I118" s="81" t="s">
        <v>197</v>
      </c>
      <c r="J118" s="84" t="s">
        <v>25711</v>
      </c>
      <c r="K118" s="81" t="s">
        <v>25674</v>
      </c>
      <c r="L118" s="81" t="s">
        <v>25598</v>
      </c>
      <c r="M118" s="81" t="s">
        <v>20</v>
      </c>
      <c r="N118" s="81">
        <v>2451.6</v>
      </c>
      <c r="Q118" s="80"/>
      <c r="R118" s="146"/>
      <c r="S118" s="103" t="str">
        <f t="shared" si="1"/>
        <v>81-090-13-</v>
      </c>
      <c r="AA118" s="81">
        <v>3</v>
      </c>
      <c r="AB118" s="81">
        <v>4</v>
      </c>
      <c r="AC118" s="81">
        <v>5</v>
      </c>
      <c r="AD118" s="81">
        <v>1</v>
      </c>
      <c r="AE118" s="81">
        <v>2</v>
      </c>
    </row>
    <row r="119" spans="1:31" ht="15" customHeight="1" x14ac:dyDescent="0.2">
      <c r="A119" s="81" t="s">
        <v>29693</v>
      </c>
      <c r="B119" s="81" t="s">
        <v>29694</v>
      </c>
      <c r="C119" s="81" t="s">
        <v>46</v>
      </c>
      <c r="D119" s="81" t="s">
        <v>47</v>
      </c>
      <c r="E119" s="81" t="s">
        <v>25636</v>
      </c>
      <c r="F119" s="81" t="s">
        <v>91</v>
      </c>
      <c r="G119" s="81" t="s">
        <v>25636</v>
      </c>
      <c r="H119" s="81" t="s">
        <v>29722</v>
      </c>
      <c r="I119" s="81" t="s">
        <v>52</v>
      </c>
      <c r="J119" s="84" t="s">
        <v>11</v>
      </c>
      <c r="K119" s="81" t="s">
        <v>25678</v>
      </c>
      <c r="L119" s="81" t="s">
        <v>25598</v>
      </c>
      <c r="M119" s="81" t="s">
        <v>12</v>
      </c>
      <c r="N119" s="81">
        <v>696.6</v>
      </c>
      <c r="Q119" s="80"/>
      <c r="R119" s="146"/>
      <c r="S119" s="103" t="str">
        <f t="shared" si="1"/>
        <v>81-091-02-</v>
      </c>
      <c r="V119" s="81">
        <v>20</v>
      </c>
    </row>
    <row r="120" spans="1:31" ht="15" customHeight="1" x14ac:dyDescent="0.2">
      <c r="A120" s="81" t="s">
        <v>29695</v>
      </c>
      <c r="B120" s="81" t="s">
        <v>29694</v>
      </c>
      <c r="C120" s="81" t="s">
        <v>46</v>
      </c>
      <c r="D120" s="81" t="s">
        <v>47</v>
      </c>
      <c r="E120" s="81" t="s">
        <v>25636</v>
      </c>
      <c r="F120" s="81" t="s">
        <v>91</v>
      </c>
      <c r="G120" s="81" t="s">
        <v>25636</v>
      </c>
      <c r="H120" s="81" t="s">
        <v>29736</v>
      </c>
      <c r="I120" s="81" t="s">
        <v>25385</v>
      </c>
      <c r="J120" s="84" t="s">
        <v>11</v>
      </c>
      <c r="K120" s="81" t="s">
        <v>25678</v>
      </c>
      <c r="L120" s="81" t="s">
        <v>25598</v>
      </c>
      <c r="M120" s="81" t="s">
        <v>12</v>
      </c>
      <c r="N120" s="81">
        <v>696.6</v>
      </c>
      <c r="Q120" s="80"/>
      <c r="R120" s="146"/>
      <c r="S120" s="103" t="str">
        <f t="shared" si="1"/>
        <v>81-091-20-</v>
      </c>
      <c r="V120" s="81">
        <v>12</v>
      </c>
    </row>
    <row r="121" spans="1:31" ht="15" customHeight="1" x14ac:dyDescent="0.2">
      <c r="A121" s="81" t="s">
        <v>29696</v>
      </c>
      <c r="B121" s="81" t="s">
        <v>29694</v>
      </c>
      <c r="C121" s="81" t="s">
        <v>46</v>
      </c>
      <c r="D121" s="81" t="s">
        <v>47</v>
      </c>
      <c r="E121" s="81" t="s">
        <v>25636</v>
      </c>
      <c r="F121" s="81" t="s">
        <v>91</v>
      </c>
      <c r="G121" s="81" t="s">
        <v>25636</v>
      </c>
      <c r="H121" s="81" t="s">
        <v>29715</v>
      </c>
      <c r="I121" s="81" t="s">
        <v>1</v>
      </c>
      <c r="J121" s="84" t="s">
        <v>11</v>
      </c>
      <c r="K121" s="81" t="s">
        <v>25678</v>
      </c>
      <c r="L121" s="81" t="s">
        <v>25598</v>
      </c>
      <c r="M121" s="81" t="s">
        <v>12</v>
      </c>
      <c r="N121" s="81">
        <v>696.6</v>
      </c>
      <c r="Q121" s="80"/>
      <c r="R121" s="146"/>
      <c r="S121" s="103" t="str">
        <f t="shared" si="1"/>
        <v>81-091-09-</v>
      </c>
      <c r="V121" s="81">
        <v>70</v>
      </c>
    </row>
    <row r="122" spans="1:31" ht="15" customHeight="1" x14ac:dyDescent="0.2">
      <c r="A122" s="81" t="s">
        <v>29697</v>
      </c>
      <c r="B122" s="81" t="s">
        <v>29698</v>
      </c>
      <c r="C122" s="81" t="s">
        <v>46</v>
      </c>
      <c r="D122" s="81" t="s">
        <v>47</v>
      </c>
      <c r="E122" s="81" t="s">
        <v>25636</v>
      </c>
      <c r="F122" s="81" t="s">
        <v>91</v>
      </c>
      <c r="G122" s="81" t="s">
        <v>25636</v>
      </c>
      <c r="H122" s="81" t="s">
        <v>29726</v>
      </c>
      <c r="I122" s="81" t="s">
        <v>28</v>
      </c>
      <c r="J122" s="84" t="s">
        <v>29743</v>
      </c>
      <c r="L122" s="81" t="s">
        <v>25598</v>
      </c>
      <c r="M122" s="81" t="s">
        <v>12</v>
      </c>
      <c r="N122" s="81">
        <v>755.1</v>
      </c>
      <c r="Q122" s="80"/>
      <c r="R122" s="146"/>
      <c r="S122" s="103" t="str">
        <f t="shared" si="1"/>
        <v>81-092-80-</v>
      </c>
      <c r="V122" s="81">
        <v>40</v>
      </c>
    </row>
    <row r="123" spans="1:31" ht="15" customHeight="1" x14ac:dyDescent="0.2">
      <c r="A123" s="81" t="s">
        <v>29699</v>
      </c>
      <c r="B123" s="81" t="s">
        <v>29700</v>
      </c>
      <c r="C123" s="81" t="s">
        <v>49</v>
      </c>
      <c r="D123" s="81" t="s">
        <v>25567</v>
      </c>
      <c r="E123" s="81" t="s">
        <v>25636</v>
      </c>
      <c r="F123" s="81" t="s">
        <v>91</v>
      </c>
      <c r="G123" s="81" t="s">
        <v>25636</v>
      </c>
      <c r="H123" s="81" t="s">
        <v>29717</v>
      </c>
      <c r="I123" s="81" t="s">
        <v>28</v>
      </c>
      <c r="J123" s="84" t="s">
        <v>192</v>
      </c>
      <c r="K123" s="81" t="s">
        <v>264</v>
      </c>
      <c r="L123" s="81" t="s">
        <v>25598</v>
      </c>
      <c r="M123" s="81" t="s">
        <v>12</v>
      </c>
      <c r="N123" s="81">
        <v>579.6</v>
      </c>
      <c r="Q123" s="80"/>
      <c r="R123" s="146"/>
      <c r="S123" s="103" t="str">
        <f t="shared" si="1"/>
        <v>81-093-80-</v>
      </c>
      <c r="V123" s="81">
        <v>4</v>
      </c>
    </row>
    <row r="124" spans="1:31" ht="15" customHeight="1" x14ac:dyDescent="0.2">
      <c r="A124" s="81" t="s">
        <v>29701</v>
      </c>
      <c r="B124" s="81" t="s">
        <v>29700</v>
      </c>
      <c r="C124" s="81" t="s">
        <v>49</v>
      </c>
      <c r="D124" s="81" t="s">
        <v>25567</v>
      </c>
      <c r="E124" s="81" t="s">
        <v>25636</v>
      </c>
      <c r="F124" s="81" t="s">
        <v>91</v>
      </c>
      <c r="G124" s="81" t="s">
        <v>25636</v>
      </c>
      <c r="H124" s="81" t="s">
        <v>29714</v>
      </c>
      <c r="I124" s="81" t="s">
        <v>23</v>
      </c>
      <c r="J124" s="84" t="s">
        <v>192</v>
      </c>
      <c r="K124" s="81" t="s">
        <v>264</v>
      </c>
      <c r="L124" s="81" t="s">
        <v>25598</v>
      </c>
      <c r="M124" s="81" t="s">
        <v>12</v>
      </c>
      <c r="N124" s="81">
        <v>579.6</v>
      </c>
      <c r="Q124" s="80"/>
      <c r="R124" s="146"/>
      <c r="S124" s="103" t="str">
        <f t="shared" si="1"/>
        <v>81-093-16-</v>
      </c>
      <c r="V124" s="81">
        <v>4</v>
      </c>
    </row>
    <row r="125" spans="1:31" ht="15" customHeight="1" x14ac:dyDescent="0.2">
      <c r="A125" s="81" t="s">
        <v>29702</v>
      </c>
      <c r="B125" s="81" t="s">
        <v>29703</v>
      </c>
      <c r="C125" s="81" t="s">
        <v>198</v>
      </c>
      <c r="D125" s="81" t="s">
        <v>199</v>
      </c>
      <c r="E125" s="81" t="s">
        <v>25636</v>
      </c>
      <c r="F125" s="81" t="s">
        <v>91</v>
      </c>
      <c r="G125" s="81" t="s">
        <v>25636</v>
      </c>
      <c r="H125" s="81" t="s">
        <v>29722</v>
      </c>
      <c r="I125" s="81" t="s">
        <v>52</v>
      </c>
      <c r="J125" s="84" t="s">
        <v>11</v>
      </c>
      <c r="K125" s="81" t="s">
        <v>25678</v>
      </c>
      <c r="L125" s="81" t="s">
        <v>25598</v>
      </c>
      <c r="M125" s="81" t="s">
        <v>12</v>
      </c>
      <c r="N125" s="81">
        <v>813.59999999999991</v>
      </c>
      <c r="Q125" s="80"/>
      <c r="R125" s="146"/>
      <c r="S125" s="103" t="str">
        <f t="shared" si="1"/>
        <v>81-094-02-</v>
      </c>
      <c r="AA125" s="81">
        <v>6</v>
      </c>
      <c r="AC125" s="81">
        <v>6</v>
      </c>
    </row>
    <row r="126" spans="1:31" ht="15" customHeight="1" x14ac:dyDescent="0.2">
      <c r="A126" s="81" t="s">
        <v>29704</v>
      </c>
      <c r="B126" s="81" t="s">
        <v>29703</v>
      </c>
      <c r="C126" s="81" t="s">
        <v>198</v>
      </c>
      <c r="D126" s="81" t="s">
        <v>199</v>
      </c>
      <c r="E126" s="81" t="s">
        <v>25636</v>
      </c>
      <c r="F126" s="81" t="s">
        <v>91</v>
      </c>
      <c r="G126" s="81" t="s">
        <v>25636</v>
      </c>
      <c r="H126" s="81" t="s">
        <v>29736</v>
      </c>
      <c r="I126" s="81" t="s">
        <v>25385</v>
      </c>
      <c r="J126" s="84" t="s">
        <v>11</v>
      </c>
      <c r="K126" s="81" t="s">
        <v>25678</v>
      </c>
      <c r="L126" s="81" t="s">
        <v>25598</v>
      </c>
      <c r="M126" s="81" t="s">
        <v>12</v>
      </c>
      <c r="N126" s="81">
        <v>813.59999999999991</v>
      </c>
      <c r="Q126" s="80"/>
      <c r="R126" s="146"/>
      <c r="S126" s="103" t="str">
        <f t="shared" si="1"/>
        <v>81-094-20-</v>
      </c>
      <c r="AA126" s="81">
        <v>6</v>
      </c>
      <c r="AC126" s="81">
        <v>6</v>
      </c>
    </row>
    <row r="127" spans="1:31" ht="15" customHeight="1" x14ac:dyDescent="0.2">
      <c r="A127" s="81" t="s">
        <v>29705</v>
      </c>
      <c r="B127" s="81" t="s">
        <v>29703</v>
      </c>
      <c r="C127" s="81" t="s">
        <v>198</v>
      </c>
      <c r="D127" s="81" t="s">
        <v>199</v>
      </c>
      <c r="E127" s="81" t="s">
        <v>25636</v>
      </c>
      <c r="F127" s="81" t="s">
        <v>91</v>
      </c>
      <c r="G127" s="81" t="s">
        <v>25636</v>
      </c>
      <c r="H127" s="81" t="s">
        <v>29715</v>
      </c>
      <c r="I127" s="81" t="s">
        <v>1</v>
      </c>
      <c r="J127" s="84" t="s">
        <v>11</v>
      </c>
      <c r="K127" s="81" t="s">
        <v>25678</v>
      </c>
      <c r="L127" s="81" t="s">
        <v>25598</v>
      </c>
      <c r="M127" s="81" t="s">
        <v>12</v>
      </c>
      <c r="N127" s="81">
        <v>813.59999999999991</v>
      </c>
      <c r="Q127" s="80"/>
      <c r="R127" s="146"/>
      <c r="S127" s="103" t="str">
        <f t="shared" si="1"/>
        <v>81-094-09-</v>
      </c>
      <c r="AA127" s="81">
        <v>16</v>
      </c>
      <c r="AC127" s="81">
        <v>16</v>
      </c>
    </row>
    <row r="128" spans="1:31" ht="15" customHeight="1" x14ac:dyDescent="0.2">
      <c r="A128" s="81" t="s">
        <v>29706</v>
      </c>
      <c r="B128" s="81" t="s">
        <v>29703</v>
      </c>
      <c r="C128" s="81" t="s">
        <v>198</v>
      </c>
      <c r="D128" s="81" t="s">
        <v>199</v>
      </c>
      <c r="E128" s="81" t="s">
        <v>25636</v>
      </c>
      <c r="F128" s="81" t="s">
        <v>91</v>
      </c>
      <c r="G128" s="81" t="s">
        <v>25636</v>
      </c>
      <c r="H128" s="81" t="s">
        <v>29737</v>
      </c>
      <c r="I128" s="81" t="s">
        <v>220</v>
      </c>
      <c r="J128" s="84" t="s">
        <v>11</v>
      </c>
      <c r="K128" s="81" t="s">
        <v>25678</v>
      </c>
      <c r="L128" s="81" t="s">
        <v>25596</v>
      </c>
      <c r="M128" s="81" t="s">
        <v>12</v>
      </c>
      <c r="N128" s="81">
        <v>813.59999999999991</v>
      </c>
      <c r="Q128" s="80"/>
      <c r="R128" s="146"/>
      <c r="S128" s="103" t="str">
        <f t="shared" si="1"/>
        <v>81-094-34-</v>
      </c>
      <c r="AA128" s="81">
        <v>6</v>
      </c>
      <c r="AC128" s="81">
        <v>6</v>
      </c>
    </row>
    <row r="129" spans="1:22" ht="15" customHeight="1" x14ac:dyDescent="0.2">
      <c r="A129" s="81" t="s">
        <v>29707</v>
      </c>
      <c r="B129" s="81" t="s">
        <v>29708</v>
      </c>
      <c r="C129" s="81" t="s">
        <v>49</v>
      </c>
      <c r="D129" s="81" t="s">
        <v>212</v>
      </c>
      <c r="E129" s="81" t="s">
        <v>25636</v>
      </c>
      <c r="F129" s="81" t="s">
        <v>26642</v>
      </c>
      <c r="G129" s="81" t="s">
        <v>25636</v>
      </c>
      <c r="H129" s="81" t="s">
        <v>29712</v>
      </c>
      <c r="I129" s="81" t="s">
        <v>27</v>
      </c>
      <c r="J129" s="84" t="s">
        <v>29739</v>
      </c>
      <c r="L129" s="81" t="s">
        <v>25598</v>
      </c>
      <c r="M129" s="81" t="s">
        <v>26652</v>
      </c>
      <c r="N129" s="81">
        <v>755.1</v>
      </c>
      <c r="Q129" s="80"/>
      <c r="R129" s="146"/>
      <c r="S129" s="103" t="str">
        <f t="shared" si="1"/>
        <v>81-095-06-</v>
      </c>
      <c r="V129" s="81">
        <v>12</v>
      </c>
    </row>
    <row r="130" spans="1:22" ht="15" customHeight="1" x14ac:dyDescent="0.2">
      <c r="A130" s="81" t="s">
        <v>29709</v>
      </c>
      <c r="B130" s="81" t="s">
        <v>29708</v>
      </c>
      <c r="C130" s="81" t="s">
        <v>49</v>
      </c>
      <c r="D130" s="81" t="s">
        <v>212</v>
      </c>
      <c r="E130" s="81" t="s">
        <v>25636</v>
      </c>
      <c r="F130" s="81" t="s">
        <v>26642</v>
      </c>
      <c r="G130" s="81" t="s">
        <v>25636</v>
      </c>
      <c r="H130" s="81" t="s">
        <v>29733</v>
      </c>
      <c r="I130" s="81" t="s">
        <v>100</v>
      </c>
      <c r="J130" s="84" t="s">
        <v>29739</v>
      </c>
      <c r="L130" s="81" t="s">
        <v>25598</v>
      </c>
      <c r="M130" s="81" t="s">
        <v>26652</v>
      </c>
      <c r="N130" s="81">
        <v>755.1</v>
      </c>
      <c r="Q130" s="80"/>
      <c r="R130" s="146"/>
      <c r="S130" s="103" t="str">
        <f t="shared" si="1"/>
        <v>81-095-17-</v>
      </c>
      <c r="V130" s="81">
        <v>12</v>
      </c>
    </row>
    <row r="131" spans="1:22" ht="15" customHeight="1" x14ac:dyDescent="0.2">
      <c r="A131" s="81" t="s">
        <v>29710</v>
      </c>
      <c r="B131" s="81" t="s">
        <v>29708</v>
      </c>
      <c r="C131" s="81" t="s">
        <v>49</v>
      </c>
      <c r="D131" s="81" t="s">
        <v>212</v>
      </c>
      <c r="E131" s="81" t="s">
        <v>25636</v>
      </c>
      <c r="F131" s="81" t="s">
        <v>26642</v>
      </c>
      <c r="G131" s="81" t="s">
        <v>25636</v>
      </c>
      <c r="H131" s="81" t="s">
        <v>29714</v>
      </c>
      <c r="I131" s="81" t="s">
        <v>23</v>
      </c>
      <c r="J131" s="84" t="s">
        <v>29739</v>
      </c>
      <c r="L131" s="81" t="s">
        <v>25598</v>
      </c>
      <c r="M131" s="81" t="s">
        <v>26652</v>
      </c>
      <c r="N131" s="81">
        <v>755.1</v>
      </c>
      <c r="Q131" s="80"/>
      <c r="R131" s="146"/>
      <c r="S131" s="103" t="str">
        <f t="shared" ref="S131:S132" si="2">A131&amp;"-"&amp;T131</f>
        <v>81-095-16-</v>
      </c>
      <c r="V131" s="81">
        <v>30</v>
      </c>
    </row>
    <row r="132" spans="1:22" ht="15" customHeight="1" x14ac:dyDescent="0.2">
      <c r="A132" s="81" t="s">
        <v>29711</v>
      </c>
      <c r="B132" s="81" t="s">
        <v>29708</v>
      </c>
      <c r="C132" s="81" t="s">
        <v>49</v>
      </c>
      <c r="D132" s="81" t="s">
        <v>212</v>
      </c>
      <c r="E132" s="81" t="s">
        <v>25636</v>
      </c>
      <c r="F132" s="81" t="s">
        <v>26642</v>
      </c>
      <c r="G132" s="81" t="s">
        <v>25636</v>
      </c>
      <c r="H132" s="81" t="s">
        <v>29715</v>
      </c>
      <c r="I132" s="81" t="s">
        <v>1</v>
      </c>
      <c r="J132" s="84" t="s">
        <v>29739</v>
      </c>
      <c r="L132" s="81" t="s">
        <v>25598</v>
      </c>
      <c r="M132" s="81" t="s">
        <v>26652</v>
      </c>
      <c r="N132" s="81">
        <v>755.1</v>
      </c>
      <c r="Q132" s="80"/>
      <c r="R132" s="146"/>
      <c r="S132" s="103" t="str">
        <f t="shared" si="2"/>
        <v>81-095-09-</v>
      </c>
      <c r="V132" s="81">
        <v>40</v>
      </c>
    </row>
    <row r="133" spans="1:22" ht="15" customHeight="1" x14ac:dyDescent="0.2">
      <c r="Q133" s="80"/>
      <c r="R133" s="146"/>
    </row>
    <row r="134" spans="1:22" ht="15" customHeight="1" x14ac:dyDescent="0.2">
      <c r="Q134" s="80"/>
      <c r="R134" s="146"/>
    </row>
    <row r="135" spans="1:22" ht="15" customHeight="1" x14ac:dyDescent="0.2">
      <c r="Q135" s="80"/>
      <c r="R135" s="146"/>
    </row>
    <row r="136" spans="1:22" ht="15" customHeight="1" x14ac:dyDescent="0.2">
      <c r="Q136" s="80"/>
      <c r="R136" s="146"/>
    </row>
    <row r="137" spans="1:22" ht="15" customHeight="1" x14ac:dyDescent="0.2">
      <c r="Q137" s="80"/>
      <c r="R137" s="146"/>
    </row>
    <row r="138" spans="1:22" ht="15" customHeight="1" x14ac:dyDescent="0.2">
      <c r="Q138" s="80"/>
      <c r="R138" s="146"/>
    </row>
    <row r="139" spans="1:22" ht="15" customHeight="1" x14ac:dyDescent="0.2">
      <c r="Q139" s="80"/>
      <c r="R139" s="146"/>
    </row>
    <row r="140" spans="1:22" ht="15" customHeight="1" x14ac:dyDescent="0.2">
      <c r="Q140" s="80"/>
      <c r="R140" s="146"/>
    </row>
    <row r="141" spans="1:22" ht="15" customHeight="1" x14ac:dyDescent="0.2">
      <c r="Q141" s="80"/>
      <c r="R141" s="146"/>
    </row>
    <row r="142" spans="1:22" ht="15" customHeight="1" x14ac:dyDescent="0.2">
      <c r="Q142" s="80"/>
      <c r="R142" s="146"/>
    </row>
    <row r="143" spans="1:22" ht="15" customHeight="1" x14ac:dyDescent="0.2">
      <c r="Q143" s="80"/>
      <c r="R143" s="146"/>
    </row>
    <row r="144" spans="1:22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27406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27532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27393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27407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27533</v>
      </c>
      <c r="H3">
        <v>32</v>
      </c>
      <c r="I3" t="s">
        <v>28</v>
      </c>
      <c r="J3" s="1" t="s">
        <v>91</v>
      </c>
      <c r="K3" t="s">
        <v>27394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27405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27533</v>
      </c>
      <c r="H4">
        <v>32</v>
      </c>
      <c r="I4" t="s">
        <v>28</v>
      </c>
      <c r="J4" s="1" t="s">
        <v>91</v>
      </c>
      <c r="K4" t="s">
        <v>27394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27533</v>
      </c>
      <c r="H5">
        <v>32</v>
      </c>
      <c r="I5" t="s">
        <v>28</v>
      </c>
      <c r="J5" s="1" t="s">
        <v>91</v>
      </c>
      <c r="K5" t="s">
        <v>27394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27533</v>
      </c>
      <c r="H6">
        <v>32</v>
      </c>
      <c r="I6" t="s">
        <v>28</v>
      </c>
      <c r="J6" s="1" t="s">
        <v>91</v>
      </c>
      <c r="K6" s="1" t="s">
        <v>27394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27395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27408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27395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27409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27395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27410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27395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27411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27395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27412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27395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27413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27395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27414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27395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27415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27395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27416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27395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27417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27395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27418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27395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27419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27395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27420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27395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27421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27395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27422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27534</v>
      </c>
      <c r="H22">
        <v>221</v>
      </c>
      <c r="I22" t="s">
        <v>27</v>
      </c>
      <c r="J22" s="1" t="s">
        <v>91</v>
      </c>
      <c r="K22" t="s">
        <v>27394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27423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27534</v>
      </c>
      <c r="H23">
        <v>221</v>
      </c>
      <c r="I23" t="s">
        <v>27</v>
      </c>
      <c r="J23" s="1" t="s">
        <v>91</v>
      </c>
      <c r="K23" t="s">
        <v>27394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27424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27534</v>
      </c>
      <c r="H24">
        <v>221</v>
      </c>
      <c r="I24" t="s">
        <v>27</v>
      </c>
      <c r="J24" s="1" t="s">
        <v>91</v>
      </c>
      <c r="K24" t="s">
        <v>27394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27425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27534</v>
      </c>
      <c r="H25">
        <v>261</v>
      </c>
      <c r="I25" t="s">
        <v>25414</v>
      </c>
      <c r="J25" s="1" t="s">
        <v>91</v>
      </c>
      <c r="K25" t="s">
        <v>27394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27426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27396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27427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27396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27428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27396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27429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27396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27430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27394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27431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27394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27432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27394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27433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27394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27434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27394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27435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27394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27436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27394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27437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27394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27438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27394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27439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27394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27440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27535</v>
      </c>
      <c r="H40">
        <v>6</v>
      </c>
      <c r="I40" s="1" t="s">
        <v>22</v>
      </c>
      <c r="J40" s="1" t="s">
        <v>91</v>
      </c>
      <c r="K40" t="s">
        <v>27397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27536</v>
      </c>
      <c r="H41">
        <v>63</v>
      </c>
      <c r="I41" s="1" t="s">
        <v>25414</v>
      </c>
      <c r="J41" s="1" t="s">
        <v>91</v>
      </c>
      <c r="K41" t="s">
        <v>27397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27441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27537</v>
      </c>
      <c r="H42">
        <v>3</v>
      </c>
      <c r="I42" s="1" t="s">
        <v>28</v>
      </c>
      <c r="J42" s="1" t="s">
        <v>91</v>
      </c>
      <c r="K42" t="s">
        <v>27398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27537</v>
      </c>
      <c r="H43">
        <v>5</v>
      </c>
      <c r="I43" s="1" t="s">
        <v>58</v>
      </c>
      <c r="J43" s="1" t="s">
        <v>91</v>
      </c>
      <c r="K43" t="s">
        <v>27398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27396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27442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27396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27443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27396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27444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27396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27445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27396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27446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27396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27447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27396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27448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27396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27449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27396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27450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27396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27451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27396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27452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27538</v>
      </c>
      <c r="H55">
        <v>261</v>
      </c>
      <c r="I55" t="s">
        <v>25471</v>
      </c>
      <c r="J55" s="1" t="s">
        <v>91</v>
      </c>
      <c r="K55" t="s">
        <v>27394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27538</v>
      </c>
      <c r="H56">
        <v>261</v>
      </c>
      <c r="I56" t="s">
        <v>25471</v>
      </c>
      <c r="J56" s="1" t="s">
        <v>91</v>
      </c>
      <c r="K56" t="s">
        <v>27394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27538</v>
      </c>
      <c r="H57">
        <v>261</v>
      </c>
      <c r="I57" t="s">
        <v>25471</v>
      </c>
      <c r="J57" s="1" t="s">
        <v>91</v>
      </c>
      <c r="K57" t="s">
        <v>27394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27538</v>
      </c>
      <c r="H58">
        <v>261</v>
      </c>
      <c r="I58" t="s">
        <v>25471</v>
      </c>
      <c r="J58" s="1" t="s">
        <v>91</v>
      </c>
      <c r="K58" t="s">
        <v>27394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27396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27453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27396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27454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27396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27455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27396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27456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27396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27457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27396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27458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27396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27459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27396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27460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27396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27461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27396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27462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27396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27463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27396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27464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27396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27465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27396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27466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27396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27467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27396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27468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27395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27469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27395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27470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27395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27471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27395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27472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27395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27473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27395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27474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27395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27475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27395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27476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27395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27477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27395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27478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27395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27479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27395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27480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27395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27481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27395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27482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27395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27483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27395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27484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27395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27485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27399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27486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27399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27487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27399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27488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27399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27489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27399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27490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27394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27491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27394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27492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27394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27493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27394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27494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27400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27495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27539</v>
      </c>
      <c r="H102">
        <v>333</v>
      </c>
      <c r="I102" t="s">
        <v>26</v>
      </c>
      <c r="J102" s="1" t="s">
        <v>91</v>
      </c>
      <c r="K102" t="s">
        <v>27401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27496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27539</v>
      </c>
      <c r="H103">
        <v>333</v>
      </c>
      <c r="I103" t="s">
        <v>26</v>
      </c>
      <c r="J103" s="1" t="s">
        <v>91</v>
      </c>
      <c r="K103" t="s">
        <v>27401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27497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27539</v>
      </c>
      <c r="H104">
        <v>333</v>
      </c>
      <c r="I104" t="s">
        <v>26</v>
      </c>
      <c r="J104" s="1" t="s">
        <v>91</v>
      </c>
      <c r="K104" t="s">
        <v>27401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27498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27539</v>
      </c>
      <c r="H105">
        <v>361</v>
      </c>
      <c r="I105" t="s">
        <v>215</v>
      </c>
      <c r="J105" s="1" t="s">
        <v>91</v>
      </c>
      <c r="K105" t="s">
        <v>27401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27499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27539</v>
      </c>
      <c r="H106">
        <v>361</v>
      </c>
      <c r="I106" t="s">
        <v>215</v>
      </c>
      <c r="J106" s="1" t="s">
        <v>91</v>
      </c>
      <c r="K106" t="s">
        <v>27401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27500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27394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27531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27540</v>
      </c>
      <c r="H108">
        <v>337</v>
      </c>
      <c r="I108" t="s">
        <v>28</v>
      </c>
      <c r="J108" s="1" t="s">
        <v>91</v>
      </c>
      <c r="K108" t="s">
        <v>27402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27540</v>
      </c>
      <c r="H109">
        <v>337</v>
      </c>
      <c r="I109" t="s">
        <v>28</v>
      </c>
      <c r="J109" s="1" t="s">
        <v>91</v>
      </c>
      <c r="K109" t="s">
        <v>27402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27540</v>
      </c>
      <c r="H110">
        <v>337</v>
      </c>
      <c r="I110" t="s">
        <v>28</v>
      </c>
      <c r="J110" s="1" t="s">
        <v>91</v>
      </c>
      <c r="K110" t="s">
        <v>27402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27540</v>
      </c>
      <c r="H111">
        <v>337</v>
      </c>
      <c r="I111" t="s">
        <v>28</v>
      </c>
      <c r="J111" s="1" t="s">
        <v>91</v>
      </c>
      <c r="K111" t="s">
        <v>27402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27540</v>
      </c>
      <c r="H112">
        <v>337</v>
      </c>
      <c r="I112" t="s">
        <v>28</v>
      </c>
      <c r="J112" s="1" t="s">
        <v>91</v>
      </c>
      <c r="K112" t="s">
        <v>27402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27540</v>
      </c>
      <c r="H113">
        <v>337</v>
      </c>
      <c r="I113" t="s">
        <v>28</v>
      </c>
      <c r="J113" s="1" t="s">
        <v>91</v>
      </c>
      <c r="K113" t="s">
        <v>27402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27540</v>
      </c>
      <c r="H114">
        <v>337</v>
      </c>
      <c r="I114" t="s">
        <v>28</v>
      </c>
      <c r="J114" s="1" t="s">
        <v>91</v>
      </c>
      <c r="K114" t="s">
        <v>27402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27540</v>
      </c>
      <c r="H115">
        <v>337</v>
      </c>
      <c r="I115" t="s">
        <v>28</v>
      </c>
      <c r="J115" s="1" t="s">
        <v>91</v>
      </c>
      <c r="K115" t="s">
        <v>27402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27541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27501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27541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27502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27541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27503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27394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27504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27394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27505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27394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27506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27394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27507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27542</v>
      </c>
      <c r="H123">
        <v>6</v>
      </c>
      <c r="I123" t="s">
        <v>22</v>
      </c>
      <c r="J123" s="1" t="s">
        <v>91</v>
      </c>
      <c r="K123" t="s">
        <v>27393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27542</v>
      </c>
      <c r="H124">
        <v>6</v>
      </c>
      <c r="I124" t="s">
        <v>22</v>
      </c>
      <c r="J124" s="1" t="s">
        <v>91</v>
      </c>
      <c r="K124" t="s">
        <v>27393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27542</v>
      </c>
      <c r="H125">
        <v>6</v>
      </c>
      <c r="I125" t="s">
        <v>22</v>
      </c>
      <c r="J125" s="1" t="s">
        <v>91</v>
      </c>
      <c r="K125" t="s">
        <v>27393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27542</v>
      </c>
      <c r="H126">
        <v>6</v>
      </c>
      <c r="I126" s="1" t="s">
        <v>22</v>
      </c>
      <c r="J126" s="1" t="s">
        <v>91</v>
      </c>
      <c r="K126" t="s">
        <v>27393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27543</v>
      </c>
      <c r="H127">
        <v>37</v>
      </c>
      <c r="I127" s="1" t="s">
        <v>28</v>
      </c>
      <c r="J127" s="1" t="s">
        <v>91</v>
      </c>
      <c r="K127" t="s">
        <v>27394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27508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27393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27509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27393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27510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27544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27511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27545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27545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27545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27545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27546</v>
      </c>
      <c r="H135">
        <v>68</v>
      </c>
      <c r="I135" s="1" t="s">
        <v>215</v>
      </c>
      <c r="J135" s="1" t="s">
        <v>91</v>
      </c>
      <c r="K135" t="s">
        <v>27392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27512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27547</v>
      </c>
      <c r="H136">
        <v>1</v>
      </c>
      <c r="I136" t="s">
        <v>1</v>
      </c>
      <c r="J136" s="1" t="s">
        <v>26642</v>
      </c>
      <c r="K136" t="s">
        <v>27397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27513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27547</v>
      </c>
      <c r="H137">
        <v>1</v>
      </c>
      <c r="I137" t="s">
        <v>1</v>
      </c>
      <c r="J137" s="1" t="s">
        <v>26642</v>
      </c>
      <c r="K137" t="s">
        <v>27397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27514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27548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27515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27548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27516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27548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27517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27549</v>
      </c>
      <c r="H141">
        <v>218</v>
      </c>
      <c r="I141" s="1" t="s">
        <v>210</v>
      </c>
      <c r="J141" s="1" t="s">
        <v>26642</v>
      </c>
      <c r="K141" t="s">
        <v>27394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27549</v>
      </c>
      <c r="H142">
        <v>218</v>
      </c>
      <c r="I142" s="1" t="s">
        <v>210</v>
      </c>
      <c r="J142" s="1" t="s">
        <v>26642</v>
      </c>
      <c r="K142" t="s">
        <v>27394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27549</v>
      </c>
      <c r="H143">
        <v>218</v>
      </c>
      <c r="I143" s="1" t="s">
        <v>210</v>
      </c>
      <c r="J143" s="1" t="s">
        <v>26642</v>
      </c>
      <c r="K143" t="s">
        <v>27394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27550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27550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27550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27551</v>
      </c>
      <c r="H147">
        <v>16</v>
      </c>
      <c r="I147" s="1" t="s">
        <v>28</v>
      </c>
      <c r="J147" s="1" t="s">
        <v>26642</v>
      </c>
      <c r="K147" t="s">
        <v>27403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27551</v>
      </c>
      <c r="H148">
        <v>16</v>
      </c>
      <c r="I148" t="s">
        <v>28</v>
      </c>
      <c r="J148" s="1" t="s">
        <v>26642</v>
      </c>
      <c r="K148" t="s">
        <v>27403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27551</v>
      </c>
      <c r="H149">
        <v>16</v>
      </c>
      <c r="I149" t="s">
        <v>28</v>
      </c>
      <c r="J149" s="1" t="s">
        <v>26642</v>
      </c>
      <c r="K149" t="s">
        <v>27403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27404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27518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27404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27519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27404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27520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27404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27521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27404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27522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27404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27523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27394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27524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27394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27525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27394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27526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27394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27527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27394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27528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27394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27529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27394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27530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27552</v>
      </c>
      <c r="H163">
        <v>66</v>
      </c>
      <c r="I163" s="1" t="s">
        <v>215</v>
      </c>
      <c r="J163" s="1" t="s">
        <v>91</v>
      </c>
      <c r="K163" t="s">
        <v>27394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27552</v>
      </c>
      <c r="H164">
        <v>66</v>
      </c>
      <c r="I164" t="s">
        <v>215</v>
      </c>
      <c r="J164" s="1" t="s">
        <v>91</v>
      </c>
      <c r="K164" t="s">
        <v>27394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27552</v>
      </c>
      <c r="H165">
        <v>66</v>
      </c>
      <c r="I165" t="s">
        <v>215</v>
      </c>
      <c r="J165" s="1" t="s">
        <v>91</v>
      </c>
      <c r="K165" t="s">
        <v>27394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27552</v>
      </c>
      <c r="H166">
        <v>66</v>
      </c>
      <c r="I166" t="s">
        <v>215</v>
      </c>
      <c r="J166" s="1" t="s">
        <v>91</v>
      </c>
      <c r="K166" t="s">
        <v>27394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27554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27553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27555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27556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27557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27558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18"/>
  <sheetViews>
    <sheetView workbookViewId="0">
      <pane ySplit="1" topLeftCell="A2" activePane="bottomLeft" state="frozen"/>
      <selection activeCell="C1" sqref="C1"/>
      <selection pane="bottomLeft" activeCell="B25" sqref="B25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27576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28404</v>
      </c>
      <c r="P1" t="s">
        <v>28405</v>
      </c>
      <c r="Q1" t="s">
        <v>2</v>
      </c>
      <c r="R1" t="s">
        <v>28420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21909</v>
      </c>
      <c r="B2" s="102" t="s">
        <v>29582</v>
      </c>
      <c r="C2" s="102" t="s">
        <v>8</v>
      </c>
      <c r="D2" s="102" t="s">
        <v>21</v>
      </c>
      <c r="E2" s="102" t="s">
        <v>25636</v>
      </c>
      <c r="F2" s="102" t="s">
        <v>26643</v>
      </c>
      <c r="G2" s="102" t="s">
        <v>25636</v>
      </c>
      <c r="H2" s="102" t="s">
        <v>29712</v>
      </c>
      <c r="I2" s="102" t="s">
        <v>25345</v>
      </c>
      <c r="J2" s="102" t="s">
        <v>25731</v>
      </c>
      <c r="K2" s="102" t="s">
        <v>25676</v>
      </c>
      <c r="L2" s="102" t="s">
        <v>25597</v>
      </c>
      <c r="M2" s="102" t="s">
        <v>12</v>
      </c>
      <c r="N2" s="102">
        <v>497.70000000000005</v>
      </c>
      <c r="Q2" t="s">
        <v>52</v>
      </c>
      <c r="S2" t="str">
        <f>A2&amp;"-"&amp;T2</f>
        <v>81-054-32-55</v>
      </c>
      <c r="T2" s="129" t="s">
        <v>28267</v>
      </c>
      <c r="U2" s="112">
        <v>2</v>
      </c>
    </row>
    <row r="3" spans="1:21" x14ac:dyDescent="0.2">
      <c r="A3" s="102" t="s">
        <v>21909</v>
      </c>
      <c r="B3" s="102" t="s">
        <v>29582</v>
      </c>
      <c r="C3" s="102" t="s">
        <v>8</v>
      </c>
      <c r="D3" s="102" t="s">
        <v>21</v>
      </c>
      <c r="E3" s="102" t="s">
        <v>25636</v>
      </c>
      <c r="F3" s="102" t="s">
        <v>26643</v>
      </c>
      <c r="G3" s="102" t="s">
        <v>25636</v>
      </c>
      <c r="H3" s="102" t="s">
        <v>29712</v>
      </c>
      <c r="I3" s="102" t="s">
        <v>25345</v>
      </c>
      <c r="J3" s="102" t="s">
        <v>25731</v>
      </c>
      <c r="K3" s="102" t="s">
        <v>25676</v>
      </c>
      <c r="L3" s="102" t="s">
        <v>25597</v>
      </c>
      <c r="M3" s="102" t="s">
        <v>12</v>
      </c>
      <c r="N3" s="102">
        <v>497.70000000000005</v>
      </c>
      <c r="Q3" t="s">
        <v>52</v>
      </c>
      <c r="S3" t="str">
        <f>A3&amp;"-"&amp;T3</f>
        <v>81-054-32-57</v>
      </c>
      <c r="T3" s="129" t="s">
        <v>28344</v>
      </c>
      <c r="U3" s="112">
        <v>10</v>
      </c>
    </row>
    <row r="4" spans="1:21" x14ac:dyDescent="0.2">
      <c r="A4" s="102" t="s">
        <v>21909</v>
      </c>
      <c r="B4" s="102" t="s">
        <v>29582</v>
      </c>
      <c r="C4" s="102" t="s">
        <v>8</v>
      </c>
      <c r="D4" s="102" t="s">
        <v>21</v>
      </c>
      <c r="E4" s="102" t="s">
        <v>25636</v>
      </c>
      <c r="F4" s="102" t="s">
        <v>26643</v>
      </c>
      <c r="G4" s="102" t="s">
        <v>25636</v>
      </c>
      <c r="H4" s="102" t="s">
        <v>29712</v>
      </c>
      <c r="I4" s="102" t="s">
        <v>25345</v>
      </c>
      <c r="J4" s="102" t="s">
        <v>25731</v>
      </c>
      <c r="K4" s="102" t="s">
        <v>25676</v>
      </c>
      <c r="L4" s="102" t="s">
        <v>25597</v>
      </c>
      <c r="M4" s="102" t="s">
        <v>12</v>
      </c>
      <c r="N4" s="102">
        <v>497.70000000000005</v>
      </c>
      <c r="Q4" t="s">
        <v>52</v>
      </c>
      <c r="S4" t="str">
        <f>A4&amp;"-"&amp;T4</f>
        <v>81-054-32-59</v>
      </c>
      <c r="T4" s="129" t="s">
        <v>28340</v>
      </c>
      <c r="U4" s="112">
        <v>25</v>
      </c>
    </row>
    <row r="5" spans="1:21" x14ac:dyDescent="0.2">
      <c r="A5" s="102" t="s">
        <v>21909</v>
      </c>
      <c r="B5" s="102" t="s">
        <v>29582</v>
      </c>
      <c r="C5" s="102" t="s">
        <v>8</v>
      </c>
      <c r="D5" s="102" t="s">
        <v>21</v>
      </c>
      <c r="E5" s="102" t="s">
        <v>25636</v>
      </c>
      <c r="F5" s="102" t="s">
        <v>26643</v>
      </c>
      <c r="G5" s="102" t="s">
        <v>25636</v>
      </c>
      <c r="H5" s="102" t="s">
        <v>29712</v>
      </c>
      <c r="I5" s="102" t="s">
        <v>25345</v>
      </c>
      <c r="J5" s="102" t="s">
        <v>25731</v>
      </c>
      <c r="K5" s="102" t="s">
        <v>25676</v>
      </c>
      <c r="L5" s="102" t="s">
        <v>25597</v>
      </c>
      <c r="M5" s="102" t="s">
        <v>12</v>
      </c>
      <c r="N5" s="102">
        <v>497.70000000000005</v>
      </c>
      <c r="Q5" t="s">
        <v>52</v>
      </c>
      <c r="S5" t="str">
        <f>A5&amp;"-"&amp;T5</f>
        <v>81-054-32-61</v>
      </c>
      <c r="T5" s="129" t="s">
        <v>28345</v>
      </c>
      <c r="U5" s="112">
        <v>19</v>
      </c>
    </row>
    <row r="6" spans="1:21" x14ac:dyDescent="0.2">
      <c r="A6" s="102" t="s">
        <v>21083</v>
      </c>
      <c r="B6" s="102" t="s">
        <v>29583</v>
      </c>
      <c r="C6" s="102" t="s">
        <v>8</v>
      </c>
      <c r="D6" s="102" t="s">
        <v>9</v>
      </c>
      <c r="E6" s="102" t="s">
        <v>25636</v>
      </c>
      <c r="F6" s="102" t="s">
        <v>26643</v>
      </c>
      <c r="G6" s="102" t="s">
        <v>25636</v>
      </c>
      <c r="H6" s="102" t="s">
        <v>29713</v>
      </c>
      <c r="I6" s="102" t="s">
        <v>52</v>
      </c>
      <c r="J6" s="102" t="s">
        <v>25731</v>
      </c>
      <c r="K6" s="102" t="s">
        <v>25676</v>
      </c>
      <c r="L6" s="102" t="s">
        <v>25597</v>
      </c>
      <c r="M6" s="102" t="s">
        <v>12</v>
      </c>
      <c r="N6" s="102">
        <v>434.7</v>
      </c>
      <c r="Q6" t="s">
        <v>52</v>
      </c>
      <c r="S6" t="str">
        <f t="shared" ref="S6:S16" si="0">A6&amp;"-"&amp;T6</f>
        <v>80-786-02-57</v>
      </c>
      <c r="T6" s="129" t="s">
        <v>28344</v>
      </c>
      <c r="U6" s="112">
        <v>16</v>
      </c>
    </row>
    <row r="7" spans="1:21" x14ac:dyDescent="0.2">
      <c r="A7" s="102" t="s">
        <v>21083</v>
      </c>
      <c r="B7" s="102" t="s">
        <v>29583</v>
      </c>
      <c r="C7" s="102" t="s">
        <v>8</v>
      </c>
      <c r="D7" s="102" t="s">
        <v>9</v>
      </c>
      <c r="E7" s="102" t="s">
        <v>25636</v>
      </c>
      <c r="F7" s="102" t="s">
        <v>26643</v>
      </c>
      <c r="G7" s="102" t="s">
        <v>25636</v>
      </c>
      <c r="H7" s="102" t="s">
        <v>29713</v>
      </c>
      <c r="I7" s="102" t="s">
        <v>52</v>
      </c>
      <c r="J7" s="102" t="s">
        <v>25731</v>
      </c>
      <c r="K7" s="102" t="s">
        <v>25676</v>
      </c>
      <c r="L7" s="102" t="s">
        <v>25597</v>
      </c>
      <c r="M7" s="102" t="s">
        <v>12</v>
      </c>
      <c r="N7" s="102">
        <v>434.7</v>
      </c>
      <c r="Q7" t="s">
        <v>52</v>
      </c>
      <c r="S7" t="str">
        <f t="shared" si="0"/>
        <v>80-786-02-59</v>
      </c>
      <c r="T7" s="129" t="s">
        <v>28340</v>
      </c>
      <c r="U7" s="112">
        <v>19</v>
      </c>
    </row>
    <row r="8" spans="1:21" x14ac:dyDescent="0.2">
      <c r="A8" s="102" t="s">
        <v>21083</v>
      </c>
      <c r="B8" s="102" t="s">
        <v>29583</v>
      </c>
      <c r="C8" s="102" t="s">
        <v>8</v>
      </c>
      <c r="D8" s="102" t="s">
        <v>9</v>
      </c>
      <c r="E8" s="102" t="s">
        <v>25636</v>
      </c>
      <c r="F8" s="102" t="s">
        <v>26643</v>
      </c>
      <c r="G8" s="102" t="s">
        <v>25636</v>
      </c>
      <c r="H8" s="102" t="s">
        <v>29713</v>
      </c>
      <c r="I8" s="102" t="s">
        <v>52</v>
      </c>
      <c r="J8" s="102" t="s">
        <v>25731</v>
      </c>
      <c r="K8" s="102" t="s">
        <v>25676</v>
      </c>
      <c r="L8" s="102" t="s">
        <v>25597</v>
      </c>
      <c r="M8" s="102" t="s">
        <v>12</v>
      </c>
      <c r="N8" s="102">
        <v>434.7</v>
      </c>
      <c r="Q8" t="s">
        <v>52</v>
      </c>
      <c r="S8" t="str">
        <f t="shared" si="0"/>
        <v>80-786-02-61</v>
      </c>
      <c r="T8" s="129" t="s">
        <v>28345</v>
      </c>
      <c r="U8" s="112">
        <v>12</v>
      </c>
    </row>
    <row r="9" spans="1:21" x14ac:dyDescent="0.2">
      <c r="A9" s="102" t="s">
        <v>21189</v>
      </c>
      <c r="B9" s="102" t="s">
        <v>29584</v>
      </c>
      <c r="C9" s="102" t="s">
        <v>31</v>
      </c>
      <c r="D9" s="102" t="s">
        <v>25548</v>
      </c>
      <c r="E9" s="102" t="s">
        <v>25636</v>
      </c>
      <c r="F9" s="102" t="s">
        <v>91</v>
      </c>
      <c r="G9" s="102" t="s">
        <v>25636</v>
      </c>
      <c r="H9" s="102" t="s">
        <v>29714</v>
      </c>
      <c r="I9" s="102" t="s">
        <v>23</v>
      </c>
      <c r="J9" s="102" t="s">
        <v>192</v>
      </c>
      <c r="K9" s="102" t="s">
        <v>264</v>
      </c>
      <c r="L9" s="102" t="s">
        <v>25597</v>
      </c>
      <c r="M9" s="102" t="s">
        <v>12</v>
      </c>
      <c r="N9" s="102">
        <v>1001.7</v>
      </c>
      <c r="Q9" t="s">
        <v>27</v>
      </c>
      <c r="S9" t="str">
        <f t="shared" si="0"/>
        <v>80-820-16-55</v>
      </c>
      <c r="T9" s="129" t="s">
        <v>28267</v>
      </c>
      <c r="U9" s="112">
        <v>5</v>
      </c>
    </row>
    <row r="10" spans="1:21" x14ac:dyDescent="0.2">
      <c r="A10" s="102" t="s">
        <v>21189</v>
      </c>
      <c r="B10" s="102" t="s">
        <v>29584</v>
      </c>
      <c r="C10" s="102" t="s">
        <v>31</v>
      </c>
      <c r="D10" s="102" t="s">
        <v>25548</v>
      </c>
      <c r="E10" s="102" t="s">
        <v>25636</v>
      </c>
      <c r="F10" s="102" t="s">
        <v>91</v>
      </c>
      <c r="G10" s="102" t="s">
        <v>25636</v>
      </c>
      <c r="H10" s="102" t="s">
        <v>29714</v>
      </c>
      <c r="I10" s="102" t="s">
        <v>23</v>
      </c>
      <c r="J10" s="102" t="s">
        <v>192</v>
      </c>
      <c r="K10" s="102" t="s">
        <v>264</v>
      </c>
      <c r="L10" s="102" t="s">
        <v>25597</v>
      </c>
      <c r="M10" s="102" t="s">
        <v>12</v>
      </c>
      <c r="N10" s="102">
        <v>1001.7</v>
      </c>
      <c r="Q10" t="s">
        <v>27</v>
      </c>
      <c r="S10" t="str">
        <f t="shared" si="0"/>
        <v>80-820-16-57</v>
      </c>
      <c r="T10" s="129" t="s">
        <v>28344</v>
      </c>
      <c r="U10" s="112">
        <v>10</v>
      </c>
    </row>
    <row r="11" spans="1:21" x14ac:dyDescent="0.2">
      <c r="A11" s="102" t="s">
        <v>21189</v>
      </c>
      <c r="B11" s="102" t="s">
        <v>29584</v>
      </c>
      <c r="C11" s="102" t="s">
        <v>31</v>
      </c>
      <c r="D11" s="102" t="s">
        <v>25548</v>
      </c>
      <c r="E11" s="102" t="s">
        <v>25636</v>
      </c>
      <c r="F11" s="102" t="s">
        <v>91</v>
      </c>
      <c r="G11" s="102" t="s">
        <v>25636</v>
      </c>
      <c r="H11" s="102" t="s">
        <v>29714</v>
      </c>
      <c r="I11" s="102" t="s">
        <v>23</v>
      </c>
      <c r="J11" s="102" t="s">
        <v>192</v>
      </c>
      <c r="K11" s="102" t="s">
        <v>264</v>
      </c>
      <c r="L11" s="102" t="s">
        <v>25597</v>
      </c>
      <c r="M11" s="102" t="s">
        <v>12</v>
      </c>
      <c r="N11" s="102">
        <v>1001.7</v>
      </c>
      <c r="Q11" t="s">
        <v>27</v>
      </c>
      <c r="S11" t="str">
        <f t="shared" si="0"/>
        <v>80-820-16-59</v>
      </c>
      <c r="T11" s="129" t="s">
        <v>28340</v>
      </c>
      <c r="U11" s="112">
        <v>13</v>
      </c>
    </row>
    <row r="12" spans="1:21" x14ac:dyDescent="0.2">
      <c r="A12" s="102" t="s">
        <v>21189</v>
      </c>
      <c r="B12" s="102" t="s">
        <v>29584</v>
      </c>
      <c r="C12" s="102" t="s">
        <v>31</v>
      </c>
      <c r="D12" s="102" t="s">
        <v>25548</v>
      </c>
      <c r="E12" s="102" t="s">
        <v>25636</v>
      </c>
      <c r="F12" s="102" t="s">
        <v>91</v>
      </c>
      <c r="G12" s="102" t="s">
        <v>25636</v>
      </c>
      <c r="H12" s="102" t="s">
        <v>29714</v>
      </c>
      <c r="I12" s="102" t="s">
        <v>23</v>
      </c>
      <c r="J12" s="102" t="s">
        <v>192</v>
      </c>
      <c r="K12" s="102" t="s">
        <v>264</v>
      </c>
      <c r="L12" s="102" t="s">
        <v>25597</v>
      </c>
      <c r="M12" s="102" t="s">
        <v>12</v>
      </c>
      <c r="N12" s="102">
        <v>1001.7</v>
      </c>
      <c r="Q12" t="s">
        <v>27</v>
      </c>
      <c r="S12" t="str">
        <f t="shared" si="0"/>
        <v>80-820-16-61</v>
      </c>
      <c r="T12" s="129" t="s">
        <v>28345</v>
      </c>
      <c r="U12" s="112">
        <v>6</v>
      </c>
    </row>
    <row r="13" spans="1:21" x14ac:dyDescent="0.2">
      <c r="A13" s="102" t="s">
        <v>21883</v>
      </c>
      <c r="B13" s="102" t="s">
        <v>29585</v>
      </c>
      <c r="C13" s="102" t="s">
        <v>8</v>
      </c>
      <c r="D13" s="102" t="s">
        <v>21</v>
      </c>
      <c r="E13" s="102" t="s">
        <v>25636</v>
      </c>
      <c r="F13" s="102" t="s">
        <v>26643</v>
      </c>
      <c r="G13" s="102" t="s">
        <v>25636</v>
      </c>
      <c r="H13" s="102" t="s">
        <v>29712</v>
      </c>
      <c r="I13" s="102" t="s">
        <v>25345</v>
      </c>
      <c r="J13" s="102" t="s">
        <v>25731</v>
      </c>
      <c r="K13" s="102" t="s">
        <v>25676</v>
      </c>
      <c r="L13" s="102" t="s">
        <v>25597</v>
      </c>
      <c r="M13" s="102" t="s">
        <v>12</v>
      </c>
      <c r="N13" s="102">
        <v>497.70000000000005</v>
      </c>
      <c r="Q13" t="s">
        <v>52</v>
      </c>
      <c r="S13" t="str">
        <f t="shared" si="0"/>
        <v>81-045-32-55</v>
      </c>
      <c r="T13" s="129" t="s">
        <v>28267</v>
      </c>
      <c r="U13" s="112">
        <v>3</v>
      </c>
    </row>
    <row r="14" spans="1:21" x14ac:dyDescent="0.2">
      <c r="A14" s="102" t="s">
        <v>21883</v>
      </c>
      <c r="B14" s="102" t="s">
        <v>29585</v>
      </c>
      <c r="C14" s="102" t="s">
        <v>8</v>
      </c>
      <c r="D14" s="102" t="s">
        <v>21</v>
      </c>
      <c r="E14" s="102" t="s">
        <v>25636</v>
      </c>
      <c r="F14" s="102" t="s">
        <v>26643</v>
      </c>
      <c r="G14" s="102" t="s">
        <v>25636</v>
      </c>
      <c r="H14" s="102" t="s">
        <v>29712</v>
      </c>
      <c r="I14" s="102" t="s">
        <v>25345</v>
      </c>
      <c r="J14" s="102" t="s">
        <v>25731</v>
      </c>
      <c r="K14" s="102" t="s">
        <v>25676</v>
      </c>
      <c r="L14" s="102" t="s">
        <v>25597</v>
      </c>
      <c r="M14" s="102" t="s">
        <v>12</v>
      </c>
      <c r="N14" s="102">
        <v>497.70000000000005</v>
      </c>
      <c r="Q14" t="s">
        <v>52</v>
      </c>
      <c r="S14" t="str">
        <f t="shared" si="0"/>
        <v>81-045-32-57</v>
      </c>
      <c r="T14" s="129" t="s">
        <v>28344</v>
      </c>
      <c r="U14" s="112">
        <v>8</v>
      </c>
    </row>
    <row r="15" spans="1:21" x14ac:dyDescent="0.2">
      <c r="A15" s="102" t="s">
        <v>21883</v>
      </c>
      <c r="B15" s="102" t="s">
        <v>29585</v>
      </c>
      <c r="C15" s="102" t="s">
        <v>8</v>
      </c>
      <c r="D15" s="102" t="s">
        <v>21</v>
      </c>
      <c r="E15" s="102" t="s">
        <v>25636</v>
      </c>
      <c r="F15" s="102" t="s">
        <v>26643</v>
      </c>
      <c r="G15" s="102" t="s">
        <v>25636</v>
      </c>
      <c r="H15" s="102" t="s">
        <v>29712</v>
      </c>
      <c r="I15" s="102" t="s">
        <v>25345</v>
      </c>
      <c r="J15" s="102" t="s">
        <v>25731</v>
      </c>
      <c r="K15" s="102" t="s">
        <v>25676</v>
      </c>
      <c r="L15" s="102" t="s">
        <v>25597</v>
      </c>
      <c r="M15" s="102" t="s">
        <v>12</v>
      </c>
      <c r="N15" s="102">
        <v>497.70000000000005</v>
      </c>
      <c r="Q15" t="s">
        <v>52</v>
      </c>
      <c r="S15" t="str">
        <f t="shared" si="0"/>
        <v>81-045-32-59</v>
      </c>
      <c r="T15" s="129" t="s">
        <v>28340</v>
      </c>
      <c r="U15" s="112">
        <v>14</v>
      </c>
    </row>
    <row r="16" spans="1:21" x14ac:dyDescent="0.2">
      <c r="A16" s="102" t="s">
        <v>21883</v>
      </c>
      <c r="B16" s="102" t="s">
        <v>29585</v>
      </c>
      <c r="C16" s="102" t="s">
        <v>8</v>
      </c>
      <c r="D16" s="102" t="s">
        <v>21</v>
      </c>
      <c r="E16" s="102" t="s">
        <v>25636</v>
      </c>
      <c r="F16" s="102" t="s">
        <v>26643</v>
      </c>
      <c r="G16" s="102" t="s">
        <v>25636</v>
      </c>
      <c r="H16" s="102" t="s">
        <v>29712</v>
      </c>
      <c r="I16" s="102" t="s">
        <v>25345</v>
      </c>
      <c r="J16" s="102" t="s">
        <v>25731</v>
      </c>
      <c r="K16" s="102" t="s">
        <v>25676</v>
      </c>
      <c r="L16" s="102" t="s">
        <v>25597</v>
      </c>
      <c r="M16" s="102" t="s">
        <v>12</v>
      </c>
      <c r="N16" s="102">
        <v>497.70000000000005</v>
      </c>
      <c r="Q16" t="s">
        <v>52</v>
      </c>
      <c r="S16" t="str">
        <f t="shared" si="0"/>
        <v>81-045-32-61</v>
      </c>
      <c r="T16" s="129" t="s">
        <v>28345</v>
      </c>
      <c r="U16" s="112">
        <v>6</v>
      </c>
    </row>
    <row r="17" spans="1:21" x14ac:dyDescent="0.2">
      <c r="A17" s="102" t="s">
        <v>21879</v>
      </c>
      <c r="B17" s="102" t="s">
        <v>29586</v>
      </c>
      <c r="C17" s="102" t="s">
        <v>8</v>
      </c>
      <c r="D17" s="102" t="s">
        <v>25573</v>
      </c>
      <c r="E17" s="102" t="s">
        <v>25636</v>
      </c>
      <c r="F17" s="102" t="s">
        <v>26643</v>
      </c>
      <c r="G17" s="102" t="s">
        <v>25636</v>
      </c>
      <c r="H17" s="102" t="s">
        <v>29715</v>
      </c>
      <c r="I17" s="102" t="s">
        <v>42</v>
      </c>
      <c r="J17" s="102" t="s">
        <v>25731</v>
      </c>
      <c r="K17" s="102" t="s">
        <v>25676</v>
      </c>
      <c r="L17" s="102" t="s">
        <v>25597</v>
      </c>
      <c r="M17" s="102" t="s">
        <v>12</v>
      </c>
      <c r="N17" s="102">
        <v>560.70000000000005</v>
      </c>
      <c r="Q17" t="s">
        <v>52</v>
      </c>
      <c r="S17" t="str">
        <f t="shared" ref="S17:S21" si="1">A17&amp;"-"&amp;T17</f>
        <v>81-043-53-57</v>
      </c>
      <c r="T17" s="129" t="s">
        <v>28344</v>
      </c>
      <c r="U17" s="112">
        <v>10</v>
      </c>
    </row>
    <row r="18" spans="1:21" x14ac:dyDescent="0.2">
      <c r="A18" s="102" t="s">
        <v>21879</v>
      </c>
      <c r="B18" s="102" t="s">
        <v>29586</v>
      </c>
      <c r="C18" s="102" t="s">
        <v>8</v>
      </c>
      <c r="D18" s="102" t="s">
        <v>25573</v>
      </c>
      <c r="E18" s="102" t="s">
        <v>25636</v>
      </c>
      <c r="F18" s="102" t="s">
        <v>26643</v>
      </c>
      <c r="G18" s="102" t="s">
        <v>25636</v>
      </c>
      <c r="H18" s="102" t="s">
        <v>29715</v>
      </c>
      <c r="I18" s="102" t="s">
        <v>42</v>
      </c>
      <c r="J18" s="102" t="s">
        <v>25731</v>
      </c>
      <c r="K18" s="102" t="s">
        <v>25676</v>
      </c>
      <c r="L18" s="102" t="s">
        <v>25597</v>
      </c>
      <c r="M18" s="102" t="s">
        <v>12</v>
      </c>
      <c r="N18" s="102">
        <v>560.70000000000005</v>
      </c>
      <c r="Q18" t="s">
        <v>52</v>
      </c>
      <c r="S18" t="str">
        <f t="shared" si="1"/>
        <v>81-043-53-59</v>
      </c>
      <c r="T18" s="129" t="s">
        <v>28340</v>
      </c>
      <c r="U18" s="112">
        <v>12</v>
      </c>
    </row>
    <row r="19" spans="1:21" x14ac:dyDescent="0.2">
      <c r="A19" s="102" t="s">
        <v>21891</v>
      </c>
      <c r="B19" s="102" t="s">
        <v>29587</v>
      </c>
      <c r="C19" s="102" t="s">
        <v>8</v>
      </c>
      <c r="D19" s="102" t="s">
        <v>21</v>
      </c>
      <c r="E19" s="102" t="s">
        <v>25636</v>
      </c>
      <c r="F19" s="102" t="s">
        <v>26643</v>
      </c>
      <c r="G19" s="102" t="s">
        <v>25636</v>
      </c>
      <c r="H19" s="102" t="s">
        <v>29713</v>
      </c>
      <c r="I19" s="102" t="s">
        <v>52</v>
      </c>
      <c r="J19" s="102" t="s">
        <v>25731</v>
      </c>
      <c r="K19" s="102" t="s">
        <v>25676</v>
      </c>
      <c r="L19" s="102" t="s">
        <v>25597</v>
      </c>
      <c r="M19" s="102" t="s">
        <v>12</v>
      </c>
      <c r="N19" s="102">
        <v>1001.7</v>
      </c>
      <c r="Q19" t="s">
        <v>52</v>
      </c>
      <c r="S19" t="str">
        <f t="shared" si="1"/>
        <v>81-047-02-59</v>
      </c>
      <c r="T19" s="129" t="s">
        <v>28340</v>
      </c>
      <c r="U19" s="112">
        <v>3</v>
      </c>
    </row>
    <row r="20" spans="1:21" x14ac:dyDescent="0.2">
      <c r="A20" s="102" t="s">
        <v>21891</v>
      </c>
      <c r="B20" s="102" t="s">
        <v>29587</v>
      </c>
      <c r="C20" s="102" t="s">
        <v>8</v>
      </c>
      <c r="D20" s="102" t="s">
        <v>21</v>
      </c>
      <c r="E20" s="102" t="s">
        <v>25636</v>
      </c>
      <c r="F20" s="102" t="s">
        <v>26643</v>
      </c>
      <c r="G20" s="102" t="s">
        <v>25636</v>
      </c>
      <c r="H20" s="102" t="s">
        <v>29713</v>
      </c>
      <c r="I20" s="102" t="s">
        <v>52</v>
      </c>
      <c r="J20" s="102" t="s">
        <v>25731</v>
      </c>
      <c r="K20" s="102" t="s">
        <v>25676</v>
      </c>
      <c r="L20" s="102" t="s">
        <v>25597</v>
      </c>
      <c r="M20" s="102" t="s">
        <v>12</v>
      </c>
      <c r="N20" s="102">
        <v>1001.7</v>
      </c>
      <c r="Q20" t="s">
        <v>52</v>
      </c>
      <c r="S20" t="str">
        <f t="shared" si="1"/>
        <v>81-047-02-61</v>
      </c>
      <c r="T20" s="129" t="s">
        <v>28345</v>
      </c>
      <c r="U20" s="112">
        <v>3</v>
      </c>
    </row>
    <row r="21" spans="1:21" x14ac:dyDescent="0.2">
      <c r="A21" s="102" t="s">
        <v>21547</v>
      </c>
      <c r="B21" s="102" t="s">
        <v>29588</v>
      </c>
      <c r="C21" s="102" t="s">
        <v>46</v>
      </c>
      <c r="D21" s="102" t="s">
        <v>47</v>
      </c>
      <c r="E21" s="102" t="s">
        <v>25636</v>
      </c>
      <c r="F21" s="102" t="s">
        <v>26643</v>
      </c>
      <c r="G21" s="102" t="s">
        <v>25636</v>
      </c>
      <c r="H21" s="102" t="s">
        <v>29716</v>
      </c>
      <c r="I21" s="102" t="s">
        <v>147</v>
      </c>
      <c r="J21" s="102" t="s">
        <v>11</v>
      </c>
      <c r="K21" s="102" t="s">
        <v>25678</v>
      </c>
      <c r="L21" s="102" t="s">
        <v>25598</v>
      </c>
      <c r="M21" s="102" t="s">
        <v>12</v>
      </c>
      <c r="N21" s="102">
        <v>497.70000000000005</v>
      </c>
      <c r="Q21" t="s">
        <v>147</v>
      </c>
      <c r="S21" t="str">
        <f t="shared" si="1"/>
        <v>80-941-19-59</v>
      </c>
      <c r="T21" s="129" t="s">
        <v>28340</v>
      </c>
      <c r="U21" s="112">
        <v>20</v>
      </c>
    </row>
    <row r="22" spans="1:21" x14ac:dyDescent="0.2">
      <c r="A22" s="102" t="s">
        <v>21847</v>
      </c>
      <c r="B22" s="102" t="s">
        <v>29589</v>
      </c>
      <c r="C22" s="102" t="s">
        <v>198</v>
      </c>
      <c r="D22" s="102" t="s">
        <v>199</v>
      </c>
      <c r="E22" s="102" t="s">
        <v>25636</v>
      </c>
      <c r="F22" s="102" t="s">
        <v>91</v>
      </c>
      <c r="G22" s="102" t="s">
        <v>25636</v>
      </c>
      <c r="H22" s="102" t="s">
        <v>29717</v>
      </c>
      <c r="I22" s="102" t="s">
        <v>28</v>
      </c>
      <c r="J22" s="102" t="s">
        <v>11</v>
      </c>
      <c r="K22" s="102" t="s">
        <v>25678</v>
      </c>
      <c r="L22" s="102" t="s">
        <v>25597</v>
      </c>
      <c r="M22" s="102" t="s">
        <v>12</v>
      </c>
      <c r="N22" s="102">
        <v>812.69999999999993</v>
      </c>
      <c r="Q22" t="s">
        <v>28</v>
      </c>
      <c r="S22" t="str">
        <f t="shared" ref="S22:S29" si="2">A22&amp;"-"&amp;T22</f>
        <v>81-036-08-55</v>
      </c>
      <c r="T22" s="129" t="s">
        <v>28267</v>
      </c>
      <c r="U22" s="112">
        <v>10</v>
      </c>
    </row>
    <row r="23" spans="1:21" x14ac:dyDescent="0.2">
      <c r="A23" s="102" t="s">
        <v>21847</v>
      </c>
      <c r="B23" s="102" t="s">
        <v>29589</v>
      </c>
      <c r="C23" s="102" t="s">
        <v>198</v>
      </c>
      <c r="D23" s="102" t="s">
        <v>199</v>
      </c>
      <c r="E23" s="102" t="s">
        <v>25636</v>
      </c>
      <c r="F23" s="102" t="s">
        <v>91</v>
      </c>
      <c r="G23" s="102" t="s">
        <v>25636</v>
      </c>
      <c r="H23" s="102" t="s">
        <v>29717</v>
      </c>
      <c r="I23" s="102" t="s">
        <v>28</v>
      </c>
      <c r="J23" s="102" t="s">
        <v>11</v>
      </c>
      <c r="K23" s="102" t="s">
        <v>25678</v>
      </c>
      <c r="L23" s="102" t="s">
        <v>25597</v>
      </c>
      <c r="M23" s="102" t="s">
        <v>12</v>
      </c>
      <c r="N23" s="102">
        <v>812.69999999999993</v>
      </c>
      <c r="Q23" t="s">
        <v>28</v>
      </c>
      <c r="S23" t="str">
        <f t="shared" si="2"/>
        <v>81-036-08-57</v>
      </c>
      <c r="T23" s="129" t="s">
        <v>28344</v>
      </c>
      <c r="U23" s="112">
        <v>27</v>
      </c>
    </row>
    <row r="24" spans="1:21" x14ac:dyDescent="0.2">
      <c r="A24" s="102" t="s">
        <v>21847</v>
      </c>
      <c r="B24" s="102" t="s">
        <v>29589</v>
      </c>
      <c r="C24" s="102" t="s">
        <v>198</v>
      </c>
      <c r="D24" s="102" t="s">
        <v>199</v>
      </c>
      <c r="E24" s="102" t="s">
        <v>25636</v>
      </c>
      <c r="F24" s="102" t="s">
        <v>91</v>
      </c>
      <c r="G24" s="102" t="s">
        <v>25636</v>
      </c>
      <c r="H24" s="102" t="s">
        <v>29717</v>
      </c>
      <c r="I24" s="102" t="s">
        <v>28</v>
      </c>
      <c r="J24" s="102" t="s">
        <v>11</v>
      </c>
      <c r="K24" s="102" t="s">
        <v>25678</v>
      </c>
      <c r="L24" s="102" t="s">
        <v>25597</v>
      </c>
      <c r="M24" s="102" t="s">
        <v>12</v>
      </c>
      <c r="N24" s="102">
        <v>812.69999999999993</v>
      </c>
      <c r="Q24" t="s">
        <v>28</v>
      </c>
      <c r="S24" t="str">
        <f t="shared" si="2"/>
        <v>81-036-08-59</v>
      </c>
      <c r="T24" s="129" t="s">
        <v>28340</v>
      </c>
      <c r="U24" s="112">
        <v>32</v>
      </c>
    </row>
    <row r="25" spans="1:21" x14ac:dyDescent="0.2">
      <c r="A25" s="102" t="s">
        <v>21847</v>
      </c>
      <c r="B25" s="102" t="s">
        <v>29589</v>
      </c>
      <c r="C25" s="102" t="s">
        <v>198</v>
      </c>
      <c r="D25" s="102" t="s">
        <v>199</v>
      </c>
      <c r="E25" s="102" t="s">
        <v>25636</v>
      </c>
      <c r="F25" s="102" t="s">
        <v>91</v>
      </c>
      <c r="G25" s="102" t="s">
        <v>25636</v>
      </c>
      <c r="H25" s="102" t="s">
        <v>29717</v>
      </c>
      <c r="I25" s="102" t="s">
        <v>28</v>
      </c>
      <c r="J25" s="102" t="s">
        <v>11</v>
      </c>
      <c r="K25" s="102" t="s">
        <v>25678</v>
      </c>
      <c r="L25" s="102" t="s">
        <v>25597</v>
      </c>
      <c r="M25" s="102" t="s">
        <v>12</v>
      </c>
      <c r="N25" s="102">
        <v>812.69999999999993</v>
      </c>
      <c r="Q25" t="s">
        <v>28</v>
      </c>
      <c r="S25" t="str">
        <f t="shared" si="2"/>
        <v>81-036-08-61</v>
      </c>
      <c r="T25" s="129" t="s">
        <v>28345</v>
      </c>
      <c r="U25" s="112">
        <v>7</v>
      </c>
    </row>
    <row r="26" spans="1:21" x14ac:dyDescent="0.2">
      <c r="A26" s="102" t="s">
        <v>21853</v>
      </c>
      <c r="B26" s="102" t="s">
        <v>29589</v>
      </c>
      <c r="C26" s="102" t="s">
        <v>198</v>
      </c>
      <c r="D26" s="102" t="s">
        <v>199</v>
      </c>
      <c r="E26" s="102" t="s">
        <v>25636</v>
      </c>
      <c r="F26" s="102" t="s">
        <v>91</v>
      </c>
      <c r="G26" s="102" t="s">
        <v>25636</v>
      </c>
      <c r="H26" s="102" t="s">
        <v>29714</v>
      </c>
      <c r="I26" s="102" t="s">
        <v>23</v>
      </c>
      <c r="J26" s="102" t="s">
        <v>11</v>
      </c>
      <c r="K26" s="102" t="s">
        <v>25678</v>
      </c>
      <c r="L26" s="102" t="s">
        <v>25597</v>
      </c>
      <c r="M26" s="102" t="s">
        <v>12</v>
      </c>
      <c r="N26" s="102">
        <v>812.69999999999993</v>
      </c>
      <c r="Q26" t="s">
        <v>27</v>
      </c>
      <c r="S26" t="str">
        <f t="shared" si="2"/>
        <v>81-036-16-55</v>
      </c>
      <c r="T26" s="129" t="s">
        <v>28267</v>
      </c>
      <c r="U26" s="112">
        <v>11</v>
      </c>
    </row>
    <row r="27" spans="1:21" x14ac:dyDescent="0.2">
      <c r="A27" s="102" t="s">
        <v>21853</v>
      </c>
      <c r="B27" s="102" t="s">
        <v>29589</v>
      </c>
      <c r="C27" s="102" t="s">
        <v>198</v>
      </c>
      <c r="D27" s="102" t="s">
        <v>199</v>
      </c>
      <c r="E27" s="102" t="s">
        <v>25636</v>
      </c>
      <c r="F27" s="102" t="s">
        <v>91</v>
      </c>
      <c r="G27" s="102" t="s">
        <v>25636</v>
      </c>
      <c r="H27" s="102" t="s">
        <v>29714</v>
      </c>
      <c r="I27" s="102" t="s">
        <v>23</v>
      </c>
      <c r="J27" s="102" t="s">
        <v>11</v>
      </c>
      <c r="K27" s="102" t="s">
        <v>25678</v>
      </c>
      <c r="L27" s="102" t="s">
        <v>25597</v>
      </c>
      <c r="M27" s="102" t="s">
        <v>12</v>
      </c>
      <c r="N27" s="102">
        <v>812.69999999999993</v>
      </c>
      <c r="Q27" t="s">
        <v>27</v>
      </c>
      <c r="S27" t="str">
        <f t="shared" si="2"/>
        <v>81-036-16-57</v>
      </c>
      <c r="T27" s="129" t="s">
        <v>28344</v>
      </c>
      <c r="U27" s="112">
        <v>30</v>
      </c>
    </row>
    <row r="28" spans="1:21" x14ac:dyDescent="0.2">
      <c r="A28" s="102" t="s">
        <v>21853</v>
      </c>
      <c r="B28" s="102" t="s">
        <v>29589</v>
      </c>
      <c r="C28" s="102" t="s">
        <v>198</v>
      </c>
      <c r="D28" s="102" t="s">
        <v>199</v>
      </c>
      <c r="E28" s="102" t="s">
        <v>25636</v>
      </c>
      <c r="F28" s="102" t="s">
        <v>91</v>
      </c>
      <c r="G28" s="102" t="s">
        <v>25636</v>
      </c>
      <c r="H28" s="102" t="s">
        <v>29714</v>
      </c>
      <c r="I28" s="102" t="s">
        <v>23</v>
      </c>
      <c r="J28" s="102" t="s">
        <v>11</v>
      </c>
      <c r="K28" s="102" t="s">
        <v>25678</v>
      </c>
      <c r="L28" s="102" t="s">
        <v>25597</v>
      </c>
      <c r="M28" s="102" t="s">
        <v>12</v>
      </c>
      <c r="N28" s="102">
        <v>812.69999999999993</v>
      </c>
      <c r="Q28" t="s">
        <v>27</v>
      </c>
      <c r="S28" t="str">
        <f t="shared" si="2"/>
        <v>81-036-16-59</v>
      </c>
      <c r="T28" s="129" t="s">
        <v>28340</v>
      </c>
      <c r="U28" s="112">
        <v>33</v>
      </c>
    </row>
    <row r="29" spans="1:21" x14ac:dyDescent="0.2">
      <c r="A29" s="102" t="s">
        <v>21853</v>
      </c>
      <c r="B29" s="102" t="s">
        <v>29589</v>
      </c>
      <c r="C29" s="102" t="s">
        <v>198</v>
      </c>
      <c r="D29" s="102" t="s">
        <v>199</v>
      </c>
      <c r="E29" s="102" t="s">
        <v>25636</v>
      </c>
      <c r="F29" s="102" t="s">
        <v>91</v>
      </c>
      <c r="G29" s="102" t="s">
        <v>25636</v>
      </c>
      <c r="H29" s="102" t="s">
        <v>29714</v>
      </c>
      <c r="I29" s="102" t="s">
        <v>23</v>
      </c>
      <c r="J29" s="102" t="s">
        <v>11</v>
      </c>
      <c r="K29" s="102" t="s">
        <v>25678</v>
      </c>
      <c r="L29" s="102" t="s">
        <v>25597</v>
      </c>
      <c r="M29" s="102" t="s">
        <v>12</v>
      </c>
      <c r="N29" s="102">
        <v>812.69999999999993</v>
      </c>
      <c r="Q29" t="s">
        <v>27</v>
      </c>
      <c r="S29" t="str">
        <f t="shared" si="2"/>
        <v>81-036-16-61</v>
      </c>
      <c r="T29" s="129" t="s">
        <v>28345</v>
      </c>
      <c r="U29" s="112">
        <v>6</v>
      </c>
    </row>
    <row r="30" spans="1:21" x14ac:dyDescent="0.2">
      <c r="A30" s="102" t="s">
        <v>21849</v>
      </c>
      <c r="B30" s="102" t="s">
        <v>29589</v>
      </c>
      <c r="C30" s="102" t="s">
        <v>198</v>
      </c>
      <c r="D30" s="102" t="s">
        <v>199</v>
      </c>
      <c r="E30" s="102" t="s">
        <v>25636</v>
      </c>
      <c r="F30" s="102" t="s">
        <v>91</v>
      </c>
      <c r="G30" s="102" t="s">
        <v>25636</v>
      </c>
      <c r="H30" s="102" t="s">
        <v>29715</v>
      </c>
      <c r="I30" s="102" t="s">
        <v>1</v>
      </c>
      <c r="J30" s="102" t="s">
        <v>11</v>
      </c>
      <c r="K30" s="102" t="s">
        <v>25678</v>
      </c>
      <c r="L30" s="102" t="s">
        <v>25597</v>
      </c>
      <c r="M30" s="102" t="s">
        <v>12</v>
      </c>
      <c r="N30" s="102">
        <v>812.69999999999993</v>
      </c>
      <c r="Q30" t="s">
        <v>1</v>
      </c>
      <c r="S30" t="str">
        <f t="shared" ref="S30:S41" si="3">A30&amp;"-"&amp;T30</f>
        <v>81-036-09-55</v>
      </c>
      <c r="T30" s="129" t="s">
        <v>28267</v>
      </c>
      <c r="U30" s="112">
        <v>10</v>
      </c>
    </row>
    <row r="31" spans="1:21" x14ac:dyDescent="0.2">
      <c r="A31" s="102" t="s">
        <v>21849</v>
      </c>
      <c r="B31" s="102" t="s">
        <v>29589</v>
      </c>
      <c r="C31" s="102" t="s">
        <v>198</v>
      </c>
      <c r="D31" s="102" t="s">
        <v>199</v>
      </c>
      <c r="E31" s="102" t="s">
        <v>25636</v>
      </c>
      <c r="F31" s="102" t="s">
        <v>91</v>
      </c>
      <c r="G31" s="102" t="s">
        <v>25636</v>
      </c>
      <c r="H31" s="102" t="s">
        <v>29715</v>
      </c>
      <c r="I31" s="102" t="s">
        <v>1</v>
      </c>
      <c r="J31" s="102" t="s">
        <v>11</v>
      </c>
      <c r="K31" s="102" t="s">
        <v>25678</v>
      </c>
      <c r="L31" s="102" t="s">
        <v>25597</v>
      </c>
      <c r="M31" s="102" t="s">
        <v>12</v>
      </c>
      <c r="N31" s="102">
        <v>812.69999999999993</v>
      </c>
      <c r="Q31" t="s">
        <v>1</v>
      </c>
      <c r="S31" t="str">
        <f t="shared" si="3"/>
        <v>81-036-09-57</v>
      </c>
      <c r="T31" s="129" t="s">
        <v>28344</v>
      </c>
      <c r="U31" s="112">
        <v>30</v>
      </c>
    </row>
    <row r="32" spans="1:21" x14ac:dyDescent="0.2">
      <c r="A32" s="102" t="s">
        <v>21849</v>
      </c>
      <c r="B32" s="102" t="s">
        <v>29589</v>
      </c>
      <c r="C32" s="102" t="s">
        <v>198</v>
      </c>
      <c r="D32" s="102" t="s">
        <v>199</v>
      </c>
      <c r="E32" s="102" t="s">
        <v>25636</v>
      </c>
      <c r="F32" s="102" t="s">
        <v>91</v>
      </c>
      <c r="G32" s="102" t="s">
        <v>25636</v>
      </c>
      <c r="H32" s="102" t="s">
        <v>29715</v>
      </c>
      <c r="I32" s="102" t="s">
        <v>1</v>
      </c>
      <c r="J32" s="102" t="s">
        <v>11</v>
      </c>
      <c r="K32" s="102" t="s">
        <v>25678</v>
      </c>
      <c r="L32" s="102" t="s">
        <v>25597</v>
      </c>
      <c r="M32" s="102" t="s">
        <v>12</v>
      </c>
      <c r="N32" s="102">
        <v>812.69999999999993</v>
      </c>
      <c r="Q32" t="s">
        <v>1</v>
      </c>
      <c r="S32" t="str">
        <f t="shared" si="3"/>
        <v>81-036-09-59</v>
      </c>
      <c r="T32" s="129" t="s">
        <v>28340</v>
      </c>
      <c r="U32" s="112">
        <v>31</v>
      </c>
    </row>
    <row r="33" spans="1:21" x14ac:dyDescent="0.2">
      <c r="A33" s="102" t="s">
        <v>21849</v>
      </c>
      <c r="B33" s="102" t="s">
        <v>29589</v>
      </c>
      <c r="C33" s="102" t="s">
        <v>198</v>
      </c>
      <c r="D33" s="102" t="s">
        <v>199</v>
      </c>
      <c r="E33" s="102" t="s">
        <v>25636</v>
      </c>
      <c r="F33" s="102" t="s">
        <v>91</v>
      </c>
      <c r="G33" s="102" t="s">
        <v>25636</v>
      </c>
      <c r="H33" s="102" t="s">
        <v>29715</v>
      </c>
      <c r="I33" s="102" t="s">
        <v>1</v>
      </c>
      <c r="J33" s="102" t="s">
        <v>11</v>
      </c>
      <c r="K33" s="102" t="s">
        <v>25678</v>
      </c>
      <c r="L33" s="102" t="s">
        <v>25597</v>
      </c>
      <c r="M33" s="102" t="s">
        <v>12</v>
      </c>
      <c r="N33" s="102">
        <v>812.69999999999993</v>
      </c>
      <c r="Q33" t="s">
        <v>1</v>
      </c>
      <c r="S33" t="str">
        <f t="shared" si="3"/>
        <v>81-036-09-61</v>
      </c>
      <c r="T33" s="129" t="s">
        <v>28345</v>
      </c>
      <c r="U33" s="112">
        <v>14</v>
      </c>
    </row>
    <row r="34" spans="1:21" x14ac:dyDescent="0.2">
      <c r="A34" s="102" t="s">
        <v>18782</v>
      </c>
      <c r="B34" s="102" t="s">
        <v>29590</v>
      </c>
      <c r="C34" s="102" t="s">
        <v>46</v>
      </c>
      <c r="D34" s="102" t="s">
        <v>47</v>
      </c>
      <c r="E34" s="102" t="s">
        <v>25636</v>
      </c>
      <c r="F34" s="102" t="s">
        <v>26643</v>
      </c>
      <c r="G34" s="102" t="s">
        <v>25636</v>
      </c>
      <c r="H34" s="102" t="s">
        <v>29717</v>
      </c>
      <c r="I34" s="102" t="s">
        <v>28</v>
      </c>
      <c r="J34" s="102" t="s">
        <v>11</v>
      </c>
      <c r="K34" s="102" t="s">
        <v>25678</v>
      </c>
      <c r="L34" s="102" t="s">
        <v>25598</v>
      </c>
      <c r="M34" s="102" t="s">
        <v>20</v>
      </c>
      <c r="N34" s="102">
        <v>315</v>
      </c>
      <c r="Q34" t="s">
        <v>28</v>
      </c>
      <c r="S34" t="str">
        <f t="shared" si="3"/>
        <v>80-161-08-57</v>
      </c>
      <c r="T34" s="129" t="s">
        <v>28344</v>
      </c>
      <c r="U34" s="112">
        <v>1</v>
      </c>
    </row>
    <row r="35" spans="1:21" x14ac:dyDescent="0.2">
      <c r="A35" s="102" t="s">
        <v>18782</v>
      </c>
      <c r="B35" s="102" t="s">
        <v>29590</v>
      </c>
      <c r="C35" s="102" t="s">
        <v>46</v>
      </c>
      <c r="D35" s="102" t="s">
        <v>47</v>
      </c>
      <c r="E35" s="102" t="s">
        <v>25636</v>
      </c>
      <c r="F35" s="102" t="s">
        <v>26643</v>
      </c>
      <c r="G35" s="102" t="s">
        <v>25636</v>
      </c>
      <c r="H35" s="102" t="s">
        <v>29717</v>
      </c>
      <c r="I35" s="102" t="s">
        <v>28</v>
      </c>
      <c r="J35" s="102" t="s">
        <v>11</v>
      </c>
      <c r="K35" s="102" t="s">
        <v>25678</v>
      </c>
      <c r="L35" s="102" t="s">
        <v>25598</v>
      </c>
      <c r="M35" s="102" t="s">
        <v>20</v>
      </c>
      <c r="N35" s="102">
        <v>315</v>
      </c>
      <c r="Q35" t="s">
        <v>28</v>
      </c>
      <c r="S35" t="str">
        <f t="shared" si="3"/>
        <v>80-161-08-60</v>
      </c>
      <c r="T35" s="129" t="s">
        <v>28263</v>
      </c>
      <c r="U35" s="112">
        <v>2</v>
      </c>
    </row>
    <row r="36" spans="1:21" x14ac:dyDescent="0.2">
      <c r="A36" s="102" t="s">
        <v>18782</v>
      </c>
      <c r="B36" s="102" t="s">
        <v>29590</v>
      </c>
      <c r="C36" s="102" t="s">
        <v>46</v>
      </c>
      <c r="D36" s="102" t="s">
        <v>47</v>
      </c>
      <c r="E36" s="102" t="s">
        <v>25636</v>
      </c>
      <c r="F36" s="102" t="s">
        <v>26643</v>
      </c>
      <c r="G36" s="102" t="s">
        <v>25636</v>
      </c>
      <c r="H36" s="102" t="s">
        <v>29717</v>
      </c>
      <c r="I36" s="102" t="s">
        <v>28</v>
      </c>
      <c r="J36" s="102" t="s">
        <v>11</v>
      </c>
      <c r="K36" s="102" t="s">
        <v>25678</v>
      </c>
      <c r="L36" s="102" t="s">
        <v>25598</v>
      </c>
      <c r="M36" s="102" t="s">
        <v>20</v>
      </c>
      <c r="N36" s="102">
        <v>315</v>
      </c>
      <c r="Q36" t="s">
        <v>28</v>
      </c>
      <c r="S36" t="str">
        <f t="shared" si="3"/>
        <v>80-161-08-61</v>
      </c>
      <c r="T36" s="129" t="s">
        <v>28345</v>
      </c>
      <c r="U36" s="112">
        <v>1</v>
      </c>
    </row>
    <row r="37" spans="1:21" x14ac:dyDescent="0.2">
      <c r="A37" s="102" t="s">
        <v>18780</v>
      </c>
      <c r="B37" s="102" t="s">
        <v>29590</v>
      </c>
      <c r="C37" s="102" t="s">
        <v>46</v>
      </c>
      <c r="D37" s="102" t="s">
        <v>47</v>
      </c>
      <c r="E37" s="102" t="s">
        <v>25636</v>
      </c>
      <c r="F37" s="102" t="s">
        <v>91</v>
      </c>
      <c r="G37" s="102" t="s">
        <v>25636</v>
      </c>
      <c r="H37" s="102" t="s">
        <v>29718</v>
      </c>
      <c r="I37" s="102" t="s">
        <v>54</v>
      </c>
      <c r="J37" s="102" t="s">
        <v>11</v>
      </c>
      <c r="K37" s="102" t="s">
        <v>25678</v>
      </c>
      <c r="L37" s="102" t="s">
        <v>25598</v>
      </c>
      <c r="M37" s="102" t="s">
        <v>20</v>
      </c>
      <c r="N37" s="102">
        <v>315</v>
      </c>
      <c r="Q37" t="s">
        <v>54</v>
      </c>
      <c r="S37" t="str">
        <f t="shared" si="3"/>
        <v>80-161-07-56</v>
      </c>
      <c r="T37" s="129" t="s">
        <v>28260</v>
      </c>
      <c r="U37" s="112">
        <v>6</v>
      </c>
    </row>
    <row r="38" spans="1:21" x14ac:dyDescent="0.2">
      <c r="A38" s="102" t="s">
        <v>18780</v>
      </c>
      <c r="B38" s="102" t="s">
        <v>29590</v>
      </c>
      <c r="C38" s="102" t="s">
        <v>46</v>
      </c>
      <c r="D38" s="102" t="s">
        <v>47</v>
      </c>
      <c r="E38" s="102" t="s">
        <v>25636</v>
      </c>
      <c r="F38" s="102" t="s">
        <v>91</v>
      </c>
      <c r="G38" s="102" t="s">
        <v>25636</v>
      </c>
      <c r="H38" s="102" t="s">
        <v>29718</v>
      </c>
      <c r="I38" s="102" t="s">
        <v>54</v>
      </c>
      <c r="J38" s="102" t="s">
        <v>11</v>
      </c>
      <c r="K38" s="102" t="s">
        <v>25678</v>
      </c>
      <c r="L38" s="102" t="s">
        <v>25598</v>
      </c>
      <c r="M38" s="102" t="s">
        <v>20</v>
      </c>
      <c r="N38" s="102">
        <v>315</v>
      </c>
      <c r="Q38" t="s">
        <v>54</v>
      </c>
      <c r="S38" t="str">
        <f t="shared" si="3"/>
        <v>80-161-07-58</v>
      </c>
      <c r="T38" s="129" t="s">
        <v>28386</v>
      </c>
      <c r="U38" s="112">
        <v>1</v>
      </c>
    </row>
    <row r="39" spans="1:21" x14ac:dyDescent="0.2">
      <c r="A39" s="102" t="s">
        <v>18780</v>
      </c>
      <c r="B39" s="102" t="s">
        <v>29590</v>
      </c>
      <c r="C39" s="102" t="s">
        <v>46</v>
      </c>
      <c r="D39" s="102" t="s">
        <v>47</v>
      </c>
      <c r="E39" s="102" t="s">
        <v>25636</v>
      </c>
      <c r="F39" s="102" t="s">
        <v>91</v>
      </c>
      <c r="G39" s="102" t="s">
        <v>25636</v>
      </c>
      <c r="H39" s="102" t="s">
        <v>29718</v>
      </c>
      <c r="I39" s="102" t="s">
        <v>54</v>
      </c>
      <c r="J39" s="102" t="s">
        <v>11</v>
      </c>
      <c r="K39" s="102" t="s">
        <v>25678</v>
      </c>
      <c r="L39" s="102" t="s">
        <v>25598</v>
      </c>
      <c r="M39" s="102" t="s">
        <v>20</v>
      </c>
      <c r="N39" s="102">
        <v>315</v>
      </c>
      <c r="Q39" t="s">
        <v>54</v>
      </c>
      <c r="S39" t="str">
        <f t="shared" si="3"/>
        <v>80-161-07-59</v>
      </c>
      <c r="T39" s="129" t="s">
        <v>28340</v>
      </c>
      <c r="U39" s="112">
        <v>1</v>
      </c>
    </row>
    <row r="40" spans="1:21" x14ac:dyDescent="0.2">
      <c r="A40" s="102" t="s">
        <v>18780</v>
      </c>
      <c r="B40" s="102" t="s">
        <v>29590</v>
      </c>
      <c r="C40" s="102" t="s">
        <v>46</v>
      </c>
      <c r="D40" s="102" t="s">
        <v>47</v>
      </c>
      <c r="E40" s="102" t="s">
        <v>25636</v>
      </c>
      <c r="F40" s="102" t="s">
        <v>91</v>
      </c>
      <c r="G40" s="102" t="s">
        <v>25636</v>
      </c>
      <c r="H40" s="102" t="s">
        <v>29718</v>
      </c>
      <c r="I40" s="102" t="s">
        <v>54</v>
      </c>
      <c r="J40" s="102" t="s">
        <v>11</v>
      </c>
      <c r="K40" s="102" t="s">
        <v>25678</v>
      </c>
      <c r="L40" s="102" t="s">
        <v>25598</v>
      </c>
      <c r="M40" s="102" t="s">
        <v>20</v>
      </c>
      <c r="N40" s="102">
        <v>315</v>
      </c>
      <c r="Q40" t="s">
        <v>54</v>
      </c>
      <c r="S40" t="str">
        <f t="shared" si="3"/>
        <v>80-161-07-60</v>
      </c>
      <c r="T40" s="129" t="s">
        <v>28263</v>
      </c>
      <c r="U40" s="112">
        <v>4</v>
      </c>
    </row>
    <row r="41" spans="1:21" x14ac:dyDescent="0.2">
      <c r="A41" s="102" t="s">
        <v>18780</v>
      </c>
      <c r="B41" s="102" t="s">
        <v>29590</v>
      </c>
      <c r="C41" s="102" t="s">
        <v>46</v>
      </c>
      <c r="D41" s="102" t="s">
        <v>47</v>
      </c>
      <c r="E41" s="102" t="s">
        <v>25636</v>
      </c>
      <c r="F41" s="102" t="s">
        <v>91</v>
      </c>
      <c r="G41" s="102" t="s">
        <v>25636</v>
      </c>
      <c r="H41" s="102" t="s">
        <v>29718</v>
      </c>
      <c r="I41" s="102" t="s">
        <v>54</v>
      </c>
      <c r="J41" s="102" t="s">
        <v>11</v>
      </c>
      <c r="K41" s="102" t="s">
        <v>25678</v>
      </c>
      <c r="L41" s="102" t="s">
        <v>25598</v>
      </c>
      <c r="M41" s="102" t="s">
        <v>20</v>
      </c>
      <c r="N41" s="102">
        <v>315</v>
      </c>
      <c r="Q41" t="s">
        <v>54</v>
      </c>
      <c r="S41" t="str">
        <f t="shared" si="3"/>
        <v>80-161-07-62</v>
      </c>
      <c r="T41" s="129" t="s">
        <v>28227</v>
      </c>
      <c r="U41" s="112">
        <v>1</v>
      </c>
    </row>
    <row r="42" spans="1:21" x14ac:dyDescent="0.2">
      <c r="A42" s="102" t="s">
        <v>21143</v>
      </c>
      <c r="B42" s="102" t="s">
        <v>29591</v>
      </c>
      <c r="C42" s="102" t="s">
        <v>31</v>
      </c>
      <c r="D42" s="102" t="s">
        <v>32</v>
      </c>
      <c r="E42" s="102" t="s">
        <v>25636</v>
      </c>
      <c r="F42" s="102" t="s">
        <v>91</v>
      </c>
      <c r="G42" s="102" t="s">
        <v>25636</v>
      </c>
      <c r="H42" s="102" t="s">
        <v>29719</v>
      </c>
      <c r="I42" s="102" t="s">
        <v>96</v>
      </c>
      <c r="J42" s="102" t="s">
        <v>192</v>
      </c>
      <c r="K42" s="102" t="s">
        <v>264</v>
      </c>
      <c r="L42" s="102" t="s">
        <v>25598</v>
      </c>
      <c r="M42" s="102" t="s">
        <v>12</v>
      </c>
      <c r="N42" s="102">
        <v>270</v>
      </c>
      <c r="Q42" t="s">
        <v>96</v>
      </c>
      <c r="S42" t="str">
        <f t="shared" ref="S42:S51" si="4">A42&amp;"-"&amp;T42</f>
        <v>80-805-12-55</v>
      </c>
      <c r="T42" s="129" t="s">
        <v>28267</v>
      </c>
      <c r="U42" s="112">
        <v>1</v>
      </c>
    </row>
    <row r="43" spans="1:21" x14ac:dyDescent="0.2">
      <c r="A43" s="102" t="s">
        <v>21143</v>
      </c>
      <c r="B43" s="102" t="s">
        <v>29591</v>
      </c>
      <c r="C43" s="102" t="s">
        <v>31</v>
      </c>
      <c r="D43" s="102" t="s">
        <v>32</v>
      </c>
      <c r="E43" s="102" t="s">
        <v>25636</v>
      </c>
      <c r="F43" s="102" t="s">
        <v>91</v>
      </c>
      <c r="G43" s="102" t="s">
        <v>25636</v>
      </c>
      <c r="H43" s="102" t="s">
        <v>29719</v>
      </c>
      <c r="I43" s="102" t="s">
        <v>96</v>
      </c>
      <c r="J43" s="102" t="s">
        <v>192</v>
      </c>
      <c r="K43" s="102" t="s">
        <v>264</v>
      </c>
      <c r="L43" s="102" t="s">
        <v>25598</v>
      </c>
      <c r="M43" s="102" t="s">
        <v>12</v>
      </c>
      <c r="N43" s="102">
        <v>270</v>
      </c>
      <c r="Q43" t="s">
        <v>96</v>
      </c>
      <c r="S43" t="str">
        <f t="shared" si="4"/>
        <v>80-805-12-57</v>
      </c>
      <c r="T43" s="129" t="s">
        <v>28344</v>
      </c>
      <c r="U43" s="112">
        <v>2</v>
      </c>
    </row>
    <row r="44" spans="1:21" x14ac:dyDescent="0.2">
      <c r="A44" s="102" t="s">
        <v>21143</v>
      </c>
      <c r="B44" s="102" t="s">
        <v>29591</v>
      </c>
      <c r="C44" s="102" t="s">
        <v>31</v>
      </c>
      <c r="D44" s="102" t="s">
        <v>32</v>
      </c>
      <c r="E44" s="102" t="s">
        <v>25636</v>
      </c>
      <c r="F44" s="102" t="s">
        <v>91</v>
      </c>
      <c r="G44" s="102" t="s">
        <v>25636</v>
      </c>
      <c r="H44" s="102" t="s">
        <v>29719</v>
      </c>
      <c r="I44" s="102" t="s">
        <v>96</v>
      </c>
      <c r="J44" s="102" t="s">
        <v>192</v>
      </c>
      <c r="K44" s="102" t="s">
        <v>264</v>
      </c>
      <c r="L44" s="102" t="s">
        <v>25598</v>
      </c>
      <c r="M44" s="102" t="s">
        <v>12</v>
      </c>
      <c r="N44" s="102">
        <v>270</v>
      </c>
      <c r="Q44" t="s">
        <v>96</v>
      </c>
      <c r="S44" t="str">
        <f t="shared" si="4"/>
        <v>80-805-12-59</v>
      </c>
      <c r="T44" s="129" t="s">
        <v>28340</v>
      </c>
      <c r="U44" s="112">
        <v>2</v>
      </c>
    </row>
    <row r="45" spans="1:21" x14ac:dyDescent="0.2">
      <c r="A45" s="102" t="s">
        <v>21143</v>
      </c>
      <c r="B45" s="102" t="s">
        <v>29591</v>
      </c>
      <c r="C45" s="102" t="s">
        <v>31</v>
      </c>
      <c r="D45" s="102" t="s">
        <v>32</v>
      </c>
      <c r="E45" s="102" t="s">
        <v>25636</v>
      </c>
      <c r="F45" s="102" t="s">
        <v>91</v>
      </c>
      <c r="G45" s="102" t="s">
        <v>25636</v>
      </c>
      <c r="H45" s="102" t="s">
        <v>29719</v>
      </c>
      <c r="I45" s="102" t="s">
        <v>96</v>
      </c>
      <c r="J45" s="102" t="s">
        <v>192</v>
      </c>
      <c r="K45" s="102" t="s">
        <v>264</v>
      </c>
      <c r="L45" s="102" t="s">
        <v>25598</v>
      </c>
      <c r="M45" s="102" t="s">
        <v>12</v>
      </c>
      <c r="N45" s="102">
        <v>270</v>
      </c>
      <c r="Q45" t="s">
        <v>96</v>
      </c>
      <c r="S45" t="str">
        <f t="shared" si="4"/>
        <v>80-805-12-61</v>
      </c>
      <c r="T45" s="129" t="s">
        <v>28345</v>
      </c>
      <c r="U45" s="112">
        <v>1</v>
      </c>
    </row>
    <row r="46" spans="1:21" x14ac:dyDescent="0.2">
      <c r="A46" s="102" t="s">
        <v>20565</v>
      </c>
      <c r="B46" s="102" t="s">
        <v>29592</v>
      </c>
      <c r="C46" s="102" t="s">
        <v>31</v>
      </c>
      <c r="D46" s="102" t="s">
        <v>32</v>
      </c>
      <c r="E46" s="102" t="s">
        <v>25636</v>
      </c>
      <c r="F46" s="102" t="s">
        <v>91</v>
      </c>
      <c r="G46" s="102" t="s">
        <v>25636</v>
      </c>
      <c r="H46" s="102" t="s">
        <v>29717</v>
      </c>
      <c r="I46" s="102" t="s">
        <v>28</v>
      </c>
      <c r="J46" s="102" t="s">
        <v>0</v>
      </c>
      <c r="K46" s="102" t="s">
        <v>264</v>
      </c>
      <c r="L46" s="102" t="s">
        <v>25598</v>
      </c>
      <c r="M46" s="102" t="s">
        <v>20</v>
      </c>
      <c r="N46" s="102">
        <v>360</v>
      </c>
      <c r="Q46" t="s">
        <v>28</v>
      </c>
      <c r="S46" t="str">
        <f t="shared" si="4"/>
        <v>80-632-08-55</v>
      </c>
      <c r="T46" s="129" t="s">
        <v>28267</v>
      </c>
      <c r="U46" s="112">
        <v>6</v>
      </c>
    </row>
    <row r="47" spans="1:21" x14ac:dyDescent="0.2">
      <c r="A47" s="102" t="s">
        <v>20565</v>
      </c>
      <c r="B47" s="102" t="s">
        <v>29592</v>
      </c>
      <c r="C47" s="102" t="s">
        <v>31</v>
      </c>
      <c r="D47" s="102" t="s">
        <v>32</v>
      </c>
      <c r="E47" s="102" t="s">
        <v>25636</v>
      </c>
      <c r="F47" s="102" t="s">
        <v>91</v>
      </c>
      <c r="G47" s="102" t="s">
        <v>25636</v>
      </c>
      <c r="H47" s="102" t="s">
        <v>29717</v>
      </c>
      <c r="I47" s="102" t="s">
        <v>28</v>
      </c>
      <c r="J47" s="102" t="s">
        <v>0</v>
      </c>
      <c r="K47" s="102" t="s">
        <v>264</v>
      </c>
      <c r="L47" s="102" t="s">
        <v>25598</v>
      </c>
      <c r="M47" s="102" t="s">
        <v>20</v>
      </c>
      <c r="N47" s="102">
        <v>360</v>
      </c>
      <c r="Q47" t="s">
        <v>28</v>
      </c>
      <c r="S47" t="str">
        <f t="shared" si="4"/>
        <v>80-632-08-56</v>
      </c>
      <c r="T47" s="129" t="s">
        <v>28260</v>
      </c>
      <c r="U47" s="112">
        <v>2</v>
      </c>
    </row>
    <row r="48" spans="1:21" x14ac:dyDescent="0.2">
      <c r="A48" s="102" t="s">
        <v>20565</v>
      </c>
      <c r="B48" s="102" t="s">
        <v>29592</v>
      </c>
      <c r="C48" s="102" t="s">
        <v>31</v>
      </c>
      <c r="D48" s="102" t="s">
        <v>32</v>
      </c>
      <c r="E48" s="102" t="s">
        <v>25636</v>
      </c>
      <c r="F48" s="102" t="s">
        <v>91</v>
      </c>
      <c r="G48" s="102" t="s">
        <v>25636</v>
      </c>
      <c r="H48" s="102" t="s">
        <v>29717</v>
      </c>
      <c r="I48" s="102" t="s">
        <v>28</v>
      </c>
      <c r="J48" s="102" t="s">
        <v>0</v>
      </c>
      <c r="K48" s="102" t="s">
        <v>264</v>
      </c>
      <c r="L48" s="102" t="s">
        <v>25598</v>
      </c>
      <c r="M48" s="102" t="s">
        <v>20</v>
      </c>
      <c r="N48" s="102">
        <v>360</v>
      </c>
      <c r="Q48" t="s">
        <v>28</v>
      </c>
      <c r="S48" t="str">
        <f t="shared" si="4"/>
        <v>80-632-08-59</v>
      </c>
      <c r="T48" s="129" t="s">
        <v>28340</v>
      </c>
      <c r="U48" s="112">
        <v>18</v>
      </c>
    </row>
    <row r="49" spans="1:21" x14ac:dyDescent="0.2">
      <c r="A49" s="102" t="s">
        <v>20567</v>
      </c>
      <c r="B49" s="102" t="s">
        <v>29592</v>
      </c>
      <c r="C49" s="102" t="s">
        <v>31</v>
      </c>
      <c r="D49" s="102" t="s">
        <v>32</v>
      </c>
      <c r="E49" s="102" t="s">
        <v>25636</v>
      </c>
      <c r="F49" s="102" t="s">
        <v>91</v>
      </c>
      <c r="G49" s="102" t="s">
        <v>25636</v>
      </c>
      <c r="H49" s="102" t="s">
        <v>29720</v>
      </c>
      <c r="I49" s="102" t="s">
        <v>22</v>
      </c>
      <c r="J49" s="102" t="s">
        <v>0</v>
      </c>
      <c r="K49" s="102" t="s">
        <v>264</v>
      </c>
      <c r="L49" s="102" t="s">
        <v>25598</v>
      </c>
      <c r="M49" s="102" t="s">
        <v>20</v>
      </c>
      <c r="N49" s="102">
        <v>360</v>
      </c>
      <c r="Q49" t="s">
        <v>22</v>
      </c>
      <c r="S49" t="str">
        <f t="shared" si="4"/>
        <v>80-632-14-55</v>
      </c>
      <c r="T49" s="129" t="s">
        <v>28267</v>
      </c>
      <c r="U49" s="112">
        <v>4</v>
      </c>
    </row>
    <row r="50" spans="1:21" x14ac:dyDescent="0.2">
      <c r="A50" s="102" t="s">
        <v>20567</v>
      </c>
      <c r="B50" s="102" t="s">
        <v>29592</v>
      </c>
      <c r="C50" s="102" t="s">
        <v>31</v>
      </c>
      <c r="D50" s="102" t="s">
        <v>32</v>
      </c>
      <c r="E50" s="102" t="s">
        <v>25636</v>
      </c>
      <c r="F50" s="102" t="s">
        <v>91</v>
      </c>
      <c r="G50" s="102" t="s">
        <v>25636</v>
      </c>
      <c r="H50" s="102" t="s">
        <v>29720</v>
      </c>
      <c r="I50" s="102" t="s">
        <v>22</v>
      </c>
      <c r="J50" s="102" t="s">
        <v>0</v>
      </c>
      <c r="K50" s="102" t="s">
        <v>264</v>
      </c>
      <c r="L50" s="102" t="s">
        <v>25598</v>
      </c>
      <c r="M50" s="102" t="s">
        <v>20</v>
      </c>
      <c r="N50" s="102">
        <v>360</v>
      </c>
      <c r="Q50" t="s">
        <v>22</v>
      </c>
      <c r="S50" t="str">
        <f t="shared" si="4"/>
        <v>80-632-14-57</v>
      </c>
      <c r="T50" s="129" t="s">
        <v>28344</v>
      </c>
      <c r="U50" s="112">
        <v>4</v>
      </c>
    </row>
    <row r="51" spans="1:21" x14ac:dyDescent="0.2">
      <c r="A51" s="102" t="s">
        <v>20567</v>
      </c>
      <c r="B51" s="102" t="s">
        <v>29592</v>
      </c>
      <c r="C51" s="102" t="s">
        <v>31</v>
      </c>
      <c r="D51" s="102" t="s">
        <v>32</v>
      </c>
      <c r="E51" s="102" t="s">
        <v>25636</v>
      </c>
      <c r="F51" s="102" t="s">
        <v>91</v>
      </c>
      <c r="G51" s="102" t="s">
        <v>25636</v>
      </c>
      <c r="H51" s="102" t="s">
        <v>29720</v>
      </c>
      <c r="I51" s="102" t="s">
        <v>22</v>
      </c>
      <c r="J51" s="102" t="s">
        <v>0</v>
      </c>
      <c r="K51" s="102" t="s">
        <v>264</v>
      </c>
      <c r="L51" s="102" t="s">
        <v>25598</v>
      </c>
      <c r="M51" s="102" t="s">
        <v>20</v>
      </c>
      <c r="N51" s="102">
        <v>360</v>
      </c>
      <c r="Q51" t="s">
        <v>22</v>
      </c>
      <c r="S51" t="str">
        <f t="shared" si="4"/>
        <v>80-632-14-59</v>
      </c>
      <c r="T51" s="129" t="s">
        <v>28340</v>
      </c>
      <c r="U51" s="112">
        <v>7</v>
      </c>
    </row>
    <row r="52" spans="1:21" x14ac:dyDescent="0.2">
      <c r="A52" s="102" t="s">
        <v>20571</v>
      </c>
      <c r="B52" s="102" t="s">
        <v>29593</v>
      </c>
      <c r="C52" s="102" t="s">
        <v>31</v>
      </c>
      <c r="D52" s="102" t="s">
        <v>32</v>
      </c>
      <c r="E52" s="102" t="s">
        <v>25636</v>
      </c>
      <c r="F52" s="102" t="s">
        <v>91</v>
      </c>
      <c r="G52" s="102" t="s">
        <v>25636</v>
      </c>
      <c r="H52" s="102" t="s">
        <v>29717</v>
      </c>
      <c r="I52" s="102" t="s">
        <v>28</v>
      </c>
      <c r="J52" s="102" t="s">
        <v>26008</v>
      </c>
      <c r="K52" s="102" t="s">
        <v>264</v>
      </c>
      <c r="L52" s="102" t="s">
        <v>25598</v>
      </c>
      <c r="M52" s="102" t="s">
        <v>20</v>
      </c>
      <c r="N52" s="102">
        <v>270</v>
      </c>
      <c r="Q52" t="s">
        <v>28</v>
      </c>
      <c r="S52" t="str">
        <f t="shared" ref="S52:S55" si="5">A52&amp;"-"&amp;T52</f>
        <v>80-633-08-57</v>
      </c>
      <c r="T52" s="129" t="s">
        <v>28344</v>
      </c>
      <c r="U52" s="112">
        <v>5</v>
      </c>
    </row>
    <row r="53" spans="1:21" x14ac:dyDescent="0.2">
      <c r="A53" s="102" t="s">
        <v>20583</v>
      </c>
      <c r="B53" s="102" t="s">
        <v>29594</v>
      </c>
      <c r="C53" s="102" t="s">
        <v>31</v>
      </c>
      <c r="D53" s="102" t="s">
        <v>32</v>
      </c>
      <c r="E53" s="102" t="s">
        <v>25636</v>
      </c>
      <c r="F53" s="102" t="s">
        <v>91</v>
      </c>
      <c r="G53" s="102" t="s">
        <v>25636</v>
      </c>
      <c r="H53" s="102" t="s">
        <v>29716</v>
      </c>
      <c r="I53" s="102" t="s">
        <v>27</v>
      </c>
      <c r="J53" s="102" t="s">
        <v>26135</v>
      </c>
      <c r="K53" s="102" t="s">
        <v>264</v>
      </c>
      <c r="L53" s="102" t="s">
        <v>25598</v>
      </c>
      <c r="M53" s="102" t="s">
        <v>20</v>
      </c>
      <c r="N53" s="102">
        <v>135</v>
      </c>
      <c r="Q53" t="s">
        <v>27</v>
      </c>
      <c r="S53" t="str">
        <f t="shared" si="5"/>
        <v>80-637-06-55</v>
      </c>
      <c r="T53" s="129" t="s">
        <v>28267</v>
      </c>
      <c r="U53" s="112">
        <v>1</v>
      </c>
    </row>
    <row r="54" spans="1:21" x14ac:dyDescent="0.2">
      <c r="A54" s="102" t="s">
        <v>20583</v>
      </c>
      <c r="B54" s="102" t="s">
        <v>29594</v>
      </c>
      <c r="C54" s="102" t="s">
        <v>31</v>
      </c>
      <c r="D54" s="102" t="s">
        <v>32</v>
      </c>
      <c r="E54" s="102" t="s">
        <v>25636</v>
      </c>
      <c r="F54" s="102" t="s">
        <v>91</v>
      </c>
      <c r="G54" s="102" t="s">
        <v>25636</v>
      </c>
      <c r="H54" s="102" t="s">
        <v>29716</v>
      </c>
      <c r="I54" s="102" t="s">
        <v>27</v>
      </c>
      <c r="J54" s="102" t="s">
        <v>26135</v>
      </c>
      <c r="K54" s="102" t="s">
        <v>264</v>
      </c>
      <c r="L54" s="102" t="s">
        <v>25598</v>
      </c>
      <c r="M54" s="102" t="s">
        <v>20</v>
      </c>
      <c r="N54" s="102">
        <v>135</v>
      </c>
      <c r="Q54" t="s">
        <v>27</v>
      </c>
      <c r="S54" t="str">
        <f t="shared" si="5"/>
        <v>80-637-06-59</v>
      </c>
      <c r="T54" s="129" t="s">
        <v>28340</v>
      </c>
      <c r="U54" s="112">
        <v>2</v>
      </c>
    </row>
    <row r="55" spans="1:21" x14ac:dyDescent="0.2">
      <c r="A55" s="102" t="s">
        <v>20583</v>
      </c>
      <c r="B55" s="102" t="s">
        <v>29594</v>
      </c>
      <c r="C55" s="102" t="s">
        <v>31</v>
      </c>
      <c r="D55" s="102" t="s">
        <v>32</v>
      </c>
      <c r="E55" s="102" t="s">
        <v>25636</v>
      </c>
      <c r="F55" s="102" t="s">
        <v>91</v>
      </c>
      <c r="G55" s="102" t="s">
        <v>25636</v>
      </c>
      <c r="H55" s="102" t="s">
        <v>29716</v>
      </c>
      <c r="I55" s="102" t="s">
        <v>27</v>
      </c>
      <c r="J55" s="102" t="s">
        <v>26135</v>
      </c>
      <c r="K55" s="102" t="s">
        <v>264</v>
      </c>
      <c r="L55" s="102" t="s">
        <v>25598</v>
      </c>
      <c r="M55" s="102" t="s">
        <v>20</v>
      </c>
      <c r="N55" s="102">
        <v>135</v>
      </c>
      <c r="Q55" t="s">
        <v>27</v>
      </c>
      <c r="S55" t="str">
        <f t="shared" si="5"/>
        <v>80-637-06-61</v>
      </c>
      <c r="T55" s="129" t="s">
        <v>28345</v>
      </c>
      <c r="U55" s="112">
        <v>1</v>
      </c>
    </row>
    <row r="56" spans="1:21" x14ac:dyDescent="0.2">
      <c r="A56" s="102" t="s">
        <v>20587</v>
      </c>
      <c r="B56" s="102" t="s">
        <v>29594</v>
      </c>
      <c r="C56" s="102" t="s">
        <v>31</v>
      </c>
      <c r="D56" s="102" t="s">
        <v>32</v>
      </c>
      <c r="E56" s="102" t="s">
        <v>25636</v>
      </c>
      <c r="F56" s="102" t="s">
        <v>91</v>
      </c>
      <c r="G56" s="102" t="s">
        <v>25636</v>
      </c>
      <c r="H56" s="102" t="s">
        <v>29721</v>
      </c>
      <c r="I56" s="102" t="s">
        <v>141</v>
      </c>
      <c r="J56" s="102" t="s">
        <v>26135</v>
      </c>
      <c r="K56" s="102" t="s">
        <v>264</v>
      </c>
      <c r="L56" s="102" t="s">
        <v>25598</v>
      </c>
      <c r="M56" s="102" t="s">
        <v>20</v>
      </c>
      <c r="N56" s="102">
        <v>135</v>
      </c>
      <c r="Q56" t="s">
        <v>141</v>
      </c>
      <c r="S56" t="str">
        <f t="shared" ref="S56:S65" si="6">A56&amp;"-"&amp;T56</f>
        <v>80-637-18-57</v>
      </c>
      <c r="T56" s="129" t="s">
        <v>28344</v>
      </c>
      <c r="U56" s="112">
        <v>1</v>
      </c>
    </row>
    <row r="57" spans="1:21" x14ac:dyDescent="0.2">
      <c r="A57" s="102" t="s">
        <v>20587</v>
      </c>
      <c r="B57" s="102" t="s">
        <v>29594</v>
      </c>
      <c r="C57" s="102" t="s">
        <v>31</v>
      </c>
      <c r="D57" s="102" t="s">
        <v>32</v>
      </c>
      <c r="E57" s="102" t="s">
        <v>25636</v>
      </c>
      <c r="F57" s="102" t="s">
        <v>91</v>
      </c>
      <c r="G57" s="102" t="s">
        <v>25636</v>
      </c>
      <c r="H57" s="102" t="s">
        <v>29721</v>
      </c>
      <c r="I57" s="102" t="s">
        <v>141</v>
      </c>
      <c r="J57" s="102" t="s">
        <v>26135</v>
      </c>
      <c r="K57" s="102" t="s">
        <v>264</v>
      </c>
      <c r="L57" s="102" t="s">
        <v>25598</v>
      </c>
      <c r="M57" s="102" t="s">
        <v>20</v>
      </c>
      <c r="N57" s="102">
        <v>135</v>
      </c>
      <c r="Q57" t="s">
        <v>141</v>
      </c>
      <c r="S57" t="str">
        <f t="shared" si="6"/>
        <v>80-637-18-59</v>
      </c>
      <c r="T57" s="129" t="s">
        <v>28340</v>
      </c>
      <c r="U57" s="112">
        <v>9</v>
      </c>
    </row>
    <row r="58" spans="1:21" x14ac:dyDescent="0.2">
      <c r="A58" s="102" t="s">
        <v>20587</v>
      </c>
      <c r="B58" s="102" t="s">
        <v>29594</v>
      </c>
      <c r="C58" s="102" t="s">
        <v>31</v>
      </c>
      <c r="D58" s="102" t="s">
        <v>32</v>
      </c>
      <c r="E58" s="102" t="s">
        <v>25636</v>
      </c>
      <c r="F58" s="102" t="s">
        <v>91</v>
      </c>
      <c r="G58" s="102" t="s">
        <v>25636</v>
      </c>
      <c r="H58" s="102" t="s">
        <v>29721</v>
      </c>
      <c r="I58" s="102" t="s">
        <v>141</v>
      </c>
      <c r="J58" s="102" t="s">
        <v>26135</v>
      </c>
      <c r="K58" s="102" t="s">
        <v>264</v>
      </c>
      <c r="L58" s="102" t="s">
        <v>25598</v>
      </c>
      <c r="M58" s="102" t="s">
        <v>20</v>
      </c>
      <c r="N58" s="102">
        <v>135</v>
      </c>
      <c r="Q58" t="s">
        <v>141</v>
      </c>
      <c r="S58" t="str">
        <f t="shared" si="6"/>
        <v>80-637-18-61</v>
      </c>
      <c r="T58" s="129" t="s">
        <v>28345</v>
      </c>
      <c r="U58" s="112">
        <v>1</v>
      </c>
    </row>
    <row r="59" spans="1:21" x14ac:dyDescent="0.2">
      <c r="A59" s="102" t="s">
        <v>21709</v>
      </c>
      <c r="B59" s="102" t="s">
        <v>29595</v>
      </c>
      <c r="C59" s="102" t="s">
        <v>31</v>
      </c>
      <c r="D59" s="102" t="s">
        <v>32</v>
      </c>
      <c r="E59" s="102" t="s">
        <v>25636</v>
      </c>
      <c r="F59" s="102" t="s">
        <v>91</v>
      </c>
      <c r="G59" s="102" t="s">
        <v>25636</v>
      </c>
      <c r="H59" s="102" t="s">
        <v>29716</v>
      </c>
      <c r="I59" s="102" t="s">
        <v>27</v>
      </c>
      <c r="J59" s="102" t="s">
        <v>26066</v>
      </c>
      <c r="K59" s="102" t="s">
        <v>264</v>
      </c>
      <c r="L59" s="102" t="s">
        <v>25598</v>
      </c>
      <c r="M59" s="102" t="s">
        <v>12</v>
      </c>
      <c r="N59" s="102">
        <v>270</v>
      </c>
      <c r="Q59" t="s">
        <v>27</v>
      </c>
      <c r="S59" t="str">
        <f t="shared" si="6"/>
        <v>81-001-06-55</v>
      </c>
      <c r="T59" s="129" t="s">
        <v>28267</v>
      </c>
      <c r="U59" s="112">
        <v>1</v>
      </c>
    </row>
    <row r="60" spans="1:21" x14ac:dyDescent="0.2">
      <c r="A60" s="102" t="s">
        <v>21709</v>
      </c>
      <c r="B60" s="102" t="s">
        <v>29595</v>
      </c>
      <c r="C60" s="102" t="s">
        <v>31</v>
      </c>
      <c r="D60" s="102" t="s">
        <v>32</v>
      </c>
      <c r="E60" s="102" t="s">
        <v>25636</v>
      </c>
      <c r="F60" s="102" t="s">
        <v>91</v>
      </c>
      <c r="G60" s="102" t="s">
        <v>25636</v>
      </c>
      <c r="H60" s="102" t="s">
        <v>29716</v>
      </c>
      <c r="I60" s="102" t="s">
        <v>27</v>
      </c>
      <c r="J60" s="102" t="s">
        <v>26066</v>
      </c>
      <c r="K60" s="102" t="s">
        <v>264</v>
      </c>
      <c r="L60" s="102" t="s">
        <v>25598</v>
      </c>
      <c r="M60" s="102" t="s">
        <v>12</v>
      </c>
      <c r="N60" s="102">
        <v>270</v>
      </c>
      <c r="Q60" t="s">
        <v>27</v>
      </c>
      <c r="S60" t="str">
        <f t="shared" si="6"/>
        <v>81-001-06-57</v>
      </c>
      <c r="T60" s="129" t="s">
        <v>28344</v>
      </c>
      <c r="U60" s="112">
        <v>2</v>
      </c>
    </row>
    <row r="61" spans="1:21" x14ac:dyDescent="0.2">
      <c r="A61" s="102" t="s">
        <v>21709</v>
      </c>
      <c r="B61" s="102" t="s">
        <v>29595</v>
      </c>
      <c r="C61" s="102" t="s">
        <v>31</v>
      </c>
      <c r="D61" s="102" t="s">
        <v>32</v>
      </c>
      <c r="E61" s="102" t="s">
        <v>25636</v>
      </c>
      <c r="F61" s="102" t="s">
        <v>91</v>
      </c>
      <c r="G61" s="102" t="s">
        <v>25636</v>
      </c>
      <c r="H61" s="102" t="s">
        <v>29716</v>
      </c>
      <c r="I61" s="102" t="s">
        <v>27</v>
      </c>
      <c r="J61" s="102" t="s">
        <v>26066</v>
      </c>
      <c r="K61" s="102" t="s">
        <v>264</v>
      </c>
      <c r="L61" s="102" t="s">
        <v>25598</v>
      </c>
      <c r="M61" s="102" t="s">
        <v>12</v>
      </c>
      <c r="N61" s="102">
        <v>270</v>
      </c>
      <c r="Q61" t="s">
        <v>27</v>
      </c>
      <c r="S61" t="str">
        <f t="shared" si="6"/>
        <v>81-001-06-59</v>
      </c>
      <c r="T61" s="129" t="s">
        <v>28340</v>
      </c>
      <c r="U61" s="112">
        <v>2</v>
      </c>
    </row>
    <row r="62" spans="1:21" x14ac:dyDescent="0.2">
      <c r="A62" s="102" t="s">
        <v>21709</v>
      </c>
      <c r="B62" s="102" t="s">
        <v>29595</v>
      </c>
      <c r="C62" s="102" t="s">
        <v>31</v>
      </c>
      <c r="D62" s="102" t="s">
        <v>32</v>
      </c>
      <c r="E62" s="102" t="s">
        <v>25636</v>
      </c>
      <c r="F62" s="102" t="s">
        <v>91</v>
      </c>
      <c r="G62" s="102" t="s">
        <v>25636</v>
      </c>
      <c r="H62" s="102" t="s">
        <v>29716</v>
      </c>
      <c r="I62" s="102" t="s">
        <v>27</v>
      </c>
      <c r="J62" s="102" t="s">
        <v>26066</v>
      </c>
      <c r="K62" s="102" t="s">
        <v>264</v>
      </c>
      <c r="L62" s="102" t="s">
        <v>25598</v>
      </c>
      <c r="M62" s="102" t="s">
        <v>12</v>
      </c>
      <c r="N62" s="102">
        <v>270</v>
      </c>
      <c r="Q62" t="s">
        <v>27</v>
      </c>
      <c r="S62" t="str">
        <f t="shared" si="6"/>
        <v>81-001-06-61</v>
      </c>
      <c r="T62" s="129" t="s">
        <v>28345</v>
      </c>
      <c r="U62" s="112">
        <v>1</v>
      </c>
    </row>
    <row r="63" spans="1:21" x14ac:dyDescent="0.2">
      <c r="A63" s="102" t="s">
        <v>21326</v>
      </c>
      <c r="B63" s="102" t="s">
        <v>29596</v>
      </c>
      <c r="C63" s="102" t="s">
        <v>49</v>
      </c>
      <c r="D63" s="102" t="s">
        <v>57</v>
      </c>
      <c r="E63" s="102" t="s">
        <v>25636</v>
      </c>
      <c r="F63" s="102" t="s">
        <v>26642</v>
      </c>
      <c r="G63" s="102" t="s">
        <v>25636</v>
      </c>
      <c r="H63" s="102" t="s">
        <v>29722</v>
      </c>
      <c r="I63" s="102" t="s">
        <v>52</v>
      </c>
      <c r="J63" s="102" t="s">
        <v>59</v>
      </c>
      <c r="L63" s="102" t="s">
        <v>25598</v>
      </c>
      <c r="M63" s="102" t="s">
        <v>12</v>
      </c>
      <c r="N63" s="102">
        <v>270</v>
      </c>
      <c r="Q63" t="s">
        <v>52</v>
      </c>
      <c r="S63" t="str">
        <f t="shared" si="6"/>
        <v>80-863-02-55</v>
      </c>
      <c r="T63" s="129" t="s">
        <v>28267</v>
      </c>
      <c r="U63" s="112">
        <v>6</v>
      </c>
    </row>
    <row r="64" spans="1:21" x14ac:dyDescent="0.2">
      <c r="A64" s="102" t="s">
        <v>21326</v>
      </c>
      <c r="B64" s="102" t="s">
        <v>29596</v>
      </c>
      <c r="C64" s="102" t="s">
        <v>49</v>
      </c>
      <c r="D64" s="102" t="s">
        <v>57</v>
      </c>
      <c r="E64" s="102" t="s">
        <v>25636</v>
      </c>
      <c r="F64" s="102" t="s">
        <v>26642</v>
      </c>
      <c r="G64" s="102" t="s">
        <v>25636</v>
      </c>
      <c r="H64" s="102" t="s">
        <v>29722</v>
      </c>
      <c r="I64" s="102" t="s">
        <v>52</v>
      </c>
      <c r="J64" s="102" t="s">
        <v>59</v>
      </c>
      <c r="L64" s="102" t="s">
        <v>25598</v>
      </c>
      <c r="M64" s="102" t="s">
        <v>12</v>
      </c>
      <c r="N64" s="102">
        <v>270</v>
      </c>
      <c r="Q64" t="s">
        <v>52</v>
      </c>
      <c r="S64" t="str">
        <f t="shared" si="6"/>
        <v>80-863-02-57</v>
      </c>
      <c r="T64" s="129" t="s">
        <v>28344</v>
      </c>
      <c r="U64" s="112">
        <v>1</v>
      </c>
    </row>
    <row r="65" spans="1:21" x14ac:dyDescent="0.2">
      <c r="A65" s="102" t="s">
        <v>21326</v>
      </c>
      <c r="B65" s="102" t="s">
        <v>29596</v>
      </c>
      <c r="C65" s="102" t="s">
        <v>49</v>
      </c>
      <c r="D65" s="102" t="s">
        <v>57</v>
      </c>
      <c r="E65" s="102" t="s">
        <v>25636</v>
      </c>
      <c r="F65" s="102" t="s">
        <v>26642</v>
      </c>
      <c r="G65" s="102" t="s">
        <v>25636</v>
      </c>
      <c r="H65" s="102" t="s">
        <v>29722</v>
      </c>
      <c r="I65" s="102" t="s">
        <v>52</v>
      </c>
      <c r="J65" s="102" t="s">
        <v>59</v>
      </c>
      <c r="L65" s="102" t="s">
        <v>25598</v>
      </c>
      <c r="M65" s="102" t="s">
        <v>12</v>
      </c>
      <c r="N65" s="102">
        <v>270</v>
      </c>
      <c r="Q65" t="s">
        <v>52</v>
      </c>
      <c r="S65" t="str">
        <f t="shared" si="6"/>
        <v>80-863-02-59</v>
      </c>
      <c r="T65" s="129" t="s">
        <v>28340</v>
      </c>
      <c r="U65" s="112">
        <v>1</v>
      </c>
    </row>
    <row r="66" spans="1:21" x14ac:dyDescent="0.2">
      <c r="A66" s="102" t="s">
        <v>21330</v>
      </c>
      <c r="B66" s="102" t="s">
        <v>29597</v>
      </c>
      <c r="C66" s="102" t="s">
        <v>49</v>
      </c>
      <c r="D66" s="102" t="s">
        <v>57</v>
      </c>
      <c r="E66" s="102" t="s">
        <v>25636</v>
      </c>
      <c r="F66" s="102" t="s">
        <v>26642</v>
      </c>
      <c r="G66" s="102" t="s">
        <v>25636</v>
      </c>
      <c r="H66" s="102" t="s">
        <v>29723</v>
      </c>
      <c r="I66" s="102" t="s">
        <v>123</v>
      </c>
      <c r="J66" s="102" t="s">
        <v>25993</v>
      </c>
      <c r="K66" s="102" t="s">
        <v>25678</v>
      </c>
      <c r="L66" s="102" t="s">
        <v>25598</v>
      </c>
      <c r="M66" s="102" t="s">
        <v>12</v>
      </c>
      <c r="N66" s="102">
        <v>270</v>
      </c>
      <c r="Q66" t="s">
        <v>123</v>
      </c>
      <c r="S66" t="str">
        <f t="shared" ref="S66:S74" si="7">A66&amp;"-"&amp;T66</f>
        <v>80-864-13-57</v>
      </c>
      <c r="T66" s="129" t="s">
        <v>28344</v>
      </c>
      <c r="U66" s="112">
        <v>7</v>
      </c>
    </row>
    <row r="67" spans="1:21" x14ac:dyDescent="0.2">
      <c r="A67" s="102" t="s">
        <v>21330</v>
      </c>
      <c r="B67" s="102" t="s">
        <v>29597</v>
      </c>
      <c r="C67" s="102" t="s">
        <v>49</v>
      </c>
      <c r="D67" s="102" t="s">
        <v>57</v>
      </c>
      <c r="E67" s="102" t="s">
        <v>25636</v>
      </c>
      <c r="F67" s="102" t="s">
        <v>26642</v>
      </c>
      <c r="G67" s="102" t="s">
        <v>25636</v>
      </c>
      <c r="H67" s="102" t="s">
        <v>29723</v>
      </c>
      <c r="I67" s="102" t="s">
        <v>123</v>
      </c>
      <c r="J67" s="102" t="s">
        <v>25993</v>
      </c>
      <c r="K67" s="102" t="s">
        <v>25678</v>
      </c>
      <c r="L67" s="102" t="s">
        <v>25598</v>
      </c>
      <c r="M67" s="102" t="s">
        <v>12</v>
      </c>
      <c r="N67" s="102">
        <v>270</v>
      </c>
      <c r="Q67" t="s">
        <v>123</v>
      </c>
      <c r="S67" t="str">
        <f t="shared" si="7"/>
        <v>80-864-13-59</v>
      </c>
      <c r="T67" s="129" t="s">
        <v>28340</v>
      </c>
      <c r="U67" s="112">
        <v>7</v>
      </c>
    </row>
    <row r="68" spans="1:21" x14ac:dyDescent="0.2">
      <c r="A68" s="102" t="s">
        <v>21330</v>
      </c>
      <c r="B68" s="102" t="s">
        <v>29597</v>
      </c>
      <c r="C68" s="102" t="s">
        <v>49</v>
      </c>
      <c r="D68" s="102" t="s">
        <v>57</v>
      </c>
      <c r="E68" s="102" t="s">
        <v>25636</v>
      </c>
      <c r="F68" s="102" t="s">
        <v>26642</v>
      </c>
      <c r="G68" s="102" t="s">
        <v>25636</v>
      </c>
      <c r="H68" s="102" t="s">
        <v>29723</v>
      </c>
      <c r="I68" s="102" t="s">
        <v>123</v>
      </c>
      <c r="J68" s="102" t="s">
        <v>25993</v>
      </c>
      <c r="K68" s="102" t="s">
        <v>25678</v>
      </c>
      <c r="L68" s="102" t="s">
        <v>25598</v>
      </c>
      <c r="M68" s="102" t="s">
        <v>12</v>
      </c>
      <c r="N68" s="102">
        <v>270</v>
      </c>
      <c r="Q68" t="s">
        <v>123</v>
      </c>
      <c r="S68" t="str">
        <f t="shared" si="7"/>
        <v>80-864-13-61</v>
      </c>
      <c r="T68" s="129" t="s">
        <v>28345</v>
      </c>
      <c r="U68" s="112">
        <v>4</v>
      </c>
    </row>
    <row r="69" spans="1:21" x14ac:dyDescent="0.2">
      <c r="A69" s="102" t="s">
        <v>21338</v>
      </c>
      <c r="B69" s="102" t="s">
        <v>29598</v>
      </c>
      <c r="C69" s="102" t="s">
        <v>49</v>
      </c>
      <c r="D69" s="102" t="s">
        <v>57</v>
      </c>
      <c r="E69" s="102" t="s">
        <v>25636</v>
      </c>
      <c r="F69" s="102" t="s">
        <v>26642</v>
      </c>
      <c r="G69" s="102" t="s">
        <v>25636</v>
      </c>
      <c r="H69" s="102" t="s">
        <v>29714</v>
      </c>
      <c r="I69" s="102" t="s">
        <v>23</v>
      </c>
      <c r="J69" s="102" t="s">
        <v>59</v>
      </c>
      <c r="L69" s="102" t="s">
        <v>25598</v>
      </c>
      <c r="M69" s="102" t="s">
        <v>12</v>
      </c>
      <c r="N69" s="102">
        <v>270</v>
      </c>
      <c r="Q69" t="s">
        <v>27</v>
      </c>
      <c r="S69" t="str">
        <f t="shared" si="7"/>
        <v>80-865-16-55</v>
      </c>
      <c r="T69" s="129" t="s">
        <v>28267</v>
      </c>
      <c r="U69" s="112">
        <v>4</v>
      </c>
    </row>
    <row r="70" spans="1:21" x14ac:dyDescent="0.2">
      <c r="A70" s="102" t="s">
        <v>21338</v>
      </c>
      <c r="B70" s="102" t="s">
        <v>29598</v>
      </c>
      <c r="C70" s="102" t="s">
        <v>49</v>
      </c>
      <c r="D70" s="102" t="s">
        <v>57</v>
      </c>
      <c r="E70" s="102" t="s">
        <v>25636</v>
      </c>
      <c r="F70" s="102" t="s">
        <v>26642</v>
      </c>
      <c r="G70" s="102" t="s">
        <v>25636</v>
      </c>
      <c r="H70" s="102" t="s">
        <v>29714</v>
      </c>
      <c r="I70" s="102" t="s">
        <v>23</v>
      </c>
      <c r="J70" s="102" t="s">
        <v>59</v>
      </c>
      <c r="L70" s="102" t="s">
        <v>25598</v>
      </c>
      <c r="M70" s="102" t="s">
        <v>12</v>
      </c>
      <c r="N70" s="102">
        <v>270</v>
      </c>
      <c r="Q70" t="s">
        <v>27</v>
      </c>
      <c r="S70" t="str">
        <f t="shared" si="7"/>
        <v>80-865-16-57</v>
      </c>
      <c r="T70" s="129" t="s">
        <v>28344</v>
      </c>
      <c r="U70" s="112">
        <v>6</v>
      </c>
    </row>
    <row r="71" spans="1:21" x14ac:dyDescent="0.2">
      <c r="A71" s="102" t="s">
        <v>21338</v>
      </c>
      <c r="B71" s="102" t="s">
        <v>29598</v>
      </c>
      <c r="C71" s="102" t="s">
        <v>49</v>
      </c>
      <c r="D71" s="102" t="s">
        <v>57</v>
      </c>
      <c r="E71" s="102" t="s">
        <v>25636</v>
      </c>
      <c r="F71" s="102" t="s">
        <v>26642</v>
      </c>
      <c r="G71" s="102" t="s">
        <v>25636</v>
      </c>
      <c r="H71" s="102" t="s">
        <v>29714</v>
      </c>
      <c r="I71" s="102" t="s">
        <v>23</v>
      </c>
      <c r="J71" s="102" t="s">
        <v>59</v>
      </c>
      <c r="L71" s="102" t="s">
        <v>25598</v>
      </c>
      <c r="M71" s="102" t="s">
        <v>12</v>
      </c>
      <c r="N71" s="102">
        <v>270</v>
      </c>
      <c r="Q71" t="s">
        <v>27</v>
      </c>
      <c r="S71" t="str">
        <f t="shared" si="7"/>
        <v>80-865-16-59</v>
      </c>
      <c r="T71" s="129" t="s">
        <v>28340</v>
      </c>
      <c r="U71" s="112">
        <v>4</v>
      </c>
    </row>
    <row r="72" spans="1:21" x14ac:dyDescent="0.2">
      <c r="A72" s="102" t="s">
        <v>21338</v>
      </c>
      <c r="B72" s="102" t="s">
        <v>29598</v>
      </c>
      <c r="C72" s="102" t="s">
        <v>49</v>
      </c>
      <c r="D72" s="102" t="s">
        <v>57</v>
      </c>
      <c r="E72" s="102" t="s">
        <v>25636</v>
      </c>
      <c r="F72" s="102" t="s">
        <v>26642</v>
      </c>
      <c r="G72" s="102" t="s">
        <v>25636</v>
      </c>
      <c r="H72" s="102" t="s">
        <v>29714</v>
      </c>
      <c r="I72" s="102" t="s">
        <v>23</v>
      </c>
      <c r="J72" s="102" t="s">
        <v>59</v>
      </c>
      <c r="L72" s="102" t="s">
        <v>25598</v>
      </c>
      <c r="M72" s="102" t="s">
        <v>12</v>
      </c>
      <c r="N72" s="102">
        <v>270</v>
      </c>
      <c r="Q72" t="s">
        <v>27</v>
      </c>
      <c r="S72" t="str">
        <f t="shared" si="7"/>
        <v>80-865-16-61</v>
      </c>
      <c r="T72" s="129" t="s">
        <v>28345</v>
      </c>
      <c r="U72" s="112">
        <v>4</v>
      </c>
    </row>
    <row r="73" spans="1:21" x14ac:dyDescent="0.2">
      <c r="A73" s="102" t="s">
        <v>21336</v>
      </c>
      <c r="B73" s="102" t="s">
        <v>29598</v>
      </c>
      <c r="C73" s="102" t="s">
        <v>49</v>
      </c>
      <c r="D73" s="102" t="s">
        <v>57</v>
      </c>
      <c r="E73" s="102" t="s">
        <v>25636</v>
      </c>
      <c r="F73" s="102" t="s">
        <v>26642</v>
      </c>
      <c r="G73" s="102" t="s">
        <v>25636</v>
      </c>
      <c r="H73" s="102" t="s">
        <v>29718</v>
      </c>
      <c r="I73" s="102" t="s">
        <v>54</v>
      </c>
      <c r="J73" s="102" t="s">
        <v>59</v>
      </c>
      <c r="L73" s="102" t="s">
        <v>25598</v>
      </c>
      <c r="M73" s="102" t="s">
        <v>12</v>
      </c>
      <c r="N73" s="102">
        <v>270</v>
      </c>
      <c r="Q73" t="s">
        <v>54</v>
      </c>
      <c r="S73" t="str">
        <f t="shared" si="7"/>
        <v>80-865-11-57</v>
      </c>
      <c r="T73" s="129" t="s">
        <v>28344</v>
      </c>
      <c r="U73" s="112">
        <v>2</v>
      </c>
    </row>
    <row r="74" spans="1:21" x14ac:dyDescent="0.2">
      <c r="A74" s="102" t="s">
        <v>21336</v>
      </c>
      <c r="B74" s="102" t="s">
        <v>29598</v>
      </c>
      <c r="C74" s="102" t="s">
        <v>49</v>
      </c>
      <c r="D74" s="102" t="s">
        <v>57</v>
      </c>
      <c r="E74" s="102" t="s">
        <v>25636</v>
      </c>
      <c r="F74" s="102" t="s">
        <v>26642</v>
      </c>
      <c r="G74" s="102" t="s">
        <v>25636</v>
      </c>
      <c r="H74" s="102" t="s">
        <v>29718</v>
      </c>
      <c r="I74" s="102" t="s">
        <v>54</v>
      </c>
      <c r="J74" s="102" t="s">
        <v>59</v>
      </c>
      <c r="L74" s="102" t="s">
        <v>25598</v>
      </c>
      <c r="M74" s="102" t="s">
        <v>12</v>
      </c>
      <c r="N74" s="102">
        <v>270</v>
      </c>
      <c r="Q74" t="s">
        <v>54</v>
      </c>
      <c r="S74" t="str">
        <f t="shared" si="7"/>
        <v>80-865-11-59</v>
      </c>
      <c r="T74" s="129" t="s">
        <v>28340</v>
      </c>
      <c r="U74" s="112">
        <v>1</v>
      </c>
    </row>
    <row r="75" spans="1:21" x14ac:dyDescent="0.2">
      <c r="A75" s="102" t="s">
        <v>21336</v>
      </c>
      <c r="B75" s="102" t="s">
        <v>29598</v>
      </c>
      <c r="C75" s="102" t="s">
        <v>49</v>
      </c>
      <c r="D75" s="102" t="s">
        <v>57</v>
      </c>
      <c r="E75" s="102" t="s">
        <v>25636</v>
      </c>
      <c r="F75" s="102" t="s">
        <v>26642</v>
      </c>
      <c r="G75" s="102" t="s">
        <v>25636</v>
      </c>
      <c r="H75" s="102" t="s">
        <v>29718</v>
      </c>
      <c r="I75" s="102" t="s">
        <v>54</v>
      </c>
      <c r="J75" s="102" t="s">
        <v>59</v>
      </c>
      <c r="L75" s="102" t="s">
        <v>25598</v>
      </c>
      <c r="M75" s="102" t="s">
        <v>12</v>
      </c>
      <c r="N75" s="102">
        <v>270</v>
      </c>
      <c r="Q75" t="s">
        <v>54</v>
      </c>
      <c r="S75" t="str">
        <f t="shared" ref="S75:S77" si="8">A75&amp;"-"&amp;T75</f>
        <v>80-865-11-61</v>
      </c>
      <c r="T75" s="129" t="s">
        <v>28345</v>
      </c>
      <c r="U75" s="112">
        <v>3</v>
      </c>
    </row>
    <row r="76" spans="1:21" x14ac:dyDescent="0.2">
      <c r="A76" s="102" t="s">
        <v>19956</v>
      </c>
      <c r="B76" s="102" t="s">
        <v>29599</v>
      </c>
      <c r="C76" s="102" t="s">
        <v>49</v>
      </c>
      <c r="D76" s="102" t="s">
        <v>212</v>
      </c>
      <c r="E76" s="102" t="s">
        <v>25636</v>
      </c>
      <c r="F76" s="102" t="s">
        <v>26642</v>
      </c>
      <c r="G76" s="102" t="s">
        <v>25636</v>
      </c>
      <c r="H76" s="102" t="s">
        <v>29714</v>
      </c>
      <c r="I76" s="102" t="s">
        <v>23</v>
      </c>
      <c r="J76" s="102" t="s">
        <v>0</v>
      </c>
      <c r="K76" s="102" t="s">
        <v>264</v>
      </c>
      <c r="L76" s="102" t="s">
        <v>25598</v>
      </c>
      <c r="M76" s="102" t="s">
        <v>20</v>
      </c>
      <c r="N76" s="102">
        <v>180</v>
      </c>
      <c r="Q76" t="s">
        <v>27</v>
      </c>
      <c r="S76" t="str">
        <f t="shared" si="8"/>
        <v>80-483-16-00</v>
      </c>
      <c r="T76" s="129" t="s">
        <v>25299</v>
      </c>
      <c r="U76" s="112">
        <v>30</v>
      </c>
    </row>
    <row r="77" spans="1:21" x14ac:dyDescent="0.2">
      <c r="A77" s="102" t="s">
        <v>20098</v>
      </c>
      <c r="B77" s="102" t="s">
        <v>29600</v>
      </c>
      <c r="C77" s="102" t="s">
        <v>26638</v>
      </c>
      <c r="D77" s="102" t="s">
        <v>25572</v>
      </c>
      <c r="E77" s="102" t="s">
        <v>25636</v>
      </c>
      <c r="F77" s="102" t="s">
        <v>26642</v>
      </c>
      <c r="G77" s="102" t="s">
        <v>25636</v>
      </c>
      <c r="H77" s="102" t="s">
        <v>29714</v>
      </c>
      <c r="I77" s="102" t="s">
        <v>23</v>
      </c>
      <c r="J77" s="102" t="s">
        <v>0</v>
      </c>
      <c r="K77" s="102" t="s">
        <v>264</v>
      </c>
      <c r="L77" s="102" t="s">
        <v>25598</v>
      </c>
      <c r="M77" s="102" t="s">
        <v>20</v>
      </c>
      <c r="N77" s="102">
        <v>270</v>
      </c>
      <c r="Q77" t="s">
        <v>27</v>
      </c>
      <c r="S77" t="str">
        <f t="shared" si="8"/>
        <v>80-506-16-00</v>
      </c>
      <c r="T77" s="129" t="s">
        <v>25299</v>
      </c>
      <c r="U77" s="112">
        <v>8</v>
      </c>
    </row>
    <row r="78" spans="1:21" x14ac:dyDescent="0.2">
      <c r="A78" s="102" t="s">
        <v>20096</v>
      </c>
      <c r="B78" s="102" t="s">
        <v>29600</v>
      </c>
      <c r="C78" s="102" t="s">
        <v>26638</v>
      </c>
      <c r="D78" s="102" t="s">
        <v>25572</v>
      </c>
      <c r="E78" s="102" t="s">
        <v>25636</v>
      </c>
      <c r="F78" s="102" t="s">
        <v>26642</v>
      </c>
      <c r="G78" s="102" t="s">
        <v>25636</v>
      </c>
      <c r="H78" s="102" t="s">
        <v>29715</v>
      </c>
      <c r="I78" s="102" t="s">
        <v>1</v>
      </c>
      <c r="J78" s="102" t="s">
        <v>0</v>
      </c>
      <c r="K78" s="102" t="s">
        <v>264</v>
      </c>
      <c r="L78" s="102" t="s">
        <v>25598</v>
      </c>
      <c r="M78" s="102" t="s">
        <v>20</v>
      </c>
      <c r="N78" s="102">
        <v>270</v>
      </c>
      <c r="Q78" t="s">
        <v>1</v>
      </c>
      <c r="S78" t="str">
        <f t="shared" ref="S78:S80" si="9">A78&amp;"-"&amp;T78</f>
        <v>80-506-09-00</v>
      </c>
      <c r="T78" s="129" t="s">
        <v>25299</v>
      </c>
      <c r="U78" s="112">
        <v>20</v>
      </c>
    </row>
    <row r="79" spans="1:21" x14ac:dyDescent="0.2">
      <c r="A79" s="102" t="s">
        <v>20028</v>
      </c>
      <c r="B79" s="102" t="s">
        <v>29601</v>
      </c>
      <c r="C79" s="102" t="s">
        <v>49</v>
      </c>
      <c r="D79" s="102" t="s">
        <v>212</v>
      </c>
      <c r="E79" s="102" t="s">
        <v>25636</v>
      </c>
      <c r="F79" s="102" t="s">
        <v>26642</v>
      </c>
      <c r="G79" s="102" t="s">
        <v>25636</v>
      </c>
      <c r="H79" s="102" t="s">
        <v>29717</v>
      </c>
      <c r="I79" s="102" t="s">
        <v>28</v>
      </c>
      <c r="J79" s="102" t="s">
        <v>26269</v>
      </c>
      <c r="K79" s="102" t="s">
        <v>264</v>
      </c>
      <c r="L79" s="102" t="s">
        <v>25598</v>
      </c>
      <c r="M79" s="102" t="s">
        <v>12</v>
      </c>
      <c r="N79" s="102">
        <v>180</v>
      </c>
      <c r="Q79" t="s">
        <v>28</v>
      </c>
      <c r="S79" t="str">
        <f t="shared" si="9"/>
        <v>80-494-08-00</v>
      </c>
      <c r="T79" s="129" t="s">
        <v>25299</v>
      </c>
      <c r="U79" s="112">
        <v>20</v>
      </c>
    </row>
    <row r="80" spans="1:21" x14ac:dyDescent="0.2">
      <c r="A80" s="102" t="s">
        <v>19182</v>
      </c>
      <c r="B80" s="102" t="s">
        <v>29602</v>
      </c>
      <c r="C80" s="102" t="s">
        <v>49</v>
      </c>
      <c r="D80" s="102" t="s">
        <v>212</v>
      </c>
      <c r="E80" s="102" t="s">
        <v>25636</v>
      </c>
      <c r="F80" s="102" t="s">
        <v>26642</v>
      </c>
      <c r="G80" s="102" t="s">
        <v>25636</v>
      </c>
      <c r="H80" s="102" t="s">
        <v>29714</v>
      </c>
      <c r="I80" s="102" t="s">
        <v>23</v>
      </c>
      <c r="J80" s="102" t="s">
        <v>26269</v>
      </c>
      <c r="K80" s="102" t="s">
        <v>264</v>
      </c>
      <c r="L80" s="102" t="s">
        <v>25598</v>
      </c>
      <c r="M80" s="102" t="s">
        <v>12</v>
      </c>
      <c r="N80" s="102">
        <v>180</v>
      </c>
      <c r="Q80" t="s">
        <v>27</v>
      </c>
      <c r="S80" t="str">
        <f t="shared" si="9"/>
        <v>80-268-16-00</v>
      </c>
      <c r="T80" s="129" t="s">
        <v>25299</v>
      </c>
      <c r="U80" s="112">
        <v>30</v>
      </c>
    </row>
    <row r="81" spans="1:21" x14ac:dyDescent="0.2">
      <c r="A81" s="102" t="s">
        <v>19180</v>
      </c>
      <c r="B81" s="102" t="s">
        <v>29602</v>
      </c>
      <c r="C81" s="102" t="s">
        <v>49</v>
      </c>
      <c r="D81" s="102" t="s">
        <v>212</v>
      </c>
      <c r="E81" s="102" t="s">
        <v>25636</v>
      </c>
      <c r="F81" s="102" t="s">
        <v>26642</v>
      </c>
      <c r="G81" s="102" t="s">
        <v>25636</v>
      </c>
      <c r="H81" s="102" t="s">
        <v>29715</v>
      </c>
      <c r="I81" s="102" t="s">
        <v>1</v>
      </c>
      <c r="J81" s="102" t="s">
        <v>26269</v>
      </c>
      <c r="K81" s="102" t="s">
        <v>264</v>
      </c>
      <c r="L81" s="102" t="s">
        <v>25598</v>
      </c>
      <c r="M81" s="102" t="s">
        <v>12</v>
      </c>
      <c r="N81" s="102">
        <v>180</v>
      </c>
      <c r="Q81" t="s">
        <v>1</v>
      </c>
      <c r="S81" t="str">
        <f t="shared" ref="S81:S87" si="10">A81&amp;"-"&amp;T81</f>
        <v>80-268-09-00</v>
      </c>
      <c r="T81" s="129" t="s">
        <v>25299</v>
      </c>
      <c r="U81" s="112">
        <v>45</v>
      </c>
    </row>
    <row r="82" spans="1:21" x14ac:dyDescent="0.2">
      <c r="A82" s="102" t="s">
        <v>20402</v>
      </c>
      <c r="B82" s="102" t="s">
        <v>29603</v>
      </c>
      <c r="C82" s="102" t="s">
        <v>8</v>
      </c>
      <c r="D82" s="102" t="s">
        <v>21</v>
      </c>
      <c r="E82" s="102" t="s">
        <v>25636</v>
      </c>
      <c r="F82" s="102" t="s">
        <v>91</v>
      </c>
      <c r="G82" s="102" t="s">
        <v>25636</v>
      </c>
      <c r="H82" s="102" t="s">
        <v>29720</v>
      </c>
      <c r="I82" s="102" t="s">
        <v>22</v>
      </c>
      <c r="J82" s="102" t="s">
        <v>25976</v>
      </c>
      <c r="L82" s="102" t="s">
        <v>25598</v>
      </c>
      <c r="M82" s="102" t="s">
        <v>20</v>
      </c>
      <c r="N82" s="102">
        <v>450</v>
      </c>
      <c r="Q82" t="s">
        <v>22</v>
      </c>
      <c r="S82" t="str">
        <f t="shared" si="10"/>
        <v>80-588-14-55</v>
      </c>
      <c r="T82" s="129" t="s">
        <v>28267</v>
      </c>
      <c r="U82" s="112">
        <v>1</v>
      </c>
    </row>
    <row r="83" spans="1:21" x14ac:dyDescent="0.2">
      <c r="A83" s="102" t="s">
        <v>20402</v>
      </c>
      <c r="B83" s="102" t="s">
        <v>29603</v>
      </c>
      <c r="C83" s="102" t="s">
        <v>8</v>
      </c>
      <c r="D83" s="102" t="s">
        <v>21</v>
      </c>
      <c r="E83" s="102" t="s">
        <v>25636</v>
      </c>
      <c r="F83" s="102" t="s">
        <v>91</v>
      </c>
      <c r="G83" s="102" t="s">
        <v>25636</v>
      </c>
      <c r="H83" s="102" t="s">
        <v>29720</v>
      </c>
      <c r="I83" s="102" t="s">
        <v>22</v>
      </c>
      <c r="J83" s="102" t="s">
        <v>25976</v>
      </c>
      <c r="L83" s="102" t="s">
        <v>25598</v>
      </c>
      <c r="M83" s="102" t="s">
        <v>20</v>
      </c>
      <c r="N83" s="102">
        <v>450</v>
      </c>
      <c r="Q83" t="s">
        <v>22</v>
      </c>
      <c r="S83" t="str">
        <f t="shared" si="10"/>
        <v>80-588-14-57</v>
      </c>
      <c r="T83" s="129" t="s">
        <v>28344</v>
      </c>
      <c r="U83" s="112">
        <v>1</v>
      </c>
    </row>
    <row r="84" spans="1:21" x14ac:dyDescent="0.2">
      <c r="A84" s="102" t="s">
        <v>20402</v>
      </c>
      <c r="B84" s="102" t="s">
        <v>29603</v>
      </c>
      <c r="C84" s="102" t="s">
        <v>8</v>
      </c>
      <c r="D84" s="102" t="s">
        <v>21</v>
      </c>
      <c r="E84" s="102" t="s">
        <v>25636</v>
      </c>
      <c r="F84" s="102" t="s">
        <v>91</v>
      </c>
      <c r="G84" s="102" t="s">
        <v>25636</v>
      </c>
      <c r="H84" s="102" t="s">
        <v>29720</v>
      </c>
      <c r="I84" s="102" t="s">
        <v>22</v>
      </c>
      <c r="J84" s="102" t="s">
        <v>25976</v>
      </c>
      <c r="L84" s="102" t="s">
        <v>25598</v>
      </c>
      <c r="M84" s="102" t="s">
        <v>20</v>
      </c>
      <c r="N84" s="102">
        <v>450</v>
      </c>
      <c r="Q84" t="s">
        <v>22</v>
      </c>
      <c r="S84" t="str">
        <f t="shared" si="10"/>
        <v>80-588-14-59</v>
      </c>
      <c r="T84" s="129" t="s">
        <v>28340</v>
      </c>
      <c r="U84" s="112">
        <v>1</v>
      </c>
    </row>
    <row r="85" spans="1:21" x14ac:dyDescent="0.2">
      <c r="A85" s="102" t="s">
        <v>20402</v>
      </c>
      <c r="B85" s="102" t="s">
        <v>29603</v>
      </c>
      <c r="C85" s="102" t="s">
        <v>8</v>
      </c>
      <c r="D85" s="102" t="s">
        <v>21</v>
      </c>
      <c r="E85" s="102" t="s">
        <v>25636</v>
      </c>
      <c r="F85" s="102" t="s">
        <v>91</v>
      </c>
      <c r="G85" s="102" t="s">
        <v>25636</v>
      </c>
      <c r="H85" s="102" t="s">
        <v>29720</v>
      </c>
      <c r="I85" s="102" t="s">
        <v>22</v>
      </c>
      <c r="J85" s="102" t="s">
        <v>25976</v>
      </c>
      <c r="L85" s="102" t="s">
        <v>25598</v>
      </c>
      <c r="M85" s="102" t="s">
        <v>20</v>
      </c>
      <c r="N85" s="102">
        <v>450</v>
      </c>
      <c r="Q85" t="s">
        <v>22</v>
      </c>
      <c r="S85" t="str">
        <f t="shared" si="10"/>
        <v>80-588-14-61</v>
      </c>
      <c r="T85" s="129" t="s">
        <v>28345</v>
      </c>
      <c r="U85" s="112">
        <v>1</v>
      </c>
    </row>
    <row r="86" spans="1:21" x14ac:dyDescent="0.2">
      <c r="A86" s="102" t="s">
        <v>20403</v>
      </c>
      <c r="B86" s="102" t="s">
        <v>29604</v>
      </c>
      <c r="C86" s="102" t="s">
        <v>8</v>
      </c>
      <c r="D86" s="102" t="s">
        <v>9</v>
      </c>
      <c r="E86" s="102" t="s">
        <v>25636</v>
      </c>
      <c r="F86" s="102" t="s">
        <v>91</v>
      </c>
      <c r="G86" s="102" t="s">
        <v>25636</v>
      </c>
      <c r="H86" s="102" t="s">
        <v>29717</v>
      </c>
      <c r="I86" s="102" t="s">
        <v>28</v>
      </c>
      <c r="J86" s="102" t="s">
        <v>0</v>
      </c>
      <c r="K86" s="102" t="s">
        <v>264</v>
      </c>
      <c r="L86" s="102" t="s">
        <v>25598</v>
      </c>
      <c r="M86" s="102" t="s">
        <v>20</v>
      </c>
      <c r="N86" s="102">
        <v>450</v>
      </c>
      <c r="Q86" t="s">
        <v>28</v>
      </c>
      <c r="S86" t="str">
        <f t="shared" si="10"/>
        <v>80-589-08-55</v>
      </c>
      <c r="T86" s="129" t="s">
        <v>28267</v>
      </c>
      <c r="U86" s="112">
        <v>1</v>
      </c>
    </row>
    <row r="87" spans="1:21" x14ac:dyDescent="0.2">
      <c r="A87" s="102" t="s">
        <v>20403</v>
      </c>
      <c r="B87" s="102" t="s">
        <v>29604</v>
      </c>
      <c r="C87" s="102" t="s">
        <v>8</v>
      </c>
      <c r="D87" s="102" t="s">
        <v>9</v>
      </c>
      <c r="E87" s="102" t="s">
        <v>25636</v>
      </c>
      <c r="F87" s="102" t="s">
        <v>91</v>
      </c>
      <c r="G87" s="102" t="s">
        <v>25636</v>
      </c>
      <c r="H87" s="102" t="s">
        <v>29717</v>
      </c>
      <c r="I87" s="102" t="s">
        <v>28</v>
      </c>
      <c r="J87" s="102" t="s">
        <v>0</v>
      </c>
      <c r="K87" s="102" t="s">
        <v>264</v>
      </c>
      <c r="L87" s="102" t="s">
        <v>25598</v>
      </c>
      <c r="M87" s="102" t="s">
        <v>20</v>
      </c>
      <c r="N87" s="102">
        <v>450</v>
      </c>
      <c r="Q87" t="s">
        <v>28</v>
      </c>
      <c r="S87" t="str">
        <f t="shared" si="10"/>
        <v>80-589-08-57</v>
      </c>
      <c r="T87" s="129" t="s">
        <v>28344</v>
      </c>
      <c r="U87" s="112">
        <v>3</v>
      </c>
    </row>
    <row r="88" spans="1:21" x14ac:dyDescent="0.2">
      <c r="A88" s="102" t="s">
        <v>19538</v>
      </c>
      <c r="B88" s="102" t="s">
        <v>29605</v>
      </c>
      <c r="C88" s="102" t="s">
        <v>8</v>
      </c>
      <c r="D88" s="102" t="s">
        <v>9</v>
      </c>
      <c r="E88" s="102" t="s">
        <v>25636</v>
      </c>
      <c r="F88" s="102" t="s">
        <v>91</v>
      </c>
      <c r="G88" s="102" t="s">
        <v>25636</v>
      </c>
      <c r="H88" s="102" t="s">
        <v>29715</v>
      </c>
      <c r="I88" s="102" t="s">
        <v>1</v>
      </c>
      <c r="J88" s="102" t="s">
        <v>0</v>
      </c>
      <c r="K88" s="102" t="s">
        <v>25677</v>
      </c>
      <c r="L88" s="102" t="s">
        <v>25598</v>
      </c>
      <c r="M88" s="102" t="s">
        <v>20</v>
      </c>
      <c r="N88" s="102">
        <v>450</v>
      </c>
      <c r="Q88" t="s">
        <v>1</v>
      </c>
      <c r="S88" t="str">
        <f t="shared" ref="S88:S93" si="11">A88&amp;"-"&amp;T88</f>
        <v>80-361-52-55</v>
      </c>
      <c r="T88" s="129" t="s">
        <v>28267</v>
      </c>
      <c r="U88" s="112">
        <v>1</v>
      </c>
    </row>
    <row r="89" spans="1:21" x14ac:dyDescent="0.2">
      <c r="A89" s="102" t="s">
        <v>19538</v>
      </c>
      <c r="B89" s="102" t="s">
        <v>29605</v>
      </c>
      <c r="C89" s="102" t="s">
        <v>8</v>
      </c>
      <c r="D89" s="102" t="s">
        <v>9</v>
      </c>
      <c r="E89" s="102" t="s">
        <v>25636</v>
      </c>
      <c r="F89" s="102" t="s">
        <v>91</v>
      </c>
      <c r="G89" s="102" t="s">
        <v>25636</v>
      </c>
      <c r="H89" s="102" t="s">
        <v>29715</v>
      </c>
      <c r="I89" s="102" t="s">
        <v>1</v>
      </c>
      <c r="J89" s="102" t="s">
        <v>0</v>
      </c>
      <c r="K89" s="102" t="s">
        <v>25677</v>
      </c>
      <c r="L89" s="102" t="s">
        <v>25598</v>
      </c>
      <c r="M89" s="102" t="s">
        <v>20</v>
      </c>
      <c r="N89" s="102">
        <v>450</v>
      </c>
      <c r="Q89" t="s">
        <v>1</v>
      </c>
      <c r="S89" t="str">
        <f t="shared" si="11"/>
        <v>80-361-52-57</v>
      </c>
      <c r="T89" s="129" t="s">
        <v>28344</v>
      </c>
      <c r="U89" s="112">
        <v>1</v>
      </c>
    </row>
    <row r="90" spans="1:21" x14ac:dyDescent="0.2">
      <c r="A90" s="102" t="s">
        <v>19538</v>
      </c>
      <c r="B90" s="102" t="s">
        <v>29605</v>
      </c>
      <c r="C90" s="102" t="s">
        <v>8</v>
      </c>
      <c r="D90" s="102" t="s">
        <v>9</v>
      </c>
      <c r="E90" s="102" t="s">
        <v>25636</v>
      </c>
      <c r="F90" s="102" t="s">
        <v>91</v>
      </c>
      <c r="G90" s="102" t="s">
        <v>25636</v>
      </c>
      <c r="H90" s="102" t="s">
        <v>29715</v>
      </c>
      <c r="I90" s="102" t="s">
        <v>1</v>
      </c>
      <c r="J90" s="102" t="s">
        <v>0</v>
      </c>
      <c r="K90" s="102" t="s">
        <v>25677</v>
      </c>
      <c r="L90" s="102" t="s">
        <v>25598</v>
      </c>
      <c r="M90" s="102" t="s">
        <v>20</v>
      </c>
      <c r="N90" s="102">
        <v>450</v>
      </c>
      <c r="Q90" t="s">
        <v>1</v>
      </c>
      <c r="S90" t="str">
        <f t="shared" si="11"/>
        <v>80-361-52-59</v>
      </c>
      <c r="T90" s="129" t="s">
        <v>28340</v>
      </c>
      <c r="U90" s="112">
        <v>2</v>
      </c>
    </row>
    <row r="91" spans="1:21" x14ac:dyDescent="0.2">
      <c r="A91" s="102" t="s">
        <v>19538</v>
      </c>
      <c r="B91" s="102" t="s">
        <v>29605</v>
      </c>
      <c r="C91" s="102" t="s">
        <v>8</v>
      </c>
      <c r="D91" s="102" t="s">
        <v>9</v>
      </c>
      <c r="E91" s="102" t="s">
        <v>25636</v>
      </c>
      <c r="F91" s="102" t="s">
        <v>91</v>
      </c>
      <c r="G91" s="102" t="s">
        <v>25636</v>
      </c>
      <c r="H91" s="102" t="s">
        <v>29715</v>
      </c>
      <c r="I91" s="102" t="s">
        <v>1</v>
      </c>
      <c r="J91" s="102" t="s">
        <v>0</v>
      </c>
      <c r="K91" s="102" t="s">
        <v>25677</v>
      </c>
      <c r="L91" s="102" t="s">
        <v>25598</v>
      </c>
      <c r="M91" s="102" t="s">
        <v>20</v>
      </c>
      <c r="N91" s="102">
        <v>450</v>
      </c>
      <c r="Q91" t="s">
        <v>1</v>
      </c>
      <c r="S91" t="str">
        <f t="shared" si="11"/>
        <v>80-361-52-61</v>
      </c>
      <c r="T91" s="129" t="s">
        <v>28345</v>
      </c>
      <c r="U91" s="112">
        <v>4</v>
      </c>
    </row>
    <row r="92" spans="1:21" x14ac:dyDescent="0.2">
      <c r="A92" s="102" t="s">
        <v>19562</v>
      </c>
      <c r="B92" s="102" t="s">
        <v>29606</v>
      </c>
      <c r="C92" s="102" t="s">
        <v>8</v>
      </c>
      <c r="D92" s="102" t="s">
        <v>21</v>
      </c>
      <c r="E92" s="102" t="s">
        <v>25636</v>
      </c>
      <c r="F92" s="102" t="s">
        <v>91</v>
      </c>
      <c r="G92" s="102" t="s">
        <v>25636</v>
      </c>
      <c r="H92" s="102" t="s">
        <v>29719</v>
      </c>
      <c r="I92" s="102" t="s">
        <v>96</v>
      </c>
      <c r="J92" s="102" t="s">
        <v>0</v>
      </c>
      <c r="K92" s="102" t="s">
        <v>25677</v>
      </c>
      <c r="L92" s="102" t="s">
        <v>25596</v>
      </c>
      <c r="M92" s="102" t="s">
        <v>20</v>
      </c>
      <c r="N92" s="102">
        <v>450</v>
      </c>
      <c r="Q92" t="s">
        <v>96</v>
      </c>
      <c r="S92" t="str">
        <f t="shared" si="11"/>
        <v>80-365-41-57</v>
      </c>
      <c r="T92" s="129" t="s">
        <v>28344</v>
      </c>
      <c r="U92" s="112">
        <v>3</v>
      </c>
    </row>
    <row r="93" spans="1:21" x14ac:dyDescent="0.2">
      <c r="A93" s="102" t="s">
        <v>19562</v>
      </c>
      <c r="B93" s="102" t="s">
        <v>29606</v>
      </c>
      <c r="C93" s="102" t="s">
        <v>8</v>
      </c>
      <c r="D93" s="102" t="s">
        <v>21</v>
      </c>
      <c r="E93" s="102" t="s">
        <v>25636</v>
      </c>
      <c r="F93" s="102" t="s">
        <v>91</v>
      </c>
      <c r="G93" s="102" t="s">
        <v>25636</v>
      </c>
      <c r="H93" s="102" t="s">
        <v>29719</v>
      </c>
      <c r="I93" s="102" t="s">
        <v>96</v>
      </c>
      <c r="J93" s="102" t="s">
        <v>0</v>
      </c>
      <c r="K93" s="102" t="s">
        <v>25677</v>
      </c>
      <c r="L93" s="102" t="s">
        <v>25596</v>
      </c>
      <c r="M93" s="102" t="s">
        <v>20</v>
      </c>
      <c r="N93" s="102">
        <v>450</v>
      </c>
      <c r="Q93" t="s">
        <v>96</v>
      </c>
      <c r="S93" t="str">
        <f t="shared" si="11"/>
        <v>80-365-41-59</v>
      </c>
      <c r="T93" s="129" t="s">
        <v>28340</v>
      </c>
      <c r="U93" s="112">
        <v>1</v>
      </c>
    </row>
    <row r="94" spans="1:21" x14ac:dyDescent="0.2">
      <c r="A94" s="102" t="s">
        <v>19558</v>
      </c>
      <c r="B94" s="102" t="s">
        <v>29606</v>
      </c>
      <c r="C94" s="102" t="s">
        <v>8</v>
      </c>
      <c r="D94" s="102" t="s">
        <v>21</v>
      </c>
      <c r="E94" s="102" t="s">
        <v>25636</v>
      </c>
      <c r="F94" s="102" t="s">
        <v>91</v>
      </c>
      <c r="G94" s="102" t="s">
        <v>25636</v>
      </c>
      <c r="H94" s="102" t="s">
        <v>29714</v>
      </c>
      <c r="I94" s="102" t="s">
        <v>23</v>
      </c>
      <c r="J94" s="102" t="s">
        <v>0</v>
      </c>
      <c r="K94" s="102" t="s">
        <v>25677</v>
      </c>
      <c r="L94" s="102" t="s">
        <v>25596</v>
      </c>
      <c r="M94" s="102" t="s">
        <v>20</v>
      </c>
      <c r="N94" s="102">
        <v>450</v>
      </c>
      <c r="Q94" t="s">
        <v>27</v>
      </c>
      <c r="S94" t="str">
        <f t="shared" ref="S94:S102" si="12">A94&amp;"-"&amp;T94</f>
        <v>80-365-16-55</v>
      </c>
      <c r="T94" s="129" t="s">
        <v>28267</v>
      </c>
      <c r="U94" s="112">
        <v>2</v>
      </c>
    </row>
    <row r="95" spans="1:21" x14ac:dyDescent="0.2">
      <c r="A95" s="102" t="s">
        <v>19558</v>
      </c>
      <c r="B95" s="102" t="s">
        <v>29606</v>
      </c>
      <c r="C95" s="102" t="s">
        <v>8</v>
      </c>
      <c r="D95" s="102" t="s">
        <v>21</v>
      </c>
      <c r="E95" s="102" t="s">
        <v>25636</v>
      </c>
      <c r="F95" s="102" t="s">
        <v>91</v>
      </c>
      <c r="G95" s="102" t="s">
        <v>25636</v>
      </c>
      <c r="H95" s="102" t="s">
        <v>29714</v>
      </c>
      <c r="I95" s="102" t="s">
        <v>23</v>
      </c>
      <c r="J95" s="102" t="s">
        <v>0</v>
      </c>
      <c r="K95" s="102" t="s">
        <v>25677</v>
      </c>
      <c r="L95" s="102" t="s">
        <v>25596</v>
      </c>
      <c r="M95" s="102" t="s">
        <v>20</v>
      </c>
      <c r="N95" s="102">
        <v>450</v>
      </c>
      <c r="Q95" t="s">
        <v>27</v>
      </c>
      <c r="S95" t="str">
        <f t="shared" si="12"/>
        <v>80-365-16-57</v>
      </c>
      <c r="T95" s="129" t="s">
        <v>28344</v>
      </c>
      <c r="U95" s="112">
        <v>2</v>
      </c>
    </row>
    <row r="96" spans="1:21" x14ac:dyDescent="0.2">
      <c r="A96" s="102" t="s">
        <v>19558</v>
      </c>
      <c r="B96" s="102" t="s">
        <v>29606</v>
      </c>
      <c r="C96" s="102" t="s">
        <v>8</v>
      </c>
      <c r="D96" s="102" t="s">
        <v>21</v>
      </c>
      <c r="E96" s="102" t="s">
        <v>25636</v>
      </c>
      <c r="F96" s="102" t="s">
        <v>91</v>
      </c>
      <c r="G96" s="102" t="s">
        <v>25636</v>
      </c>
      <c r="H96" s="102" t="s">
        <v>29714</v>
      </c>
      <c r="I96" s="102" t="s">
        <v>23</v>
      </c>
      <c r="J96" s="102" t="s">
        <v>0</v>
      </c>
      <c r="K96" s="102" t="s">
        <v>25677</v>
      </c>
      <c r="L96" s="102" t="s">
        <v>25596</v>
      </c>
      <c r="M96" s="102" t="s">
        <v>20</v>
      </c>
      <c r="N96" s="102">
        <v>450</v>
      </c>
      <c r="Q96" t="s">
        <v>27</v>
      </c>
      <c r="S96" t="str">
        <f t="shared" si="12"/>
        <v>80-365-16-59</v>
      </c>
      <c r="T96" s="129" t="s">
        <v>28340</v>
      </c>
      <c r="U96" s="112">
        <v>2</v>
      </c>
    </row>
    <row r="97" spans="1:21" x14ac:dyDescent="0.2">
      <c r="A97" s="102" t="s">
        <v>19556</v>
      </c>
      <c r="B97" s="102" t="s">
        <v>29606</v>
      </c>
      <c r="C97" s="102" t="s">
        <v>8</v>
      </c>
      <c r="D97" s="102" t="s">
        <v>21</v>
      </c>
      <c r="E97" s="102" t="s">
        <v>25636</v>
      </c>
      <c r="F97" s="102" t="s">
        <v>91</v>
      </c>
      <c r="G97" s="102" t="s">
        <v>25636</v>
      </c>
      <c r="H97" s="102" t="s">
        <v>29723</v>
      </c>
      <c r="I97" s="102" t="s">
        <v>123</v>
      </c>
      <c r="J97" s="102" t="s">
        <v>0</v>
      </c>
      <c r="K97" s="102" t="s">
        <v>25677</v>
      </c>
      <c r="L97" s="102" t="s">
        <v>25596</v>
      </c>
      <c r="M97" s="102" t="s">
        <v>20</v>
      </c>
      <c r="N97" s="102">
        <v>450</v>
      </c>
      <c r="Q97" t="s">
        <v>123</v>
      </c>
      <c r="S97" t="str">
        <f t="shared" si="12"/>
        <v>80-365-13-55</v>
      </c>
      <c r="T97" s="129" t="s">
        <v>28267</v>
      </c>
      <c r="U97" s="112">
        <v>3</v>
      </c>
    </row>
    <row r="98" spans="1:21" x14ac:dyDescent="0.2">
      <c r="A98" s="102" t="s">
        <v>19556</v>
      </c>
      <c r="B98" s="102" t="s">
        <v>29606</v>
      </c>
      <c r="C98" s="102" t="s">
        <v>8</v>
      </c>
      <c r="D98" s="102" t="s">
        <v>21</v>
      </c>
      <c r="E98" s="102" t="s">
        <v>25636</v>
      </c>
      <c r="F98" s="102" t="s">
        <v>91</v>
      </c>
      <c r="G98" s="102" t="s">
        <v>25636</v>
      </c>
      <c r="H98" s="102" t="s">
        <v>29723</v>
      </c>
      <c r="I98" s="102" t="s">
        <v>123</v>
      </c>
      <c r="J98" s="102" t="s">
        <v>0</v>
      </c>
      <c r="K98" s="102" t="s">
        <v>25677</v>
      </c>
      <c r="L98" s="102" t="s">
        <v>25596</v>
      </c>
      <c r="M98" s="102" t="s">
        <v>20</v>
      </c>
      <c r="N98" s="102">
        <v>450</v>
      </c>
      <c r="Q98" t="s">
        <v>123</v>
      </c>
      <c r="S98" t="str">
        <f t="shared" si="12"/>
        <v>80-365-13-57</v>
      </c>
      <c r="T98" s="129" t="s">
        <v>28344</v>
      </c>
      <c r="U98" s="112">
        <v>6</v>
      </c>
    </row>
    <row r="99" spans="1:21" x14ac:dyDescent="0.2">
      <c r="A99" s="102" t="s">
        <v>19556</v>
      </c>
      <c r="B99" s="102" t="s">
        <v>29606</v>
      </c>
      <c r="C99" s="102" t="s">
        <v>8</v>
      </c>
      <c r="D99" s="102" t="s">
        <v>21</v>
      </c>
      <c r="E99" s="102" t="s">
        <v>25636</v>
      </c>
      <c r="F99" s="102" t="s">
        <v>91</v>
      </c>
      <c r="G99" s="102" t="s">
        <v>25636</v>
      </c>
      <c r="H99" s="102" t="s">
        <v>29723</v>
      </c>
      <c r="I99" s="102" t="s">
        <v>123</v>
      </c>
      <c r="J99" s="102" t="s">
        <v>0</v>
      </c>
      <c r="K99" s="102" t="s">
        <v>25677</v>
      </c>
      <c r="L99" s="102" t="s">
        <v>25596</v>
      </c>
      <c r="M99" s="102" t="s">
        <v>20</v>
      </c>
      <c r="N99" s="102">
        <v>450</v>
      </c>
      <c r="Q99" t="s">
        <v>123</v>
      </c>
      <c r="S99" t="str">
        <f t="shared" si="12"/>
        <v>80-365-13-59</v>
      </c>
      <c r="T99" s="129" t="s">
        <v>28340</v>
      </c>
      <c r="U99" s="112">
        <v>4</v>
      </c>
    </row>
    <row r="100" spans="1:21" x14ac:dyDescent="0.2">
      <c r="A100" s="102" t="s">
        <v>19554</v>
      </c>
      <c r="B100" s="102" t="s">
        <v>29606</v>
      </c>
      <c r="C100" s="102" t="s">
        <v>8</v>
      </c>
      <c r="D100" s="102" t="s">
        <v>21</v>
      </c>
      <c r="E100" s="102" t="s">
        <v>25636</v>
      </c>
      <c r="F100" s="102" t="s">
        <v>91</v>
      </c>
      <c r="G100" s="102" t="s">
        <v>25636</v>
      </c>
      <c r="H100" s="102" t="s">
        <v>29724</v>
      </c>
      <c r="I100" s="102" t="s">
        <v>27</v>
      </c>
      <c r="J100" s="102" t="s">
        <v>0</v>
      </c>
      <c r="K100" s="102" t="s">
        <v>25677</v>
      </c>
      <c r="L100" s="102" t="s">
        <v>25596</v>
      </c>
      <c r="M100" s="102" t="s">
        <v>20</v>
      </c>
      <c r="N100" s="102">
        <v>450</v>
      </c>
      <c r="Q100" t="s">
        <v>27</v>
      </c>
      <c r="S100" t="str">
        <f t="shared" si="12"/>
        <v>80-365-06-55</v>
      </c>
      <c r="T100" s="129" t="s">
        <v>28267</v>
      </c>
      <c r="U100" s="112">
        <v>3</v>
      </c>
    </row>
    <row r="101" spans="1:21" x14ac:dyDescent="0.2">
      <c r="A101" s="102" t="s">
        <v>19554</v>
      </c>
      <c r="B101" s="102" t="s">
        <v>29606</v>
      </c>
      <c r="C101" s="102" t="s">
        <v>8</v>
      </c>
      <c r="D101" s="102" t="s">
        <v>21</v>
      </c>
      <c r="E101" s="102" t="s">
        <v>25636</v>
      </c>
      <c r="F101" s="102" t="s">
        <v>91</v>
      </c>
      <c r="G101" s="102" t="s">
        <v>25636</v>
      </c>
      <c r="H101" s="102" t="s">
        <v>29724</v>
      </c>
      <c r="I101" s="102" t="s">
        <v>27</v>
      </c>
      <c r="J101" s="102" t="s">
        <v>0</v>
      </c>
      <c r="K101" s="102" t="s">
        <v>25677</v>
      </c>
      <c r="L101" s="102" t="s">
        <v>25596</v>
      </c>
      <c r="M101" s="102" t="s">
        <v>20</v>
      </c>
      <c r="N101" s="102">
        <v>450</v>
      </c>
      <c r="Q101" t="s">
        <v>27</v>
      </c>
      <c r="S101" t="str">
        <f t="shared" si="12"/>
        <v>80-365-06-57</v>
      </c>
      <c r="T101" s="129" t="s">
        <v>28344</v>
      </c>
      <c r="U101" s="112">
        <v>6</v>
      </c>
    </row>
    <row r="102" spans="1:21" x14ac:dyDescent="0.2">
      <c r="A102" s="102" t="s">
        <v>19554</v>
      </c>
      <c r="B102" s="102" t="s">
        <v>29606</v>
      </c>
      <c r="C102" s="102" t="s">
        <v>8</v>
      </c>
      <c r="D102" s="102" t="s">
        <v>21</v>
      </c>
      <c r="E102" s="102" t="s">
        <v>25636</v>
      </c>
      <c r="F102" s="102" t="s">
        <v>91</v>
      </c>
      <c r="G102" s="102" t="s">
        <v>25636</v>
      </c>
      <c r="H102" s="102" t="s">
        <v>29724</v>
      </c>
      <c r="I102" s="102" t="s">
        <v>27</v>
      </c>
      <c r="J102" s="102" t="s">
        <v>0</v>
      </c>
      <c r="K102" s="102" t="s">
        <v>25677</v>
      </c>
      <c r="L102" s="102" t="s">
        <v>25596</v>
      </c>
      <c r="M102" s="102" t="s">
        <v>20</v>
      </c>
      <c r="N102" s="102">
        <v>450</v>
      </c>
      <c r="Q102" t="s">
        <v>27</v>
      </c>
      <c r="S102" t="str">
        <f t="shared" si="12"/>
        <v>80-365-06-59</v>
      </c>
      <c r="T102" s="129" t="s">
        <v>28340</v>
      </c>
      <c r="U102" s="112">
        <v>4</v>
      </c>
    </row>
    <row r="103" spans="1:21" x14ac:dyDescent="0.2">
      <c r="A103" s="102" t="s">
        <v>19550</v>
      </c>
      <c r="B103" s="102" t="s">
        <v>29606</v>
      </c>
      <c r="C103" s="102" t="s">
        <v>8</v>
      </c>
      <c r="D103" s="102" t="s">
        <v>21</v>
      </c>
      <c r="E103" s="102" t="s">
        <v>25636</v>
      </c>
      <c r="F103" s="102" t="s">
        <v>91</v>
      </c>
      <c r="G103" s="102" t="s">
        <v>25636</v>
      </c>
      <c r="H103" s="102" t="s">
        <v>29725</v>
      </c>
      <c r="I103" s="102" t="s">
        <v>25463</v>
      </c>
      <c r="J103" s="102" t="s">
        <v>0</v>
      </c>
      <c r="K103" s="102" t="s">
        <v>25677</v>
      </c>
      <c r="L103" s="102" t="s">
        <v>25596</v>
      </c>
      <c r="M103" s="102" t="s">
        <v>20</v>
      </c>
      <c r="N103" s="102">
        <v>450</v>
      </c>
      <c r="Q103" t="s">
        <v>28</v>
      </c>
      <c r="S103" t="str">
        <f t="shared" ref="S103:S108" si="13">A103&amp;"-"&amp;T103</f>
        <v>80-365-01-55</v>
      </c>
      <c r="T103" s="129" t="s">
        <v>28267</v>
      </c>
      <c r="U103" s="112">
        <v>4</v>
      </c>
    </row>
    <row r="104" spans="1:21" x14ac:dyDescent="0.2">
      <c r="A104" s="102" t="s">
        <v>19550</v>
      </c>
      <c r="B104" s="102" t="s">
        <v>29606</v>
      </c>
      <c r="C104" s="102" t="s">
        <v>8</v>
      </c>
      <c r="D104" s="102" t="s">
        <v>21</v>
      </c>
      <c r="E104" s="102" t="s">
        <v>25636</v>
      </c>
      <c r="F104" s="102" t="s">
        <v>91</v>
      </c>
      <c r="G104" s="102" t="s">
        <v>25636</v>
      </c>
      <c r="H104" s="102" t="s">
        <v>29725</v>
      </c>
      <c r="I104" s="102" t="s">
        <v>25463</v>
      </c>
      <c r="J104" s="102" t="s">
        <v>0</v>
      </c>
      <c r="K104" s="102" t="s">
        <v>25677</v>
      </c>
      <c r="L104" s="102" t="s">
        <v>25596</v>
      </c>
      <c r="M104" s="102" t="s">
        <v>20</v>
      </c>
      <c r="N104" s="102">
        <v>450</v>
      </c>
      <c r="Q104" t="s">
        <v>28</v>
      </c>
      <c r="S104" t="str">
        <f t="shared" si="13"/>
        <v>80-365-01-57</v>
      </c>
      <c r="T104" s="129" t="s">
        <v>28344</v>
      </c>
      <c r="U104" s="112">
        <v>5</v>
      </c>
    </row>
    <row r="105" spans="1:21" x14ac:dyDescent="0.2">
      <c r="A105" s="102" t="s">
        <v>19550</v>
      </c>
      <c r="B105" s="102" t="s">
        <v>29606</v>
      </c>
      <c r="C105" s="102" t="s">
        <v>8</v>
      </c>
      <c r="D105" s="102" t="s">
        <v>21</v>
      </c>
      <c r="E105" s="102" t="s">
        <v>25636</v>
      </c>
      <c r="F105" s="102" t="s">
        <v>91</v>
      </c>
      <c r="G105" s="102" t="s">
        <v>25636</v>
      </c>
      <c r="H105" s="102" t="s">
        <v>29725</v>
      </c>
      <c r="I105" s="102" t="s">
        <v>25463</v>
      </c>
      <c r="J105" s="102" t="s">
        <v>0</v>
      </c>
      <c r="K105" s="102" t="s">
        <v>25677</v>
      </c>
      <c r="L105" s="102" t="s">
        <v>25596</v>
      </c>
      <c r="M105" s="102" t="s">
        <v>20</v>
      </c>
      <c r="N105" s="102">
        <v>450</v>
      </c>
      <c r="Q105" t="s">
        <v>28</v>
      </c>
      <c r="S105" t="str">
        <f t="shared" si="13"/>
        <v>80-365-01-59</v>
      </c>
      <c r="T105" s="129" t="s">
        <v>28340</v>
      </c>
      <c r="U105" s="112">
        <v>5</v>
      </c>
    </row>
    <row r="106" spans="1:21" x14ac:dyDescent="0.2">
      <c r="A106" s="102" t="s">
        <v>20437</v>
      </c>
      <c r="B106" s="102" t="s">
        <v>29607</v>
      </c>
      <c r="C106" s="102" t="s">
        <v>8</v>
      </c>
      <c r="D106" s="102" t="s">
        <v>21</v>
      </c>
      <c r="E106" s="102" t="s">
        <v>25636</v>
      </c>
      <c r="F106" s="102" t="s">
        <v>91</v>
      </c>
      <c r="G106" s="102" t="s">
        <v>25636</v>
      </c>
      <c r="H106" s="102" t="s">
        <v>29715</v>
      </c>
      <c r="I106" s="102" t="s">
        <v>1</v>
      </c>
      <c r="J106" s="102" t="s">
        <v>0</v>
      </c>
      <c r="K106" s="102" t="s">
        <v>25677</v>
      </c>
      <c r="L106" s="102" t="s">
        <v>25598</v>
      </c>
      <c r="M106" s="102" t="s">
        <v>12</v>
      </c>
      <c r="N106" s="102">
        <v>450</v>
      </c>
      <c r="Q106" t="s">
        <v>1</v>
      </c>
      <c r="S106" t="str">
        <f t="shared" si="13"/>
        <v>80-599-09-55</v>
      </c>
      <c r="T106" s="129" t="s">
        <v>28267</v>
      </c>
      <c r="U106" s="112">
        <v>4</v>
      </c>
    </row>
    <row r="107" spans="1:21" x14ac:dyDescent="0.2">
      <c r="A107" s="102" t="s">
        <v>21521</v>
      </c>
      <c r="B107" s="102" t="s">
        <v>29608</v>
      </c>
      <c r="C107" s="102" t="s">
        <v>8</v>
      </c>
      <c r="D107" s="102" t="s">
        <v>21</v>
      </c>
      <c r="E107" s="102" t="s">
        <v>25636</v>
      </c>
      <c r="F107" s="102" t="s">
        <v>91</v>
      </c>
      <c r="G107" s="102" t="s">
        <v>25636</v>
      </c>
      <c r="H107" s="102" t="s">
        <v>29716</v>
      </c>
      <c r="I107" s="102" t="s">
        <v>27</v>
      </c>
      <c r="J107" s="102" t="s">
        <v>0</v>
      </c>
      <c r="K107" s="102" t="s">
        <v>25677</v>
      </c>
      <c r="L107" s="102" t="s">
        <v>25596</v>
      </c>
      <c r="M107" s="102" t="s">
        <v>12</v>
      </c>
      <c r="N107" s="102">
        <v>450</v>
      </c>
      <c r="Q107" t="s">
        <v>27</v>
      </c>
      <c r="S107" t="str">
        <f t="shared" si="13"/>
        <v>80-933-06-55</v>
      </c>
      <c r="T107" s="129" t="s">
        <v>28267</v>
      </c>
      <c r="U107" s="112">
        <v>4</v>
      </c>
    </row>
    <row r="108" spans="1:21" x14ac:dyDescent="0.2">
      <c r="A108" s="102" t="s">
        <v>21521</v>
      </c>
      <c r="B108" s="102" t="s">
        <v>29608</v>
      </c>
      <c r="C108" s="102" t="s">
        <v>8</v>
      </c>
      <c r="D108" s="102" t="s">
        <v>21</v>
      </c>
      <c r="E108" s="102" t="s">
        <v>25636</v>
      </c>
      <c r="F108" s="102" t="s">
        <v>91</v>
      </c>
      <c r="G108" s="102" t="s">
        <v>25636</v>
      </c>
      <c r="H108" s="102" t="s">
        <v>29716</v>
      </c>
      <c r="I108" s="102" t="s">
        <v>27</v>
      </c>
      <c r="J108" s="102" t="s">
        <v>0</v>
      </c>
      <c r="K108" s="102" t="s">
        <v>25677</v>
      </c>
      <c r="L108" s="102" t="s">
        <v>25596</v>
      </c>
      <c r="M108" s="102" t="s">
        <v>12</v>
      </c>
      <c r="N108" s="102">
        <v>450</v>
      </c>
      <c r="Q108" t="s">
        <v>27</v>
      </c>
      <c r="S108" t="str">
        <f t="shared" si="13"/>
        <v>80-933-06-57</v>
      </c>
      <c r="T108" s="129" t="s">
        <v>28344</v>
      </c>
      <c r="U108" s="112">
        <v>6</v>
      </c>
    </row>
    <row r="109" spans="1:21" x14ac:dyDescent="0.2">
      <c r="A109" s="102" t="s">
        <v>19588</v>
      </c>
      <c r="B109" s="102" t="s">
        <v>29609</v>
      </c>
      <c r="C109" s="102" t="s">
        <v>8</v>
      </c>
      <c r="D109" s="102" t="s">
        <v>25576</v>
      </c>
      <c r="E109" s="102" t="s">
        <v>25636</v>
      </c>
      <c r="F109" s="102" t="s">
        <v>91</v>
      </c>
      <c r="G109" s="102" t="s">
        <v>25636</v>
      </c>
      <c r="H109" s="102" t="s">
        <v>29715</v>
      </c>
      <c r="I109" s="102" t="s">
        <v>1</v>
      </c>
      <c r="J109" s="102" t="s">
        <v>0</v>
      </c>
      <c r="K109" s="102" t="s">
        <v>25677</v>
      </c>
      <c r="L109" s="102" t="s">
        <v>25596</v>
      </c>
      <c r="M109" s="102" t="s">
        <v>12</v>
      </c>
      <c r="N109" s="102">
        <v>450</v>
      </c>
      <c r="Q109" t="s">
        <v>1</v>
      </c>
      <c r="S109" t="str">
        <f t="shared" ref="S109:S110" si="14">A109&amp;"-"&amp;T109</f>
        <v>80-372-52-57</v>
      </c>
      <c r="T109" s="129" t="s">
        <v>28344</v>
      </c>
      <c r="U109" s="112">
        <v>5</v>
      </c>
    </row>
    <row r="110" spans="1:21" x14ac:dyDescent="0.2">
      <c r="A110" s="102" t="s">
        <v>21869</v>
      </c>
      <c r="B110" s="102" t="s">
        <v>29610</v>
      </c>
      <c r="C110" s="102" t="s">
        <v>49</v>
      </c>
      <c r="D110" s="102" t="s">
        <v>25567</v>
      </c>
      <c r="E110" s="102" t="s">
        <v>25636</v>
      </c>
      <c r="F110" s="102" t="s">
        <v>91</v>
      </c>
      <c r="G110" s="102" t="s">
        <v>25636</v>
      </c>
      <c r="H110" s="102" t="s">
        <v>29714</v>
      </c>
      <c r="I110" s="102" t="s">
        <v>23</v>
      </c>
      <c r="J110" s="102" t="s">
        <v>11</v>
      </c>
      <c r="K110" s="102" t="s">
        <v>29744</v>
      </c>
      <c r="L110" s="102" t="s">
        <v>25597</v>
      </c>
      <c r="M110" s="102" t="s">
        <v>12</v>
      </c>
      <c r="N110" s="102">
        <v>579.6</v>
      </c>
      <c r="Q110" t="s">
        <v>27</v>
      </c>
      <c r="S110" t="str">
        <f t="shared" si="14"/>
        <v>81-039-16-00</v>
      </c>
      <c r="T110" s="129" t="s">
        <v>25299</v>
      </c>
      <c r="U110" s="112">
        <v>3</v>
      </c>
    </row>
    <row r="111" spans="1:21" x14ac:dyDescent="0.2">
      <c r="A111" s="102" t="s">
        <v>21867</v>
      </c>
      <c r="B111" s="102" t="s">
        <v>29610</v>
      </c>
      <c r="C111" s="102" t="s">
        <v>49</v>
      </c>
      <c r="D111" s="102" t="s">
        <v>25567</v>
      </c>
      <c r="E111" s="102" t="s">
        <v>25636</v>
      </c>
      <c r="F111" s="102" t="s">
        <v>91</v>
      </c>
      <c r="G111" s="102" t="s">
        <v>25636</v>
      </c>
      <c r="H111" s="102" t="s">
        <v>29715</v>
      </c>
      <c r="I111" s="102" t="s">
        <v>1</v>
      </c>
      <c r="J111" s="102" t="s">
        <v>11</v>
      </c>
      <c r="K111" s="102" t="s">
        <v>29744</v>
      </c>
      <c r="L111" s="102" t="s">
        <v>25597</v>
      </c>
      <c r="M111" s="102" t="s">
        <v>12</v>
      </c>
      <c r="N111" s="102">
        <v>579.6</v>
      </c>
      <c r="Q111" t="s">
        <v>1</v>
      </c>
      <c r="S111" t="str">
        <f t="shared" ref="S111:S113" si="15">A111&amp;"-"&amp;T111</f>
        <v>81-039-09-00</v>
      </c>
      <c r="T111" s="129" t="s">
        <v>25299</v>
      </c>
      <c r="U111" s="112">
        <v>6</v>
      </c>
    </row>
    <row r="112" spans="1:21" x14ac:dyDescent="0.2">
      <c r="A112" s="102" t="s">
        <v>21865</v>
      </c>
      <c r="B112" s="102" t="s">
        <v>29611</v>
      </c>
      <c r="C112" s="102" t="s">
        <v>49</v>
      </c>
      <c r="D112" s="102" t="s">
        <v>25567</v>
      </c>
      <c r="E112" s="102" t="s">
        <v>25636</v>
      </c>
      <c r="F112" s="102" t="s">
        <v>91</v>
      </c>
      <c r="G112" s="102" t="s">
        <v>25636</v>
      </c>
      <c r="H112" s="102" t="s">
        <v>29714</v>
      </c>
      <c r="I112" s="102" t="s">
        <v>23</v>
      </c>
      <c r="J112" s="102" t="s">
        <v>11</v>
      </c>
      <c r="K112" s="102" t="s">
        <v>25678</v>
      </c>
      <c r="L112" s="102" t="s">
        <v>25597</v>
      </c>
      <c r="M112" s="102" t="s">
        <v>12</v>
      </c>
      <c r="N112" s="102">
        <v>579.6</v>
      </c>
      <c r="Q112" t="s">
        <v>27</v>
      </c>
      <c r="S112" t="str">
        <f t="shared" si="15"/>
        <v>81-038-16-00</v>
      </c>
      <c r="T112" s="129" t="s">
        <v>25299</v>
      </c>
      <c r="U112" s="112">
        <v>6</v>
      </c>
    </row>
    <row r="113" spans="1:21" x14ac:dyDescent="0.2">
      <c r="A113" s="102" t="s">
        <v>21863</v>
      </c>
      <c r="B113" s="102" t="s">
        <v>29611</v>
      </c>
      <c r="C113" s="102" t="s">
        <v>49</v>
      </c>
      <c r="D113" s="102" t="s">
        <v>25567</v>
      </c>
      <c r="E113" s="102" t="s">
        <v>25636</v>
      </c>
      <c r="F113" s="102" t="s">
        <v>91</v>
      </c>
      <c r="G113" s="102" t="s">
        <v>25636</v>
      </c>
      <c r="H113" s="102" t="s">
        <v>29715</v>
      </c>
      <c r="I113" s="102" t="s">
        <v>1</v>
      </c>
      <c r="J113" s="102" t="s">
        <v>11</v>
      </c>
      <c r="K113" s="102" t="s">
        <v>25678</v>
      </c>
      <c r="L113" s="102" t="s">
        <v>25597</v>
      </c>
      <c r="M113" s="102" t="s">
        <v>12</v>
      </c>
      <c r="N113" s="102">
        <v>579.6</v>
      </c>
      <c r="Q113" t="s">
        <v>1</v>
      </c>
      <c r="S113" t="str">
        <f t="shared" si="15"/>
        <v>81-038-09-00</v>
      </c>
      <c r="T113" s="129" t="s">
        <v>25299</v>
      </c>
      <c r="U113" s="112">
        <v>12</v>
      </c>
    </row>
    <row r="114" spans="1:21" x14ac:dyDescent="0.2">
      <c r="A114" s="102" t="s">
        <v>21793</v>
      </c>
      <c r="B114" s="102" t="s">
        <v>29612</v>
      </c>
      <c r="C114" s="102" t="s">
        <v>8</v>
      </c>
      <c r="D114" s="102" t="s">
        <v>21</v>
      </c>
      <c r="E114" s="102" t="s">
        <v>25636</v>
      </c>
      <c r="F114" s="102" t="s">
        <v>91</v>
      </c>
      <c r="G114" s="102" t="s">
        <v>25636</v>
      </c>
      <c r="H114" s="102" t="s">
        <v>29726</v>
      </c>
      <c r="I114" s="102" t="s">
        <v>26</v>
      </c>
      <c r="J114" s="102" t="s">
        <v>0</v>
      </c>
      <c r="K114" s="102" t="s">
        <v>25677</v>
      </c>
      <c r="L114" s="102" t="s">
        <v>25597</v>
      </c>
      <c r="M114" s="102" t="s">
        <v>12</v>
      </c>
      <c r="N114" s="102">
        <v>1457.1000000000001</v>
      </c>
      <c r="Q114" t="s">
        <v>28</v>
      </c>
      <c r="S114" t="str">
        <f t="shared" ref="S114:S124" si="16">A114&amp;"-"&amp;T114</f>
        <v>81-023-05-55</v>
      </c>
      <c r="T114" s="129" t="s">
        <v>28267</v>
      </c>
      <c r="U114" s="112">
        <v>6</v>
      </c>
    </row>
    <row r="115" spans="1:21" x14ac:dyDescent="0.2">
      <c r="A115" s="102" t="s">
        <v>21793</v>
      </c>
      <c r="B115" s="102" t="s">
        <v>29612</v>
      </c>
      <c r="C115" s="102" t="s">
        <v>8</v>
      </c>
      <c r="D115" s="102" t="s">
        <v>21</v>
      </c>
      <c r="E115" s="102" t="s">
        <v>25636</v>
      </c>
      <c r="F115" s="102" t="s">
        <v>91</v>
      </c>
      <c r="G115" s="102" t="s">
        <v>25636</v>
      </c>
      <c r="H115" s="102" t="s">
        <v>29726</v>
      </c>
      <c r="I115" s="102" t="s">
        <v>26</v>
      </c>
      <c r="J115" s="102" t="s">
        <v>0</v>
      </c>
      <c r="K115" s="102" t="s">
        <v>25677</v>
      </c>
      <c r="L115" s="102" t="s">
        <v>25597</v>
      </c>
      <c r="M115" s="102" t="s">
        <v>12</v>
      </c>
      <c r="N115" s="102">
        <v>1457.1000000000001</v>
      </c>
      <c r="Q115" t="s">
        <v>28</v>
      </c>
      <c r="S115" t="str">
        <f t="shared" si="16"/>
        <v>81-023-05-57</v>
      </c>
      <c r="T115" s="129" t="s">
        <v>28344</v>
      </c>
      <c r="U115" s="112">
        <v>11</v>
      </c>
    </row>
    <row r="116" spans="1:21" x14ac:dyDescent="0.2">
      <c r="A116" s="102" t="s">
        <v>21793</v>
      </c>
      <c r="B116" s="102" t="s">
        <v>29612</v>
      </c>
      <c r="C116" s="102" t="s">
        <v>8</v>
      </c>
      <c r="D116" s="102" t="s">
        <v>21</v>
      </c>
      <c r="E116" s="102" t="s">
        <v>25636</v>
      </c>
      <c r="F116" s="102" t="s">
        <v>91</v>
      </c>
      <c r="G116" s="102" t="s">
        <v>25636</v>
      </c>
      <c r="H116" s="102" t="s">
        <v>29726</v>
      </c>
      <c r="I116" s="102" t="s">
        <v>26</v>
      </c>
      <c r="J116" s="102" t="s">
        <v>0</v>
      </c>
      <c r="K116" s="102" t="s">
        <v>25677</v>
      </c>
      <c r="L116" s="102" t="s">
        <v>25597</v>
      </c>
      <c r="M116" s="102" t="s">
        <v>12</v>
      </c>
      <c r="N116" s="102">
        <v>1457.1000000000001</v>
      </c>
      <c r="Q116" t="s">
        <v>28</v>
      </c>
      <c r="S116" t="str">
        <f t="shared" si="16"/>
        <v>81-023-05-59</v>
      </c>
      <c r="T116" s="129" t="s">
        <v>28340</v>
      </c>
      <c r="U116" s="112">
        <v>22</v>
      </c>
    </row>
    <row r="117" spans="1:21" x14ac:dyDescent="0.2">
      <c r="A117" s="102" t="s">
        <v>21793</v>
      </c>
      <c r="B117" s="102" t="s">
        <v>29612</v>
      </c>
      <c r="C117" s="102" t="s">
        <v>8</v>
      </c>
      <c r="D117" s="102" t="s">
        <v>21</v>
      </c>
      <c r="E117" s="102" t="s">
        <v>25636</v>
      </c>
      <c r="F117" s="102" t="s">
        <v>91</v>
      </c>
      <c r="G117" s="102" t="s">
        <v>25636</v>
      </c>
      <c r="H117" s="102" t="s">
        <v>29726</v>
      </c>
      <c r="I117" s="102" t="s">
        <v>26</v>
      </c>
      <c r="J117" s="102" t="s">
        <v>0</v>
      </c>
      <c r="K117" s="102" t="s">
        <v>25677</v>
      </c>
      <c r="L117" s="102" t="s">
        <v>25597</v>
      </c>
      <c r="M117" s="102" t="s">
        <v>12</v>
      </c>
      <c r="N117" s="102">
        <v>1457.1000000000001</v>
      </c>
      <c r="Q117" t="s">
        <v>28</v>
      </c>
      <c r="S117" t="str">
        <f t="shared" si="16"/>
        <v>81-023-05-61</v>
      </c>
      <c r="T117" s="129" t="s">
        <v>28345</v>
      </c>
      <c r="U117" s="112">
        <v>16</v>
      </c>
    </row>
    <row r="118" spans="1:21" x14ac:dyDescent="0.2">
      <c r="A118" s="102" t="s">
        <v>21795</v>
      </c>
      <c r="B118" s="102" t="s">
        <v>29612</v>
      </c>
      <c r="C118" s="102" t="s">
        <v>8</v>
      </c>
      <c r="D118" s="102" t="s">
        <v>21</v>
      </c>
      <c r="E118" s="102" t="s">
        <v>25636</v>
      </c>
      <c r="F118" s="102" t="s">
        <v>91</v>
      </c>
      <c r="G118" s="102" t="s">
        <v>25636</v>
      </c>
      <c r="H118" s="102" t="s">
        <v>29717</v>
      </c>
      <c r="I118" s="102" t="s">
        <v>28</v>
      </c>
      <c r="J118" s="102" t="s">
        <v>0</v>
      </c>
      <c r="K118" s="102" t="s">
        <v>25677</v>
      </c>
      <c r="L118" s="102" t="s">
        <v>25598</v>
      </c>
      <c r="M118" s="102" t="s">
        <v>12</v>
      </c>
      <c r="N118" s="102">
        <v>1457.1000000000001</v>
      </c>
      <c r="Q118" t="s">
        <v>28</v>
      </c>
      <c r="S118" t="str">
        <f t="shared" si="16"/>
        <v>81-023-08-55</v>
      </c>
      <c r="T118" s="129" t="s">
        <v>28267</v>
      </c>
      <c r="U118" s="112">
        <v>3</v>
      </c>
    </row>
    <row r="119" spans="1:21" x14ac:dyDescent="0.2">
      <c r="A119" s="102" t="s">
        <v>21795</v>
      </c>
      <c r="B119" s="102" t="s">
        <v>29612</v>
      </c>
      <c r="C119" s="102" t="s">
        <v>8</v>
      </c>
      <c r="D119" s="102" t="s">
        <v>21</v>
      </c>
      <c r="E119" s="102" t="s">
        <v>25636</v>
      </c>
      <c r="F119" s="102" t="s">
        <v>91</v>
      </c>
      <c r="G119" s="102" t="s">
        <v>25636</v>
      </c>
      <c r="H119" s="102" t="s">
        <v>29717</v>
      </c>
      <c r="I119" s="102" t="s">
        <v>28</v>
      </c>
      <c r="J119" s="102" t="s">
        <v>0</v>
      </c>
      <c r="K119" s="102" t="s">
        <v>25677</v>
      </c>
      <c r="L119" s="102" t="s">
        <v>25598</v>
      </c>
      <c r="M119" s="102" t="s">
        <v>12</v>
      </c>
      <c r="N119" s="102">
        <v>1457.1000000000001</v>
      </c>
      <c r="Q119" t="s">
        <v>28</v>
      </c>
      <c r="S119" t="str">
        <f t="shared" si="16"/>
        <v>81-023-08-57</v>
      </c>
      <c r="T119" s="129" t="s">
        <v>28344</v>
      </c>
      <c r="U119" s="112">
        <v>8</v>
      </c>
    </row>
    <row r="120" spans="1:21" x14ac:dyDescent="0.2">
      <c r="A120" s="102" t="s">
        <v>21795</v>
      </c>
      <c r="B120" s="102" t="s">
        <v>29612</v>
      </c>
      <c r="C120" s="102" t="s">
        <v>8</v>
      </c>
      <c r="D120" s="102" t="s">
        <v>21</v>
      </c>
      <c r="E120" s="102" t="s">
        <v>25636</v>
      </c>
      <c r="F120" s="102" t="s">
        <v>91</v>
      </c>
      <c r="G120" s="102" t="s">
        <v>25636</v>
      </c>
      <c r="H120" s="102" t="s">
        <v>29717</v>
      </c>
      <c r="I120" s="102" t="s">
        <v>28</v>
      </c>
      <c r="J120" s="102" t="s">
        <v>0</v>
      </c>
      <c r="K120" s="102" t="s">
        <v>25677</v>
      </c>
      <c r="L120" s="102" t="s">
        <v>25598</v>
      </c>
      <c r="M120" s="102" t="s">
        <v>12</v>
      </c>
      <c r="N120" s="102">
        <v>1457.1000000000001</v>
      </c>
      <c r="Q120" t="s">
        <v>28</v>
      </c>
      <c r="S120" t="str">
        <f t="shared" si="16"/>
        <v>81-023-08-59</v>
      </c>
      <c r="T120" s="129" t="s">
        <v>28340</v>
      </c>
      <c r="U120" s="112">
        <v>11</v>
      </c>
    </row>
    <row r="121" spans="1:21" x14ac:dyDescent="0.2">
      <c r="A121" s="102" t="s">
        <v>21795</v>
      </c>
      <c r="B121" s="102" t="s">
        <v>29612</v>
      </c>
      <c r="C121" s="102" t="s">
        <v>8</v>
      </c>
      <c r="D121" s="102" t="s">
        <v>21</v>
      </c>
      <c r="E121" s="102" t="s">
        <v>25636</v>
      </c>
      <c r="F121" s="102" t="s">
        <v>91</v>
      </c>
      <c r="G121" s="102" t="s">
        <v>25636</v>
      </c>
      <c r="H121" s="102" t="s">
        <v>29717</v>
      </c>
      <c r="I121" s="102" t="s">
        <v>28</v>
      </c>
      <c r="J121" s="102" t="s">
        <v>0</v>
      </c>
      <c r="K121" s="102" t="s">
        <v>25677</v>
      </c>
      <c r="L121" s="102" t="s">
        <v>25598</v>
      </c>
      <c r="M121" s="102" t="s">
        <v>12</v>
      </c>
      <c r="N121" s="102">
        <v>1457.1000000000001</v>
      </c>
      <c r="Q121" t="s">
        <v>28</v>
      </c>
      <c r="S121" t="str">
        <f t="shared" si="16"/>
        <v>81-023-08-61</v>
      </c>
      <c r="T121" s="129" t="s">
        <v>28345</v>
      </c>
      <c r="U121" s="112">
        <v>8</v>
      </c>
    </row>
    <row r="122" spans="1:21" x14ac:dyDescent="0.2">
      <c r="A122" s="102" t="s">
        <v>21799</v>
      </c>
      <c r="B122" s="102" t="s">
        <v>29612</v>
      </c>
      <c r="C122" s="102" t="s">
        <v>8</v>
      </c>
      <c r="D122" s="102" t="s">
        <v>21</v>
      </c>
      <c r="E122" s="102" t="s">
        <v>25636</v>
      </c>
      <c r="F122" s="102" t="s">
        <v>91</v>
      </c>
      <c r="G122" s="102" t="s">
        <v>25636</v>
      </c>
      <c r="H122" s="102" t="s">
        <v>29720</v>
      </c>
      <c r="I122" s="102" t="s">
        <v>22</v>
      </c>
      <c r="J122" s="102" t="s">
        <v>0</v>
      </c>
      <c r="K122" s="102" t="s">
        <v>25677</v>
      </c>
      <c r="L122" s="102" t="s">
        <v>25597</v>
      </c>
      <c r="M122" s="102" t="s">
        <v>12</v>
      </c>
      <c r="N122" s="102">
        <v>1457.1000000000001</v>
      </c>
      <c r="Q122" t="s">
        <v>22</v>
      </c>
      <c r="S122" t="str">
        <f t="shared" si="16"/>
        <v>81-023-14-55</v>
      </c>
      <c r="T122" s="129" t="s">
        <v>28267</v>
      </c>
      <c r="U122" s="112">
        <v>3</v>
      </c>
    </row>
    <row r="123" spans="1:21" x14ac:dyDescent="0.2">
      <c r="A123" s="102" t="s">
        <v>21799</v>
      </c>
      <c r="B123" s="102" t="s">
        <v>29612</v>
      </c>
      <c r="C123" s="102" t="s">
        <v>8</v>
      </c>
      <c r="D123" s="102" t="s">
        <v>21</v>
      </c>
      <c r="E123" s="102" t="s">
        <v>25636</v>
      </c>
      <c r="F123" s="102" t="s">
        <v>91</v>
      </c>
      <c r="G123" s="102" t="s">
        <v>25636</v>
      </c>
      <c r="H123" s="102" t="s">
        <v>29720</v>
      </c>
      <c r="I123" s="102" t="s">
        <v>22</v>
      </c>
      <c r="J123" s="102" t="s">
        <v>0</v>
      </c>
      <c r="K123" s="102" t="s">
        <v>25677</v>
      </c>
      <c r="L123" s="102" t="s">
        <v>25597</v>
      </c>
      <c r="M123" s="102" t="s">
        <v>12</v>
      </c>
      <c r="N123" s="102">
        <v>1457.1000000000001</v>
      </c>
      <c r="Q123" t="s">
        <v>22</v>
      </c>
      <c r="S123" t="str">
        <f t="shared" si="16"/>
        <v>81-023-14-57</v>
      </c>
      <c r="T123" s="129" t="s">
        <v>28344</v>
      </c>
      <c r="U123" s="112">
        <v>6</v>
      </c>
    </row>
    <row r="124" spans="1:21" x14ac:dyDescent="0.2">
      <c r="A124" s="102" t="s">
        <v>21799</v>
      </c>
      <c r="B124" s="102" t="s">
        <v>29612</v>
      </c>
      <c r="C124" s="102" t="s">
        <v>8</v>
      </c>
      <c r="D124" s="102" t="s">
        <v>21</v>
      </c>
      <c r="E124" s="102" t="s">
        <v>25636</v>
      </c>
      <c r="F124" s="102" t="s">
        <v>91</v>
      </c>
      <c r="G124" s="102" t="s">
        <v>25636</v>
      </c>
      <c r="H124" s="102" t="s">
        <v>29720</v>
      </c>
      <c r="I124" s="102" t="s">
        <v>22</v>
      </c>
      <c r="J124" s="102" t="s">
        <v>0</v>
      </c>
      <c r="K124" s="102" t="s">
        <v>25677</v>
      </c>
      <c r="L124" s="102" t="s">
        <v>25597</v>
      </c>
      <c r="M124" s="102" t="s">
        <v>12</v>
      </c>
      <c r="N124" s="102">
        <v>1457.1000000000001</v>
      </c>
      <c r="Q124" t="s">
        <v>22</v>
      </c>
      <c r="S124" t="str">
        <f t="shared" si="16"/>
        <v>81-023-14-59</v>
      </c>
      <c r="T124" s="129" t="s">
        <v>28340</v>
      </c>
      <c r="U124" s="112">
        <v>9</v>
      </c>
    </row>
    <row r="125" spans="1:21" x14ac:dyDescent="0.2">
      <c r="A125" s="102" t="s">
        <v>21799</v>
      </c>
      <c r="B125" s="102" t="s">
        <v>29612</v>
      </c>
      <c r="C125" s="102" t="s">
        <v>8</v>
      </c>
      <c r="D125" s="102" t="s">
        <v>21</v>
      </c>
      <c r="E125" s="102" t="s">
        <v>25636</v>
      </c>
      <c r="F125" s="102" t="s">
        <v>91</v>
      </c>
      <c r="G125" s="102" t="s">
        <v>25636</v>
      </c>
      <c r="H125" s="102" t="s">
        <v>29720</v>
      </c>
      <c r="I125" s="102" t="s">
        <v>22</v>
      </c>
      <c r="J125" s="102" t="s">
        <v>0</v>
      </c>
      <c r="K125" s="102" t="s">
        <v>25677</v>
      </c>
      <c r="L125" s="102" t="s">
        <v>25597</v>
      </c>
      <c r="M125" s="102" t="s">
        <v>12</v>
      </c>
      <c r="N125" s="102">
        <v>1457.1000000000001</v>
      </c>
      <c r="Q125" t="s">
        <v>22</v>
      </c>
      <c r="S125" t="str">
        <f t="shared" ref="S125:S132" si="17">A125&amp;"-"&amp;T125</f>
        <v>81-023-14-61</v>
      </c>
      <c r="T125" s="129" t="s">
        <v>28345</v>
      </c>
      <c r="U125" s="112">
        <v>9</v>
      </c>
    </row>
    <row r="126" spans="1:21" x14ac:dyDescent="0.2">
      <c r="A126" s="102" t="s">
        <v>21791</v>
      </c>
      <c r="B126" s="102" t="s">
        <v>29613</v>
      </c>
      <c r="C126" s="102" t="s">
        <v>8</v>
      </c>
      <c r="D126" s="102" t="s">
        <v>21</v>
      </c>
      <c r="E126" s="102" t="s">
        <v>25636</v>
      </c>
      <c r="F126" s="102" t="s">
        <v>91</v>
      </c>
      <c r="G126" s="102" t="s">
        <v>25636</v>
      </c>
      <c r="H126" s="102" t="s">
        <v>29714</v>
      </c>
      <c r="I126" s="102" t="s">
        <v>23</v>
      </c>
      <c r="J126" s="102" t="s">
        <v>0</v>
      </c>
      <c r="K126" s="102" t="s">
        <v>25677</v>
      </c>
      <c r="L126" s="102" t="s">
        <v>25598</v>
      </c>
      <c r="M126" s="102" t="s">
        <v>12</v>
      </c>
      <c r="N126" s="102">
        <v>1281.5999999999999</v>
      </c>
      <c r="Q126" t="s">
        <v>27</v>
      </c>
      <c r="S126" t="str">
        <f t="shared" si="17"/>
        <v>81-022-16-57</v>
      </c>
      <c r="T126" s="129" t="s">
        <v>28344</v>
      </c>
      <c r="U126" s="112">
        <v>5</v>
      </c>
    </row>
    <row r="127" spans="1:21" x14ac:dyDescent="0.2">
      <c r="A127" s="102" t="s">
        <v>21791</v>
      </c>
      <c r="B127" s="102" t="s">
        <v>29613</v>
      </c>
      <c r="C127" s="102" t="s">
        <v>8</v>
      </c>
      <c r="D127" s="102" t="s">
        <v>21</v>
      </c>
      <c r="E127" s="102" t="s">
        <v>25636</v>
      </c>
      <c r="F127" s="102" t="s">
        <v>91</v>
      </c>
      <c r="G127" s="102" t="s">
        <v>25636</v>
      </c>
      <c r="H127" s="102" t="s">
        <v>29714</v>
      </c>
      <c r="I127" s="102" t="s">
        <v>23</v>
      </c>
      <c r="J127" s="102" t="s">
        <v>0</v>
      </c>
      <c r="K127" s="102" t="s">
        <v>25677</v>
      </c>
      <c r="L127" s="102" t="s">
        <v>25598</v>
      </c>
      <c r="M127" s="102" t="s">
        <v>12</v>
      </c>
      <c r="N127" s="102">
        <v>1281.5999999999999</v>
      </c>
      <c r="Q127" t="s">
        <v>27</v>
      </c>
      <c r="S127" t="str">
        <f t="shared" si="17"/>
        <v>81-022-16-59</v>
      </c>
      <c r="T127" s="129" t="s">
        <v>28340</v>
      </c>
      <c r="U127" s="112">
        <v>11</v>
      </c>
    </row>
    <row r="128" spans="1:21" x14ac:dyDescent="0.2">
      <c r="A128" s="102" t="s">
        <v>21791</v>
      </c>
      <c r="B128" s="102" t="s">
        <v>29613</v>
      </c>
      <c r="C128" s="102" t="s">
        <v>8</v>
      </c>
      <c r="D128" s="102" t="s">
        <v>21</v>
      </c>
      <c r="E128" s="102" t="s">
        <v>25636</v>
      </c>
      <c r="F128" s="102" t="s">
        <v>91</v>
      </c>
      <c r="G128" s="102" t="s">
        <v>25636</v>
      </c>
      <c r="H128" s="102" t="s">
        <v>29714</v>
      </c>
      <c r="I128" s="102" t="s">
        <v>23</v>
      </c>
      <c r="J128" s="102" t="s">
        <v>0</v>
      </c>
      <c r="K128" s="102" t="s">
        <v>25677</v>
      </c>
      <c r="L128" s="102" t="s">
        <v>25598</v>
      </c>
      <c r="M128" s="102" t="s">
        <v>12</v>
      </c>
      <c r="N128" s="102">
        <v>1281.5999999999999</v>
      </c>
      <c r="Q128" t="s">
        <v>27</v>
      </c>
      <c r="S128" t="str">
        <f t="shared" si="17"/>
        <v>81-022-16-61</v>
      </c>
      <c r="T128" s="129" t="s">
        <v>28345</v>
      </c>
      <c r="U128" s="112">
        <v>4</v>
      </c>
    </row>
    <row r="129" spans="1:21" x14ac:dyDescent="0.2">
      <c r="A129" s="102" t="s">
        <v>21787</v>
      </c>
      <c r="B129" s="102" t="s">
        <v>29613</v>
      </c>
      <c r="C129" s="102" t="s">
        <v>8</v>
      </c>
      <c r="D129" s="102" t="s">
        <v>21</v>
      </c>
      <c r="E129" s="102" t="s">
        <v>25636</v>
      </c>
      <c r="F129" s="102" t="s">
        <v>91</v>
      </c>
      <c r="G129" s="102" t="s">
        <v>25636</v>
      </c>
      <c r="H129" s="102" t="s">
        <v>29715</v>
      </c>
      <c r="I129" s="102" t="s">
        <v>1</v>
      </c>
      <c r="J129" s="102" t="s">
        <v>0</v>
      </c>
      <c r="K129" s="102" t="s">
        <v>25677</v>
      </c>
      <c r="L129" s="102" t="s">
        <v>25598</v>
      </c>
      <c r="M129" s="102" t="s">
        <v>12</v>
      </c>
      <c r="N129" s="102">
        <v>1281.5999999999999</v>
      </c>
      <c r="Q129" t="s">
        <v>1</v>
      </c>
      <c r="S129" t="str">
        <f t="shared" si="17"/>
        <v>81-022-09-55</v>
      </c>
      <c r="T129" s="129" t="s">
        <v>28267</v>
      </c>
      <c r="U129" s="112">
        <v>4</v>
      </c>
    </row>
    <row r="130" spans="1:21" x14ac:dyDescent="0.2">
      <c r="A130" s="102" t="s">
        <v>21787</v>
      </c>
      <c r="B130" s="102" t="s">
        <v>29613</v>
      </c>
      <c r="C130" s="102" t="s">
        <v>8</v>
      </c>
      <c r="D130" s="102" t="s">
        <v>21</v>
      </c>
      <c r="E130" s="102" t="s">
        <v>25636</v>
      </c>
      <c r="F130" s="102" t="s">
        <v>91</v>
      </c>
      <c r="G130" s="102" t="s">
        <v>25636</v>
      </c>
      <c r="H130" s="102" t="s">
        <v>29715</v>
      </c>
      <c r="I130" s="102" t="s">
        <v>1</v>
      </c>
      <c r="J130" s="102" t="s">
        <v>0</v>
      </c>
      <c r="K130" s="102" t="s">
        <v>25677</v>
      </c>
      <c r="L130" s="102" t="s">
        <v>25598</v>
      </c>
      <c r="M130" s="102" t="s">
        <v>12</v>
      </c>
      <c r="N130" s="102">
        <v>1281.5999999999999</v>
      </c>
      <c r="Q130" t="s">
        <v>1</v>
      </c>
      <c r="S130" t="str">
        <f t="shared" si="17"/>
        <v>81-022-09-57</v>
      </c>
      <c r="T130" s="129" t="s">
        <v>28344</v>
      </c>
      <c r="U130" s="112">
        <v>17</v>
      </c>
    </row>
    <row r="131" spans="1:21" x14ac:dyDescent="0.2">
      <c r="A131" s="102" t="s">
        <v>21787</v>
      </c>
      <c r="B131" s="102" t="s">
        <v>29613</v>
      </c>
      <c r="C131" s="102" t="s">
        <v>8</v>
      </c>
      <c r="D131" s="102" t="s">
        <v>21</v>
      </c>
      <c r="E131" s="102" t="s">
        <v>25636</v>
      </c>
      <c r="F131" s="102" t="s">
        <v>91</v>
      </c>
      <c r="G131" s="102" t="s">
        <v>25636</v>
      </c>
      <c r="H131" s="102" t="s">
        <v>29715</v>
      </c>
      <c r="I131" s="102" t="s">
        <v>1</v>
      </c>
      <c r="J131" s="102" t="s">
        <v>0</v>
      </c>
      <c r="K131" s="102" t="s">
        <v>25677</v>
      </c>
      <c r="L131" s="102" t="s">
        <v>25598</v>
      </c>
      <c r="M131" s="102" t="s">
        <v>12</v>
      </c>
      <c r="N131" s="102">
        <v>1281.5999999999999</v>
      </c>
      <c r="Q131" t="s">
        <v>1</v>
      </c>
      <c r="S131" t="str">
        <f t="shared" si="17"/>
        <v>81-022-09-59</v>
      </c>
      <c r="T131" s="129" t="s">
        <v>28340</v>
      </c>
      <c r="U131" s="112">
        <v>19</v>
      </c>
    </row>
    <row r="132" spans="1:21" x14ac:dyDescent="0.2">
      <c r="A132" s="102" t="s">
        <v>21787</v>
      </c>
      <c r="B132" s="102" t="s">
        <v>29613</v>
      </c>
      <c r="C132" s="102" t="s">
        <v>8</v>
      </c>
      <c r="D132" s="102" t="s">
        <v>21</v>
      </c>
      <c r="E132" s="102" t="s">
        <v>25636</v>
      </c>
      <c r="F132" s="102" t="s">
        <v>91</v>
      </c>
      <c r="G132" s="102" t="s">
        <v>25636</v>
      </c>
      <c r="H132" s="102" t="s">
        <v>29715</v>
      </c>
      <c r="I132" s="102" t="s">
        <v>1</v>
      </c>
      <c r="J132" s="102" t="s">
        <v>0</v>
      </c>
      <c r="K132" s="102" t="s">
        <v>25677</v>
      </c>
      <c r="L132" s="102" t="s">
        <v>25598</v>
      </c>
      <c r="M132" s="102" t="s">
        <v>12</v>
      </c>
      <c r="N132" s="102">
        <v>1281.5999999999999</v>
      </c>
      <c r="Q132" t="s">
        <v>1</v>
      </c>
      <c r="S132" t="str">
        <f t="shared" si="17"/>
        <v>81-022-09-61</v>
      </c>
      <c r="T132" s="129" t="s">
        <v>28345</v>
      </c>
      <c r="U132" s="112">
        <v>14</v>
      </c>
    </row>
    <row r="133" spans="1:21" x14ac:dyDescent="0.2">
      <c r="A133" s="102" t="s">
        <v>21789</v>
      </c>
      <c r="B133" s="102" t="s">
        <v>29613</v>
      </c>
      <c r="C133" s="102" t="s">
        <v>8</v>
      </c>
      <c r="D133" s="102" t="s">
        <v>21</v>
      </c>
      <c r="E133" s="102" t="s">
        <v>25636</v>
      </c>
      <c r="F133" s="102" t="s">
        <v>91</v>
      </c>
      <c r="G133" s="102" t="s">
        <v>25636</v>
      </c>
      <c r="H133" s="102" t="s">
        <v>29718</v>
      </c>
      <c r="I133" s="102" t="s">
        <v>54</v>
      </c>
      <c r="J133" s="102" t="s">
        <v>0</v>
      </c>
      <c r="K133" s="102" t="s">
        <v>25677</v>
      </c>
      <c r="L133" s="102" t="s">
        <v>25598</v>
      </c>
      <c r="M133" s="102" t="s">
        <v>12</v>
      </c>
      <c r="N133" s="102">
        <v>1281.5999999999999</v>
      </c>
      <c r="Q133" t="s">
        <v>54</v>
      </c>
      <c r="S133" t="str">
        <f t="shared" ref="S133:S143" si="18">A133&amp;"-"&amp;T133</f>
        <v>81-022-11-55</v>
      </c>
      <c r="T133" s="129" t="s">
        <v>28267</v>
      </c>
      <c r="U133" s="112">
        <v>2</v>
      </c>
    </row>
    <row r="134" spans="1:21" x14ac:dyDescent="0.2">
      <c r="A134" s="102" t="s">
        <v>21789</v>
      </c>
      <c r="B134" s="102" t="s">
        <v>29613</v>
      </c>
      <c r="C134" s="102" t="s">
        <v>8</v>
      </c>
      <c r="D134" s="102" t="s">
        <v>21</v>
      </c>
      <c r="E134" s="102" t="s">
        <v>25636</v>
      </c>
      <c r="F134" s="102" t="s">
        <v>91</v>
      </c>
      <c r="G134" s="102" t="s">
        <v>25636</v>
      </c>
      <c r="H134" s="102" t="s">
        <v>29718</v>
      </c>
      <c r="I134" s="102" t="s">
        <v>54</v>
      </c>
      <c r="J134" s="102" t="s">
        <v>0</v>
      </c>
      <c r="K134" s="102" t="s">
        <v>25677</v>
      </c>
      <c r="L134" s="102" t="s">
        <v>25598</v>
      </c>
      <c r="M134" s="102" t="s">
        <v>12</v>
      </c>
      <c r="N134" s="102">
        <v>1281.5999999999999</v>
      </c>
      <c r="Q134" t="s">
        <v>54</v>
      </c>
      <c r="S134" t="str">
        <f t="shared" si="18"/>
        <v>81-022-11-57</v>
      </c>
      <c r="T134" s="129" t="s">
        <v>28344</v>
      </c>
      <c r="U134" s="112">
        <v>2</v>
      </c>
    </row>
    <row r="135" spans="1:21" x14ac:dyDescent="0.2">
      <c r="A135" s="102" t="s">
        <v>21789</v>
      </c>
      <c r="B135" s="102" t="s">
        <v>29613</v>
      </c>
      <c r="C135" s="102" t="s">
        <v>8</v>
      </c>
      <c r="D135" s="102" t="s">
        <v>21</v>
      </c>
      <c r="E135" s="102" t="s">
        <v>25636</v>
      </c>
      <c r="F135" s="102" t="s">
        <v>91</v>
      </c>
      <c r="G135" s="102" t="s">
        <v>25636</v>
      </c>
      <c r="H135" s="102" t="s">
        <v>29718</v>
      </c>
      <c r="I135" s="102" t="s">
        <v>54</v>
      </c>
      <c r="J135" s="102" t="s">
        <v>0</v>
      </c>
      <c r="K135" s="102" t="s">
        <v>25677</v>
      </c>
      <c r="L135" s="102" t="s">
        <v>25598</v>
      </c>
      <c r="M135" s="102" t="s">
        <v>12</v>
      </c>
      <c r="N135" s="102">
        <v>1281.5999999999999</v>
      </c>
      <c r="Q135" t="s">
        <v>54</v>
      </c>
      <c r="S135" t="str">
        <f t="shared" si="18"/>
        <v>81-022-11-59</v>
      </c>
      <c r="T135" s="129" t="s">
        <v>28340</v>
      </c>
      <c r="U135" s="112">
        <v>7</v>
      </c>
    </row>
    <row r="136" spans="1:21" x14ac:dyDescent="0.2">
      <c r="A136" s="102" t="s">
        <v>21789</v>
      </c>
      <c r="B136" s="102" t="s">
        <v>29613</v>
      </c>
      <c r="C136" s="102" t="s">
        <v>8</v>
      </c>
      <c r="D136" s="102" t="s">
        <v>21</v>
      </c>
      <c r="E136" s="102" t="s">
        <v>25636</v>
      </c>
      <c r="F136" s="102" t="s">
        <v>91</v>
      </c>
      <c r="G136" s="102" t="s">
        <v>25636</v>
      </c>
      <c r="H136" s="102" t="s">
        <v>29718</v>
      </c>
      <c r="I136" s="102" t="s">
        <v>54</v>
      </c>
      <c r="J136" s="102" t="s">
        <v>0</v>
      </c>
      <c r="K136" s="102" t="s">
        <v>25677</v>
      </c>
      <c r="L136" s="102" t="s">
        <v>25598</v>
      </c>
      <c r="M136" s="102" t="s">
        <v>12</v>
      </c>
      <c r="N136" s="102">
        <v>1281.5999999999999</v>
      </c>
      <c r="Q136" t="s">
        <v>54</v>
      </c>
      <c r="S136" t="str">
        <f t="shared" si="18"/>
        <v>81-022-11-61</v>
      </c>
      <c r="T136" s="129" t="s">
        <v>28345</v>
      </c>
      <c r="U136" s="112">
        <v>6</v>
      </c>
    </row>
    <row r="137" spans="1:21" x14ac:dyDescent="0.2">
      <c r="A137" s="102" t="s">
        <v>19570</v>
      </c>
      <c r="B137" s="102" t="s">
        <v>29614</v>
      </c>
      <c r="C137" s="102" t="s">
        <v>8</v>
      </c>
      <c r="D137" s="102" t="s">
        <v>21</v>
      </c>
      <c r="E137" s="102" t="s">
        <v>25636</v>
      </c>
      <c r="F137" s="102" t="s">
        <v>91</v>
      </c>
      <c r="G137" s="102" t="s">
        <v>25636</v>
      </c>
      <c r="H137" s="102" t="s">
        <v>29727</v>
      </c>
      <c r="I137" s="102" t="s">
        <v>26</v>
      </c>
      <c r="J137" s="102" t="s">
        <v>0</v>
      </c>
      <c r="K137" s="102" t="s">
        <v>25677</v>
      </c>
      <c r="L137" s="102" t="s">
        <v>25596</v>
      </c>
      <c r="M137" s="102" t="s">
        <v>12</v>
      </c>
      <c r="N137" s="102">
        <v>1398.6</v>
      </c>
      <c r="Q137" t="s">
        <v>28</v>
      </c>
      <c r="S137" t="str">
        <f t="shared" si="18"/>
        <v>80-369-05-55</v>
      </c>
      <c r="T137" s="129" t="s">
        <v>28267</v>
      </c>
      <c r="U137" s="112">
        <v>7</v>
      </c>
    </row>
    <row r="138" spans="1:21" x14ac:dyDescent="0.2">
      <c r="A138" s="102" t="s">
        <v>19570</v>
      </c>
      <c r="B138" s="102" t="s">
        <v>29614</v>
      </c>
      <c r="C138" s="102" t="s">
        <v>8</v>
      </c>
      <c r="D138" s="102" t="s">
        <v>21</v>
      </c>
      <c r="E138" s="102" t="s">
        <v>25636</v>
      </c>
      <c r="F138" s="102" t="s">
        <v>91</v>
      </c>
      <c r="G138" s="102" t="s">
        <v>25636</v>
      </c>
      <c r="H138" s="102" t="s">
        <v>29727</v>
      </c>
      <c r="I138" s="102" t="s">
        <v>26</v>
      </c>
      <c r="J138" s="102" t="s">
        <v>0</v>
      </c>
      <c r="K138" s="102" t="s">
        <v>25677</v>
      </c>
      <c r="L138" s="102" t="s">
        <v>25596</v>
      </c>
      <c r="M138" s="102" t="s">
        <v>12</v>
      </c>
      <c r="N138" s="102">
        <v>1398.6</v>
      </c>
      <c r="Q138" t="s">
        <v>28</v>
      </c>
      <c r="S138" t="str">
        <f t="shared" si="18"/>
        <v>80-369-05-57</v>
      </c>
      <c r="T138" s="129" t="s">
        <v>28344</v>
      </c>
      <c r="U138" s="112">
        <v>9</v>
      </c>
    </row>
    <row r="139" spans="1:21" x14ac:dyDescent="0.2">
      <c r="A139" s="102" t="s">
        <v>19570</v>
      </c>
      <c r="B139" s="102" t="s">
        <v>29614</v>
      </c>
      <c r="C139" s="102" t="s">
        <v>8</v>
      </c>
      <c r="D139" s="102" t="s">
        <v>21</v>
      </c>
      <c r="E139" s="102" t="s">
        <v>25636</v>
      </c>
      <c r="F139" s="102" t="s">
        <v>91</v>
      </c>
      <c r="G139" s="102" t="s">
        <v>25636</v>
      </c>
      <c r="H139" s="102" t="s">
        <v>29727</v>
      </c>
      <c r="I139" s="102" t="s">
        <v>26</v>
      </c>
      <c r="J139" s="102" t="s">
        <v>0</v>
      </c>
      <c r="K139" s="102" t="s">
        <v>25677</v>
      </c>
      <c r="L139" s="102" t="s">
        <v>25596</v>
      </c>
      <c r="M139" s="102" t="s">
        <v>12</v>
      </c>
      <c r="N139" s="102">
        <v>1398.6</v>
      </c>
      <c r="Q139" t="s">
        <v>28</v>
      </c>
      <c r="S139" t="str">
        <f t="shared" si="18"/>
        <v>80-369-05-59</v>
      </c>
      <c r="T139" s="129" t="s">
        <v>28340</v>
      </c>
      <c r="U139" s="112">
        <v>8</v>
      </c>
    </row>
    <row r="140" spans="1:21" x14ac:dyDescent="0.2">
      <c r="A140" s="102" t="s">
        <v>19570</v>
      </c>
      <c r="B140" s="102" t="s">
        <v>29614</v>
      </c>
      <c r="C140" s="102" t="s">
        <v>8</v>
      </c>
      <c r="D140" s="102" t="s">
        <v>21</v>
      </c>
      <c r="E140" s="102" t="s">
        <v>25636</v>
      </c>
      <c r="F140" s="102" t="s">
        <v>91</v>
      </c>
      <c r="G140" s="102" t="s">
        <v>25636</v>
      </c>
      <c r="H140" s="102" t="s">
        <v>29727</v>
      </c>
      <c r="I140" s="102" t="s">
        <v>26</v>
      </c>
      <c r="J140" s="102" t="s">
        <v>0</v>
      </c>
      <c r="K140" s="102" t="s">
        <v>25677</v>
      </c>
      <c r="L140" s="102" t="s">
        <v>25596</v>
      </c>
      <c r="M140" s="102" t="s">
        <v>12</v>
      </c>
      <c r="N140" s="102">
        <v>1398.6</v>
      </c>
      <c r="Q140" t="s">
        <v>28</v>
      </c>
      <c r="S140" t="str">
        <f t="shared" si="18"/>
        <v>80-369-05-61</v>
      </c>
      <c r="T140" s="129" t="s">
        <v>28345</v>
      </c>
      <c r="U140" s="112">
        <v>2</v>
      </c>
    </row>
    <row r="141" spans="1:21" x14ac:dyDescent="0.2">
      <c r="A141" s="102" t="s">
        <v>19582</v>
      </c>
      <c r="B141" s="102" t="s">
        <v>29614</v>
      </c>
      <c r="C141" s="102" t="s">
        <v>8</v>
      </c>
      <c r="D141" s="102" t="s">
        <v>21</v>
      </c>
      <c r="E141" s="102" t="s">
        <v>25636</v>
      </c>
      <c r="F141" s="102" t="s">
        <v>91</v>
      </c>
      <c r="G141" s="102" t="s">
        <v>25636</v>
      </c>
      <c r="H141" s="102" t="s">
        <v>29722</v>
      </c>
      <c r="I141" s="102" t="s">
        <v>25362</v>
      </c>
      <c r="J141" s="102" t="s">
        <v>0</v>
      </c>
      <c r="K141" s="102" t="s">
        <v>25677</v>
      </c>
      <c r="L141" s="102" t="s">
        <v>25596</v>
      </c>
      <c r="M141" s="102" t="s">
        <v>12</v>
      </c>
      <c r="N141" s="102">
        <v>1398.6</v>
      </c>
      <c r="Q141" t="s">
        <v>100</v>
      </c>
      <c r="S141" t="str">
        <f t="shared" si="18"/>
        <v>80-369-50-55</v>
      </c>
      <c r="T141" s="129" t="s">
        <v>28267</v>
      </c>
      <c r="U141" s="112">
        <v>7</v>
      </c>
    </row>
    <row r="142" spans="1:21" x14ac:dyDescent="0.2">
      <c r="A142" s="102" t="s">
        <v>19582</v>
      </c>
      <c r="B142" s="102" t="s">
        <v>29614</v>
      </c>
      <c r="C142" s="102" t="s">
        <v>8</v>
      </c>
      <c r="D142" s="102" t="s">
        <v>21</v>
      </c>
      <c r="E142" s="102" t="s">
        <v>25636</v>
      </c>
      <c r="F142" s="102" t="s">
        <v>91</v>
      </c>
      <c r="G142" s="102" t="s">
        <v>25636</v>
      </c>
      <c r="H142" s="102" t="s">
        <v>29722</v>
      </c>
      <c r="I142" s="102" t="s">
        <v>25362</v>
      </c>
      <c r="J142" s="102" t="s">
        <v>0</v>
      </c>
      <c r="K142" s="102" t="s">
        <v>25677</v>
      </c>
      <c r="L142" s="102" t="s">
        <v>25596</v>
      </c>
      <c r="M142" s="102" t="s">
        <v>12</v>
      </c>
      <c r="N142" s="102">
        <v>1398.6</v>
      </c>
      <c r="Q142" t="s">
        <v>100</v>
      </c>
      <c r="S142" t="str">
        <f t="shared" si="18"/>
        <v>80-369-50-57</v>
      </c>
      <c r="T142" s="129" t="s">
        <v>28344</v>
      </c>
      <c r="U142" s="112">
        <v>6</v>
      </c>
    </row>
    <row r="143" spans="1:21" x14ac:dyDescent="0.2">
      <c r="A143" s="102" t="s">
        <v>19582</v>
      </c>
      <c r="B143" s="102" t="s">
        <v>29614</v>
      </c>
      <c r="C143" s="102" t="s">
        <v>8</v>
      </c>
      <c r="D143" s="102" t="s">
        <v>21</v>
      </c>
      <c r="E143" s="102" t="s">
        <v>25636</v>
      </c>
      <c r="F143" s="102" t="s">
        <v>91</v>
      </c>
      <c r="G143" s="102" t="s">
        <v>25636</v>
      </c>
      <c r="H143" s="102" t="s">
        <v>29722</v>
      </c>
      <c r="I143" s="102" t="s">
        <v>25362</v>
      </c>
      <c r="J143" s="102" t="s">
        <v>0</v>
      </c>
      <c r="K143" s="102" t="s">
        <v>25677</v>
      </c>
      <c r="L143" s="102" t="s">
        <v>25596</v>
      </c>
      <c r="M143" s="102" t="s">
        <v>12</v>
      </c>
      <c r="N143" s="102">
        <v>1398.6</v>
      </c>
      <c r="Q143" t="s">
        <v>100</v>
      </c>
      <c r="S143" t="str">
        <f t="shared" si="18"/>
        <v>80-369-50-59</v>
      </c>
      <c r="T143" s="129" t="s">
        <v>28340</v>
      </c>
      <c r="U143" s="112">
        <v>1</v>
      </c>
    </row>
    <row r="144" spans="1:21" x14ac:dyDescent="0.2">
      <c r="A144" s="102" t="s">
        <v>19572</v>
      </c>
      <c r="B144" s="102" t="s">
        <v>29614</v>
      </c>
      <c r="C144" s="102" t="s">
        <v>8</v>
      </c>
      <c r="D144" s="102" t="s">
        <v>21</v>
      </c>
      <c r="E144" s="102" t="s">
        <v>25636</v>
      </c>
      <c r="F144" s="102" t="s">
        <v>91</v>
      </c>
      <c r="G144" s="102" t="s">
        <v>25636</v>
      </c>
      <c r="H144" s="102" t="s">
        <v>29716</v>
      </c>
      <c r="I144" s="102" t="s">
        <v>27</v>
      </c>
      <c r="J144" s="102" t="s">
        <v>0</v>
      </c>
      <c r="K144" s="102" t="s">
        <v>25677</v>
      </c>
      <c r="L144" s="102" t="s">
        <v>25596</v>
      </c>
      <c r="M144" s="102" t="s">
        <v>12</v>
      </c>
      <c r="N144" s="102">
        <v>1398.6</v>
      </c>
      <c r="Q144" t="s">
        <v>27</v>
      </c>
      <c r="S144" t="str">
        <f t="shared" ref="S144:S151" si="19">A144&amp;"-"&amp;T144</f>
        <v>80-369-06-57</v>
      </c>
      <c r="T144" s="129" t="s">
        <v>28344</v>
      </c>
      <c r="U144" s="112">
        <v>5</v>
      </c>
    </row>
    <row r="145" spans="1:21" x14ac:dyDescent="0.2">
      <c r="A145" s="102" t="s">
        <v>19572</v>
      </c>
      <c r="B145" s="102" t="s">
        <v>29614</v>
      </c>
      <c r="C145" s="102" t="s">
        <v>8</v>
      </c>
      <c r="D145" s="102" t="s">
        <v>21</v>
      </c>
      <c r="E145" s="102" t="s">
        <v>25636</v>
      </c>
      <c r="F145" s="102" t="s">
        <v>91</v>
      </c>
      <c r="G145" s="102" t="s">
        <v>25636</v>
      </c>
      <c r="H145" s="102" t="s">
        <v>29716</v>
      </c>
      <c r="I145" s="102" t="s">
        <v>27</v>
      </c>
      <c r="J145" s="102" t="s">
        <v>0</v>
      </c>
      <c r="K145" s="102" t="s">
        <v>25677</v>
      </c>
      <c r="L145" s="102" t="s">
        <v>25596</v>
      </c>
      <c r="M145" s="102" t="s">
        <v>12</v>
      </c>
      <c r="N145" s="102">
        <v>1398.6</v>
      </c>
      <c r="Q145" t="s">
        <v>27</v>
      </c>
      <c r="S145" t="str">
        <f t="shared" si="19"/>
        <v>80-369-06-59</v>
      </c>
      <c r="T145" s="129" t="s">
        <v>28340</v>
      </c>
      <c r="U145" s="112">
        <v>3</v>
      </c>
    </row>
    <row r="146" spans="1:21" x14ac:dyDescent="0.2">
      <c r="A146" s="102" t="s">
        <v>19574</v>
      </c>
      <c r="B146" s="102" t="s">
        <v>29614</v>
      </c>
      <c r="C146" s="102" t="s">
        <v>8</v>
      </c>
      <c r="D146" s="102" t="s">
        <v>21</v>
      </c>
      <c r="E146" s="102" t="s">
        <v>25636</v>
      </c>
      <c r="F146" s="102" t="s">
        <v>91</v>
      </c>
      <c r="G146" s="102" t="s">
        <v>25636</v>
      </c>
      <c r="H146" s="102" t="s">
        <v>29717</v>
      </c>
      <c r="I146" s="102" t="s">
        <v>28</v>
      </c>
      <c r="J146" s="102" t="s">
        <v>0</v>
      </c>
      <c r="K146" s="102" t="s">
        <v>25677</v>
      </c>
      <c r="L146" s="102" t="s">
        <v>25596</v>
      </c>
      <c r="M146" s="102" t="s">
        <v>12</v>
      </c>
      <c r="N146" s="102">
        <v>1398.6</v>
      </c>
      <c r="Q146" t="s">
        <v>28</v>
      </c>
      <c r="S146" t="str">
        <f t="shared" si="19"/>
        <v>80-369-08-55</v>
      </c>
      <c r="T146" s="129" t="s">
        <v>28267</v>
      </c>
      <c r="U146" s="112">
        <v>5</v>
      </c>
    </row>
    <row r="147" spans="1:21" x14ac:dyDescent="0.2">
      <c r="A147" s="102" t="s">
        <v>19574</v>
      </c>
      <c r="B147" s="102" t="s">
        <v>29614</v>
      </c>
      <c r="C147" s="102" t="s">
        <v>8</v>
      </c>
      <c r="D147" s="102" t="s">
        <v>21</v>
      </c>
      <c r="E147" s="102" t="s">
        <v>25636</v>
      </c>
      <c r="F147" s="102" t="s">
        <v>91</v>
      </c>
      <c r="G147" s="102" t="s">
        <v>25636</v>
      </c>
      <c r="H147" s="102" t="s">
        <v>29717</v>
      </c>
      <c r="I147" s="102" t="s">
        <v>28</v>
      </c>
      <c r="J147" s="102" t="s">
        <v>0</v>
      </c>
      <c r="K147" s="102" t="s">
        <v>25677</v>
      </c>
      <c r="L147" s="102" t="s">
        <v>25596</v>
      </c>
      <c r="M147" s="102" t="s">
        <v>12</v>
      </c>
      <c r="N147" s="102">
        <v>1398.6</v>
      </c>
      <c r="Q147" t="s">
        <v>28</v>
      </c>
      <c r="S147" t="str">
        <f t="shared" si="19"/>
        <v>80-369-08-57</v>
      </c>
      <c r="T147" s="129" t="s">
        <v>28344</v>
      </c>
      <c r="U147" s="112">
        <v>5</v>
      </c>
    </row>
    <row r="148" spans="1:21" x14ac:dyDescent="0.2">
      <c r="A148" s="102" t="s">
        <v>19574</v>
      </c>
      <c r="B148" s="102" t="s">
        <v>29614</v>
      </c>
      <c r="C148" s="102" t="s">
        <v>8</v>
      </c>
      <c r="D148" s="102" t="s">
        <v>21</v>
      </c>
      <c r="E148" s="102" t="s">
        <v>25636</v>
      </c>
      <c r="F148" s="102" t="s">
        <v>91</v>
      </c>
      <c r="G148" s="102" t="s">
        <v>25636</v>
      </c>
      <c r="H148" s="102" t="s">
        <v>29717</v>
      </c>
      <c r="I148" s="102" t="s">
        <v>28</v>
      </c>
      <c r="J148" s="102" t="s">
        <v>0</v>
      </c>
      <c r="K148" s="102" t="s">
        <v>25677</v>
      </c>
      <c r="L148" s="102" t="s">
        <v>25596</v>
      </c>
      <c r="M148" s="102" t="s">
        <v>12</v>
      </c>
      <c r="N148" s="102">
        <v>1398.6</v>
      </c>
      <c r="Q148" t="s">
        <v>28</v>
      </c>
      <c r="S148" t="str">
        <f t="shared" si="19"/>
        <v>80-369-08-59</v>
      </c>
      <c r="T148" s="129" t="s">
        <v>28340</v>
      </c>
      <c r="U148" s="112">
        <v>5</v>
      </c>
    </row>
    <row r="149" spans="1:21" x14ac:dyDescent="0.2">
      <c r="A149" s="102" t="s">
        <v>19580</v>
      </c>
      <c r="B149" s="102" t="s">
        <v>29614</v>
      </c>
      <c r="C149" s="102" t="s">
        <v>8</v>
      </c>
      <c r="D149" s="102" t="s">
        <v>21</v>
      </c>
      <c r="E149" s="102" t="s">
        <v>25636</v>
      </c>
      <c r="F149" s="102" t="s">
        <v>91</v>
      </c>
      <c r="G149" s="102" t="s">
        <v>25636</v>
      </c>
      <c r="H149" s="102" t="s">
        <v>29728</v>
      </c>
      <c r="I149" s="102" t="s">
        <v>220</v>
      </c>
      <c r="J149" s="102" t="s">
        <v>0</v>
      </c>
      <c r="K149" s="102" t="s">
        <v>25677</v>
      </c>
      <c r="L149" s="102" t="s">
        <v>25596</v>
      </c>
      <c r="M149" s="102" t="s">
        <v>12</v>
      </c>
      <c r="N149" s="102">
        <v>1398.6</v>
      </c>
      <c r="Q149" t="s">
        <v>220</v>
      </c>
      <c r="S149" t="str">
        <f t="shared" si="19"/>
        <v>80-369-34-55</v>
      </c>
      <c r="T149" s="129" t="s">
        <v>28267</v>
      </c>
      <c r="U149" s="112">
        <v>5</v>
      </c>
    </row>
    <row r="150" spans="1:21" x14ac:dyDescent="0.2">
      <c r="A150" s="102" t="s">
        <v>19580</v>
      </c>
      <c r="B150" s="102" t="s">
        <v>29614</v>
      </c>
      <c r="C150" s="102" t="s">
        <v>8</v>
      </c>
      <c r="D150" s="102" t="s">
        <v>21</v>
      </c>
      <c r="E150" s="102" t="s">
        <v>25636</v>
      </c>
      <c r="F150" s="102" t="s">
        <v>91</v>
      </c>
      <c r="G150" s="102" t="s">
        <v>25636</v>
      </c>
      <c r="H150" s="102" t="s">
        <v>29728</v>
      </c>
      <c r="I150" s="102" t="s">
        <v>220</v>
      </c>
      <c r="J150" s="102" t="s">
        <v>0</v>
      </c>
      <c r="K150" s="102" t="s">
        <v>25677</v>
      </c>
      <c r="L150" s="102" t="s">
        <v>25596</v>
      </c>
      <c r="M150" s="102" t="s">
        <v>12</v>
      </c>
      <c r="N150" s="102">
        <v>1398.6</v>
      </c>
      <c r="Q150" t="s">
        <v>220</v>
      </c>
      <c r="S150" t="str">
        <f t="shared" si="19"/>
        <v>80-369-34-57</v>
      </c>
      <c r="T150" s="129" t="s">
        <v>28344</v>
      </c>
      <c r="U150" s="112">
        <v>7</v>
      </c>
    </row>
    <row r="151" spans="1:21" x14ac:dyDescent="0.2">
      <c r="A151" s="102" t="s">
        <v>19580</v>
      </c>
      <c r="B151" s="102" t="s">
        <v>29614</v>
      </c>
      <c r="C151" s="102" t="s">
        <v>8</v>
      </c>
      <c r="D151" s="102" t="s">
        <v>21</v>
      </c>
      <c r="E151" s="102" t="s">
        <v>25636</v>
      </c>
      <c r="F151" s="102" t="s">
        <v>91</v>
      </c>
      <c r="G151" s="102" t="s">
        <v>25636</v>
      </c>
      <c r="H151" s="102" t="s">
        <v>29728</v>
      </c>
      <c r="I151" s="102" t="s">
        <v>220</v>
      </c>
      <c r="J151" s="102" t="s">
        <v>0</v>
      </c>
      <c r="K151" s="102" t="s">
        <v>25677</v>
      </c>
      <c r="L151" s="102" t="s">
        <v>25596</v>
      </c>
      <c r="M151" s="102" t="s">
        <v>12</v>
      </c>
      <c r="N151" s="102">
        <v>1398.6</v>
      </c>
      <c r="Q151" t="s">
        <v>220</v>
      </c>
      <c r="S151" t="str">
        <f t="shared" si="19"/>
        <v>80-369-34-59</v>
      </c>
      <c r="T151" s="129" t="s">
        <v>28340</v>
      </c>
      <c r="U151" s="112">
        <v>4</v>
      </c>
    </row>
    <row r="152" spans="1:21" x14ac:dyDescent="0.2">
      <c r="A152" s="102" t="s">
        <v>21719</v>
      </c>
      <c r="B152" s="102" t="s">
        <v>29615</v>
      </c>
      <c r="C152" s="102" t="s">
        <v>8</v>
      </c>
      <c r="D152" s="102" t="s">
        <v>21</v>
      </c>
      <c r="E152" s="102" t="s">
        <v>25636</v>
      </c>
      <c r="F152" s="102" t="s">
        <v>91</v>
      </c>
      <c r="G152" s="102" t="s">
        <v>25636</v>
      </c>
      <c r="H152" s="102" t="s">
        <v>29726</v>
      </c>
      <c r="I152" s="102" t="s">
        <v>28</v>
      </c>
      <c r="J152" s="102" t="s">
        <v>0</v>
      </c>
      <c r="K152" s="102" t="s">
        <v>25677</v>
      </c>
      <c r="L152" s="102" t="s">
        <v>25598</v>
      </c>
      <c r="M152" s="102" t="s">
        <v>12</v>
      </c>
      <c r="N152" s="102">
        <v>1340.1000000000001</v>
      </c>
      <c r="Q152" t="s">
        <v>28</v>
      </c>
      <c r="S152" t="str">
        <f t="shared" ref="S152:S159" si="20">A152&amp;"-"&amp;T152</f>
        <v>81-004-08-55</v>
      </c>
      <c r="T152" s="129" t="s">
        <v>28267</v>
      </c>
      <c r="U152" s="112">
        <v>5</v>
      </c>
    </row>
    <row r="153" spans="1:21" x14ac:dyDescent="0.2">
      <c r="A153" s="102" t="s">
        <v>21719</v>
      </c>
      <c r="B153" s="102" t="s">
        <v>29615</v>
      </c>
      <c r="C153" s="102" t="s">
        <v>8</v>
      </c>
      <c r="D153" s="102" t="s">
        <v>21</v>
      </c>
      <c r="E153" s="102" t="s">
        <v>25636</v>
      </c>
      <c r="F153" s="102" t="s">
        <v>91</v>
      </c>
      <c r="G153" s="102" t="s">
        <v>25636</v>
      </c>
      <c r="H153" s="102" t="s">
        <v>29726</v>
      </c>
      <c r="I153" s="102" t="s">
        <v>28</v>
      </c>
      <c r="J153" s="102" t="s">
        <v>0</v>
      </c>
      <c r="K153" s="102" t="s">
        <v>25677</v>
      </c>
      <c r="L153" s="102" t="s">
        <v>25598</v>
      </c>
      <c r="M153" s="102" t="s">
        <v>12</v>
      </c>
      <c r="N153" s="102">
        <v>1340.1000000000001</v>
      </c>
      <c r="Q153" t="s">
        <v>28</v>
      </c>
      <c r="S153" t="str">
        <f t="shared" si="20"/>
        <v>81-004-08-57</v>
      </c>
      <c r="T153" s="129" t="s">
        <v>28344</v>
      </c>
      <c r="U153" s="112">
        <v>14</v>
      </c>
    </row>
    <row r="154" spans="1:21" x14ac:dyDescent="0.2">
      <c r="A154" s="102" t="s">
        <v>21719</v>
      </c>
      <c r="B154" s="102" t="s">
        <v>29615</v>
      </c>
      <c r="C154" s="102" t="s">
        <v>8</v>
      </c>
      <c r="D154" s="102" t="s">
        <v>21</v>
      </c>
      <c r="E154" s="102" t="s">
        <v>25636</v>
      </c>
      <c r="F154" s="102" t="s">
        <v>91</v>
      </c>
      <c r="G154" s="102" t="s">
        <v>25636</v>
      </c>
      <c r="H154" s="102" t="s">
        <v>29726</v>
      </c>
      <c r="I154" s="102" t="s">
        <v>28</v>
      </c>
      <c r="J154" s="102" t="s">
        <v>0</v>
      </c>
      <c r="K154" s="102" t="s">
        <v>25677</v>
      </c>
      <c r="L154" s="102" t="s">
        <v>25598</v>
      </c>
      <c r="M154" s="102" t="s">
        <v>12</v>
      </c>
      <c r="N154" s="102">
        <v>1340.1000000000001</v>
      </c>
      <c r="Q154" t="s">
        <v>28</v>
      </c>
      <c r="S154" t="str">
        <f t="shared" si="20"/>
        <v>81-004-08-59</v>
      </c>
      <c r="T154" s="129" t="s">
        <v>28340</v>
      </c>
      <c r="U154" s="112">
        <v>15</v>
      </c>
    </row>
    <row r="155" spans="1:21" x14ac:dyDescent="0.2">
      <c r="A155" s="102" t="s">
        <v>21719</v>
      </c>
      <c r="B155" s="102" t="s">
        <v>29615</v>
      </c>
      <c r="C155" s="102" t="s">
        <v>8</v>
      </c>
      <c r="D155" s="102" t="s">
        <v>21</v>
      </c>
      <c r="E155" s="102" t="s">
        <v>25636</v>
      </c>
      <c r="F155" s="102" t="s">
        <v>91</v>
      </c>
      <c r="G155" s="102" t="s">
        <v>25636</v>
      </c>
      <c r="H155" s="102" t="s">
        <v>29726</v>
      </c>
      <c r="I155" s="102" t="s">
        <v>28</v>
      </c>
      <c r="J155" s="102" t="s">
        <v>0</v>
      </c>
      <c r="K155" s="102" t="s">
        <v>25677</v>
      </c>
      <c r="L155" s="102" t="s">
        <v>25598</v>
      </c>
      <c r="M155" s="102" t="s">
        <v>12</v>
      </c>
      <c r="N155" s="102">
        <v>1340.1000000000001</v>
      </c>
      <c r="Q155" t="s">
        <v>28</v>
      </c>
      <c r="S155" t="str">
        <f t="shared" si="20"/>
        <v>81-004-08-61</v>
      </c>
      <c r="T155" s="129" t="s">
        <v>28345</v>
      </c>
      <c r="U155" s="112">
        <v>11</v>
      </c>
    </row>
    <row r="156" spans="1:21" x14ac:dyDescent="0.2">
      <c r="A156" s="102" t="s">
        <v>21723</v>
      </c>
      <c r="B156" s="102" t="s">
        <v>29615</v>
      </c>
      <c r="C156" s="102" t="s">
        <v>8</v>
      </c>
      <c r="D156" s="102" t="s">
        <v>21</v>
      </c>
      <c r="E156" s="102" t="s">
        <v>25636</v>
      </c>
      <c r="F156" s="102" t="s">
        <v>91</v>
      </c>
      <c r="G156" s="102" t="s">
        <v>25636</v>
      </c>
      <c r="H156" s="102" t="s">
        <v>29720</v>
      </c>
      <c r="I156" s="102" t="s">
        <v>22</v>
      </c>
      <c r="J156" s="102" t="s">
        <v>0</v>
      </c>
      <c r="K156" s="102" t="s">
        <v>25677</v>
      </c>
      <c r="L156" s="102" t="s">
        <v>25598</v>
      </c>
      <c r="M156" s="102" t="s">
        <v>12</v>
      </c>
      <c r="N156" s="102">
        <v>1340.1000000000001</v>
      </c>
      <c r="Q156" t="s">
        <v>22</v>
      </c>
      <c r="S156" t="str">
        <f t="shared" si="20"/>
        <v>81-004-14-55</v>
      </c>
      <c r="T156" s="129" t="s">
        <v>28267</v>
      </c>
      <c r="U156" s="112">
        <v>7</v>
      </c>
    </row>
    <row r="157" spans="1:21" x14ac:dyDescent="0.2">
      <c r="A157" s="102" t="s">
        <v>21723</v>
      </c>
      <c r="B157" s="102" t="s">
        <v>29615</v>
      </c>
      <c r="C157" s="102" t="s">
        <v>8</v>
      </c>
      <c r="D157" s="102" t="s">
        <v>21</v>
      </c>
      <c r="E157" s="102" t="s">
        <v>25636</v>
      </c>
      <c r="F157" s="102" t="s">
        <v>91</v>
      </c>
      <c r="G157" s="102" t="s">
        <v>25636</v>
      </c>
      <c r="H157" s="102" t="s">
        <v>29720</v>
      </c>
      <c r="I157" s="102" t="s">
        <v>22</v>
      </c>
      <c r="J157" s="102" t="s">
        <v>0</v>
      </c>
      <c r="K157" s="102" t="s">
        <v>25677</v>
      </c>
      <c r="L157" s="102" t="s">
        <v>25598</v>
      </c>
      <c r="M157" s="102" t="s">
        <v>12</v>
      </c>
      <c r="N157" s="102">
        <v>1340.1000000000001</v>
      </c>
      <c r="Q157" t="s">
        <v>22</v>
      </c>
      <c r="S157" t="str">
        <f t="shared" si="20"/>
        <v>81-004-14-57</v>
      </c>
      <c r="T157" s="129" t="s">
        <v>28344</v>
      </c>
      <c r="U157" s="112">
        <v>18</v>
      </c>
    </row>
    <row r="158" spans="1:21" x14ac:dyDescent="0.2">
      <c r="A158" s="102" t="s">
        <v>21723</v>
      </c>
      <c r="B158" s="102" t="s">
        <v>29615</v>
      </c>
      <c r="C158" s="102" t="s">
        <v>8</v>
      </c>
      <c r="D158" s="102" t="s">
        <v>21</v>
      </c>
      <c r="E158" s="102" t="s">
        <v>25636</v>
      </c>
      <c r="F158" s="102" t="s">
        <v>91</v>
      </c>
      <c r="G158" s="102" t="s">
        <v>25636</v>
      </c>
      <c r="H158" s="102" t="s">
        <v>29720</v>
      </c>
      <c r="I158" s="102" t="s">
        <v>22</v>
      </c>
      <c r="J158" s="102" t="s">
        <v>0</v>
      </c>
      <c r="K158" s="102" t="s">
        <v>25677</v>
      </c>
      <c r="L158" s="102" t="s">
        <v>25598</v>
      </c>
      <c r="M158" s="102" t="s">
        <v>12</v>
      </c>
      <c r="N158" s="102">
        <v>1340.1000000000001</v>
      </c>
      <c r="Q158" t="s">
        <v>22</v>
      </c>
      <c r="S158" t="str">
        <f t="shared" si="20"/>
        <v>81-004-14-59</v>
      </c>
      <c r="T158" s="129" t="s">
        <v>28340</v>
      </c>
      <c r="U158" s="112">
        <v>20</v>
      </c>
    </row>
    <row r="159" spans="1:21" x14ac:dyDescent="0.2">
      <c r="A159" s="102" t="s">
        <v>21723</v>
      </c>
      <c r="B159" s="102" t="s">
        <v>29615</v>
      </c>
      <c r="C159" s="102" t="s">
        <v>8</v>
      </c>
      <c r="D159" s="102" t="s">
        <v>21</v>
      </c>
      <c r="E159" s="102" t="s">
        <v>25636</v>
      </c>
      <c r="F159" s="102" t="s">
        <v>91</v>
      </c>
      <c r="G159" s="102" t="s">
        <v>25636</v>
      </c>
      <c r="H159" s="102" t="s">
        <v>29720</v>
      </c>
      <c r="I159" s="102" t="s">
        <v>22</v>
      </c>
      <c r="J159" s="102" t="s">
        <v>0</v>
      </c>
      <c r="K159" s="102" t="s">
        <v>25677</v>
      </c>
      <c r="L159" s="102" t="s">
        <v>25598</v>
      </c>
      <c r="M159" s="102" t="s">
        <v>12</v>
      </c>
      <c r="N159" s="102">
        <v>1340.1000000000001</v>
      </c>
      <c r="Q159" t="s">
        <v>22</v>
      </c>
      <c r="S159" t="str">
        <f t="shared" si="20"/>
        <v>81-004-14-61</v>
      </c>
      <c r="T159" s="129" t="s">
        <v>28345</v>
      </c>
      <c r="U159" s="112">
        <v>16</v>
      </c>
    </row>
    <row r="160" spans="1:21" x14ac:dyDescent="0.2">
      <c r="A160" s="102" t="s">
        <v>21721</v>
      </c>
      <c r="B160" s="102" t="s">
        <v>29615</v>
      </c>
      <c r="C160" s="102" t="s">
        <v>8</v>
      </c>
      <c r="D160" s="102" t="s">
        <v>21</v>
      </c>
      <c r="E160" s="102" t="s">
        <v>25636</v>
      </c>
      <c r="F160" s="102" t="s">
        <v>91</v>
      </c>
      <c r="G160" s="102" t="s">
        <v>25636</v>
      </c>
      <c r="H160" s="102" t="s">
        <v>29715</v>
      </c>
      <c r="I160" s="102" t="s">
        <v>1</v>
      </c>
      <c r="J160" s="102" t="s">
        <v>0</v>
      </c>
      <c r="K160" s="102" t="s">
        <v>25677</v>
      </c>
      <c r="L160" s="102" t="s">
        <v>25598</v>
      </c>
      <c r="M160" s="102" t="s">
        <v>12</v>
      </c>
      <c r="N160" s="102">
        <v>1340.1000000000001</v>
      </c>
      <c r="Q160" t="s">
        <v>1</v>
      </c>
      <c r="S160" t="str">
        <f t="shared" ref="S160:S169" si="21">A160&amp;"-"&amp;T160</f>
        <v>81-004-09-55</v>
      </c>
      <c r="T160" s="129" t="s">
        <v>28267</v>
      </c>
      <c r="U160" s="112">
        <v>18</v>
      </c>
    </row>
    <row r="161" spans="1:21" x14ac:dyDescent="0.2">
      <c r="A161" s="102" t="s">
        <v>21721</v>
      </c>
      <c r="B161" s="102" t="s">
        <v>29615</v>
      </c>
      <c r="C161" s="102" t="s">
        <v>8</v>
      </c>
      <c r="D161" s="102" t="s">
        <v>21</v>
      </c>
      <c r="E161" s="102" t="s">
        <v>25636</v>
      </c>
      <c r="F161" s="102" t="s">
        <v>91</v>
      </c>
      <c r="G161" s="102" t="s">
        <v>25636</v>
      </c>
      <c r="H161" s="102" t="s">
        <v>29715</v>
      </c>
      <c r="I161" s="102" t="s">
        <v>1</v>
      </c>
      <c r="J161" s="102" t="s">
        <v>0</v>
      </c>
      <c r="K161" s="102" t="s">
        <v>25677</v>
      </c>
      <c r="L161" s="102" t="s">
        <v>25598</v>
      </c>
      <c r="M161" s="102" t="s">
        <v>12</v>
      </c>
      <c r="N161" s="102">
        <v>1340.1000000000001</v>
      </c>
      <c r="Q161" t="s">
        <v>1</v>
      </c>
      <c r="S161" t="str">
        <f t="shared" si="21"/>
        <v>81-004-09-57</v>
      </c>
      <c r="T161" s="129" t="s">
        <v>28344</v>
      </c>
      <c r="U161" s="112">
        <v>40</v>
      </c>
    </row>
    <row r="162" spans="1:21" x14ac:dyDescent="0.2">
      <c r="A162" s="102" t="s">
        <v>21721</v>
      </c>
      <c r="B162" s="102" t="s">
        <v>29615</v>
      </c>
      <c r="C162" s="102" t="s">
        <v>8</v>
      </c>
      <c r="D162" s="102" t="s">
        <v>21</v>
      </c>
      <c r="E162" s="102" t="s">
        <v>25636</v>
      </c>
      <c r="F162" s="102" t="s">
        <v>91</v>
      </c>
      <c r="G162" s="102" t="s">
        <v>25636</v>
      </c>
      <c r="H162" s="102" t="s">
        <v>29715</v>
      </c>
      <c r="I162" s="102" t="s">
        <v>1</v>
      </c>
      <c r="J162" s="102" t="s">
        <v>0</v>
      </c>
      <c r="K162" s="102" t="s">
        <v>25677</v>
      </c>
      <c r="L162" s="102" t="s">
        <v>25598</v>
      </c>
      <c r="M162" s="102" t="s">
        <v>12</v>
      </c>
      <c r="N162" s="102">
        <v>1340.1000000000001</v>
      </c>
      <c r="Q162" t="s">
        <v>1</v>
      </c>
      <c r="S162" t="str">
        <f t="shared" si="21"/>
        <v>81-004-09-59</v>
      </c>
      <c r="T162" s="129" t="s">
        <v>28340</v>
      </c>
      <c r="U162" s="112">
        <v>45</v>
      </c>
    </row>
    <row r="163" spans="1:21" x14ac:dyDescent="0.2">
      <c r="A163" s="102" t="s">
        <v>21721</v>
      </c>
      <c r="B163" s="102" t="s">
        <v>29615</v>
      </c>
      <c r="C163" s="102" t="s">
        <v>8</v>
      </c>
      <c r="D163" s="102" t="s">
        <v>21</v>
      </c>
      <c r="E163" s="102" t="s">
        <v>25636</v>
      </c>
      <c r="F163" s="102" t="s">
        <v>91</v>
      </c>
      <c r="G163" s="102" t="s">
        <v>25636</v>
      </c>
      <c r="H163" s="102" t="s">
        <v>29715</v>
      </c>
      <c r="I163" s="102" t="s">
        <v>1</v>
      </c>
      <c r="J163" s="102" t="s">
        <v>0</v>
      </c>
      <c r="K163" s="102" t="s">
        <v>25677</v>
      </c>
      <c r="L163" s="102" t="s">
        <v>25598</v>
      </c>
      <c r="M163" s="102" t="s">
        <v>12</v>
      </c>
      <c r="N163" s="102">
        <v>1340.1000000000001</v>
      </c>
      <c r="Q163" t="s">
        <v>1</v>
      </c>
      <c r="S163" t="str">
        <f t="shared" si="21"/>
        <v>81-004-09-61</v>
      </c>
      <c r="T163" s="129" t="s">
        <v>28345</v>
      </c>
      <c r="U163" s="112">
        <v>25</v>
      </c>
    </row>
    <row r="164" spans="1:21" x14ac:dyDescent="0.2">
      <c r="A164" s="102" t="s">
        <v>21735</v>
      </c>
      <c r="B164" s="102" t="s">
        <v>29616</v>
      </c>
      <c r="C164" s="102" t="s">
        <v>8</v>
      </c>
      <c r="D164" s="102" t="s">
        <v>21</v>
      </c>
      <c r="E164" s="102" t="s">
        <v>25636</v>
      </c>
      <c r="F164" s="102" t="s">
        <v>91</v>
      </c>
      <c r="G164" s="102" t="s">
        <v>25636</v>
      </c>
      <c r="H164" s="102" t="s">
        <v>29715</v>
      </c>
      <c r="I164" s="102" t="s">
        <v>1</v>
      </c>
      <c r="J164" s="102" t="s">
        <v>0</v>
      </c>
      <c r="K164" s="102" t="s">
        <v>25677</v>
      </c>
      <c r="L164" s="102" t="s">
        <v>25598</v>
      </c>
      <c r="M164" s="102" t="s">
        <v>12</v>
      </c>
      <c r="N164" s="102">
        <v>1164.5999999999999</v>
      </c>
      <c r="Q164" t="s">
        <v>1</v>
      </c>
      <c r="S164" t="str">
        <f t="shared" si="21"/>
        <v>81-008-09-55</v>
      </c>
      <c r="T164" s="129" t="s">
        <v>28267</v>
      </c>
      <c r="U164" s="112">
        <v>19</v>
      </c>
    </row>
    <row r="165" spans="1:21" x14ac:dyDescent="0.2">
      <c r="A165" s="102" t="s">
        <v>21735</v>
      </c>
      <c r="B165" s="102" t="s">
        <v>29616</v>
      </c>
      <c r="C165" s="102" t="s">
        <v>8</v>
      </c>
      <c r="D165" s="102" t="s">
        <v>21</v>
      </c>
      <c r="E165" s="102" t="s">
        <v>25636</v>
      </c>
      <c r="F165" s="102" t="s">
        <v>91</v>
      </c>
      <c r="G165" s="102" t="s">
        <v>25636</v>
      </c>
      <c r="H165" s="102" t="s">
        <v>29715</v>
      </c>
      <c r="I165" s="102" t="s">
        <v>1</v>
      </c>
      <c r="J165" s="102" t="s">
        <v>0</v>
      </c>
      <c r="K165" s="102" t="s">
        <v>25677</v>
      </c>
      <c r="L165" s="102" t="s">
        <v>25598</v>
      </c>
      <c r="M165" s="102" t="s">
        <v>12</v>
      </c>
      <c r="N165" s="102">
        <v>1164.5999999999999</v>
      </c>
      <c r="Q165" t="s">
        <v>1</v>
      </c>
      <c r="S165" t="str">
        <f t="shared" si="21"/>
        <v>81-008-09-57</v>
      </c>
      <c r="T165" s="129" t="s">
        <v>28344</v>
      </c>
      <c r="U165" s="112">
        <v>26</v>
      </c>
    </row>
    <row r="166" spans="1:21" x14ac:dyDescent="0.2">
      <c r="A166" s="102" t="s">
        <v>21735</v>
      </c>
      <c r="B166" s="102" t="s">
        <v>29616</v>
      </c>
      <c r="C166" s="102" t="s">
        <v>8</v>
      </c>
      <c r="D166" s="102" t="s">
        <v>21</v>
      </c>
      <c r="E166" s="102" t="s">
        <v>25636</v>
      </c>
      <c r="F166" s="102" t="s">
        <v>91</v>
      </c>
      <c r="G166" s="102" t="s">
        <v>25636</v>
      </c>
      <c r="H166" s="102" t="s">
        <v>29715</v>
      </c>
      <c r="I166" s="102" t="s">
        <v>1</v>
      </c>
      <c r="J166" s="102" t="s">
        <v>0</v>
      </c>
      <c r="K166" s="102" t="s">
        <v>25677</v>
      </c>
      <c r="L166" s="102" t="s">
        <v>25598</v>
      </c>
      <c r="M166" s="102" t="s">
        <v>12</v>
      </c>
      <c r="N166" s="102">
        <v>1164.5999999999999</v>
      </c>
      <c r="Q166" t="s">
        <v>1</v>
      </c>
      <c r="S166" t="str">
        <f t="shared" si="21"/>
        <v>81-008-09-59</v>
      </c>
      <c r="T166" s="129" t="s">
        <v>28340</v>
      </c>
      <c r="U166" s="112">
        <v>40</v>
      </c>
    </row>
    <row r="167" spans="1:21" x14ac:dyDescent="0.2">
      <c r="A167" s="102" t="s">
        <v>21735</v>
      </c>
      <c r="B167" s="102" t="s">
        <v>29616</v>
      </c>
      <c r="C167" s="102" t="s">
        <v>8</v>
      </c>
      <c r="D167" s="102" t="s">
        <v>21</v>
      </c>
      <c r="E167" s="102" t="s">
        <v>25636</v>
      </c>
      <c r="F167" s="102" t="s">
        <v>91</v>
      </c>
      <c r="G167" s="102" t="s">
        <v>25636</v>
      </c>
      <c r="H167" s="102" t="s">
        <v>29715</v>
      </c>
      <c r="I167" s="102" t="s">
        <v>1</v>
      </c>
      <c r="J167" s="102" t="s">
        <v>0</v>
      </c>
      <c r="K167" s="102" t="s">
        <v>25677</v>
      </c>
      <c r="L167" s="102" t="s">
        <v>25598</v>
      </c>
      <c r="M167" s="102" t="s">
        <v>12</v>
      </c>
      <c r="N167" s="102">
        <v>1164.5999999999999</v>
      </c>
      <c r="Q167" t="s">
        <v>1</v>
      </c>
      <c r="S167" t="str">
        <f t="shared" si="21"/>
        <v>81-008-09-61</v>
      </c>
      <c r="T167" s="129" t="s">
        <v>28345</v>
      </c>
      <c r="U167" s="112">
        <v>15</v>
      </c>
    </row>
    <row r="168" spans="1:21" x14ac:dyDescent="0.2">
      <c r="A168" s="102" t="s">
        <v>21509</v>
      </c>
      <c r="B168" s="102" t="s">
        <v>29617</v>
      </c>
      <c r="C168" s="102" t="s">
        <v>8</v>
      </c>
      <c r="D168" s="102" t="s">
        <v>25577</v>
      </c>
      <c r="E168" s="102" t="s">
        <v>25636</v>
      </c>
      <c r="F168" s="102" t="s">
        <v>91</v>
      </c>
      <c r="G168" s="102" t="s">
        <v>25636</v>
      </c>
      <c r="H168" s="102" t="s">
        <v>29715</v>
      </c>
      <c r="I168" s="102" t="s">
        <v>1</v>
      </c>
      <c r="J168" s="102" t="s">
        <v>0</v>
      </c>
      <c r="K168" s="102" t="s">
        <v>25677</v>
      </c>
      <c r="L168" s="102" t="s">
        <v>25597</v>
      </c>
      <c r="M168" s="102" t="s">
        <v>12</v>
      </c>
      <c r="N168" s="102">
        <v>1164.5999999999999</v>
      </c>
      <c r="Q168" t="s">
        <v>1</v>
      </c>
      <c r="S168" t="str">
        <f t="shared" si="21"/>
        <v>80-929-09-57</v>
      </c>
      <c r="T168" s="129" t="s">
        <v>28344</v>
      </c>
      <c r="U168" s="112">
        <v>20</v>
      </c>
    </row>
    <row r="169" spans="1:21" x14ac:dyDescent="0.2">
      <c r="A169" s="102" t="s">
        <v>21509</v>
      </c>
      <c r="B169" s="102" t="s">
        <v>29617</v>
      </c>
      <c r="C169" s="102" t="s">
        <v>8</v>
      </c>
      <c r="D169" s="102" t="s">
        <v>25577</v>
      </c>
      <c r="E169" s="102" t="s">
        <v>25636</v>
      </c>
      <c r="F169" s="102" t="s">
        <v>91</v>
      </c>
      <c r="G169" s="102" t="s">
        <v>25636</v>
      </c>
      <c r="H169" s="102" t="s">
        <v>29715</v>
      </c>
      <c r="I169" s="102" t="s">
        <v>1</v>
      </c>
      <c r="J169" s="102" t="s">
        <v>0</v>
      </c>
      <c r="K169" s="102" t="s">
        <v>25677</v>
      </c>
      <c r="L169" s="102" t="s">
        <v>25597</v>
      </c>
      <c r="M169" s="102" t="s">
        <v>12</v>
      </c>
      <c r="N169" s="102">
        <v>1164.5999999999999</v>
      </c>
      <c r="Q169" t="s">
        <v>1</v>
      </c>
      <c r="S169" t="str">
        <f t="shared" si="21"/>
        <v>80-929-09-59</v>
      </c>
      <c r="T169" s="129" t="s">
        <v>28340</v>
      </c>
      <c r="U169" s="112">
        <v>20</v>
      </c>
    </row>
    <row r="170" spans="1:21" x14ac:dyDescent="0.2">
      <c r="A170" s="102" t="s">
        <v>21322</v>
      </c>
      <c r="B170" s="102" t="s">
        <v>29618</v>
      </c>
      <c r="C170" s="102" t="s">
        <v>49</v>
      </c>
      <c r="D170" s="102" t="s">
        <v>57</v>
      </c>
      <c r="E170" s="102" t="s">
        <v>25636</v>
      </c>
      <c r="F170" s="102" t="s">
        <v>26642</v>
      </c>
      <c r="G170" s="102" t="s">
        <v>25636</v>
      </c>
      <c r="H170" s="102" t="s">
        <v>29720</v>
      </c>
      <c r="I170" s="102" t="s">
        <v>22</v>
      </c>
      <c r="J170" s="102" t="s">
        <v>59</v>
      </c>
      <c r="L170" s="102" t="s">
        <v>25597</v>
      </c>
      <c r="M170" s="102" t="s">
        <v>12</v>
      </c>
      <c r="N170" s="102">
        <v>872.09999999999991</v>
      </c>
      <c r="Q170" t="s">
        <v>22</v>
      </c>
      <c r="S170" t="str">
        <f t="shared" ref="S170:S175" si="22">A170&amp;"-"&amp;T170</f>
        <v>80-862-14-55</v>
      </c>
      <c r="T170" s="129" t="s">
        <v>28267</v>
      </c>
      <c r="U170" s="112">
        <v>2</v>
      </c>
    </row>
    <row r="171" spans="1:21" x14ac:dyDescent="0.2">
      <c r="A171" s="102" t="s">
        <v>21322</v>
      </c>
      <c r="B171" s="102" t="s">
        <v>29618</v>
      </c>
      <c r="C171" s="102" t="s">
        <v>49</v>
      </c>
      <c r="D171" s="102" t="s">
        <v>57</v>
      </c>
      <c r="E171" s="102" t="s">
        <v>25636</v>
      </c>
      <c r="F171" s="102" t="s">
        <v>26642</v>
      </c>
      <c r="G171" s="102" t="s">
        <v>25636</v>
      </c>
      <c r="H171" s="102" t="s">
        <v>29720</v>
      </c>
      <c r="I171" s="102" t="s">
        <v>22</v>
      </c>
      <c r="J171" s="102" t="s">
        <v>59</v>
      </c>
      <c r="L171" s="102" t="s">
        <v>25597</v>
      </c>
      <c r="M171" s="102" t="s">
        <v>12</v>
      </c>
      <c r="N171" s="102">
        <v>872.09999999999991</v>
      </c>
      <c r="Q171" t="s">
        <v>22</v>
      </c>
      <c r="S171" t="str">
        <f t="shared" si="22"/>
        <v>80-862-14-57</v>
      </c>
      <c r="T171" s="129" t="s">
        <v>28344</v>
      </c>
      <c r="U171" s="112">
        <v>16</v>
      </c>
    </row>
    <row r="172" spans="1:21" x14ac:dyDescent="0.2">
      <c r="A172" s="102" t="s">
        <v>21322</v>
      </c>
      <c r="B172" s="102" t="s">
        <v>29618</v>
      </c>
      <c r="C172" s="102" t="s">
        <v>49</v>
      </c>
      <c r="D172" s="102" t="s">
        <v>57</v>
      </c>
      <c r="E172" s="102" t="s">
        <v>25636</v>
      </c>
      <c r="F172" s="102" t="s">
        <v>26642</v>
      </c>
      <c r="G172" s="102" t="s">
        <v>25636</v>
      </c>
      <c r="H172" s="102" t="s">
        <v>29720</v>
      </c>
      <c r="I172" s="102" t="s">
        <v>22</v>
      </c>
      <c r="J172" s="102" t="s">
        <v>59</v>
      </c>
      <c r="L172" s="102" t="s">
        <v>25597</v>
      </c>
      <c r="M172" s="102" t="s">
        <v>12</v>
      </c>
      <c r="N172" s="102">
        <v>872.09999999999991</v>
      </c>
      <c r="Q172" t="s">
        <v>22</v>
      </c>
      <c r="S172" t="str">
        <f t="shared" si="22"/>
        <v>80-862-14-59</v>
      </c>
      <c r="T172" s="129" t="s">
        <v>28340</v>
      </c>
      <c r="U172" s="112">
        <v>24</v>
      </c>
    </row>
    <row r="173" spans="1:21" x14ac:dyDescent="0.2">
      <c r="A173" s="102" t="s">
        <v>21322</v>
      </c>
      <c r="B173" s="102" t="s">
        <v>29618</v>
      </c>
      <c r="C173" s="102" t="s">
        <v>49</v>
      </c>
      <c r="D173" s="102" t="s">
        <v>57</v>
      </c>
      <c r="E173" s="102" t="s">
        <v>25636</v>
      </c>
      <c r="F173" s="102" t="s">
        <v>26642</v>
      </c>
      <c r="G173" s="102" t="s">
        <v>25636</v>
      </c>
      <c r="H173" s="102" t="s">
        <v>29720</v>
      </c>
      <c r="I173" s="102" t="s">
        <v>22</v>
      </c>
      <c r="J173" s="102" t="s">
        <v>59</v>
      </c>
      <c r="L173" s="102" t="s">
        <v>25597</v>
      </c>
      <c r="M173" s="102" t="s">
        <v>12</v>
      </c>
      <c r="N173" s="102">
        <v>872.09999999999991</v>
      </c>
      <c r="Q173" t="s">
        <v>22</v>
      </c>
      <c r="S173" t="str">
        <f t="shared" si="22"/>
        <v>80-862-14-61</v>
      </c>
      <c r="T173" s="129" t="s">
        <v>28345</v>
      </c>
      <c r="U173" s="112">
        <v>16</v>
      </c>
    </row>
    <row r="174" spans="1:21" x14ac:dyDescent="0.2">
      <c r="A174" s="102" t="s">
        <v>20292</v>
      </c>
      <c r="B174" s="102" t="s">
        <v>29619</v>
      </c>
      <c r="C174" s="102" t="s">
        <v>49</v>
      </c>
      <c r="D174" s="102" t="s">
        <v>212</v>
      </c>
      <c r="E174" s="102" t="s">
        <v>25636</v>
      </c>
      <c r="F174" s="102" t="s">
        <v>26642</v>
      </c>
      <c r="G174" s="102" t="s">
        <v>25636</v>
      </c>
      <c r="H174" s="102" t="s">
        <v>29727</v>
      </c>
      <c r="I174" s="102" t="s">
        <v>26</v>
      </c>
      <c r="J174" s="102" t="s">
        <v>213</v>
      </c>
      <c r="K174" s="102" t="s">
        <v>25669</v>
      </c>
      <c r="L174" s="102" t="s">
        <v>25597</v>
      </c>
      <c r="M174" s="102" t="s">
        <v>12</v>
      </c>
      <c r="N174" s="102">
        <v>345.59999999999997</v>
      </c>
      <c r="Q174" t="s">
        <v>28</v>
      </c>
      <c r="S174" t="str">
        <f t="shared" si="22"/>
        <v>80-556-05-00</v>
      </c>
      <c r="T174" s="129" t="s">
        <v>25299</v>
      </c>
      <c r="U174" s="112">
        <v>20</v>
      </c>
    </row>
    <row r="175" spans="1:21" x14ac:dyDescent="0.2">
      <c r="A175" s="102" t="s">
        <v>20296</v>
      </c>
      <c r="B175" s="102" t="s">
        <v>29619</v>
      </c>
      <c r="C175" s="102" t="s">
        <v>49</v>
      </c>
      <c r="D175" s="102" t="s">
        <v>212</v>
      </c>
      <c r="E175" s="102" t="s">
        <v>25636</v>
      </c>
      <c r="F175" s="102" t="s">
        <v>26642</v>
      </c>
      <c r="G175" s="102" t="s">
        <v>25636</v>
      </c>
      <c r="H175" s="102" t="s">
        <v>29714</v>
      </c>
      <c r="I175" s="102" t="s">
        <v>23</v>
      </c>
      <c r="J175" s="102" t="s">
        <v>213</v>
      </c>
      <c r="K175" s="102" t="s">
        <v>25669</v>
      </c>
      <c r="L175" s="102" t="s">
        <v>25597</v>
      </c>
      <c r="M175" s="102" t="s">
        <v>12</v>
      </c>
      <c r="N175" s="102">
        <v>345.59999999999997</v>
      </c>
      <c r="Q175" t="s">
        <v>27</v>
      </c>
      <c r="S175" t="str">
        <f t="shared" si="22"/>
        <v>80-556-16-00</v>
      </c>
      <c r="T175" s="129" t="s">
        <v>25299</v>
      </c>
      <c r="U175" s="112">
        <v>20</v>
      </c>
    </row>
    <row r="176" spans="1:21" x14ac:dyDescent="0.2">
      <c r="A176" s="102" t="s">
        <v>20294</v>
      </c>
      <c r="B176" s="102" t="s">
        <v>29619</v>
      </c>
      <c r="C176" s="102" t="s">
        <v>49</v>
      </c>
      <c r="D176" s="102" t="s">
        <v>212</v>
      </c>
      <c r="E176" s="102" t="s">
        <v>25636</v>
      </c>
      <c r="F176" s="102" t="s">
        <v>26642</v>
      </c>
      <c r="G176" s="102" t="s">
        <v>25636</v>
      </c>
      <c r="H176" s="102" t="s">
        <v>29715</v>
      </c>
      <c r="I176" s="102" t="s">
        <v>1</v>
      </c>
      <c r="J176" s="102" t="s">
        <v>213</v>
      </c>
      <c r="K176" s="102" t="s">
        <v>25669</v>
      </c>
      <c r="L176" s="102" t="s">
        <v>25597</v>
      </c>
      <c r="M176" s="102" t="s">
        <v>12</v>
      </c>
      <c r="N176" s="102">
        <v>345.59999999999997</v>
      </c>
      <c r="Q176" t="s">
        <v>1</v>
      </c>
      <c r="S176" t="str">
        <f t="shared" ref="S176:S184" si="23">A176&amp;"-"&amp;T176</f>
        <v>80-556-09-00</v>
      </c>
      <c r="T176" s="129" t="s">
        <v>25299</v>
      </c>
      <c r="U176" s="112">
        <v>20</v>
      </c>
    </row>
    <row r="177" spans="1:21" x14ac:dyDescent="0.2">
      <c r="A177" s="102" t="s">
        <v>18786</v>
      </c>
      <c r="B177" s="102" t="s">
        <v>29590</v>
      </c>
      <c r="C177" s="102" t="s">
        <v>46</v>
      </c>
      <c r="D177" s="102" t="s">
        <v>47</v>
      </c>
      <c r="E177" s="102" t="s">
        <v>25636</v>
      </c>
      <c r="F177" s="102" t="s">
        <v>91</v>
      </c>
      <c r="G177" s="102" t="s">
        <v>25636</v>
      </c>
      <c r="H177" s="102" t="s">
        <v>29714</v>
      </c>
      <c r="I177" s="102" t="s">
        <v>23</v>
      </c>
      <c r="J177" s="102" t="s">
        <v>11</v>
      </c>
      <c r="K177" s="102" t="s">
        <v>25678</v>
      </c>
      <c r="L177" s="102" t="s">
        <v>25598</v>
      </c>
      <c r="M177" s="102" t="s">
        <v>20</v>
      </c>
      <c r="N177" s="102">
        <v>315</v>
      </c>
      <c r="S177" t="str">
        <f t="shared" si="23"/>
        <v>80-161-16-55</v>
      </c>
      <c r="T177" s="129" t="s">
        <v>28267</v>
      </c>
      <c r="U177" s="112">
        <v>2</v>
      </c>
    </row>
    <row r="178" spans="1:21" x14ac:dyDescent="0.2">
      <c r="A178" s="102" t="s">
        <v>18786</v>
      </c>
      <c r="B178" s="102" t="s">
        <v>29590</v>
      </c>
      <c r="C178" s="102" t="s">
        <v>46</v>
      </c>
      <c r="D178" s="102" t="s">
        <v>47</v>
      </c>
      <c r="E178" s="102" t="s">
        <v>25636</v>
      </c>
      <c r="F178" s="102" t="s">
        <v>91</v>
      </c>
      <c r="G178" s="102" t="s">
        <v>25636</v>
      </c>
      <c r="H178" s="102" t="s">
        <v>29714</v>
      </c>
      <c r="I178" s="102" t="s">
        <v>23</v>
      </c>
      <c r="J178" s="102" t="s">
        <v>11</v>
      </c>
      <c r="K178" s="102" t="s">
        <v>25678</v>
      </c>
      <c r="L178" s="102" t="s">
        <v>25598</v>
      </c>
      <c r="M178" s="102" t="s">
        <v>20</v>
      </c>
      <c r="N178" s="102">
        <v>315</v>
      </c>
      <c r="S178" t="str">
        <f t="shared" si="23"/>
        <v>80-161-16-56</v>
      </c>
      <c r="T178" s="129" t="s">
        <v>28260</v>
      </c>
      <c r="U178" s="112">
        <v>58</v>
      </c>
    </row>
    <row r="179" spans="1:21" x14ac:dyDescent="0.2">
      <c r="A179" s="102" t="s">
        <v>18786</v>
      </c>
      <c r="B179" s="102" t="s">
        <v>29590</v>
      </c>
      <c r="C179" s="102" t="s">
        <v>46</v>
      </c>
      <c r="D179" s="102" t="s">
        <v>47</v>
      </c>
      <c r="E179" s="102" t="s">
        <v>25636</v>
      </c>
      <c r="F179" s="102" t="s">
        <v>91</v>
      </c>
      <c r="G179" s="102" t="s">
        <v>25636</v>
      </c>
      <c r="H179" s="102" t="s">
        <v>29714</v>
      </c>
      <c r="I179" s="102" t="s">
        <v>23</v>
      </c>
      <c r="J179" s="102" t="s">
        <v>11</v>
      </c>
      <c r="K179" s="102" t="s">
        <v>25678</v>
      </c>
      <c r="L179" s="102" t="s">
        <v>25598</v>
      </c>
      <c r="M179" s="102" t="s">
        <v>20</v>
      </c>
      <c r="N179" s="102">
        <v>315</v>
      </c>
      <c r="S179" t="str">
        <f t="shared" si="23"/>
        <v>80-161-16-57</v>
      </c>
      <c r="T179" s="129" t="s">
        <v>28344</v>
      </c>
      <c r="U179" s="112">
        <v>112</v>
      </c>
    </row>
    <row r="180" spans="1:21" x14ac:dyDescent="0.2">
      <c r="A180" s="102" t="s">
        <v>18786</v>
      </c>
      <c r="B180" s="102" t="s">
        <v>29590</v>
      </c>
      <c r="C180" s="102" t="s">
        <v>46</v>
      </c>
      <c r="D180" s="102" t="s">
        <v>47</v>
      </c>
      <c r="E180" s="102" t="s">
        <v>25636</v>
      </c>
      <c r="F180" s="102" t="s">
        <v>91</v>
      </c>
      <c r="G180" s="102" t="s">
        <v>25636</v>
      </c>
      <c r="H180" s="102" t="s">
        <v>29714</v>
      </c>
      <c r="I180" s="102" t="s">
        <v>23</v>
      </c>
      <c r="J180" s="102" t="s">
        <v>11</v>
      </c>
      <c r="K180" s="102" t="s">
        <v>25678</v>
      </c>
      <c r="L180" s="102" t="s">
        <v>25598</v>
      </c>
      <c r="M180" s="102" t="s">
        <v>20</v>
      </c>
      <c r="N180" s="102">
        <v>315</v>
      </c>
      <c r="S180" t="str">
        <f t="shared" si="23"/>
        <v>80-161-16-58</v>
      </c>
      <c r="T180" s="129" t="s">
        <v>28386</v>
      </c>
      <c r="U180" s="112">
        <v>48</v>
      </c>
    </row>
    <row r="181" spans="1:21" x14ac:dyDescent="0.2">
      <c r="A181" s="102" t="s">
        <v>18786</v>
      </c>
      <c r="B181" s="102" t="s">
        <v>29590</v>
      </c>
      <c r="C181" s="102" t="s">
        <v>46</v>
      </c>
      <c r="D181" s="102" t="s">
        <v>47</v>
      </c>
      <c r="E181" s="102" t="s">
        <v>25636</v>
      </c>
      <c r="F181" s="102" t="s">
        <v>91</v>
      </c>
      <c r="G181" s="102" t="s">
        <v>25636</v>
      </c>
      <c r="H181" s="102" t="s">
        <v>29714</v>
      </c>
      <c r="I181" s="102" t="s">
        <v>23</v>
      </c>
      <c r="J181" s="102" t="s">
        <v>11</v>
      </c>
      <c r="K181" s="102" t="s">
        <v>25678</v>
      </c>
      <c r="L181" s="102" t="s">
        <v>25598</v>
      </c>
      <c r="M181" s="102" t="s">
        <v>20</v>
      </c>
      <c r="N181" s="102">
        <v>315</v>
      </c>
      <c r="S181" t="str">
        <f t="shared" si="23"/>
        <v>80-161-16-59</v>
      </c>
      <c r="T181" s="129" t="s">
        <v>28340</v>
      </c>
      <c r="U181" s="112">
        <v>114</v>
      </c>
    </row>
    <row r="182" spans="1:21" x14ac:dyDescent="0.2">
      <c r="A182" s="102" t="s">
        <v>18786</v>
      </c>
      <c r="B182" s="102" t="s">
        <v>29590</v>
      </c>
      <c r="C182" s="102" t="s">
        <v>46</v>
      </c>
      <c r="D182" s="102" t="s">
        <v>47</v>
      </c>
      <c r="E182" s="102" t="s">
        <v>25636</v>
      </c>
      <c r="F182" s="102" t="s">
        <v>91</v>
      </c>
      <c r="G182" s="102" t="s">
        <v>25636</v>
      </c>
      <c r="H182" s="102" t="s">
        <v>29714</v>
      </c>
      <c r="I182" s="102" t="s">
        <v>23</v>
      </c>
      <c r="J182" s="102" t="s">
        <v>11</v>
      </c>
      <c r="K182" s="102" t="s">
        <v>25678</v>
      </c>
      <c r="L182" s="102" t="s">
        <v>25598</v>
      </c>
      <c r="M182" s="102" t="s">
        <v>20</v>
      </c>
      <c r="N182" s="102">
        <v>315</v>
      </c>
      <c r="S182" t="str">
        <f t="shared" si="23"/>
        <v>80-161-16-60</v>
      </c>
      <c r="T182" s="129" t="s">
        <v>28263</v>
      </c>
      <c r="U182" s="112">
        <v>47</v>
      </c>
    </row>
    <row r="183" spans="1:21" x14ac:dyDescent="0.2">
      <c r="A183" s="102" t="s">
        <v>18786</v>
      </c>
      <c r="B183" s="102" t="s">
        <v>29590</v>
      </c>
      <c r="C183" s="102" t="s">
        <v>46</v>
      </c>
      <c r="D183" s="102" t="s">
        <v>47</v>
      </c>
      <c r="E183" s="102" t="s">
        <v>25636</v>
      </c>
      <c r="F183" s="102" t="s">
        <v>91</v>
      </c>
      <c r="G183" s="102" t="s">
        <v>25636</v>
      </c>
      <c r="H183" s="102" t="s">
        <v>29714</v>
      </c>
      <c r="I183" s="102" t="s">
        <v>23</v>
      </c>
      <c r="J183" s="102" t="s">
        <v>11</v>
      </c>
      <c r="K183" s="102" t="s">
        <v>25678</v>
      </c>
      <c r="L183" s="102" t="s">
        <v>25598</v>
      </c>
      <c r="M183" s="102" t="s">
        <v>20</v>
      </c>
      <c r="N183" s="102">
        <v>315</v>
      </c>
      <c r="S183" t="str">
        <f t="shared" si="23"/>
        <v>80-161-16-61</v>
      </c>
      <c r="T183" s="129" t="s">
        <v>28345</v>
      </c>
      <c r="U183" s="112">
        <v>18</v>
      </c>
    </row>
    <row r="184" spans="1:21" x14ac:dyDescent="0.2">
      <c r="A184" s="102" t="s">
        <v>18786</v>
      </c>
      <c r="B184" s="102" t="s">
        <v>29590</v>
      </c>
      <c r="C184" s="102" t="s">
        <v>46</v>
      </c>
      <c r="D184" s="102" t="s">
        <v>47</v>
      </c>
      <c r="E184" s="102" t="s">
        <v>25636</v>
      </c>
      <c r="F184" s="102" t="s">
        <v>91</v>
      </c>
      <c r="G184" s="102" t="s">
        <v>25636</v>
      </c>
      <c r="H184" s="102" t="s">
        <v>29714</v>
      </c>
      <c r="I184" s="102" t="s">
        <v>23</v>
      </c>
      <c r="J184" s="102" t="s">
        <v>11</v>
      </c>
      <c r="K184" s="102" t="s">
        <v>25678</v>
      </c>
      <c r="L184" s="102" t="s">
        <v>25598</v>
      </c>
      <c r="M184" s="102" t="s">
        <v>20</v>
      </c>
      <c r="N184" s="102">
        <v>315</v>
      </c>
      <c r="S184" t="str">
        <f t="shared" si="23"/>
        <v>80-161-16-62</v>
      </c>
      <c r="T184" s="129" t="s">
        <v>28227</v>
      </c>
      <c r="U184" s="112">
        <v>4</v>
      </c>
    </row>
    <row r="185" spans="1:21" x14ac:dyDescent="0.2">
      <c r="A185" s="102" t="s">
        <v>18784</v>
      </c>
      <c r="B185" s="102" t="s">
        <v>29590</v>
      </c>
      <c r="C185" s="102" t="s">
        <v>46</v>
      </c>
      <c r="D185" s="102" t="s">
        <v>47</v>
      </c>
      <c r="E185" s="102" t="s">
        <v>25636</v>
      </c>
      <c r="F185" s="102" t="s">
        <v>91</v>
      </c>
      <c r="G185" s="102" t="s">
        <v>25636</v>
      </c>
      <c r="H185" s="102" t="s">
        <v>29715</v>
      </c>
      <c r="I185" s="102" t="s">
        <v>1</v>
      </c>
      <c r="J185" s="102" t="s">
        <v>11</v>
      </c>
      <c r="K185" s="102" t="s">
        <v>25678</v>
      </c>
      <c r="L185" s="102" t="s">
        <v>25598</v>
      </c>
      <c r="M185" s="102" t="s">
        <v>20</v>
      </c>
      <c r="N185" s="102">
        <v>315</v>
      </c>
      <c r="S185" t="str">
        <f t="shared" ref="S185:S198" si="24">A185&amp;"-"&amp;T185</f>
        <v>80-161-09-55</v>
      </c>
      <c r="T185" s="129" t="s">
        <v>28267</v>
      </c>
      <c r="U185" s="112">
        <v>21</v>
      </c>
    </row>
    <row r="186" spans="1:21" x14ac:dyDescent="0.2">
      <c r="A186" s="102" t="s">
        <v>18784</v>
      </c>
      <c r="B186" s="102" t="s">
        <v>29590</v>
      </c>
      <c r="C186" s="102" t="s">
        <v>46</v>
      </c>
      <c r="D186" s="102" t="s">
        <v>47</v>
      </c>
      <c r="E186" s="102" t="s">
        <v>25636</v>
      </c>
      <c r="F186" s="102" t="s">
        <v>91</v>
      </c>
      <c r="G186" s="102" t="s">
        <v>25636</v>
      </c>
      <c r="H186" s="102" t="s">
        <v>29715</v>
      </c>
      <c r="I186" s="102" t="s">
        <v>1</v>
      </c>
      <c r="J186" s="102" t="s">
        <v>11</v>
      </c>
      <c r="K186" s="102" t="s">
        <v>25678</v>
      </c>
      <c r="L186" s="102" t="s">
        <v>25598</v>
      </c>
      <c r="M186" s="102" t="s">
        <v>20</v>
      </c>
      <c r="N186" s="102">
        <v>315</v>
      </c>
      <c r="S186" t="str">
        <f t="shared" si="24"/>
        <v>80-161-09-56</v>
      </c>
      <c r="T186" s="129" t="s">
        <v>28260</v>
      </c>
      <c r="U186" s="112">
        <v>57</v>
      </c>
    </row>
    <row r="187" spans="1:21" x14ac:dyDescent="0.2">
      <c r="A187" s="102" t="s">
        <v>18784</v>
      </c>
      <c r="B187" s="102" t="s">
        <v>29590</v>
      </c>
      <c r="C187" s="102" t="s">
        <v>46</v>
      </c>
      <c r="D187" s="102" t="s">
        <v>47</v>
      </c>
      <c r="E187" s="102" t="s">
        <v>25636</v>
      </c>
      <c r="F187" s="102" t="s">
        <v>91</v>
      </c>
      <c r="G187" s="102" t="s">
        <v>25636</v>
      </c>
      <c r="H187" s="102" t="s">
        <v>29715</v>
      </c>
      <c r="I187" s="102" t="s">
        <v>1</v>
      </c>
      <c r="J187" s="102" t="s">
        <v>11</v>
      </c>
      <c r="K187" s="102" t="s">
        <v>25678</v>
      </c>
      <c r="L187" s="102" t="s">
        <v>25598</v>
      </c>
      <c r="M187" s="102" t="s">
        <v>20</v>
      </c>
      <c r="N187" s="102">
        <v>315</v>
      </c>
      <c r="S187" t="str">
        <f t="shared" si="24"/>
        <v>80-161-09-57</v>
      </c>
      <c r="T187" s="129" t="s">
        <v>28344</v>
      </c>
      <c r="U187" s="112">
        <v>72</v>
      </c>
    </row>
    <row r="188" spans="1:21" x14ac:dyDescent="0.2">
      <c r="A188" s="102" t="s">
        <v>18784</v>
      </c>
      <c r="B188" s="102" t="s">
        <v>29590</v>
      </c>
      <c r="C188" s="102" t="s">
        <v>46</v>
      </c>
      <c r="D188" s="102" t="s">
        <v>47</v>
      </c>
      <c r="E188" s="102" t="s">
        <v>25636</v>
      </c>
      <c r="F188" s="102" t="s">
        <v>91</v>
      </c>
      <c r="G188" s="102" t="s">
        <v>25636</v>
      </c>
      <c r="H188" s="102" t="s">
        <v>29715</v>
      </c>
      <c r="I188" s="102" t="s">
        <v>1</v>
      </c>
      <c r="J188" s="102" t="s">
        <v>11</v>
      </c>
      <c r="K188" s="102" t="s">
        <v>25678</v>
      </c>
      <c r="L188" s="102" t="s">
        <v>25598</v>
      </c>
      <c r="M188" s="102" t="s">
        <v>20</v>
      </c>
      <c r="N188" s="102">
        <v>315</v>
      </c>
      <c r="S188" t="str">
        <f t="shared" si="24"/>
        <v>80-161-09-58</v>
      </c>
      <c r="T188" s="129" t="s">
        <v>28386</v>
      </c>
      <c r="U188" s="112">
        <v>59</v>
      </c>
    </row>
    <row r="189" spans="1:21" x14ac:dyDescent="0.2">
      <c r="A189" s="102" t="s">
        <v>18784</v>
      </c>
      <c r="B189" s="102" t="s">
        <v>29590</v>
      </c>
      <c r="C189" s="102" t="s">
        <v>46</v>
      </c>
      <c r="D189" s="102" t="s">
        <v>47</v>
      </c>
      <c r="E189" s="102" t="s">
        <v>25636</v>
      </c>
      <c r="F189" s="102" t="s">
        <v>91</v>
      </c>
      <c r="G189" s="102" t="s">
        <v>25636</v>
      </c>
      <c r="H189" s="102" t="s">
        <v>29715</v>
      </c>
      <c r="I189" s="102" t="s">
        <v>1</v>
      </c>
      <c r="J189" s="102" t="s">
        <v>11</v>
      </c>
      <c r="K189" s="102" t="s">
        <v>25678</v>
      </c>
      <c r="L189" s="102" t="s">
        <v>25598</v>
      </c>
      <c r="M189" s="102" t="s">
        <v>20</v>
      </c>
      <c r="N189" s="102">
        <v>315</v>
      </c>
      <c r="S189" t="str">
        <f t="shared" si="24"/>
        <v>80-161-09-59</v>
      </c>
      <c r="T189" s="129" t="s">
        <v>28340</v>
      </c>
      <c r="U189" s="112">
        <v>69</v>
      </c>
    </row>
    <row r="190" spans="1:21" x14ac:dyDescent="0.2">
      <c r="A190" s="102" t="s">
        <v>18784</v>
      </c>
      <c r="B190" s="102" t="s">
        <v>29590</v>
      </c>
      <c r="C190" s="102" t="s">
        <v>46</v>
      </c>
      <c r="D190" s="102" t="s">
        <v>47</v>
      </c>
      <c r="E190" s="102" t="s">
        <v>25636</v>
      </c>
      <c r="F190" s="102" t="s">
        <v>91</v>
      </c>
      <c r="G190" s="102" t="s">
        <v>25636</v>
      </c>
      <c r="H190" s="102" t="s">
        <v>29715</v>
      </c>
      <c r="I190" s="102" t="s">
        <v>1</v>
      </c>
      <c r="J190" s="102" t="s">
        <v>11</v>
      </c>
      <c r="K190" s="102" t="s">
        <v>25678</v>
      </c>
      <c r="L190" s="102" t="s">
        <v>25598</v>
      </c>
      <c r="M190" s="102" t="s">
        <v>20</v>
      </c>
      <c r="N190" s="102">
        <v>315</v>
      </c>
      <c r="S190" t="str">
        <f t="shared" si="24"/>
        <v>80-161-09-60</v>
      </c>
      <c r="T190" s="129" t="s">
        <v>28263</v>
      </c>
      <c r="U190" s="112">
        <v>70</v>
      </c>
    </row>
    <row r="191" spans="1:21" x14ac:dyDescent="0.2">
      <c r="A191" s="102" t="s">
        <v>18784</v>
      </c>
      <c r="B191" s="102" t="s">
        <v>29590</v>
      </c>
      <c r="C191" s="102" t="s">
        <v>46</v>
      </c>
      <c r="D191" s="102" t="s">
        <v>47</v>
      </c>
      <c r="E191" s="102" t="s">
        <v>25636</v>
      </c>
      <c r="F191" s="102" t="s">
        <v>91</v>
      </c>
      <c r="G191" s="102" t="s">
        <v>25636</v>
      </c>
      <c r="H191" s="102" t="s">
        <v>29715</v>
      </c>
      <c r="I191" s="102" t="s">
        <v>1</v>
      </c>
      <c r="J191" s="102" t="s">
        <v>11</v>
      </c>
      <c r="K191" s="102" t="s">
        <v>25678</v>
      </c>
      <c r="L191" s="102" t="s">
        <v>25598</v>
      </c>
      <c r="M191" s="102" t="s">
        <v>20</v>
      </c>
      <c r="N191" s="102">
        <v>315</v>
      </c>
      <c r="S191" t="str">
        <f t="shared" si="24"/>
        <v>80-161-09-61</v>
      </c>
      <c r="T191" s="129" t="s">
        <v>28345</v>
      </c>
      <c r="U191" s="112">
        <v>3</v>
      </c>
    </row>
    <row r="192" spans="1:21" x14ac:dyDescent="0.2">
      <c r="A192" s="102" t="s">
        <v>18784</v>
      </c>
      <c r="B192" s="102" t="s">
        <v>29590</v>
      </c>
      <c r="C192" s="102" t="s">
        <v>46</v>
      </c>
      <c r="D192" s="102" t="s">
        <v>47</v>
      </c>
      <c r="E192" s="102" t="s">
        <v>25636</v>
      </c>
      <c r="F192" s="102" t="s">
        <v>91</v>
      </c>
      <c r="G192" s="102" t="s">
        <v>25636</v>
      </c>
      <c r="H192" s="102" t="s">
        <v>29715</v>
      </c>
      <c r="I192" s="102" t="s">
        <v>1</v>
      </c>
      <c r="J192" s="102" t="s">
        <v>11</v>
      </c>
      <c r="K192" s="102" t="s">
        <v>25678</v>
      </c>
      <c r="L192" s="102" t="s">
        <v>25598</v>
      </c>
      <c r="M192" s="102" t="s">
        <v>20</v>
      </c>
      <c r="N192" s="102">
        <v>315</v>
      </c>
      <c r="S192" t="str">
        <f t="shared" si="24"/>
        <v>80-161-09-62</v>
      </c>
      <c r="T192" s="129" t="s">
        <v>28227</v>
      </c>
      <c r="U192" s="112">
        <v>3</v>
      </c>
    </row>
    <row r="193" spans="1:21" x14ac:dyDescent="0.2">
      <c r="A193" s="102" t="s">
        <v>18615</v>
      </c>
      <c r="B193" s="102" t="s">
        <v>29620</v>
      </c>
      <c r="C193" s="102" t="s">
        <v>31</v>
      </c>
      <c r="D193" s="102" t="s">
        <v>32</v>
      </c>
      <c r="E193" s="102" t="s">
        <v>25636</v>
      </c>
      <c r="F193" s="102" t="s">
        <v>91</v>
      </c>
      <c r="G193" s="102" t="s">
        <v>25636</v>
      </c>
      <c r="H193" s="102" t="s">
        <v>29720</v>
      </c>
      <c r="I193" s="102" t="s">
        <v>22</v>
      </c>
      <c r="J193" s="102" t="s">
        <v>0</v>
      </c>
      <c r="K193" s="102" t="s">
        <v>264</v>
      </c>
      <c r="L193" s="102" t="s">
        <v>25598</v>
      </c>
      <c r="M193" s="102" t="s">
        <v>20</v>
      </c>
      <c r="N193" s="102">
        <v>270</v>
      </c>
      <c r="S193" t="str">
        <f t="shared" si="24"/>
        <v>80-116-14-55</v>
      </c>
      <c r="T193" s="129" t="s">
        <v>28267</v>
      </c>
      <c r="U193" s="112">
        <v>2</v>
      </c>
    </row>
    <row r="194" spans="1:21" x14ac:dyDescent="0.2">
      <c r="A194" s="102" t="s">
        <v>18615</v>
      </c>
      <c r="B194" s="102" t="s">
        <v>29620</v>
      </c>
      <c r="C194" s="102" t="s">
        <v>31</v>
      </c>
      <c r="D194" s="102" t="s">
        <v>32</v>
      </c>
      <c r="E194" s="102" t="s">
        <v>25636</v>
      </c>
      <c r="F194" s="102" t="s">
        <v>91</v>
      </c>
      <c r="G194" s="102" t="s">
        <v>25636</v>
      </c>
      <c r="H194" s="102" t="s">
        <v>29720</v>
      </c>
      <c r="I194" s="102" t="s">
        <v>22</v>
      </c>
      <c r="J194" s="102" t="s">
        <v>0</v>
      </c>
      <c r="K194" s="102" t="s">
        <v>264</v>
      </c>
      <c r="L194" s="102" t="s">
        <v>25598</v>
      </c>
      <c r="M194" s="102" t="s">
        <v>20</v>
      </c>
      <c r="N194" s="102">
        <v>270</v>
      </c>
      <c r="S194" t="str">
        <f t="shared" si="24"/>
        <v>80-116-14-56</v>
      </c>
      <c r="T194" s="129" t="s">
        <v>28260</v>
      </c>
      <c r="U194" s="112">
        <v>7</v>
      </c>
    </row>
    <row r="195" spans="1:21" x14ac:dyDescent="0.2">
      <c r="A195" s="102" t="s">
        <v>18615</v>
      </c>
      <c r="B195" s="102" t="s">
        <v>29620</v>
      </c>
      <c r="C195" s="102" t="s">
        <v>31</v>
      </c>
      <c r="D195" s="102" t="s">
        <v>32</v>
      </c>
      <c r="E195" s="102" t="s">
        <v>25636</v>
      </c>
      <c r="F195" s="102" t="s">
        <v>91</v>
      </c>
      <c r="G195" s="102" t="s">
        <v>25636</v>
      </c>
      <c r="H195" s="102" t="s">
        <v>29720</v>
      </c>
      <c r="I195" s="102" t="s">
        <v>22</v>
      </c>
      <c r="J195" s="102" t="s">
        <v>0</v>
      </c>
      <c r="K195" s="102" t="s">
        <v>264</v>
      </c>
      <c r="L195" s="102" t="s">
        <v>25598</v>
      </c>
      <c r="M195" s="102" t="s">
        <v>20</v>
      </c>
      <c r="N195" s="102">
        <v>270</v>
      </c>
      <c r="S195" t="str">
        <f t="shared" si="24"/>
        <v>80-116-14-57</v>
      </c>
      <c r="T195" s="129" t="s">
        <v>28344</v>
      </c>
      <c r="U195" s="112">
        <v>1</v>
      </c>
    </row>
    <row r="196" spans="1:21" x14ac:dyDescent="0.2">
      <c r="A196" s="102" t="s">
        <v>18615</v>
      </c>
      <c r="B196" s="102" t="s">
        <v>29620</v>
      </c>
      <c r="C196" s="102" t="s">
        <v>31</v>
      </c>
      <c r="D196" s="102" t="s">
        <v>32</v>
      </c>
      <c r="E196" s="102" t="s">
        <v>25636</v>
      </c>
      <c r="F196" s="102" t="s">
        <v>91</v>
      </c>
      <c r="G196" s="102" t="s">
        <v>25636</v>
      </c>
      <c r="H196" s="102" t="s">
        <v>29720</v>
      </c>
      <c r="I196" s="102" t="s">
        <v>22</v>
      </c>
      <c r="J196" s="102" t="s">
        <v>0</v>
      </c>
      <c r="K196" s="102" t="s">
        <v>264</v>
      </c>
      <c r="L196" s="102" t="s">
        <v>25598</v>
      </c>
      <c r="M196" s="102" t="s">
        <v>20</v>
      </c>
      <c r="N196" s="102">
        <v>270</v>
      </c>
      <c r="S196" t="str">
        <f t="shared" si="24"/>
        <v>80-116-14-59</v>
      </c>
      <c r="T196" s="129" t="s">
        <v>28340</v>
      </c>
      <c r="U196" s="112">
        <v>20</v>
      </c>
    </row>
    <row r="197" spans="1:21" x14ac:dyDescent="0.2">
      <c r="A197" s="102" t="s">
        <v>18615</v>
      </c>
      <c r="B197" s="102" t="s">
        <v>29620</v>
      </c>
      <c r="C197" s="102" t="s">
        <v>31</v>
      </c>
      <c r="D197" s="102" t="s">
        <v>32</v>
      </c>
      <c r="E197" s="102" t="s">
        <v>25636</v>
      </c>
      <c r="F197" s="102" t="s">
        <v>91</v>
      </c>
      <c r="G197" s="102" t="s">
        <v>25636</v>
      </c>
      <c r="H197" s="102" t="s">
        <v>29720</v>
      </c>
      <c r="I197" s="102" t="s">
        <v>22</v>
      </c>
      <c r="J197" s="102" t="s">
        <v>0</v>
      </c>
      <c r="K197" s="102" t="s">
        <v>264</v>
      </c>
      <c r="L197" s="102" t="s">
        <v>25598</v>
      </c>
      <c r="M197" s="102" t="s">
        <v>20</v>
      </c>
      <c r="N197" s="102">
        <v>270</v>
      </c>
      <c r="S197" t="str">
        <f t="shared" si="24"/>
        <v>80-116-14-61</v>
      </c>
      <c r="T197" s="129" t="s">
        <v>28345</v>
      </c>
      <c r="U197" s="112">
        <v>1</v>
      </c>
    </row>
    <row r="198" spans="1:21" x14ac:dyDescent="0.2">
      <c r="A198" s="102" t="s">
        <v>19178</v>
      </c>
      <c r="B198" s="102" t="s">
        <v>29602</v>
      </c>
      <c r="C198" s="102" t="s">
        <v>49</v>
      </c>
      <c r="D198" s="102" t="s">
        <v>212</v>
      </c>
      <c r="E198" s="102" t="s">
        <v>25636</v>
      </c>
      <c r="F198" s="102" t="s">
        <v>26642</v>
      </c>
      <c r="G198" s="102" t="s">
        <v>25636</v>
      </c>
      <c r="H198" s="102" t="s">
        <v>29717</v>
      </c>
      <c r="I198" s="102" t="s">
        <v>28</v>
      </c>
      <c r="J198" s="102" t="s">
        <v>26269</v>
      </c>
      <c r="K198" s="102" t="s">
        <v>264</v>
      </c>
      <c r="L198" s="102" t="s">
        <v>25598</v>
      </c>
      <c r="M198" s="102" t="s">
        <v>12</v>
      </c>
      <c r="N198" s="102">
        <v>180</v>
      </c>
      <c r="S198" t="str">
        <f t="shared" si="24"/>
        <v>80-268-08-00</v>
      </c>
      <c r="T198" s="129" t="s">
        <v>25299</v>
      </c>
      <c r="U198" s="112">
        <v>30</v>
      </c>
    </row>
    <row r="199" spans="1:21" x14ac:dyDescent="0.2">
      <c r="A199" s="102" t="s">
        <v>27756</v>
      </c>
      <c r="B199" s="102" t="s">
        <v>29621</v>
      </c>
      <c r="C199" s="102" t="s">
        <v>8</v>
      </c>
      <c r="D199" s="102" t="s">
        <v>21</v>
      </c>
      <c r="E199" s="102" t="s">
        <v>25636</v>
      </c>
      <c r="F199" s="102" t="s">
        <v>91</v>
      </c>
      <c r="G199" s="102" t="s">
        <v>25636</v>
      </c>
      <c r="H199" s="102" t="s">
        <v>29720</v>
      </c>
      <c r="I199" s="102" t="s">
        <v>22</v>
      </c>
      <c r="J199" s="102" t="s">
        <v>0</v>
      </c>
      <c r="K199" s="102" t="s">
        <v>25677</v>
      </c>
      <c r="L199" s="102" t="s">
        <v>25598</v>
      </c>
      <c r="M199" s="102" t="s">
        <v>12</v>
      </c>
      <c r="N199" s="102">
        <v>450</v>
      </c>
      <c r="S199" t="str">
        <f t="shared" ref="S199:S202" si="25">A199&amp;"-"&amp;T199</f>
        <v>80-368-14-55</v>
      </c>
      <c r="T199" s="129" t="s">
        <v>28267</v>
      </c>
      <c r="U199" s="112">
        <v>2</v>
      </c>
    </row>
    <row r="200" spans="1:21" x14ac:dyDescent="0.2">
      <c r="A200" s="102" t="s">
        <v>27756</v>
      </c>
      <c r="B200" s="102" t="s">
        <v>29621</v>
      </c>
      <c r="C200" s="102" t="s">
        <v>8</v>
      </c>
      <c r="D200" s="102" t="s">
        <v>21</v>
      </c>
      <c r="E200" s="102" t="s">
        <v>25636</v>
      </c>
      <c r="F200" s="102" t="s">
        <v>91</v>
      </c>
      <c r="G200" s="102" t="s">
        <v>25636</v>
      </c>
      <c r="H200" s="102" t="s">
        <v>29720</v>
      </c>
      <c r="I200" s="102" t="s">
        <v>22</v>
      </c>
      <c r="J200" s="102" t="s">
        <v>0</v>
      </c>
      <c r="K200" s="102" t="s">
        <v>25677</v>
      </c>
      <c r="L200" s="102" t="s">
        <v>25598</v>
      </c>
      <c r="M200" s="102" t="s">
        <v>12</v>
      </c>
      <c r="N200" s="102">
        <v>450</v>
      </c>
      <c r="S200" t="str">
        <f t="shared" si="25"/>
        <v>80-368-14-59</v>
      </c>
      <c r="T200" s="129" t="s">
        <v>28340</v>
      </c>
      <c r="U200" s="112">
        <v>2</v>
      </c>
    </row>
    <row r="201" spans="1:21" x14ac:dyDescent="0.2">
      <c r="A201" s="102" t="s">
        <v>27758</v>
      </c>
      <c r="B201" s="102" t="s">
        <v>29621</v>
      </c>
      <c r="C201" s="102" t="s">
        <v>8</v>
      </c>
      <c r="D201" s="102" t="s">
        <v>21</v>
      </c>
      <c r="E201" s="102" t="s">
        <v>25636</v>
      </c>
      <c r="F201" s="102" t="s">
        <v>91</v>
      </c>
      <c r="G201" s="102" t="s">
        <v>25636</v>
      </c>
      <c r="H201" s="102" t="s">
        <v>29715</v>
      </c>
      <c r="I201" s="102" t="s">
        <v>1</v>
      </c>
      <c r="J201" s="102" t="s">
        <v>0</v>
      </c>
      <c r="K201" s="102" t="s">
        <v>25677</v>
      </c>
      <c r="L201" s="102" t="s">
        <v>25598</v>
      </c>
      <c r="M201" s="102" t="s">
        <v>12</v>
      </c>
      <c r="N201" s="102">
        <v>450</v>
      </c>
      <c r="S201" t="str">
        <f t="shared" si="25"/>
        <v>80-368-09-61</v>
      </c>
      <c r="T201" s="129" t="s">
        <v>28345</v>
      </c>
      <c r="U201" s="112">
        <v>4</v>
      </c>
    </row>
    <row r="202" spans="1:21" x14ac:dyDescent="0.2">
      <c r="A202" s="102" t="s">
        <v>27724</v>
      </c>
      <c r="B202" s="102" t="s">
        <v>29622</v>
      </c>
      <c r="C202" s="102" t="s">
        <v>8</v>
      </c>
      <c r="D202" s="102" t="s">
        <v>30</v>
      </c>
      <c r="E202" s="102" t="s">
        <v>25636</v>
      </c>
      <c r="F202" s="102" t="s">
        <v>91</v>
      </c>
      <c r="G202" s="102" t="s">
        <v>25636</v>
      </c>
      <c r="H202" s="102" t="s">
        <v>29720</v>
      </c>
      <c r="I202" s="102" t="s">
        <v>22</v>
      </c>
      <c r="J202" s="102" t="s">
        <v>25711</v>
      </c>
      <c r="K202" s="102" t="s">
        <v>25674</v>
      </c>
      <c r="L202" s="102" t="s">
        <v>25598</v>
      </c>
      <c r="M202" s="102" t="s">
        <v>12</v>
      </c>
      <c r="N202" s="102">
        <v>2100.6</v>
      </c>
      <c r="S202" t="str">
        <f t="shared" si="25"/>
        <v>81-065-14-59</v>
      </c>
      <c r="T202" s="129" t="s">
        <v>28340</v>
      </c>
      <c r="U202" s="112">
        <v>3</v>
      </c>
    </row>
    <row r="203" spans="1:21" x14ac:dyDescent="0.2">
      <c r="A203" s="102" t="s">
        <v>27724</v>
      </c>
      <c r="B203" s="102" t="s">
        <v>29622</v>
      </c>
      <c r="C203" s="102" t="s">
        <v>8</v>
      </c>
      <c r="D203" s="102" t="s">
        <v>30</v>
      </c>
      <c r="E203" s="102" t="s">
        <v>25636</v>
      </c>
      <c r="F203" s="102" t="s">
        <v>91</v>
      </c>
      <c r="G203" s="102" t="s">
        <v>25636</v>
      </c>
      <c r="H203" s="102" t="s">
        <v>29720</v>
      </c>
      <c r="I203" s="102" t="s">
        <v>22</v>
      </c>
      <c r="J203" s="102" t="s">
        <v>25711</v>
      </c>
      <c r="K203" s="102" t="s">
        <v>25674</v>
      </c>
      <c r="L203" s="102" t="s">
        <v>25598</v>
      </c>
      <c r="M203" s="102" t="s">
        <v>12</v>
      </c>
      <c r="N203" s="102">
        <v>2100.6</v>
      </c>
      <c r="S203" t="str">
        <f t="shared" ref="S203:S211" si="26">A203&amp;"-"&amp;T203</f>
        <v>81-065-14-61</v>
      </c>
      <c r="T203" s="129" t="s">
        <v>28345</v>
      </c>
      <c r="U203" s="112">
        <v>4</v>
      </c>
    </row>
    <row r="204" spans="1:21" x14ac:dyDescent="0.2">
      <c r="A204" s="102" t="s">
        <v>27732</v>
      </c>
      <c r="B204" s="102" t="s">
        <v>29623</v>
      </c>
      <c r="C204" s="102" t="s">
        <v>8</v>
      </c>
      <c r="D204" s="102" t="s">
        <v>25575</v>
      </c>
      <c r="E204" s="102" t="s">
        <v>25636</v>
      </c>
      <c r="F204" s="102" t="s">
        <v>91</v>
      </c>
      <c r="G204" s="102" t="s">
        <v>25636</v>
      </c>
      <c r="H204" s="102" t="s">
        <v>29715</v>
      </c>
      <c r="I204" s="102" t="s">
        <v>1</v>
      </c>
      <c r="J204" s="102" t="s">
        <v>0</v>
      </c>
      <c r="K204" s="102" t="s">
        <v>25677</v>
      </c>
      <c r="L204" s="102" t="s">
        <v>25598</v>
      </c>
      <c r="M204" s="102" t="s">
        <v>12</v>
      </c>
      <c r="N204" s="102">
        <v>1281.5999999999999</v>
      </c>
      <c r="S204" t="str">
        <f t="shared" si="26"/>
        <v>81-070-09-55</v>
      </c>
      <c r="T204" s="129" t="s">
        <v>28267</v>
      </c>
      <c r="U204" s="112">
        <v>3</v>
      </c>
    </row>
    <row r="205" spans="1:21" x14ac:dyDescent="0.2">
      <c r="A205" s="102" t="s">
        <v>27732</v>
      </c>
      <c r="B205" s="102" t="s">
        <v>29623</v>
      </c>
      <c r="C205" s="102" t="s">
        <v>8</v>
      </c>
      <c r="D205" s="102" t="s">
        <v>25575</v>
      </c>
      <c r="E205" s="102" t="s">
        <v>25636</v>
      </c>
      <c r="F205" s="102" t="s">
        <v>91</v>
      </c>
      <c r="G205" s="102" t="s">
        <v>25636</v>
      </c>
      <c r="H205" s="102" t="s">
        <v>29715</v>
      </c>
      <c r="I205" s="102" t="s">
        <v>1</v>
      </c>
      <c r="J205" s="102" t="s">
        <v>0</v>
      </c>
      <c r="K205" s="102" t="s">
        <v>25677</v>
      </c>
      <c r="L205" s="102" t="s">
        <v>25598</v>
      </c>
      <c r="M205" s="102" t="s">
        <v>12</v>
      </c>
      <c r="N205" s="102">
        <v>1281.5999999999999</v>
      </c>
      <c r="S205" t="str">
        <f t="shared" si="26"/>
        <v>81-070-09-57</v>
      </c>
      <c r="T205" s="129" t="s">
        <v>28344</v>
      </c>
      <c r="U205" s="112">
        <v>4</v>
      </c>
    </row>
    <row r="206" spans="1:21" x14ac:dyDescent="0.2">
      <c r="A206" s="102" t="s">
        <v>27732</v>
      </c>
      <c r="B206" s="102" t="s">
        <v>29623</v>
      </c>
      <c r="C206" s="102" t="s">
        <v>8</v>
      </c>
      <c r="D206" s="102" t="s">
        <v>25575</v>
      </c>
      <c r="E206" s="102" t="s">
        <v>25636</v>
      </c>
      <c r="F206" s="102" t="s">
        <v>91</v>
      </c>
      <c r="G206" s="102" t="s">
        <v>25636</v>
      </c>
      <c r="H206" s="102" t="s">
        <v>29715</v>
      </c>
      <c r="I206" s="102" t="s">
        <v>1</v>
      </c>
      <c r="J206" s="102" t="s">
        <v>0</v>
      </c>
      <c r="K206" s="102" t="s">
        <v>25677</v>
      </c>
      <c r="L206" s="102" t="s">
        <v>25598</v>
      </c>
      <c r="M206" s="102" t="s">
        <v>12</v>
      </c>
      <c r="N206" s="102">
        <v>1281.5999999999999</v>
      </c>
      <c r="S206" t="str">
        <f t="shared" si="26"/>
        <v>81-070-09-59</v>
      </c>
      <c r="T206" s="129" t="s">
        <v>28340</v>
      </c>
      <c r="U206" s="112">
        <v>5</v>
      </c>
    </row>
    <row r="207" spans="1:21" x14ac:dyDescent="0.2">
      <c r="A207" s="102" t="s">
        <v>27732</v>
      </c>
      <c r="B207" s="102" t="s">
        <v>29623</v>
      </c>
      <c r="C207" s="102" t="s">
        <v>8</v>
      </c>
      <c r="D207" s="102" t="s">
        <v>25575</v>
      </c>
      <c r="E207" s="102" t="s">
        <v>25636</v>
      </c>
      <c r="F207" s="102" t="s">
        <v>91</v>
      </c>
      <c r="G207" s="102" t="s">
        <v>25636</v>
      </c>
      <c r="H207" s="102" t="s">
        <v>29715</v>
      </c>
      <c r="I207" s="102" t="s">
        <v>1</v>
      </c>
      <c r="J207" s="102" t="s">
        <v>0</v>
      </c>
      <c r="K207" s="102" t="s">
        <v>25677</v>
      </c>
      <c r="L207" s="102" t="s">
        <v>25598</v>
      </c>
      <c r="M207" s="102" t="s">
        <v>12</v>
      </c>
      <c r="N207" s="102">
        <v>1281.5999999999999</v>
      </c>
      <c r="S207" t="str">
        <f t="shared" si="26"/>
        <v>81-070-09-61</v>
      </c>
      <c r="T207" s="129" t="s">
        <v>28345</v>
      </c>
      <c r="U207" s="112">
        <v>3</v>
      </c>
    </row>
    <row r="208" spans="1:21" x14ac:dyDescent="0.2">
      <c r="A208" s="102" t="s">
        <v>29624</v>
      </c>
      <c r="B208" s="102" t="s">
        <v>29625</v>
      </c>
      <c r="C208" s="102" t="s">
        <v>198</v>
      </c>
      <c r="D208" s="102" t="s">
        <v>199</v>
      </c>
      <c r="E208" s="102" t="s">
        <v>25636</v>
      </c>
      <c r="F208" s="102" t="s">
        <v>26643</v>
      </c>
      <c r="G208" s="102" t="s">
        <v>25636</v>
      </c>
      <c r="H208" s="102" t="s">
        <v>29715</v>
      </c>
      <c r="I208" s="102" t="s">
        <v>1</v>
      </c>
      <c r="J208" s="102" t="s">
        <v>11</v>
      </c>
      <c r="K208" s="102" t="s">
        <v>25678</v>
      </c>
      <c r="L208" s="102" t="s">
        <v>25598</v>
      </c>
      <c r="M208" s="102" t="s">
        <v>12</v>
      </c>
      <c r="N208" s="102">
        <v>812.69999999999993</v>
      </c>
      <c r="S208" t="str">
        <f t="shared" si="26"/>
        <v>81-074-09-55</v>
      </c>
      <c r="T208" s="129" t="s">
        <v>28267</v>
      </c>
      <c r="U208" s="112">
        <v>7</v>
      </c>
    </row>
    <row r="209" spans="1:21" x14ac:dyDescent="0.2">
      <c r="A209" s="102" t="s">
        <v>29624</v>
      </c>
      <c r="B209" s="102" t="s">
        <v>29625</v>
      </c>
      <c r="C209" s="102" t="s">
        <v>198</v>
      </c>
      <c r="D209" s="102" t="s">
        <v>199</v>
      </c>
      <c r="E209" s="102" t="s">
        <v>25636</v>
      </c>
      <c r="F209" s="102" t="s">
        <v>26643</v>
      </c>
      <c r="G209" s="102" t="s">
        <v>25636</v>
      </c>
      <c r="H209" s="102" t="s">
        <v>29715</v>
      </c>
      <c r="I209" s="102" t="s">
        <v>1</v>
      </c>
      <c r="J209" s="102" t="s">
        <v>11</v>
      </c>
      <c r="K209" s="102" t="s">
        <v>25678</v>
      </c>
      <c r="L209" s="102" t="s">
        <v>25598</v>
      </c>
      <c r="M209" s="102" t="s">
        <v>12</v>
      </c>
      <c r="N209" s="102">
        <v>812.69999999999993</v>
      </c>
      <c r="S209" t="str">
        <f t="shared" si="26"/>
        <v>81-074-09-57</v>
      </c>
      <c r="T209" s="129" t="s">
        <v>28344</v>
      </c>
      <c r="U209" s="112">
        <v>19</v>
      </c>
    </row>
    <row r="210" spans="1:21" x14ac:dyDescent="0.2">
      <c r="A210" s="102" t="s">
        <v>29624</v>
      </c>
      <c r="B210" s="102" t="s">
        <v>29625</v>
      </c>
      <c r="C210" s="102" t="s">
        <v>198</v>
      </c>
      <c r="D210" s="102" t="s">
        <v>199</v>
      </c>
      <c r="E210" s="102" t="s">
        <v>25636</v>
      </c>
      <c r="F210" s="102" t="s">
        <v>26643</v>
      </c>
      <c r="G210" s="102" t="s">
        <v>25636</v>
      </c>
      <c r="H210" s="102" t="s">
        <v>29715</v>
      </c>
      <c r="I210" s="102" t="s">
        <v>1</v>
      </c>
      <c r="J210" s="102" t="s">
        <v>11</v>
      </c>
      <c r="K210" s="102" t="s">
        <v>25678</v>
      </c>
      <c r="L210" s="102" t="s">
        <v>25598</v>
      </c>
      <c r="M210" s="102" t="s">
        <v>12</v>
      </c>
      <c r="N210" s="102">
        <v>812.69999999999993</v>
      </c>
      <c r="S210" t="str">
        <f t="shared" si="26"/>
        <v>81-074-09-59</v>
      </c>
      <c r="T210" s="129" t="s">
        <v>28340</v>
      </c>
      <c r="U210" s="112">
        <v>19</v>
      </c>
    </row>
    <row r="211" spans="1:21" x14ac:dyDescent="0.2">
      <c r="A211" s="102" t="s">
        <v>29624</v>
      </c>
      <c r="B211" s="102" t="s">
        <v>29625</v>
      </c>
      <c r="C211" s="102" t="s">
        <v>198</v>
      </c>
      <c r="D211" s="102" t="s">
        <v>199</v>
      </c>
      <c r="E211" s="102" t="s">
        <v>25636</v>
      </c>
      <c r="F211" s="102" t="s">
        <v>26643</v>
      </c>
      <c r="G211" s="102" t="s">
        <v>25636</v>
      </c>
      <c r="H211" s="102" t="s">
        <v>29715</v>
      </c>
      <c r="I211" s="102" t="s">
        <v>1</v>
      </c>
      <c r="J211" s="102" t="s">
        <v>11</v>
      </c>
      <c r="K211" s="102" t="s">
        <v>25678</v>
      </c>
      <c r="L211" s="102" t="s">
        <v>25598</v>
      </c>
      <c r="M211" s="102" t="s">
        <v>12</v>
      </c>
      <c r="N211" s="102">
        <v>812.69999999999993</v>
      </c>
      <c r="S211" t="str">
        <f t="shared" si="26"/>
        <v>81-074-09-61</v>
      </c>
      <c r="T211" s="129" t="s">
        <v>28345</v>
      </c>
      <c r="U211" s="112">
        <v>7</v>
      </c>
    </row>
    <row r="212" spans="1:21" x14ac:dyDescent="0.2">
      <c r="A212" s="102" t="s">
        <v>29626</v>
      </c>
      <c r="B212" s="102" t="s">
        <v>29627</v>
      </c>
      <c r="C212" s="102" t="s">
        <v>26804</v>
      </c>
      <c r="D212" s="102" t="s">
        <v>25552</v>
      </c>
      <c r="E212" s="102" t="s">
        <v>25636</v>
      </c>
      <c r="F212" s="102" t="s">
        <v>26643</v>
      </c>
      <c r="G212" s="102" t="s">
        <v>25636</v>
      </c>
      <c r="H212" s="102" t="s">
        <v>29729</v>
      </c>
      <c r="I212" s="102" t="s">
        <v>100</v>
      </c>
      <c r="J212" s="102" t="s">
        <v>11</v>
      </c>
      <c r="K212" s="102" t="s">
        <v>25678</v>
      </c>
      <c r="L212" s="102" t="s">
        <v>25598</v>
      </c>
      <c r="M212" s="102" t="s">
        <v>12</v>
      </c>
      <c r="N212" s="102">
        <v>812.69999999999993</v>
      </c>
      <c r="S212" t="str">
        <f t="shared" ref="S212:S215" si="27">A212&amp;"-"&amp;T212</f>
        <v>81-075-17-57</v>
      </c>
      <c r="T212" s="129" t="s">
        <v>28344</v>
      </c>
      <c r="U212" s="112">
        <v>25</v>
      </c>
    </row>
    <row r="213" spans="1:21" x14ac:dyDescent="0.2">
      <c r="A213" s="102" t="s">
        <v>29628</v>
      </c>
      <c r="B213" s="102" t="s">
        <v>29627</v>
      </c>
      <c r="C213" s="102" t="s">
        <v>26804</v>
      </c>
      <c r="D213" s="102" t="s">
        <v>25552</v>
      </c>
      <c r="E213" s="102" t="s">
        <v>25636</v>
      </c>
      <c r="F213" s="102" t="s">
        <v>26643</v>
      </c>
      <c r="G213" s="102" t="s">
        <v>25636</v>
      </c>
      <c r="H213" s="102" t="s">
        <v>29714</v>
      </c>
      <c r="I213" s="102" t="s">
        <v>23</v>
      </c>
      <c r="J213" s="102" t="s">
        <v>11</v>
      </c>
      <c r="K213" s="102" t="s">
        <v>25678</v>
      </c>
      <c r="L213" s="102" t="s">
        <v>25598</v>
      </c>
      <c r="M213" s="102" t="s">
        <v>12</v>
      </c>
      <c r="N213" s="102">
        <v>812.69999999999993</v>
      </c>
      <c r="S213" t="str">
        <f t="shared" si="27"/>
        <v>81-075-16-57</v>
      </c>
      <c r="T213" s="129" t="s">
        <v>28344</v>
      </c>
      <c r="U213" s="112">
        <v>25</v>
      </c>
    </row>
    <row r="214" spans="1:21" x14ac:dyDescent="0.2">
      <c r="A214" s="102" t="s">
        <v>29629</v>
      </c>
      <c r="B214" s="102" t="s">
        <v>29630</v>
      </c>
      <c r="C214" s="102" t="s">
        <v>46</v>
      </c>
      <c r="D214" s="102" t="s">
        <v>47</v>
      </c>
      <c r="E214" s="102" t="s">
        <v>25636</v>
      </c>
      <c r="F214" s="102" t="s">
        <v>91</v>
      </c>
      <c r="G214" s="102" t="s">
        <v>25636</v>
      </c>
      <c r="H214" s="102" t="s">
        <v>29722</v>
      </c>
      <c r="I214" s="102" t="s">
        <v>25358</v>
      </c>
      <c r="J214" s="102" t="s">
        <v>11</v>
      </c>
      <c r="K214" s="102" t="s">
        <v>25678</v>
      </c>
      <c r="L214" s="102" t="s">
        <v>25598</v>
      </c>
      <c r="M214" s="102" t="s">
        <v>12</v>
      </c>
      <c r="N214" s="102">
        <v>812.69999999999993</v>
      </c>
      <c r="S214" t="str">
        <f t="shared" si="27"/>
        <v>81-076-45-57</v>
      </c>
      <c r="T214" s="129" t="s">
        <v>28344</v>
      </c>
      <c r="U214" s="112">
        <v>10</v>
      </c>
    </row>
    <row r="215" spans="1:21" x14ac:dyDescent="0.2">
      <c r="A215" s="102" t="s">
        <v>29629</v>
      </c>
      <c r="B215" s="102" t="s">
        <v>29630</v>
      </c>
      <c r="C215" s="102" t="s">
        <v>46</v>
      </c>
      <c r="D215" s="102" t="s">
        <v>47</v>
      </c>
      <c r="E215" s="102" t="s">
        <v>25636</v>
      </c>
      <c r="F215" s="102" t="s">
        <v>91</v>
      </c>
      <c r="G215" s="102" t="s">
        <v>25636</v>
      </c>
      <c r="H215" s="102" t="s">
        <v>29722</v>
      </c>
      <c r="I215" s="102" t="s">
        <v>25358</v>
      </c>
      <c r="J215" s="102" t="s">
        <v>11</v>
      </c>
      <c r="K215" s="102" t="s">
        <v>25678</v>
      </c>
      <c r="L215" s="102" t="s">
        <v>25598</v>
      </c>
      <c r="M215" s="102" t="s">
        <v>12</v>
      </c>
      <c r="N215" s="102">
        <v>812.69999999999993</v>
      </c>
      <c r="S215" t="str">
        <f t="shared" si="27"/>
        <v>81-076-45-59</v>
      </c>
      <c r="T215" s="129" t="s">
        <v>28340</v>
      </c>
      <c r="U215" s="112">
        <v>10</v>
      </c>
    </row>
    <row r="216" spans="1:21" x14ac:dyDescent="0.2">
      <c r="A216" s="102" t="s">
        <v>29631</v>
      </c>
      <c r="B216" s="102" t="s">
        <v>29630</v>
      </c>
      <c r="C216" s="102" t="s">
        <v>46</v>
      </c>
      <c r="D216" s="102" t="s">
        <v>47</v>
      </c>
      <c r="E216" s="102" t="s">
        <v>25636</v>
      </c>
      <c r="F216" s="102" t="s">
        <v>91</v>
      </c>
      <c r="G216" s="102" t="s">
        <v>25636</v>
      </c>
      <c r="H216" s="102" t="s">
        <v>29714</v>
      </c>
      <c r="I216" s="102" t="s">
        <v>23</v>
      </c>
      <c r="J216" s="102" t="s">
        <v>11</v>
      </c>
      <c r="K216" s="102" t="s">
        <v>25678</v>
      </c>
      <c r="L216" s="102" t="s">
        <v>25598</v>
      </c>
      <c r="M216" s="102" t="s">
        <v>12</v>
      </c>
      <c r="N216" s="102">
        <v>812.69999999999993</v>
      </c>
      <c r="S216" t="str">
        <f t="shared" ref="S216:S219" si="28">A216&amp;"-"&amp;T216</f>
        <v>81-076-16-57</v>
      </c>
      <c r="T216" s="129" t="s">
        <v>28344</v>
      </c>
      <c r="U216" s="112">
        <v>14</v>
      </c>
    </row>
    <row r="217" spans="1:21" x14ac:dyDescent="0.2">
      <c r="A217" s="102" t="s">
        <v>29631</v>
      </c>
      <c r="B217" s="102" t="s">
        <v>29630</v>
      </c>
      <c r="C217" s="102" t="s">
        <v>46</v>
      </c>
      <c r="D217" s="102" t="s">
        <v>47</v>
      </c>
      <c r="E217" s="102" t="s">
        <v>25636</v>
      </c>
      <c r="F217" s="102" t="s">
        <v>91</v>
      </c>
      <c r="G217" s="102" t="s">
        <v>25636</v>
      </c>
      <c r="H217" s="102" t="s">
        <v>29714</v>
      </c>
      <c r="I217" s="102" t="s">
        <v>23</v>
      </c>
      <c r="J217" s="102" t="s">
        <v>11</v>
      </c>
      <c r="K217" s="102" t="s">
        <v>25678</v>
      </c>
      <c r="L217" s="102" t="s">
        <v>25598</v>
      </c>
      <c r="M217" s="102" t="s">
        <v>12</v>
      </c>
      <c r="N217" s="102">
        <v>812.69999999999993</v>
      </c>
      <c r="S217" t="str">
        <f t="shared" si="28"/>
        <v>81-076-16-59</v>
      </c>
      <c r="T217" s="129" t="s">
        <v>28340</v>
      </c>
      <c r="U217" s="112">
        <v>14</v>
      </c>
    </row>
    <row r="218" spans="1:21" x14ac:dyDescent="0.2">
      <c r="A218" s="102" t="s">
        <v>29632</v>
      </c>
      <c r="B218" s="102" t="s">
        <v>29633</v>
      </c>
      <c r="C218" s="102" t="s">
        <v>26804</v>
      </c>
      <c r="D218" s="102" t="s">
        <v>25552</v>
      </c>
      <c r="E218" s="102" t="s">
        <v>25636</v>
      </c>
      <c r="F218" s="102" t="s">
        <v>26643</v>
      </c>
      <c r="G218" s="102" t="s">
        <v>25636</v>
      </c>
      <c r="H218" s="102" t="s">
        <v>29722</v>
      </c>
      <c r="I218" s="102" t="s">
        <v>52</v>
      </c>
      <c r="J218" s="102" t="s">
        <v>11</v>
      </c>
      <c r="K218" s="102" t="s">
        <v>25678</v>
      </c>
      <c r="L218" s="102" t="s">
        <v>25598</v>
      </c>
      <c r="M218" s="102" t="s">
        <v>12</v>
      </c>
      <c r="N218" s="102">
        <v>812.69999999999993</v>
      </c>
      <c r="S218" t="str">
        <f t="shared" si="28"/>
        <v>81-077-02-57</v>
      </c>
      <c r="T218" s="129" t="s">
        <v>28344</v>
      </c>
      <c r="U218" s="112">
        <v>25</v>
      </c>
    </row>
    <row r="219" spans="1:21" x14ac:dyDescent="0.2">
      <c r="A219" s="102" t="s">
        <v>29634</v>
      </c>
      <c r="B219" s="102" t="s">
        <v>29633</v>
      </c>
      <c r="C219" s="102" t="s">
        <v>26804</v>
      </c>
      <c r="D219" s="102" t="s">
        <v>25552</v>
      </c>
      <c r="E219" s="102" t="s">
        <v>25636</v>
      </c>
      <c r="F219" s="102" t="s">
        <v>26643</v>
      </c>
      <c r="G219" s="102" t="s">
        <v>25636</v>
      </c>
      <c r="H219" s="102" t="s">
        <v>29714</v>
      </c>
      <c r="I219" s="102" t="s">
        <v>23</v>
      </c>
      <c r="J219" s="102" t="s">
        <v>11</v>
      </c>
      <c r="K219" s="102" t="s">
        <v>25678</v>
      </c>
      <c r="L219" s="102" t="s">
        <v>25598</v>
      </c>
      <c r="M219" s="102" t="s">
        <v>12</v>
      </c>
      <c r="N219" s="102">
        <v>812.69999999999993</v>
      </c>
      <c r="S219" t="str">
        <f t="shared" si="28"/>
        <v>81-077-16-57</v>
      </c>
      <c r="T219" s="129" t="s">
        <v>28344</v>
      </c>
      <c r="U219" s="112">
        <v>25</v>
      </c>
    </row>
    <row r="220" spans="1:21" x14ac:dyDescent="0.2">
      <c r="A220" s="102" t="s">
        <v>29635</v>
      </c>
      <c r="B220" s="102" t="s">
        <v>29636</v>
      </c>
      <c r="C220" s="102" t="s">
        <v>46</v>
      </c>
      <c r="D220" s="102" t="s">
        <v>47</v>
      </c>
      <c r="E220" s="102" t="s">
        <v>25636</v>
      </c>
      <c r="F220" s="102" t="s">
        <v>91</v>
      </c>
      <c r="G220" s="102" t="s">
        <v>25636</v>
      </c>
      <c r="H220" s="102" t="s">
        <v>29730</v>
      </c>
      <c r="I220" s="102" t="s">
        <v>25385</v>
      </c>
      <c r="J220" s="102" t="s">
        <v>11</v>
      </c>
      <c r="K220" s="102" t="s">
        <v>25678</v>
      </c>
      <c r="L220" s="102" t="s">
        <v>25598</v>
      </c>
      <c r="M220" s="102" t="s">
        <v>12</v>
      </c>
      <c r="N220" s="102">
        <v>686.7</v>
      </c>
      <c r="S220" t="str">
        <f t="shared" ref="S220:S221" si="29">A220&amp;"-"&amp;T220</f>
        <v>81-078-20-59</v>
      </c>
      <c r="T220" s="129" t="s">
        <v>28340</v>
      </c>
      <c r="U220" s="112">
        <v>18</v>
      </c>
    </row>
    <row r="221" spans="1:21" x14ac:dyDescent="0.2">
      <c r="A221" s="102" t="s">
        <v>29637</v>
      </c>
      <c r="B221" s="102" t="s">
        <v>29636</v>
      </c>
      <c r="C221" s="102" t="s">
        <v>46</v>
      </c>
      <c r="D221" s="102" t="s">
        <v>47</v>
      </c>
      <c r="E221" s="102" t="s">
        <v>25636</v>
      </c>
      <c r="F221" s="102" t="s">
        <v>91</v>
      </c>
      <c r="G221" s="102" t="s">
        <v>25636</v>
      </c>
      <c r="H221" s="102" t="s">
        <v>29728</v>
      </c>
      <c r="I221" s="102" t="s">
        <v>220</v>
      </c>
      <c r="J221" s="102" t="s">
        <v>11</v>
      </c>
      <c r="K221" s="102" t="s">
        <v>25678</v>
      </c>
      <c r="L221" s="102" t="s">
        <v>25596</v>
      </c>
      <c r="M221" s="102" t="s">
        <v>12</v>
      </c>
      <c r="N221" s="102">
        <v>686.7</v>
      </c>
      <c r="S221" t="str">
        <f t="shared" si="29"/>
        <v>81-078-34-59</v>
      </c>
      <c r="T221" s="129" t="s">
        <v>28340</v>
      </c>
      <c r="U221" s="112">
        <v>18</v>
      </c>
    </row>
    <row r="222" spans="1:21" x14ac:dyDescent="0.2">
      <c r="A222" s="102" t="s">
        <v>29638</v>
      </c>
      <c r="B222" s="102" t="s">
        <v>29639</v>
      </c>
      <c r="C222" s="102" t="s">
        <v>198</v>
      </c>
      <c r="D222" s="102" t="s">
        <v>199</v>
      </c>
      <c r="E222" s="102" t="s">
        <v>25636</v>
      </c>
      <c r="F222" s="102" t="s">
        <v>26643</v>
      </c>
      <c r="G222" s="102" t="s">
        <v>25636</v>
      </c>
      <c r="H222" s="102" t="s">
        <v>29716</v>
      </c>
      <c r="I222" s="102" t="s">
        <v>27</v>
      </c>
      <c r="J222" s="102" t="s">
        <v>11</v>
      </c>
      <c r="K222" s="102" t="s">
        <v>25678</v>
      </c>
      <c r="L222" s="102" t="s">
        <v>25598</v>
      </c>
      <c r="M222" s="102" t="s">
        <v>12</v>
      </c>
      <c r="N222" s="102">
        <v>812.69999999999993</v>
      </c>
      <c r="S222" t="str">
        <f t="shared" ref="S222:S232" si="30">A222&amp;"-"&amp;T222</f>
        <v>81-079-06-57</v>
      </c>
      <c r="T222" s="129" t="s">
        <v>28344</v>
      </c>
      <c r="U222" s="112">
        <v>18</v>
      </c>
    </row>
    <row r="223" spans="1:21" x14ac:dyDescent="0.2">
      <c r="A223" s="102" t="s">
        <v>29638</v>
      </c>
      <c r="B223" s="102" t="s">
        <v>29639</v>
      </c>
      <c r="C223" s="102" t="s">
        <v>198</v>
      </c>
      <c r="D223" s="102" t="s">
        <v>199</v>
      </c>
      <c r="E223" s="102" t="s">
        <v>25636</v>
      </c>
      <c r="F223" s="102" t="s">
        <v>26643</v>
      </c>
      <c r="G223" s="102" t="s">
        <v>25636</v>
      </c>
      <c r="H223" s="102" t="s">
        <v>29716</v>
      </c>
      <c r="I223" s="102" t="s">
        <v>27</v>
      </c>
      <c r="J223" s="102" t="s">
        <v>11</v>
      </c>
      <c r="K223" s="102" t="s">
        <v>25678</v>
      </c>
      <c r="L223" s="102" t="s">
        <v>25598</v>
      </c>
      <c r="M223" s="102" t="s">
        <v>12</v>
      </c>
      <c r="N223" s="102">
        <v>812.69999999999993</v>
      </c>
      <c r="S223" t="str">
        <f t="shared" si="30"/>
        <v>81-079-06-59</v>
      </c>
      <c r="T223" s="129" t="s">
        <v>28340</v>
      </c>
      <c r="U223" s="112">
        <v>18</v>
      </c>
    </row>
    <row r="224" spans="1:21" x14ac:dyDescent="0.2">
      <c r="A224" s="102" t="s">
        <v>29638</v>
      </c>
      <c r="B224" s="102" t="s">
        <v>29639</v>
      </c>
      <c r="C224" s="102" t="s">
        <v>198</v>
      </c>
      <c r="D224" s="102" t="s">
        <v>199</v>
      </c>
      <c r="E224" s="102" t="s">
        <v>25636</v>
      </c>
      <c r="F224" s="102" t="s">
        <v>26643</v>
      </c>
      <c r="G224" s="102" t="s">
        <v>25636</v>
      </c>
      <c r="H224" s="102" t="s">
        <v>29716</v>
      </c>
      <c r="I224" s="102" t="s">
        <v>27</v>
      </c>
      <c r="J224" s="102" t="s">
        <v>11</v>
      </c>
      <c r="K224" s="102" t="s">
        <v>25678</v>
      </c>
      <c r="L224" s="102" t="s">
        <v>25598</v>
      </c>
      <c r="M224" s="102" t="s">
        <v>12</v>
      </c>
      <c r="N224" s="102">
        <v>812.69999999999993</v>
      </c>
      <c r="S224" t="str">
        <f t="shared" si="30"/>
        <v>81-079-06-61</v>
      </c>
      <c r="T224" s="129" t="s">
        <v>28345</v>
      </c>
      <c r="U224" s="112">
        <v>9</v>
      </c>
    </row>
    <row r="225" spans="1:21" x14ac:dyDescent="0.2">
      <c r="A225" s="102" t="s">
        <v>29640</v>
      </c>
      <c r="B225" s="102" t="s">
        <v>29639</v>
      </c>
      <c r="C225" s="102" t="s">
        <v>198</v>
      </c>
      <c r="D225" s="102" t="s">
        <v>199</v>
      </c>
      <c r="E225" s="102" t="s">
        <v>25636</v>
      </c>
      <c r="F225" s="102" t="s">
        <v>26643</v>
      </c>
      <c r="G225" s="102" t="s">
        <v>25636</v>
      </c>
      <c r="H225" s="102" t="s">
        <v>29730</v>
      </c>
      <c r="I225" s="102" t="s">
        <v>25385</v>
      </c>
      <c r="J225" s="102" t="s">
        <v>11</v>
      </c>
      <c r="K225" s="102" t="s">
        <v>25678</v>
      </c>
      <c r="L225" s="102" t="s">
        <v>25598</v>
      </c>
      <c r="M225" s="102" t="s">
        <v>12</v>
      </c>
      <c r="N225" s="102">
        <v>812.69999999999993</v>
      </c>
      <c r="S225" t="str">
        <f t="shared" si="30"/>
        <v>81-079-20-55</v>
      </c>
      <c r="T225" s="129" t="s">
        <v>28267</v>
      </c>
      <c r="U225" s="112">
        <v>9</v>
      </c>
    </row>
    <row r="226" spans="1:21" x14ac:dyDescent="0.2">
      <c r="A226" s="102" t="s">
        <v>29640</v>
      </c>
      <c r="B226" s="102" t="s">
        <v>29639</v>
      </c>
      <c r="C226" s="102" t="s">
        <v>198</v>
      </c>
      <c r="D226" s="102" t="s">
        <v>199</v>
      </c>
      <c r="E226" s="102" t="s">
        <v>25636</v>
      </c>
      <c r="F226" s="102" t="s">
        <v>26643</v>
      </c>
      <c r="G226" s="102" t="s">
        <v>25636</v>
      </c>
      <c r="H226" s="102" t="s">
        <v>29730</v>
      </c>
      <c r="I226" s="102" t="s">
        <v>25385</v>
      </c>
      <c r="J226" s="102" t="s">
        <v>11</v>
      </c>
      <c r="K226" s="102" t="s">
        <v>25678</v>
      </c>
      <c r="L226" s="102" t="s">
        <v>25598</v>
      </c>
      <c r="M226" s="102" t="s">
        <v>12</v>
      </c>
      <c r="N226" s="102">
        <v>812.69999999999993</v>
      </c>
      <c r="S226" t="str">
        <f t="shared" si="30"/>
        <v>81-079-20-57</v>
      </c>
      <c r="T226" s="129" t="s">
        <v>28344</v>
      </c>
      <c r="U226" s="112">
        <v>18</v>
      </c>
    </row>
    <row r="227" spans="1:21" x14ac:dyDescent="0.2">
      <c r="A227" s="102" t="s">
        <v>29640</v>
      </c>
      <c r="B227" s="102" t="s">
        <v>29639</v>
      </c>
      <c r="C227" s="102" t="s">
        <v>198</v>
      </c>
      <c r="D227" s="102" t="s">
        <v>199</v>
      </c>
      <c r="E227" s="102" t="s">
        <v>25636</v>
      </c>
      <c r="F227" s="102" t="s">
        <v>26643</v>
      </c>
      <c r="G227" s="102" t="s">
        <v>25636</v>
      </c>
      <c r="H227" s="102" t="s">
        <v>29730</v>
      </c>
      <c r="I227" s="102" t="s">
        <v>25385</v>
      </c>
      <c r="J227" s="102" t="s">
        <v>11</v>
      </c>
      <c r="K227" s="102" t="s">
        <v>25678</v>
      </c>
      <c r="L227" s="102" t="s">
        <v>25598</v>
      </c>
      <c r="M227" s="102" t="s">
        <v>12</v>
      </c>
      <c r="N227" s="102">
        <v>812.69999999999993</v>
      </c>
      <c r="S227" t="str">
        <f t="shared" si="30"/>
        <v>81-079-20-59</v>
      </c>
      <c r="T227" s="129" t="s">
        <v>28340</v>
      </c>
      <c r="U227" s="112">
        <v>18</v>
      </c>
    </row>
    <row r="228" spans="1:21" x14ac:dyDescent="0.2">
      <c r="A228" s="102" t="s">
        <v>29640</v>
      </c>
      <c r="B228" s="102" t="s">
        <v>29639</v>
      </c>
      <c r="C228" s="102" t="s">
        <v>198</v>
      </c>
      <c r="D228" s="102" t="s">
        <v>199</v>
      </c>
      <c r="E228" s="102" t="s">
        <v>25636</v>
      </c>
      <c r="F228" s="102" t="s">
        <v>26643</v>
      </c>
      <c r="G228" s="102" t="s">
        <v>25636</v>
      </c>
      <c r="H228" s="102" t="s">
        <v>29730</v>
      </c>
      <c r="I228" s="102" t="s">
        <v>25385</v>
      </c>
      <c r="J228" s="102" t="s">
        <v>11</v>
      </c>
      <c r="K228" s="102" t="s">
        <v>25678</v>
      </c>
      <c r="L228" s="102" t="s">
        <v>25598</v>
      </c>
      <c r="M228" s="102" t="s">
        <v>12</v>
      </c>
      <c r="N228" s="102">
        <v>812.69999999999993</v>
      </c>
      <c r="S228" t="str">
        <f t="shared" si="30"/>
        <v>81-079-20-61</v>
      </c>
      <c r="T228" s="129" t="s">
        <v>28345</v>
      </c>
      <c r="U228" s="112">
        <v>9</v>
      </c>
    </row>
    <row r="229" spans="1:21" x14ac:dyDescent="0.2">
      <c r="A229" s="102" t="s">
        <v>29641</v>
      </c>
      <c r="B229" s="102" t="s">
        <v>29639</v>
      </c>
      <c r="C229" s="102" t="s">
        <v>198</v>
      </c>
      <c r="D229" s="102" t="s">
        <v>199</v>
      </c>
      <c r="E229" s="102" t="s">
        <v>25636</v>
      </c>
      <c r="F229" s="102" t="s">
        <v>26643</v>
      </c>
      <c r="G229" s="102" t="s">
        <v>25636</v>
      </c>
      <c r="H229" s="102" t="s">
        <v>29728</v>
      </c>
      <c r="I229" s="102" t="s">
        <v>220</v>
      </c>
      <c r="J229" s="102" t="s">
        <v>11</v>
      </c>
      <c r="K229" s="102" t="s">
        <v>25678</v>
      </c>
      <c r="L229" s="102" t="s">
        <v>25596</v>
      </c>
      <c r="M229" s="102" t="s">
        <v>12</v>
      </c>
      <c r="N229" s="102">
        <v>812.69999999999993</v>
      </c>
      <c r="S229" t="str">
        <f t="shared" si="30"/>
        <v>81-079-34-55</v>
      </c>
      <c r="T229" s="129" t="s">
        <v>28267</v>
      </c>
      <c r="U229" s="112">
        <v>9</v>
      </c>
    </row>
    <row r="230" spans="1:21" x14ac:dyDescent="0.2">
      <c r="A230" s="102" t="s">
        <v>29641</v>
      </c>
      <c r="B230" s="102" t="s">
        <v>29639</v>
      </c>
      <c r="C230" s="102" t="s">
        <v>198</v>
      </c>
      <c r="D230" s="102" t="s">
        <v>199</v>
      </c>
      <c r="E230" s="102" t="s">
        <v>25636</v>
      </c>
      <c r="F230" s="102" t="s">
        <v>26643</v>
      </c>
      <c r="G230" s="102" t="s">
        <v>25636</v>
      </c>
      <c r="H230" s="102" t="s">
        <v>29728</v>
      </c>
      <c r="I230" s="102" t="s">
        <v>220</v>
      </c>
      <c r="J230" s="102" t="s">
        <v>11</v>
      </c>
      <c r="K230" s="102" t="s">
        <v>25678</v>
      </c>
      <c r="L230" s="102" t="s">
        <v>25596</v>
      </c>
      <c r="M230" s="102" t="s">
        <v>12</v>
      </c>
      <c r="N230" s="102">
        <v>812.69999999999993</v>
      </c>
      <c r="S230" t="str">
        <f t="shared" si="30"/>
        <v>81-079-34-57</v>
      </c>
      <c r="T230" s="129" t="s">
        <v>28344</v>
      </c>
      <c r="U230" s="112">
        <v>18</v>
      </c>
    </row>
    <row r="231" spans="1:21" x14ac:dyDescent="0.2">
      <c r="A231" s="102" t="s">
        <v>29641</v>
      </c>
      <c r="B231" s="102" t="s">
        <v>29639</v>
      </c>
      <c r="C231" s="102" t="s">
        <v>198</v>
      </c>
      <c r="D231" s="102" t="s">
        <v>199</v>
      </c>
      <c r="E231" s="102" t="s">
        <v>25636</v>
      </c>
      <c r="F231" s="102" t="s">
        <v>26643</v>
      </c>
      <c r="G231" s="102" t="s">
        <v>25636</v>
      </c>
      <c r="H231" s="102" t="s">
        <v>29728</v>
      </c>
      <c r="I231" s="102" t="s">
        <v>220</v>
      </c>
      <c r="J231" s="102" t="s">
        <v>11</v>
      </c>
      <c r="K231" s="102" t="s">
        <v>25678</v>
      </c>
      <c r="L231" s="102" t="s">
        <v>25596</v>
      </c>
      <c r="M231" s="102" t="s">
        <v>12</v>
      </c>
      <c r="N231" s="102">
        <v>812.69999999999993</v>
      </c>
      <c r="S231" t="str">
        <f t="shared" si="30"/>
        <v>81-079-34-59</v>
      </c>
      <c r="T231" s="129" t="s">
        <v>28340</v>
      </c>
      <c r="U231" s="112">
        <v>18</v>
      </c>
    </row>
    <row r="232" spans="1:21" x14ac:dyDescent="0.2">
      <c r="A232" s="102" t="s">
        <v>29641</v>
      </c>
      <c r="B232" s="102" t="s">
        <v>29639</v>
      </c>
      <c r="C232" s="102" t="s">
        <v>198</v>
      </c>
      <c r="D232" s="102" t="s">
        <v>199</v>
      </c>
      <c r="E232" s="102" t="s">
        <v>25636</v>
      </c>
      <c r="F232" s="102" t="s">
        <v>26643</v>
      </c>
      <c r="G232" s="102" t="s">
        <v>25636</v>
      </c>
      <c r="H232" s="102" t="s">
        <v>29728</v>
      </c>
      <c r="I232" s="102" t="s">
        <v>220</v>
      </c>
      <c r="J232" s="102" t="s">
        <v>11</v>
      </c>
      <c r="K232" s="102" t="s">
        <v>25678</v>
      </c>
      <c r="L232" s="102" t="s">
        <v>25596</v>
      </c>
      <c r="M232" s="102" t="s">
        <v>12</v>
      </c>
      <c r="N232" s="102">
        <v>812.69999999999993</v>
      </c>
      <c r="S232" t="str">
        <f t="shared" si="30"/>
        <v>81-079-34-61</v>
      </c>
      <c r="T232" s="129" t="s">
        <v>28345</v>
      </c>
      <c r="U232" s="112">
        <v>9</v>
      </c>
    </row>
    <row r="233" spans="1:21" x14ac:dyDescent="0.2">
      <c r="A233" s="102" t="s">
        <v>29642</v>
      </c>
      <c r="B233" s="102" t="s">
        <v>29643</v>
      </c>
      <c r="C233" s="102" t="s">
        <v>46</v>
      </c>
      <c r="D233" s="102" t="s">
        <v>47</v>
      </c>
      <c r="E233" s="102" t="s">
        <v>25636</v>
      </c>
      <c r="F233" s="102" t="s">
        <v>91</v>
      </c>
      <c r="G233" s="102" t="s">
        <v>25636</v>
      </c>
      <c r="H233" s="102" t="s">
        <v>29715</v>
      </c>
      <c r="I233" s="102" t="s">
        <v>1</v>
      </c>
      <c r="J233" s="102" t="s">
        <v>11</v>
      </c>
      <c r="K233" s="102" t="s">
        <v>25678</v>
      </c>
      <c r="L233" s="102" t="s">
        <v>25598</v>
      </c>
      <c r="M233" s="102" t="s">
        <v>12</v>
      </c>
      <c r="N233" s="102">
        <v>749.7</v>
      </c>
      <c r="S233" t="str">
        <f t="shared" ref="S233:S236" si="31">A233&amp;"-"&amp;T233</f>
        <v>80-941-09-57</v>
      </c>
      <c r="T233" s="129" t="s">
        <v>28344</v>
      </c>
      <c r="U233" s="112">
        <v>30</v>
      </c>
    </row>
    <row r="234" spans="1:21" x14ac:dyDescent="0.2">
      <c r="A234" s="102" t="s">
        <v>29642</v>
      </c>
      <c r="B234" s="102" t="s">
        <v>29643</v>
      </c>
      <c r="C234" s="102" t="s">
        <v>46</v>
      </c>
      <c r="D234" s="102" t="s">
        <v>47</v>
      </c>
      <c r="E234" s="102" t="s">
        <v>25636</v>
      </c>
      <c r="F234" s="102" t="s">
        <v>91</v>
      </c>
      <c r="G234" s="102" t="s">
        <v>25636</v>
      </c>
      <c r="H234" s="102" t="s">
        <v>29715</v>
      </c>
      <c r="I234" s="102" t="s">
        <v>1</v>
      </c>
      <c r="J234" s="102" t="s">
        <v>11</v>
      </c>
      <c r="K234" s="102" t="s">
        <v>25678</v>
      </c>
      <c r="L234" s="102" t="s">
        <v>25598</v>
      </c>
      <c r="M234" s="102" t="s">
        <v>12</v>
      </c>
      <c r="N234" s="102">
        <v>749.7</v>
      </c>
      <c r="S234" t="str">
        <f t="shared" si="31"/>
        <v>80-941-09-59</v>
      </c>
      <c r="T234" s="129" t="s">
        <v>28340</v>
      </c>
      <c r="U234" s="112">
        <v>30</v>
      </c>
    </row>
    <row r="235" spans="1:21" x14ac:dyDescent="0.2">
      <c r="A235" s="102" t="s">
        <v>29644</v>
      </c>
      <c r="B235" s="102" t="s">
        <v>29643</v>
      </c>
      <c r="C235" s="102" t="s">
        <v>46</v>
      </c>
      <c r="D235" s="102" t="s">
        <v>47</v>
      </c>
      <c r="E235" s="102" t="s">
        <v>25636</v>
      </c>
      <c r="F235" s="102" t="s">
        <v>91</v>
      </c>
      <c r="G235" s="102" t="s">
        <v>25636</v>
      </c>
      <c r="H235" s="102" t="s">
        <v>29717</v>
      </c>
      <c r="I235" s="102" t="s">
        <v>28</v>
      </c>
      <c r="J235" s="102" t="s">
        <v>11</v>
      </c>
      <c r="K235" s="102" t="s">
        <v>25678</v>
      </c>
      <c r="L235" s="102" t="s">
        <v>25598</v>
      </c>
      <c r="M235" s="102" t="s">
        <v>12</v>
      </c>
      <c r="N235" s="102">
        <v>749.7</v>
      </c>
      <c r="S235" t="str">
        <f t="shared" si="31"/>
        <v>80-941-80-57</v>
      </c>
      <c r="T235" s="129" t="s">
        <v>28344</v>
      </c>
      <c r="U235" s="112">
        <v>30</v>
      </c>
    </row>
    <row r="236" spans="1:21" x14ac:dyDescent="0.2">
      <c r="A236" s="102" t="s">
        <v>29644</v>
      </c>
      <c r="B236" s="102" t="s">
        <v>29643</v>
      </c>
      <c r="C236" s="102" t="s">
        <v>46</v>
      </c>
      <c r="D236" s="102" t="s">
        <v>47</v>
      </c>
      <c r="E236" s="102" t="s">
        <v>25636</v>
      </c>
      <c r="F236" s="102" t="s">
        <v>91</v>
      </c>
      <c r="G236" s="102" t="s">
        <v>25636</v>
      </c>
      <c r="H236" s="102" t="s">
        <v>29717</v>
      </c>
      <c r="I236" s="102" t="s">
        <v>28</v>
      </c>
      <c r="J236" s="102" t="s">
        <v>11</v>
      </c>
      <c r="K236" s="102" t="s">
        <v>25678</v>
      </c>
      <c r="L236" s="102" t="s">
        <v>25598</v>
      </c>
      <c r="M236" s="102" t="s">
        <v>12</v>
      </c>
      <c r="N236" s="102">
        <v>749.7</v>
      </c>
      <c r="S236" t="str">
        <f t="shared" si="31"/>
        <v>80-941-80-59</v>
      </c>
      <c r="T236" s="129" t="s">
        <v>28340</v>
      </c>
      <c r="U236" s="112">
        <v>30</v>
      </c>
    </row>
    <row r="237" spans="1:21" x14ac:dyDescent="0.2">
      <c r="A237" s="102" t="s">
        <v>29645</v>
      </c>
      <c r="B237" s="102" t="s">
        <v>29646</v>
      </c>
      <c r="C237" s="102" t="s">
        <v>46</v>
      </c>
      <c r="D237" s="102" t="s">
        <v>47</v>
      </c>
      <c r="E237" s="102" t="s">
        <v>25636</v>
      </c>
      <c r="F237" s="102" t="s">
        <v>26643</v>
      </c>
      <c r="G237" s="102" t="s">
        <v>25636</v>
      </c>
      <c r="H237" s="102" t="s">
        <v>29731</v>
      </c>
      <c r="I237" s="102" t="s">
        <v>147</v>
      </c>
      <c r="J237" s="102" t="s">
        <v>11</v>
      </c>
      <c r="K237" s="102" t="s">
        <v>25678</v>
      </c>
      <c r="L237" s="102" t="s">
        <v>25595</v>
      </c>
      <c r="M237" s="102" t="s">
        <v>12</v>
      </c>
      <c r="N237" s="102">
        <v>345.59999999999997</v>
      </c>
      <c r="S237" t="str">
        <f t="shared" ref="S237:S242" si="32">A237&amp;"-"&amp;T237</f>
        <v>80-662-19-49</v>
      </c>
      <c r="T237" s="129" t="s">
        <v>28343</v>
      </c>
      <c r="U237" s="112">
        <v>10</v>
      </c>
    </row>
    <row r="238" spans="1:21" x14ac:dyDescent="0.2">
      <c r="A238" s="102" t="s">
        <v>29645</v>
      </c>
      <c r="B238" s="102" t="s">
        <v>29646</v>
      </c>
      <c r="C238" s="102" t="s">
        <v>46</v>
      </c>
      <c r="D238" s="102" t="s">
        <v>47</v>
      </c>
      <c r="E238" s="102" t="s">
        <v>25636</v>
      </c>
      <c r="F238" s="102" t="s">
        <v>26643</v>
      </c>
      <c r="G238" s="102" t="s">
        <v>25636</v>
      </c>
      <c r="H238" s="102" t="s">
        <v>29731</v>
      </c>
      <c r="I238" s="102" t="s">
        <v>147</v>
      </c>
      <c r="J238" s="102" t="s">
        <v>11</v>
      </c>
      <c r="K238" s="102" t="s">
        <v>25678</v>
      </c>
      <c r="L238" s="102" t="s">
        <v>25595</v>
      </c>
      <c r="M238" s="102" t="s">
        <v>12</v>
      </c>
      <c r="N238" s="102">
        <v>345.59999999999997</v>
      </c>
      <c r="S238" t="str">
        <f t="shared" si="32"/>
        <v>80-662-19-53</v>
      </c>
      <c r="T238" s="129" t="s">
        <v>28230</v>
      </c>
      <c r="U238" s="112">
        <v>10</v>
      </c>
    </row>
    <row r="239" spans="1:21" x14ac:dyDescent="0.2">
      <c r="A239" s="102" t="s">
        <v>29647</v>
      </c>
      <c r="B239" s="102" t="s">
        <v>29646</v>
      </c>
      <c r="C239" s="102" t="s">
        <v>46</v>
      </c>
      <c r="D239" s="102" t="s">
        <v>47</v>
      </c>
      <c r="E239" s="102" t="s">
        <v>25636</v>
      </c>
      <c r="F239" s="102" t="s">
        <v>26643</v>
      </c>
      <c r="G239" s="102" t="s">
        <v>25636</v>
      </c>
      <c r="H239" s="102" t="s">
        <v>29716</v>
      </c>
      <c r="I239" s="102" t="s">
        <v>27</v>
      </c>
      <c r="J239" s="102" t="s">
        <v>11</v>
      </c>
      <c r="K239" s="102" t="s">
        <v>25678</v>
      </c>
      <c r="L239" s="102" t="s">
        <v>25595</v>
      </c>
      <c r="M239" s="102" t="s">
        <v>12</v>
      </c>
      <c r="N239" s="102">
        <v>345.59999999999997</v>
      </c>
      <c r="S239" t="str">
        <f t="shared" si="32"/>
        <v>80-662-06-49</v>
      </c>
      <c r="T239" s="129" t="s">
        <v>28343</v>
      </c>
      <c r="U239" s="112">
        <v>9</v>
      </c>
    </row>
    <row r="240" spans="1:21" x14ac:dyDescent="0.2">
      <c r="A240" s="102" t="s">
        <v>29647</v>
      </c>
      <c r="B240" s="102" t="s">
        <v>29646</v>
      </c>
      <c r="C240" s="102" t="s">
        <v>46</v>
      </c>
      <c r="D240" s="102" t="s">
        <v>47</v>
      </c>
      <c r="E240" s="102" t="s">
        <v>25636</v>
      </c>
      <c r="F240" s="102" t="s">
        <v>26643</v>
      </c>
      <c r="G240" s="102" t="s">
        <v>25636</v>
      </c>
      <c r="H240" s="102" t="s">
        <v>29716</v>
      </c>
      <c r="I240" s="102" t="s">
        <v>27</v>
      </c>
      <c r="J240" s="102" t="s">
        <v>11</v>
      </c>
      <c r="K240" s="102" t="s">
        <v>25678</v>
      </c>
      <c r="L240" s="102" t="s">
        <v>25595</v>
      </c>
      <c r="M240" s="102" t="s">
        <v>12</v>
      </c>
      <c r="N240" s="102">
        <v>345.59999999999997</v>
      </c>
      <c r="S240" t="str">
        <f t="shared" si="32"/>
        <v>80-662-06-53</v>
      </c>
      <c r="T240" s="129" t="s">
        <v>28230</v>
      </c>
      <c r="U240" s="112">
        <v>9</v>
      </c>
    </row>
    <row r="241" spans="1:21" x14ac:dyDescent="0.2">
      <c r="A241" s="102" t="s">
        <v>29648</v>
      </c>
      <c r="B241" s="102" t="s">
        <v>29646</v>
      </c>
      <c r="C241" s="102" t="s">
        <v>46</v>
      </c>
      <c r="D241" s="102" t="s">
        <v>47</v>
      </c>
      <c r="E241" s="102" t="s">
        <v>25636</v>
      </c>
      <c r="F241" s="102" t="s">
        <v>26643</v>
      </c>
      <c r="G241" s="102" t="s">
        <v>25636</v>
      </c>
      <c r="H241" s="102" t="s">
        <v>29732</v>
      </c>
      <c r="I241" s="102" t="s">
        <v>220</v>
      </c>
      <c r="J241" s="102" t="s">
        <v>11</v>
      </c>
      <c r="K241" s="102" t="s">
        <v>25678</v>
      </c>
      <c r="L241" s="102" t="s">
        <v>25595</v>
      </c>
      <c r="M241" s="102" t="s">
        <v>12</v>
      </c>
      <c r="N241" s="102">
        <v>345.59999999999997</v>
      </c>
      <c r="S241" t="str">
        <f t="shared" si="32"/>
        <v>80-662-34-49</v>
      </c>
      <c r="T241" s="129" t="s">
        <v>28343</v>
      </c>
      <c r="U241" s="112">
        <v>10</v>
      </c>
    </row>
    <row r="242" spans="1:21" x14ac:dyDescent="0.2">
      <c r="A242" s="102" t="s">
        <v>29648</v>
      </c>
      <c r="B242" s="102" t="s">
        <v>29646</v>
      </c>
      <c r="C242" s="102" t="s">
        <v>46</v>
      </c>
      <c r="D242" s="102" t="s">
        <v>47</v>
      </c>
      <c r="E242" s="102" t="s">
        <v>25636</v>
      </c>
      <c r="F242" s="102" t="s">
        <v>26643</v>
      </c>
      <c r="G242" s="102" t="s">
        <v>25636</v>
      </c>
      <c r="H242" s="102" t="s">
        <v>29732</v>
      </c>
      <c r="I242" s="102" t="s">
        <v>220</v>
      </c>
      <c r="J242" s="102" t="s">
        <v>11</v>
      </c>
      <c r="K242" s="102" t="s">
        <v>25678</v>
      </c>
      <c r="L242" s="102" t="s">
        <v>25595</v>
      </c>
      <c r="M242" s="102" t="s">
        <v>12</v>
      </c>
      <c r="N242" s="102">
        <v>345.59999999999997</v>
      </c>
      <c r="S242" t="str">
        <f t="shared" si="32"/>
        <v>80-662-34-53</v>
      </c>
      <c r="T242" s="129" t="s">
        <v>28230</v>
      </c>
      <c r="U242" s="112">
        <v>10</v>
      </c>
    </row>
    <row r="243" spans="1:21" x14ac:dyDescent="0.2">
      <c r="A243" s="102" t="s">
        <v>29649</v>
      </c>
      <c r="B243" s="102" t="s">
        <v>29650</v>
      </c>
      <c r="C243" s="102" t="s">
        <v>198</v>
      </c>
      <c r="D243" s="102" t="s">
        <v>199</v>
      </c>
      <c r="E243" s="102" t="s">
        <v>25636</v>
      </c>
      <c r="F243" s="102" t="s">
        <v>26643</v>
      </c>
      <c r="G243" s="102" t="s">
        <v>25636</v>
      </c>
      <c r="H243" s="102" t="s">
        <v>29731</v>
      </c>
      <c r="I243" s="102" t="s">
        <v>147</v>
      </c>
      <c r="J243" s="102" t="s">
        <v>11</v>
      </c>
      <c r="K243" s="102" t="s">
        <v>25678</v>
      </c>
      <c r="L243" s="102" t="s">
        <v>25595</v>
      </c>
      <c r="M243" s="102" t="s">
        <v>12</v>
      </c>
      <c r="N243" s="102">
        <v>345.59999999999997</v>
      </c>
      <c r="S243" t="str">
        <f t="shared" ref="S243:S247" si="33">A243&amp;"-"&amp;T243</f>
        <v>80-717-19-51</v>
      </c>
      <c r="T243" s="129" t="s">
        <v>28238</v>
      </c>
      <c r="U243" s="112">
        <v>12</v>
      </c>
    </row>
    <row r="244" spans="1:21" x14ac:dyDescent="0.2">
      <c r="A244" s="102" t="s">
        <v>29649</v>
      </c>
      <c r="B244" s="102" t="s">
        <v>29650</v>
      </c>
      <c r="C244" s="102" t="s">
        <v>198</v>
      </c>
      <c r="D244" s="102" t="s">
        <v>199</v>
      </c>
      <c r="E244" s="102" t="s">
        <v>25636</v>
      </c>
      <c r="F244" s="102" t="s">
        <v>26643</v>
      </c>
      <c r="G244" s="102" t="s">
        <v>25636</v>
      </c>
      <c r="H244" s="102" t="s">
        <v>29731</v>
      </c>
      <c r="I244" s="102" t="s">
        <v>147</v>
      </c>
      <c r="J244" s="102" t="s">
        <v>11</v>
      </c>
      <c r="K244" s="102" t="s">
        <v>25678</v>
      </c>
      <c r="L244" s="102" t="s">
        <v>25595</v>
      </c>
      <c r="M244" s="102" t="s">
        <v>12</v>
      </c>
      <c r="N244" s="102">
        <v>345.59999999999997</v>
      </c>
      <c r="S244" t="str">
        <f t="shared" si="33"/>
        <v>80-717-19-53</v>
      </c>
      <c r="T244" s="129" t="s">
        <v>28230</v>
      </c>
      <c r="U244" s="112">
        <v>12</v>
      </c>
    </row>
    <row r="245" spans="1:21" x14ac:dyDescent="0.2">
      <c r="A245" s="102" t="s">
        <v>29651</v>
      </c>
      <c r="B245" s="102" t="s">
        <v>29650</v>
      </c>
      <c r="C245" s="102" t="s">
        <v>198</v>
      </c>
      <c r="D245" s="102" t="s">
        <v>199</v>
      </c>
      <c r="E245" s="102" t="s">
        <v>25636</v>
      </c>
      <c r="F245" s="102" t="s">
        <v>26643</v>
      </c>
      <c r="G245" s="102" t="s">
        <v>25636</v>
      </c>
      <c r="H245" s="102" t="s">
        <v>29716</v>
      </c>
      <c r="I245" s="102" t="s">
        <v>27</v>
      </c>
      <c r="J245" s="102" t="s">
        <v>11</v>
      </c>
      <c r="K245" s="102" t="s">
        <v>25678</v>
      </c>
      <c r="L245" s="102" t="s">
        <v>25595</v>
      </c>
      <c r="M245" s="102" t="s">
        <v>12</v>
      </c>
      <c r="N245" s="102">
        <v>345.59999999999997</v>
      </c>
      <c r="S245" t="str">
        <f t="shared" si="33"/>
        <v>80-717-06-51</v>
      </c>
      <c r="T245" s="129" t="s">
        <v>28238</v>
      </c>
      <c r="U245" s="112">
        <v>12</v>
      </c>
    </row>
    <row r="246" spans="1:21" x14ac:dyDescent="0.2">
      <c r="A246" s="102" t="s">
        <v>29651</v>
      </c>
      <c r="B246" s="102" t="s">
        <v>29650</v>
      </c>
      <c r="C246" s="102" t="s">
        <v>198</v>
      </c>
      <c r="D246" s="102" t="s">
        <v>199</v>
      </c>
      <c r="E246" s="102" t="s">
        <v>25636</v>
      </c>
      <c r="F246" s="102" t="s">
        <v>26643</v>
      </c>
      <c r="G246" s="102" t="s">
        <v>25636</v>
      </c>
      <c r="H246" s="102" t="s">
        <v>29716</v>
      </c>
      <c r="I246" s="102" t="s">
        <v>27</v>
      </c>
      <c r="J246" s="102" t="s">
        <v>11</v>
      </c>
      <c r="K246" s="102" t="s">
        <v>25678</v>
      </c>
      <c r="L246" s="102" t="s">
        <v>25595</v>
      </c>
      <c r="M246" s="102" t="s">
        <v>12</v>
      </c>
      <c r="N246" s="102">
        <v>345.59999999999997</v>
      </c>
      <c r="S246" t="str">
        <f t="shared" si="33"/>
        <v>80-717-06-53</v>
      </c>
      <c r="T246" s="129" t="s">
        <v>28230</v>
      </c>
      <c r="U246" s="112">
        <v>12</v>
      </c>
    </row>
    <row r="247" spans="1:21" x14ac:dyDescent="0.2">
      <c r="A247" s="102" t="s">
        <v>29652</v>
      </c>
      <c r="B247" s="102" t="s">
        <v>29650</v>
      </c>
      <c r="C247" s="102" t="s">
        <v>198</v>
      </c>
      <c r="D247" s="102" t="s">
        <v>199</v>
      </c>
      <c r="E247" s="102" t="s">
        <v>25636</v>
      </c>
      <c r="F247" s="102" t="s">
        <v>26643</v>
      </c>
      <c r="G247" s="102" t="s">
        <v>25636</v>
      </c>
      <c r="H247" s="102" t="s">
        <v>29732</v>
      </c>
      <c r="I247" s="102" t="s">
        <v>220</v>
      </c>
      <c r="J247" s="102" t="s">
        <v>11</v>
      </c>
      <c r="K247" s="102" t="s">
        <v>25678</v>
      </c>
      <c r="L247" s="102" t="s">
        <v>25595</v>
      </c>
      <c r="M247" s="102" t="s">
        <v>12</v>
      </c>
      <c r="N247" s="102">
        <v>345.59999999999997</v>
      </c>
      <c r="S247" t="str">
        <f t="shared" si="33"/>
        <v>80-717-34-51</v>
      </c>
      <c r="T247" s="129" t="s">
        <v>28238</v>
      </c>
      <c r="U247" s="112">
        <v>12</v>
      </c>
    </row>
    <row r="248" spans="1:21" x14ac:dyDescent="0.2">
      <c r="A248" s="102" t="s">
        <v>29652</v>
      </c>
      <c r="B248" s="102" t="s">
        <v>29650</v>
      </c>
      <c r="C248" s="102" t="s">
        <v>198</v>
      </c>
      <c r="D248" s="102" t="s">
        <v>199</v>
      </c>
      <c r="E248" s="102" t="s">
        <v>25636</v>
      </c>
      <c r="F248" s="102" t="s">
        <v>26643</v>
      </c>
      <c r="G248" s="102" t="s">
        <v>25636</v>
      </c>
      <c r="H248" s="102" t="s">
        <v>29732</v>
      </c>
      <c r="I248" s="102" t="s">
        <v>220</v>
      </c>
      <c r="J248" s="102" t="s">
        <v>11</v>
      </c>
      <c r="K248" s="102" t="s">
        <v>25678</v>
      </c>
      <c r="L248" s="102" t="s">
        <v>25595</v>
      </c>
      <c r="M248" s="102" t="s">
        <v>12</v>
      </c>
      <c r="N248" s="102">
        <v>345.59999999999997</v>
      </c>
      <c r="S248" t="str">
        <f t="shared" ref="S248:S255" si="34">A248&amp;"-"&amp;T248</f>
        <v>80-717-34-53</v>
      </c>
      <c r="T248" s="129" t="s">
        <v>28230</v>
      </c>
      <c r="U248" s="112">
        <v>12</v>
      </c>
    </row>
    <row r="249" spans="1:21" x14ac:dyDescent="0.2">
      <c r="A249" s="102" t="s">
        <v>29653</v>
      </c>
      <c r="B249" s="102" t="s">
        <v>29654</v>
      </c>
      <c r="C249" s="102" t="s">
        <v>31</v>
      </c>
      <c r="D249" s="102" t="s">
        <v>32</v>
      </c>
      <c r="E249" s="102" t="s">
        <v>25636</v>
      </c>
      <c r="F249" s="102" t="s">
        <v>91</v>
      </c>
      <c r="G249" s="102" t="s">
        <v>25636</v>
      </c>
      <c r="H249" s="102" t="s">
        <v>29715</v>
      </c>
      <c r="I249" s="102" t="s">
        <v>1</v>
      </c>
      <c r="J249" s="102" t="s">
        <v>25711</v>
      </c>
      <c r="K249" s="102" t="s">
        <v>25674</v>
      </c>
      <c r="L249" s="102" t="s">
        <v>25598</v>
      </c>
      <c r="M249" s="102" t="s">
        <v>12</v>
      </c>
      <c r="N249" s="102">
        <v>180</v>
      </c>
      <c r="S249" t="str">
        <f t="shared" si="34"/>
        <v>81-080-09-55</v>
      </c>
      <c r="T249" s="129" t="s">
        <v>28267</v>
      </c>
      <c r="U249" s="112">
        <v>10</v>
      </c>
    </row>
    <row r="250" spans="1:21" x14ac:dyDescent="0.2">
      <c r="A250" s="102" t="s">
        <v>29653</v>
      </c>
      <c r="B250" s="102" t="s">
        <v>29654</v>
      </c>
      <c r="C250" s="102" t="s">
        <v>31</v>
      </c>
      <c r="D250" s="102" t="s">
        <v>32</v>
      </c>
      <c r="E250" s="102" t="s">
        <v>25636</v>
      </c>
      <c r="F250" s="102" t="s">
        <v>91</v>
      </c>
      <c r="G250" s="102" t="s">
        <v>25636</v>
      </c>
      <c r="H250" s="102" t="s">
        <v>29715</v>
      </c>
      <c r="I250" s="102" t="s">
        <v>1</v>
      </c>
      <c r="J250" s="102" t="s">
        <v>25711</v>
      </c>
      <c r="K250" s="102" t="s">
        <v>25674</v>
      </c>
      <c r="L250" s="102" t="s">
        <v>25598</v>
      </c>
      <c r="M250" s="102" t="s">
        <v>12</v>
      </c>
      <c r="N250" s="102">
        <v>180</v>
      </c>
      <c r="S250" t="str">
        <f t="shared" si="34"/>
        <v>81-080-09-57</v>
      </c>
      <c r="T250" s="129" t="s">
        <v>28344</v>
      </c>
      <c r="U250" s="112">
        <v>11</v>
      </c>
    </row>
    <row r="251" spans="1:21" x14ac:dyDescent="0.2">
      <c r="A251" s="102" t="s">
        <v>29653</v>
      </c>
      <c r="B251" s="102" t="s">
        <v>29654</v>
      </c>
      <c r="C251" s="102" t="s">
        <v>31</v>
      </c>
      <c r="D251" s="102" t="s">
        <v>32</v>
      </c>
      <c r="E251" s="102" t="s">
        <v>25636</v>
      </c>
      <c r="F251" s="102" t="s">
        <v>91</v>
      </c>
      <c r="G251" s="102" t="s">
        <v>25636</v>
      </c>
      <c r="H251" s="102" t="s">
        <v>29715</v>
      </c>
      <c r="I251" s="102" t="s">
        <v>1</v>
      </c>
      <c r="J251" s="102" t="s">
        <v>25711</v>
      </c>
      <c r="K251" s="102" t="s">
        <v>25674</v>
      </c>
      <c r="L251" s="102" t="s">
        <v>25598</v>
      </c>
      <c r="M251" s="102" t="s">
        <v>12</v>
      </c>
      <c r="N251" s="102">
        <v>180</v>
      </c>
      <c r="S251" t="str">
        <f t="shared" si="34"/>
        <v>81-080-09-59</v>
      </c>
      <c r="T251" s="129" t="s">
        <v>28340</v>
      </c>
      <c r="U251" s="112">
        <v>15</v>
      </c>
    </row>
    <row r="252" spans="1:21" x14ac:dyDescent="0.2">
      <c r="A252" s="102" t="s">
        <v>29653</v>
      </c>
      <c r="B252" s="102" t="s">
        <v>29654</v>
      </c>
      <c r="C252" s="102" t="s">
        <v>31</v>
      </c>
      <c r="D252" s="102" t="s">
        <v>32</v>
      </c>
      <c r="E252" s="102" t="s">
        <v>25636</v>
      </c>
      <c r="F252" s="102" t="s">
        <v>91</v>
      </c>
      <c r="G252" s="102" t="s">
        <v>25636</v>
      </c>
      <c r="H252" s="102" t="s">
        <v>29715</v>
      </c>
      <c r="I252" s="102" t="s">
        <v>1</v>
      </c>
      <c r="J252" s="102" t="s">
        <v>25711</v>
      </c>
      <c r="K252" s="102" t="s">
        <v>25674</v>
      </c>
      <c r="L252" s="102" t="s">
        <v>25598</v>
      </c>
      <c r="M252" s="102" t="s">
        <v>12</v>
      </c>
      <c r="N252" s="102">
        <v>180</v>
      </c>
      <c r="S252" t="str">
        <f t="shared" si="34"/>
        <v>81-080-09-61</v>
      </c>
      <c r="T252" s="129" t="s">
        <v>28345</v>
      </c>
      <c r="U252" s="112">
        <v>13</v>
      </c>
    </row>
    <row r="253" spans="1:21" x14ac:dyDescent="0.2">
      <c r="A253" s="102" t="s">
        <v>29655</v>
      </c>
      <c r="B253" s="102" t="s">
        <v>29656</v>
      </c>
      <c r="C253" s="102" t="s">
        <v>31</v>
      </c>
      <c r="D253" s="102" t="s">
        <v>25550</v>
      </c>
      <c r="E253" s="102" t="s">
        <v>25636</v>
      </c>
      <c r="F253" s="102" t="s">
        <v>91</v>
      </c>
      <c r="G253" s="102" t="s">
        <v>25636</v>
      </c>
      <c r="H253" s="102" t="s">
        <v>29715</v>
      </c>
      <c r="I253" s="102" t="s">
        <v>1</v>
      </c>
      <c r="J253" s="102" t="s">
        <v>0</v>
      </c>
      <c r="K253" s="102" t="s">
        <v>264</v>
      </c>
      <c r="L253" s="102" t="s">
        <v>25598</v>
      </c>
      <c r="M253" s="102" t="s">
        <v>12</v>
      </c>
      <c r="N253" s="102">
        <v>180</v>
      </c>
      <c r="S253" t="str">
        <f t="shared" si="34"/>
        <v>81-081-09-59</v>
      </c>
      <c r="T253" s="129" t="s">
        <v>28340</v>
      </c>
      <c r="U253" s="112">
        <v>40</v>
      </c>
    </row>
    <row r="254" spans="1:21" x14ac:dyDescent="0.2">
      <c r="A254" s="102" t="s">
        <v>29655</v>
      </c>
      <c r="B254" s="102" t="s">
        <v>29656</v>
      </c>
      <c r="C254" s="102" t="s">
        <v>31</v>
      </c>
      <c r="D254" s="102" t="s">
        <v>25550</v>
      </c>
      <c r="E254" s="102" t="s">
        <v>25636</v>
      </c>
      <c r="F254" s="102" t="s">
        <v>91</v>
      </c>
      <c r="G254" s="102" t="s">
        <v>25636</v>
      </c>
      <c r="H254" s="102" t="s">
        <v>29715</v>
      </c>
      <c r="I254" s="102" t="s">
        <v>1</v>
      </c>
      <c r="J254" s="102" t="s">
        <v>0</v>
      </c>
      <c r="K254" s="102" t="s">
        <v>264</v>
      </c>
      <c r="L254" s="102" t="s">
        <v>25598</v>
      </c>
      <c r="M254" s="102" t="s">
        <v>12</v>
      </c>
      <c r="N254" s="102">
        <v>180</v>
      </c>
      <c r="S254" t="str">
        <f t="shared" si="34"/>
        <v>81-081-09-61</v>
      </c>
      <c r="T254" s="129" t="s">
        <v>28345</v>
      </c>
      <c r="U254" s="112">
        <v>20</v>
      </c>
    </row>
    <row r="255" spans="1:21" x14ac:dyDescent="0.2">
      <c r="A255" s="102" t="s">
        <v>29657</v>
      </c>
      <c r="B255" s="102" t="s">
        <v>29658</v>
      </c>
      <c r="C255" s="102" t="s">
        <v>31</v>
      </c>
      <c r="D255" s="102" t="s">
        <v>25548</v>
      </c>
      <c r="E255" s="102" t="s">
        <v>25636</v>
      </c>
      <c r="F255" s="102" t="s">
        <v>91</v>
      </c>
      <c r="G255" s="102" t="s">
        <v>25636</v>
      </c>
      <c r="H255" s="102" t="s">
        <v>29716</v>
      </c>
      <c r="I255" s="102" t="s">
        <v>23</v>
      </c>
      <c r="J255" s="102" t="s">
        <v>26538</v>
      </c>
      <c r="K255" s="102" t="s">
        <v>264</v>
      </c>
      <c r="L255" s="102" t="s">
        <v>25598</v>
      </c>
      <c r="M255" s="102" t="s">
        <v>20</v>
      </c>
      <c r="N255" s="102">
        <v>360</v>
      </c>
      <c r="S255" t="str">
        <f t="shared" si="34"/>
        <v>80-824-16-59</v>
      </c>
      <c r="T255" s="129" t="s">
        <v>28340</v>
      </c>
      <c r="U255" s="112">
        <v>2</v>
      </c>
    </row>
    <row r="256" spans="1:21" x14ac:dyDescent="0.2">
      <c r="A256" s="102" t="s">
        <v>29657</v>
      </c>
      <c r="B256" s="102" t="s">
        <v>29658</v>
      </c>
      <c r="C256" s="102" t="s">
        <v>31</v>
      </c>
      <c r="D256" s="102" t="s">
        <v>25548</v>
      </c>
      <c r="E256" s="102" t="s">
        <v>25636</v>
      </c>
      <c r="F256" s="102" t="s">
        <v>91</v>
      </c>
      <c r="G256" s="102" t="s">
        <v>25636</v>
      </c>
      <c r="H256" s="102" t="s">
        <v>29716</v>
      </c>
      <c r="I256" s="102" t="s">
        <v>23</v>
      </c>
      <c r="J256" s="102" t="s">
        <v>26538</v>
      </c>
      <c r="K256" s="102" t="s">
        <v>264</v>
      </c>
      <c r="L256" s="102" t="s">
        <v>25598</v>
      </c>
      <c r="M256" s="102" t="s">
        <v>20</v>
      </c>
      <c r="N256" s="102">
        <v>360</v>
      </c>
      <c r="S256" t="str">
        <f t="shared" ref="S256:S264" si="35">A256&amp;"-"&amp;T256</f>
        <v>80-824-16-60</v>
      </c>
      <c r="T256" s="129" t="s">
        <v>28263</v>
      </c>
      <c r="U256" s="112">
        <v>1</v>
      </c>
    </row>
    <row r="257" spans="1:21" x14ac:dyDescent="0.2">
      <c r="A257" s="102" t="s">
        <v>29657</v>
      </c>
      <c r="B257" s="102" t="s">
        <v>29658</v>
      </c>
      <c r="C257" s="102" t="s">
        <v>31</v>
      </c>
      <c r="D257" s="102" t="s">
        <v>25548</v>
      </c>
      <c r="E257" s="102" t="s">
        <v>25636</v>
      </c>
      <c r="F257" s="102" t="s">
        <v>91</v>
      </c>
      <c r="G257" s="102" t="s">
        <v>25636</v>
      </c>
      <c r="H257" s="102" t="s">
        <v>29716</v>
      </c>
      <c r="I257" s="102" t="s">
        <v>23</v>
      </c>
      <c r="J257" s="102" t="s">
        <v>26538</v>
      </c>
      <c r="K257" s="102" t="s">
        <v>264</v>
      </c>
      <c r="L257" s="102" t="s">
        <v>25598</v>
      </c>
      <c r="M257" s="102" t="s">
        <v>20</v>
      </c>
      <c r="N257" s="102">
        <v>360</v>
      </c>
      <c r="S257" t="str">
        <f t="shared" si="35"/>
        <v>80-824-16-61</v>
      </c>
      <c r="T257" s="129" t="s">
        <v>28345</v>
      </c>
      <c r="U257" s="112">
        <v>3</v>
      </c>
    </row>
    <row r="258" spans="1:21" x14ac:dyDescent="0.2">
      <c r="A258" s="102" t="s">
        <v>29659</v>
      </c>
      <c r="B258" s="102" t="s">
        <v>29596</v>
      </c>
      <c r="C258" s="102" t="s">
        <v>49</v>
      </c>
      <c r="D258" s="102" t="s">
        <v>57</v>
      </c>
      <c r="E258" s="102" t="s">
        <v>25636</v>
      </c>
      <c r="F258" s="102" t="s">
        <v>26642</v>
      </c>
      <c r="G258" s="102" t="s">
        <v>25636</v>
      </c>
      <c r="H258" s="102" t="s">
        <v>29714</v>
      </c>
      <c r="I258" s="102" t="s">
        <v>23</v>
      </c>
      <c r="J258" s="102" t="s">
        <v>59</v>
      </c>
      <c r="L258" s="102" t="s">
        <v>25596</v>
      </c>
      <c r="M258" s="102" t="s">
        <v>12</v>
      </c>
      <c r="N258" s="102">
        <v>270</v>
      </c>
      <c r="S258" t="str">
        <f t="shared" si="35"/>
        <v>80-863-16-55</v>
      </c>
      <c r="T258" s="129" t="s">
        <v>28267</v>
      </c>
      <c r="U258" s="112">
        <v>1</v>
      </c>
    </row>
    <row r="259" spans="1:21" x14ac:dyDescent="0.2">
      <c r="A259" s="102" t="s">
        <v>29659</v>
      </c>
      <c r="B259" s="102" t="s">
        <v>29596</v>
      </c>
      <c r="C259" s="102" t="s">
        <v>49</v>
      </c>
      <c r="D259" s="102" t="s">
        <v>57</v>
      </c>
      <c r="E259" s="102" t="s">
        <v>25636</v>
      </c>
      <c r="F259" s="102" t="s">
        <v>26642</v>
      </c>
      <c r="G259" s="102" t="s">
        <v>25636</v>
      </c>
      <c r="H259" s="102" t="s">
        <v>29714</v>
      </c>
      <c r="I259" s="102" t="s">
        <v>23</v>
      </c>
      <c r="J259" s="102" t="s">
        <v>59</v>
      </c>
      <c r="L259" s="102" t="s">
        <v>25596</v>
      </c>
      <c r="M259" s="102" t="s">
        <v>12</v>
      </c>
      <c r="N259" s="102">
        <v>270</v>
      </c>
      <c r="S259" t="str">
        <f t="shared" si="35"/>
        <v>80-863-16-57</v>
      </c>
      <c r="T259" s="129" t="s">
        <v>28344</v>
      </c>
      <c r="U259" s="112">
        <v>2</v>
      </c>
    </row>
    <row r="260" spans="1:21" x14ac:dyDescent="0.2">
      <c r="A260" s="102" t="s">
        <v>29659</v>
      </c>
      <c r="B260" s="102" t="s">
        <v>29596</v>
      </c>
      <c r="C260" s="102" t="s">
        <v>49</v>
      </c>
      <c r="D260" s="102" t="s">
        <v>57</v>
      </c>
      <c r="E260" s="102" t="s">
        <v>25636</v>
      </c>
      <c r="F260" s="102" t="s">
        <v>26642</v>
      </c>
      <c r="G260" s="102" t="s">
        <v>25636</v>
      </c>
      <c r="H260" s="102" t="s">
        <v>29714</v>
      </c>
      <c r="I260" s="102" t="s">
        <v>23</v>
      </c>
      <c r="J260" s="102" t="s">
        <v>59</v>
      </c>
      <c r="L260" s="102" t="s">
        <v>25596</v>
      </c>
      <c r="M260" s="102" t="s">
        <v>12</v>
      </c>
      <c r="N260" s="102">
        <v>270</v>
      </c>
      <c r="S260" t="str">
        <f t="shared" si="35"/>
        <v>80-863-16-59</v>
      </c>
      <c r="T260" s="129" t="s">
        <v>28340</v>
      </c>
      <c r="U260" s="112">
        <v>1</v>
      </c>
    </row>
    <row r="261" spans="1:21" x14ac:dyDescent="0.2">
      <c r="A261" s="102" t="s">
        <v>29659</v>
      </c>
      <c r="B261" s="102" t="s">
        <v>29596</v>
      </c>
      <c r="C261" s="102" t="s">
        <v>49</v>
      </c>
      <c r="D261" s="102" t="s">
        <v>57</v>
      </c>
      <c r="E261" s="102" t="s">
        <v>25636</v>
      </c>
      <c r="F261" s="102" t="s">
        <v>26642</v>
      </c>
      <c r="G261" s="102" t="s">
        <v>25636</v>
      </c>
      <c r="H261" s="102" t="s">
        <v>29714</v>
      </c>
      <c r="I261" s="102" t="s">
        <v>23</v>
      </c>
      <c r="J261" s="102" t="s">
        <v>59</v>
      </c>
      <c r="L261" s="102" t="s">
        <v>25596</v>
      </c>
      <c r="M261" s="102" t="s">
        <v>12</v>
      </c>
      <c r="N261" s="102">
        <v>270</v>
      </c>
      <c r="S261" t="str">
        <f t="shared" si="35"/>
        <v>80-863-16-61</v>
      </c>
      <c r="T261" s="129" t="s">
        <v>28345</v>
      </c>
      <c r="U261" s="112">
        <v>1</v>
      </c>
    </row>
    <row r="262" spans="1:21" x14ac:dyDescent="0.2">
      <c r="A262" s="102" t="s">
        <v>29660</v>
      </c>
      <c r="B262" s="102" t="s">
        <v>29596</v>
      </c>
      <c r="C262" s="102" t="s">
        <v>49</v>
      </c>
      <c r="D262" s="102" t="s">
        <v>57</v>
      </c>
      <c r="E262" s="102" t="s">
        <v>25636</v>
      </c>
      <c r="F262" s="102" t="s">
        <v>26642</v>
      </c>
      <c r="G262" s="102" t="s">
        <v>25636</v>
      </c>
      <c r="H262" s="102" t="s">
        <v>29728</v>
      </c>
      <c r="I262" s="102" t="s">
        <v>220</v>
      </c>
      <c r="J262" s="102" t="s">
        <v>59</v>
      </c>
      <c r="L262" s="102" t="s">
        <v>25596</v>
      </c>
      <c r="M262" s="102" t="s">
        <v>12</v>
      </c>
      <c r="N262" s="102">
        <v>270</v>
      </c>
      <c r="S262" t="str">
        <f t="shared" si="35"/>
        <v>80-863-34-55</v>
      </c>
      <c r="T262" s="129" t="s">
        <v>28267</v>
      </c>
      <c r="U262" s="112">
        <v>6</v>
      </c>
    </row>
    <row r="263" spans="1:21" x14ac:dyDescent="0.2">
      <c r="A263" s="102" t="s">
        <v>29660</v>
      </c>
      <c r="B263" s="102" t="s">
        <v>29596</v>
      </c>
      <c r="C263" s="102" t="s">
        <v>49</v>
      </c>
      <c r="D263" s="102" t="s">
        <v>57</v>
      </c>
      <c r="E263" s="102" t="s">
        <v>25636</v>
      </c>
      <c r="F263" s="102" t="s">
        <v>26642</v>
      </c>
      <c r="G263" s="102" t="s">
        <v>25636</v>
      </c>
      <c r="H263" s="102" t="s">
        <v>29728</v>
      </c>
      <c r="I263" s="102" t="s">
        <v>220</v>
      </c>
      <c r="J263" s="102" t="s">
        <v>59</v>
      </c>
      <c r="L263" s="102" t="s">
        <v>25596</v>
      </c>
      <c r="M263" s="102" t="s">
        <v>12</v>
      </c>
      <c r="N263" s="102">
        <v>270</v>
      </c>
      <c r="S263" t="str">
        <f t="shared" si="35"/>
        <v>80-863-34-57</v>
      </c>
      <c r="T263" s="129" t="s">
        <v>28344</v>
      </c>
      <c r="U263" s="112">
        <v>14</v>
      </c>
    </row>
    <row r="264" spans="1:21" x14ac:dyDescent="0.2">
      <c r="A264" s="102" t="s">
        <v>29660</v>
      </c>
      <c r="B264" s="102" t="s">
        <v>29596</v>
      </c>
      <c r="C264" s="102" t="s">
        <v>49</v>
      </c>
      <c r="D264" s="102" t="s">
        <v>57</v>
      </c>
      <c r="E264" s="102" t="s">
        <v>25636</v>
      </c>
      <c r="F264" s="102" t="s">
        <v>26642</v>
      </c>
      <c r="G264" s="102" t="s">
        <v>25636</v>
      </c>
      <c r="H264" s="102" t="s">
        <v>29728</v>
      </c>
      <c r="I264" s="102" t="s">
        <v>220</v>
      </c>
      <c r="J264" s="102" t="s">
        <v>59</v>
      </c>
      <c r="L264" s="102" t="s">
        <v>25596</v>
      </c>
      <c r="M264" s="102" t="s">
        <v>12</v>
      </c>
      <c r="N264" s="102">
        <v>270</v>
      </c>
      <c r="S264" t="str">
        <f t="shared" si="35"/>
        <v>80-863-34-59</v>
      </c>
      <c r="T264" s="129" t="s">
        <v>28340</v>
      </c>
      <c r="U264" s="112">
        <v>5</v>
      </c>
    </row>
    <row r="265" spans="1:21" x14ac:dyDescent="0.2">
      <c r="A265" s="102" t="s">
        <v>29661</v>
      </c>
      <c r="B265" s="102" t="s">
        <v>29662</v>
      </c>
      <c r="C265" s="102" t="s">
        <v>49</v>
      </c>
      <c r="D265" s="102" t="s">
        <v>212</v>
      </c>
      <c r="E265" s="102" t="s">
        <v>25636</v>
      </c>
      <c r="F265" s="102" t="s">
        <v>26642</v>
      </c>
      <c r="G265" s="102" t="s">
        <v>25636</v>
      </c>
      <c r="H265" s="102" t="s">
        <v>29715</v>
      </c>
      <c r="I265" s="102" t="s">
        <v>1</v>
      </c>
      <c r="J265" s="102" t="s">
        <v>29738</v>
      </c>
      <c r="L265" s="102" t="s">
        <v>25598</v>
      </c>
      <c r="M265" s="102" t="s">
        <v>12</v>
      </c>
      <c r="N265" s="102">
        <v>135</v>
      </c>
      <c r="S265" t="str">
        <f t="shared" ref="S265:S267" si="36">A265&amp;"-"&amp;T265</f>
        <v>81-082-09-00</v>
      </c>
      <c r="T265" s="129" t="s">
        <v>25299</v>
      </c>
      <c r="U265" s="112">
        <v>14</v>
      </c>
    </row>
    <row r="266" spans="1:21" x14ac:dyDescent="0.2">
      <c r="A266" s="102" t="s">
        <v>29663</v>
      </c>
      <c r="B266" s="102" t="s">
        <v>29664</v>
      </c>
      <c r="C266" s="102" t="s">
        <v>49</v>
      </c>
      <c r="D266" s="102" t="s">
        <v>212</v>
      </c>
      <c r="E266" s="102" t="s">
        <v>25636</v>
      </c>
      <c r="F266" s="102" t="s">
        <v>26642</v>
      </c>
      <c r="G266" s="102" t="s">
        <v>25636</v>
      </c>
      <c r="H266" s="102" t="s">
        <v>29733</v>
      </c>
      <c r="I266" s="102" t="s">
        <v>100</v>
      </c>
      <c r="J266" s="102" t="s">
        <v>213</v>
      </c>
      <c r="L266" s="102" t="s">
        <v>25598</v>
      </c>
      <c r="M266" s="102" t="s">
        <v>12</v>
      </c>
      <c r="N266" s="102">
        <v>135</v>
      </c>
      <c r="S266" t="str">
        <f t="shared" si="36"/>
        <v>80-562-17-00</v>
      </c>
      <c r="T266" s="129" t="s">
        <v>25299</v>
      </c>
      <c r="U266" s="112">
        <v>23</v>
      </c>
    </row>
    <row r="267" spans="1:21" x14ac:dyDescent="0.2">
      <c r="A267" s="102" t="s">
        <v>29665</v>
      </c>
      <c r="B267" s="102" t="s">
        <v>29600</v>
      </c>
      <c r="C267" s="102" t="s">
        <v>26638</v>
      </c>
      <c r="D267" s="102" t="s">
        <v>25572</v>
      </c>
      <c r="E267" s="102" t="s">
        <v>25636</v>
      </c>
      <c r="F267" s="102" t="s">
        <v>26642</v>
      </c>
      <c r="G267" s="102" t="s">
        <v>25636</v>
      </c>
      <c r="H267" s="102" t="s">
        <v>29720</v>
      </c>
      <c r="I267" s="102" t="s">
        <v>22</v>
      </c>
      <c r="J267" s="102" t="s">
        <v>0</v>
      </c>
      <c r="K267" s="102" t="s">
        <v>264</v>
      </c>
      <c r="L267" s="102" t="s">
        <v>25598</v>
      </c>
      <c r="M267" s="102" t="s">
        <v>20</v>
      </c>
      <c r="N267" s="102">
        <v>270</v>
      </c>
      <c r="S267" t="str">
        <f t="shared" si="36"/>
        <v>80-506-14-00</v>
      </c>
      <c r="T267" s="129" t="s">
        <v>25299</v>
      </c>
      <c r="U267" s="112">
        <v>4</v>
      </c>
    </row>
    <row r="268" spans="1:21" x14ac:dyDescent="0.2">
      <c r="A268" s="102" t="s">
        <v>29666</v>
      </c>
      <c r="B268" s="102" t="s">
        <v>29667</v>
      </c>
      <c r="C268" s="102" t="s">
        <v>49</v>
      </c>
      <c r="D268" s="102" t="s">
        <v>57</v>
      </c>
      <c r="E268" s="102" t="s">
        <v>25636</v>
      </c>
      <c r="F268" s="102" t="s">
        <v>26642</v>
      </c>
      <c r="G268" s="102" t="s">
        <v>25636</v>
      </c>
      <c r="H268" s="102" t="s">
        <v>29714</v>
      </c>
      <c r="I268" s="102" t="s">
        <v>23</v>
      </c>
      <c r="J268" s="102" t="s">
        <v>29739</v>
      </c>
      <c r="L268" s="102" t="s">
        <v>25598</v>
      </c>
      <c r="M268" s="102" t="s">
        <v>12</v>
      </c>
      <c r="N268" s="102">
        <v>90</v>
      </c>
      <c r="S268" t="str">
        <f t="shared" ref="S268:S276" si="37">A268&amp;"-"&amp;T268</f>
        <v>81-083-16-55</v>
      </c>
      <c r="T268" s="129" t="s">
        <v>28267</v>
      </c>
      <c r="U268" s="112">
        <v>4</v>
      </c>
    </row>
    <row r="269" spans="1:21" x14ac:dyDescent="0.2">
      <c r="A269" s="102" t="s">
        <v>29666</v>
      </c>
      <c r="B269" s="102" t="s">
        <v>29667</v>
      </c>
      <c r="C269" s="102" t="s">
        <v>49</v>
      </c>
      <c r="D269" s="102" t="s">
        <v>57</v>
      </c>
      <c r="E269" s="102" t="s">
        <v>25636</v>
      </c>
      <c r="F269" s="102" t="s">
        <v>26642</v>
      </c>
      <c r="G269" s="102" t="s">
        <v>25636</v>
      </c>
      <c r="H269" s="102" t="s">
        <v>29714</v>
      </c>
      <c r="I269" s="102" t="s">
        <v>23</v>
      </c>
      <c r="J269" s="102" t="s">
        <v>29739</v>
      </c>
      <c r="L269" s="102" t="s">
        <v>25598</v>
      </c>
      <c r="M269" s="102" t="s">
        <v>12</v>
      </c>
      <c r="N269" s="102">
        <v>90</v>
      </c>
      <c r="S269" t="str">
        <f t="shared" si="37"/>
        <v>81-083-16-57</v>
      </c>
      <c r="T269" s="129" t="s">
        <v>28344</v>
      </c>
      <c r="U269" s="112">
        <v>17</v>
      </c>
    </row>
    <row r="270" spans="1:21" x14ac:dyDescent="0.2">
      <c r="A270" s="102" t="s">
        <v>29666</v>
      </c>
      <c r="B270" s="102" t="s">
        <v>29667</v>
      </c>
      <c r="C270" s="102" t="s">
        <v>49</v>
      </c>
      <c r="D270" s="102" t="s">
        <v>57</v>
      </c>
      <c r="E270" s="102" t="s">
        <v>25636</v>
      </c>
      <c r="F270" s="102" t="s">
        <v>26642</v>
      </c>
      <c r="G270" s="102" t="s">
        <v>25636</v>
      </c>
      <c r="H270" s="102" t="s">
        <v>29714</v>
      </c>
      <c r="I270" s="102" t="s">
        <v>23</v>
      </c>
      <c r="J270" s="102" t="s">
        <v>29739</v>
      </c>
      <c r="L270" s="102" t="s">
        <v>25598</v>
      </c>
      <c r="M270" s="102" t="s">
        <v>12</v>
      </c>
      <c r="N270" s="102">
        <v>90</v>
      </c>
      <c r="S270" t="str">
        <f t="shared" si="37"/>
        <v>81-083-16-59</v>
      </c>
      <c r="T270" s="129" t="s">
        <v>28340</v>
      </c>
      <c r="U270" s="112">
        <v>21</v>
      </c>
    </row>
    <row r="271" spans="1:21" x14ac:dyDescent="0.2">
      <c r="A271" s="102" t="s">
        <v>29666</v>
      </c>
      <c r="B271" s="102" t="s">
        <v>29667</v>
      </c>
      <c r="C271" s="102" t="s">
        <v>49</v>
      </c>
      <c r="D271" s="102" t="s">
        <v>57</v>
      </c>
      <c r="E271" s="102" t="s">
        <v>25636</v>
      </c>
      <c r="F271" s="102" t="s">
        <v>26642</v>
      </c>
      <c r="G271" s="102" t="s">
        <v>25636</v>
      </c>
      <c r="H271" s="102" t="s">
        <v>29714</v>
      </c>
      <c r="I271" s="102" t="s">
        <v>23</v>
      </c>
      <c r="J271" s="102" t="s">
        <v>29739</v>
      </c>
      <c r="L271" s="102" t="s">
        <v>25598</v>
      </c>
      <c r="M271" s="102" t="s">
        <v>12</v>
      </c>
      <c r="N271" s="102">
        <v>90</v>
      </c>
      <c r="S271" t="str">
        <f t="shared" si="37"/>
        <v>81-083-16-61</v>
      </c>
      <c r="T271" s="129" t="s">
        <v>28345</v>
      </c>
      <c r="U271" s="112">
        <v>8</v>
      </c>
    </row>
    <row r="272" spans="1:21" x14ac:dyDescent="0.2">
      <c r="A272" s="102" t="s">
        <v>29668</v>
      </c>
      <c r="B272" s="102" t="s">
        <v>29667</v>
      </c>
      <c r="C272" s="102" t="s">
        <v>49</v>
      </c>
      <c r="D272" s="102" t="s">
        <v>57</v>
      </c>
      <c r="E272" s="102" t="s">
        <v>25636</v>
      </c>
      <c r="F272" s="102" t="s">
        <v>26642</v>
      </c>
      <c r="G272" s="102" t="s">
        <v>25636</v>
      </c>
      <c r="H272" s="102" t="s">
        <v>29715</v>
      </c>
      <c r="I272" s="102" t="s">
        <v>1</v>
      </c>
      <c r="J272" s="102" t="s">
        <v>29739</v>
      </c>
      <c r="L272" s="102" t="s">
        <v>25598</v>
      </c>
      <c r="M272" s="102" t="s">
        <v>12</v>
      </c>
      <c r="N272" s="102">
        <v>90</v>
      </c>
      <c r="S272" t="str">
        <f t="shared" si="37"/>
        <v>81-083-09-55</v>
      </c>
      <c r="T272" s="129" t="s">
        <v>28267</v>
      </c>
      <c r="U272" s="112">
        <v>4</v>
      </c>
    </row>
    <row r="273" spans="1:21" x14ac:dyDescent="0.2">
      <c r="A273" s="102" t="s">
        <v>29668</v>
      </c>
      <c r="B273" s="102" t="s">
        <v>29667</v>
      </c>
      <c r="C273" s="102" t="s">
        <v>49</v>
      </c>
      <c r="D273" s="102" t="s">
        <v>57</v>
      </c>
      <c r="E273" s="102" t="s">
        <v>25636</v>
      </c>
      <c r="F273" s="102" t="s">
        <v>26642</v>
      </c>
      <c r="G273" s="102" t="s">
        <v>25636</v>
      </c>
      <c r="H273" s="102" t="s">
        <v>29715</v>
      </c>
      <c r="I273" s="102" t="s">
        <v>1</v>
      </c>
      <c r="J273" s="102" t="s">
        <v>29739</v>
      </c>
      <c r="L273" s="102" t="s">
        <v>25598</v>
      </c>
      <c r="M273" s="102" t="s">
        <v>12</v>
      </c>
      <c r="N273" s="102">
        <v>90</v>
      </c>
      <c r="S273" t="str">
        <f t="shared" si="37"/>
        <v>81-083-09-57</v>
      </c>
      <c r="T273" s="129" t="s">
        <v>28344</v>
      </c>
      <c r="U273" s="112">
        <v>9</v>
      </c>
    </row>
    <row r="274" spans="1:21" x14ac:dyDescent="0.2">
      <c r="A274" s="102" t="s">
        <v>29668</v>
      </c>
      <c r="B274" s="102" t="s">
        <v>29667</v>
      </c>
      <c r="C274" s="102" t="s">
        <v>49</v>
      </c>
      <c r="D274" s="102" t="s">
        <v>57</v>
      </c>
      <c r="E274" s="102" t="s">
        <v>25636</v>
      </c>
      <c r="F274" s="102" t="s">
        <v>26642</v>
      </c>
      <c r="G274" s="102" t="s">
        <v>25636</v>
      </c>
      <c r="H274" s="102" t="s">
        <v>29715</v>
      </c>
      <c r="I274" s="102" t="s">
        <v>1</v>
      </c>
      <c r="J274" s="102" t="s">
        <v>29739</v>
      </c>
      <c r="L274" s="102" t="s">
        <v>25598</v>
      </c>
      <c r="M274" s="102" t="s">
        <v>12</v>
      </c>
      <c r="N274" s="102">
        <v>90</v>
      </c>
      <c r="S274" t="str">
        <f t="shared" si="37"/>
        <v>81-083-09-59</v>
      </c>
      <c r="T274" s="129" t="s">
        <v>28340</v>
      </c>
      <c r="U274" s="112">
        <v>8</v>
      </c>
    </row>
    <row r="275" spans="1:21" x14ac:dyDescent="0.2">
      <c r="A275" s="102" t="s">
        <v>29668</v>
      </c>
      <c r="B275" s="102" t="s">
        <v>29667</v>
      </c>
      <c r="C275" s="102" t="s">
        <v>49</v>
      </c>
      <c r="D275" s="102" t="s">
        <v>57</v>
      </c>
      <c r="E275" s="102" t="s">
        <v>25636</v>
      </c>
      <c r="F275" s="102" t="s">
        <v>26642</v>
      </c>
      <c r="G275" s="102" t="s">
        <v>25636</v>
      </c>
      <c r="H275" s="102" t="s">
        <v>29715</v>
      </c>
      <c r="I275" s="102" t="s">
        <v>1</v>
      </c>
      <c r="J275" s="102" t="s">
        <v>29739</v>
      </c>
      <c r="L275" s="102" t="s">
        <v>25598</v>
      </c>
      <c r="M275" s="102" t="s">
        <v>12</v>
      </c>
      <c r="N275" s="102">
        <v>90</v>
      </c>
      <c r="S275" t="str">
        <f t="shared" si="37"/>
        <v>81-083-09-61</v>
      </c>
      <c r="T275" s="129" t="s">
        <v>28345</v>
      </c>
      <c r="U275" s="112">
        <v>5</v>
      </c>
    </row>
    <row r="276" spans="1:21" x14ac:dyDescent="0.2">
      <c r="A276" s="102" t="s">
        <v>29669</v>
      </c>
      <c r="B276" s="102" t="s">
        <v>29670</v>
      </c>
      <c r="C276" s="102" t="s">
        <v>49</v>
      </c>
      <c r="D276" s="102" t="s">
        <v>212</v>
      </c>
      <c r="E276" s="102" t="s">
        <v>25636</v>
      </c>
      <c r="F276" s="102" t="s">
        <v>26642</v>
      </c>
      <c r="G276" s="102" t="s">
        <v>25636</v>
      </c>
      <c r="H276" s="102" t="s">
        <v>29715</v>
      </c>
      <c r="I276" s="102" t="s">
        <v>1</v>
      </c>
      <c r="J276" s="102" t="s">
        <v>29739</v>
      </c>
      <c r="L276" s="102" t="s">
        <v>25598</v>
      </c>
      <c r="M276" s="102" t="s">
        <v>12</v>
      </c>
      <c r="N276" s="102">
        <v>62.999999999999993</v>
      </c>
      <c r="S276" t="str">
        <f t="shared" si="37"/>
        <v>81-084-09-00</v>
      </c>
      <c r="T276" s="129" t="s">
        <v>25299</v>
      </c>
      <c r="U276" s="112">
        <v>5</v>
      </c>
    </row>
    <row r="277" spans="1:21" x14ac:dyDescent="0.2">
      <c r="A277" s="102" t="s">
        <v>29671</v>
      </c>
      <c r="B277" s="102" t="s">
        <v>29670</v>
      </c>
      <c r="C277" s="102" t="s">
        <v>49</v>
      </c>
      <c r="D277" s="102" t="s">
        <v>212</v>
      </c>
      <c r="E277" s="102" t="s">
        <v>25636</v>
      </c>
      <c r="F277" s="102" t="s">
        <v>26642</v>
      </c>
      <c r="G277" s="102" t="s">
        <v>25636</v>
      </c>
      <c r="H277" s="102" t="s">
        <v>29718</v>
      </c>
      <c r="I277" s="102" t="s">
        <v>54</v>
      </c>
      <c r="J277" s="102" t="s">
        <v>29739</v>
      </c>
      <c r="L277" s="102" t="s">
        <v>25598</v>
      </c>
      <c r="M277" s="102" t="s">
        <v>12</v>
      </c>
      <c r="N277" s="102">
        <v>62.999999999999993</v>
      </c>
      <c r="S277" t="str">
        <f t="shared" ref="S277:S278" si="38">A277&amp;"-"&amp;T277</f>
        <v>81-084-11-00</v>
      </c>
      <c r="T277" s="129" t="s">
        <v>25299</v>
      </c>
      <c r="U277" s="112">
        <v>30</v>
      </c>
    </row>
    <row r="278" spans="1:21" x14ac:dyDescent="0.2">
      <c r="A278" s="102" t="s">
        <v>29672</v>
      </c>
      <c r="B278" s="102" t="s">
        <v>29673</v>
      </c>
      <c r="C278" s="102" t="s">
        <v>49</v>
      </c>
      <c r="D278" s="102" t="s">
        <v>212</v>
      </c>
      <c r="E278" s="102" t="s">
        <v>25636</v>
      </c>
      <c r="F278" s="102" t="s">
        <v>26642</v>
      </c>
      <c r="G278" s="102" t="s">
        <v>25636</v>
      </c>
      <c r="H278" s="102" t="s">
        <v>29720</v>
      </c>
      <c r="I278" s="102" t="s">
        <v>22</v>
      </c>
      <c r="J278" s="102" t="s">
        <v>29740</v>
      </c>
      <c r="L278" s="102" t="s">
        <v>25598</v>
      </c>
      <c r="M278" s="102" t="s">
        <v>12</v>
      </c>
      <c r="N278" s="102">
        <v>270</v>
      </c>
      <c r="S278" t="str">
        <f t="shared" si="38"/>
        <v>81-085-14-00</v>
      </c>
      <c r="T278" s="129" t="s">
        <v>25299</v>
      </c>
      <c r="U278" s="112">
        <v>20</v>
      </c>
    </row>
    <row r="279" spans="1:21" x14ac:dyDescent="0.2">
      <c r="A279" s="102" t="s">
        <v>29674</v>
      </c>
      <c r="B279" s="102" t="s">
        <v>29673</v>
      </c>
      <c r="C279" s="102" t="s">
        <v>49</v>
      </c>
      <c r="D279" s="102" t="s">
        <v>212</v>
      </c>
      <c r="E279" s="102" t="s">
        <v>25636</v>
      </c>
      <c r="F279" s="102" t="s">
        <v>26642</v>
      </c>
      <c r="G279" s="102" t="s">
        <v>25636</v>
      </c>
      <c r="H279" s="102" t="s">
        <v>29715</v>
      </c>
      <c r="I279" s="102" t="s">
        <v>1</v>
      </c>
      <c r="J279" s="102" t="s">
        <v>29740</v>
      </c>
      <c r="L279" s="102" t="s">
        <v>25598</v>
      </c>
      <c r="M279" s="102" t="s">
        <v>12</v>
      </c>
      <c r="N279" s="102">
        <v>270</v>
      </c>
      <c r="S279" t="str">
        <f t="shared" ref="S279:S281" si="39">A279&amp;"-"&amp;T279</f>
        <v>81-085-09-00</v>
      </c>
      <c r="T279" s="129" t="s">
        <v>25299</v>
      </c>
      <c r="U279" s="112">
        <v>30</v>
      </c>
    </row>
    <row r="280" spans="1:21" x14ac:dyDescent="0.2">
      <c r="A280" s="102" t="s">
        <v>29675</v>
      </c>
      <c r="B280" s="102" t="s">
        <v>29676</v>
      </c>
      <c r="C280" s="102" t="s">
        <v>26638</v>
      </c>
      <c r="D280" s="102" t="s">
        <v>25572</v>
      </c>
      <c r="E280" s="102" t="s">
        <v>25636</v>
      </c>
      <c r="F280" s="102" t="s">
        <v>26642</v>
      </c>
      <c r="G280" s="102" t="s">
        <v>25636</v>
      </c>
      <c r="H280" s="102" t="s">
        <v>29716</v>
      </c>
      <c r="I280" s="102" t="s">
        <v>23</v>
      </c>
      <c r="J280" s="102" t="s">
        <v>29741</v>
      </c>
      <c r="K280" s="102" t="s">
        <v>264</v>
      </c>
      <c r="L280" s="102" t="s">
        <v>25598</v>
      </c>
      <c r="M280" s="102" t="s">
        <v>20</v>
      </c>
      <c r="N280" s="102">
        <v>225</v>
      </c>
      <c r="S280" t="str">
        <f t="shared" si="39"/>
        <v>81-086-16-00</v>
      </c>
      <c r="T280" s="129" t="s">
        <v>25299</v>
      </c>
      <c r="U280" s="112">
        <v>12</v>
      </c>
    </row>
    <row r="281" spans="1:21" x14ac:dyDescent="0.2">
      <c r="A281" s="102" t="s">
        <v>29677</v>
      </c>
      <c r="B281" s="102" t="s">
        <v>29676</v>
      </c>
      <c r="C281" s="102" t="s">
        <v>26638</v>
      </c>
      <c r="D281" s="102" t="s">
        <v>25572</v>
      </c>
      <c r="E281" s="102" t="s">
        <v>25636</v>
      </c>
      <c r="F281" s="102" t="s">
        <v>26642</v>
      </c>
      <c r="G281" s="102" t="s">
        <v>25636</v>
      </c>
      <c r="H281" s="102" t="s">
        <v>29734</v>
      </c>
      <c r="I281" s="102" t="s">
        <v>54</v>
      </c>
      <c r="J281" s="102" t="s">
        <v>29741</v>
      </c>
      <c r="K281" s="102" t="s">
        <v>264</v>
      </c>
      <c r="L281" s="102" t="s">
        <v>25598</v>
      </c>
      <c r="M281" s="102" t="s">
        <v>20</v>
      </c>
      <c r="N281" s="102">
        <v>225</v>
      </c>
      <c r="S281" t="str">
        <f t="shared" si="39"/>
        <v>81-086-11-00</v>
      </c>
      <c r="T281" s="129" t="s">
        <v>25299</v>
      </c>
      <c r="U281" s="112">
        <v>12</v>
      </c>
    </row>
    <row r="282" spans="1:21" x14ac:dyDescent="0.2">
      <c r="A282" s="102" t="s">
        <v>29678</v>
      </c>
      <c r="B282" s="102" t="s">
        <v>29679</v>
      </c>
      <c r="C282" s="102" t="s">
        <v>26638</v>
      </c>
      <c r="D282" s="102" t="s">
        <v>25572</v>
      </c>
      <c r="E282" s="102" t="s">
        <v>25636</v>
      </c>
      <c r="F282" s="102" t="s">
        <v>26642</v>
      </c>
      <c r="G282" s="102" t="s">
        <v>25636</v>
      </c>
      <c r="H282" s="102" t="s">
        <v>29714</v>
      </c>
      <c r="I282" s="102" t="s">
        <v>23</v>
      </c>
      <c r="J282" s="102" t="s">
        <v>0</v>
      </c>
      <c r="K282" s="102" t="s">
        <v>264</v>
      </c>
      <c r="L282" s="102" t="s">
        <v>25598</v>
      </c>
      <c r="M282" s="102" t="s">
        <v>20</v>
      </c>
      <c r="N282" s="102">
        <v>225</v>
      </c>
      <c r="S282" t="str">
        <f t="shared" ref="S282:S284" si="40">A282&amp;"-"&amp;T282</f>
        <v>81-087-16-00</v>
      </c>
      <c r="T282" s="129" t="s">
        <v>25299</v>
      </c>
      <c r="U282" s="112">
        <v>8</v>
      </c>
    </row>
    <row r="283" spans="1:21" x14ac:dyDescent="0.2">
      <c r="A283" s="102" t="s">
        <v>29680</v>
      </c>
      <c r="B283" s="102" t="s">
        <v>29679</v>
      </c>
      <c r="C283" s="102" t="s">
        <v>26638</v>
      </c>
      <c r="D283" s="102" t="s">
        <v>25572</v>
      </c>
      <c r="E283" s="102" t="s">
        <v>25636</v>
      </c>
      <c r="F283" s="102" t="s">
        <v>26642</v>
      </c>
      <c r="G283" s="102" t="s">
        <v>25636</v>
      </c>
      <c r="H283" s="102" t="s">
        <v>29715</v>
      </c>
      <c r="I283" s="102" t="s">
        <v>1</v>
      </c>
      <c r="J283" s="102" t="s">
        <v>0</v>
      </c>
      <c r="K283" s="102" t="s">
        <v>264</v>
      </c>
      <c r="L283" s="102" t="s">
        <v>25598</v>
      </c>
      <c r="M283" s="102" t="s">
        <v>20</v>
      </c>
      <c r="N283" s="102">
        <v>225</v>
      </c>
      <c r="S283" t="str">
        <f t="shared" si="40"/>
        <v>81-087-09-00</v>
      </c>
      <c r="T283" s="129" t="s">
        <v>25299</v>
      </c>
      <c r="U283" s="112">
        <v>12</v>
      </c>
    </row>
    <row r="284" spans="1:21" x14ac:dyDescent="0.2">
      <c r="A284" s="102" t="s">
        <v>29681</v>
      </c>
      <c r="B284" s="102" t="s">
        <v>29682</v>
      </c>
      <c r="C284" s="102" t="s">
        <v>26638</v>
      </c>
      <c r="D284" s="102" t="s">
        <v>25572</v>
      </c>
      <c r="E284" s="102" t="s">
        <v>25636</v>
      </c>
      <c r="F284" s="102" t="s">
        <v>26642</v>
      </c>
      <c r="G284" s="102" t="s">
        <v>25636</v>
      </c>
      <c r="H284" s="102" t="s">
        <v>29721</v>
      </c>
      <c r="I284" s="102" t="s">
        <v>130</v>
      </c>
      <c r="J284" s="102" t="s">
        <v>29742</v>
      </c>
      <c r="K284" s="102" t="s">
        <v>264</v>
      </c>
      <c r="L284" s="102" t="s">
        <v>25598</v>
      </c>
      <c r="M284" s="102" t="s">
        <v>20</v>
      </c>
      <c r="N284" s="102">
        <v>270</v>
      </c>
      <c r="S284" t="str">
        <f t="shared" si="40"/>
        <v>81-088-21-00</v>
      </c>
      <c r="T284" s="129" t="s">
        <v>25299</v>
      </c>
      <c r="U284" s="112">
        <v>10</v>
      </c>
    </row>
    <row r="285" spans="1:21" x14ac:dyDescent="0.2">
      <c r="A285" s="102" t="s">
        <v>29683</v>
      </c>
      <c r="B285" s="102" t="s">
        <v>29682</v>
      </c>
      <c r="C285" s="102" t="s">
        <v>26638</v>
      </c>
      <c r="D285" s="102" t="s">
        <v>25572</v>
      </c>
      <c r="E285" s="102" t="s">
        <v>25636</v>
      </c>
      <c r="F285" s="102" t="s">
        <v>26642</v>
      </c>
      <c r="G285" s="102" t="s">
        <v>25636</v>
      </c>
      <c r="H285" s="102" t="s">
        <v>29734</v>
      </c>
      <c r="I285" s="102" t="s">
        <v>25471</v>
      </c>
      <c r="J285" s="102" t="s">
        <v>29742</v>
      </c>
      <c r="K285" s="102" t="s">
        <v>264</v>
      </c>
      <c r="L285" s="102" t="s">
        <v>25598</v>
      </c>
      <c r="M285" s="102" t="s">
        <v>20</v>
      </c>
      <c r="N285" s="102">
        <v>270</v>
      </c>
      <c r="S285" t="str">
        <f t="shared" ref="S285:S287" si="41">A285&amp;"-"&amp;T285</f>
        <v>81-088-08-00</v>
      </c>
      <c r="T285" s="129" t="s">
        <v>25299</v>
      </c>
      <c r="U285" s="112">
        <v>14</v>
      </c>
    </row>
    <row r="286" spans="1:21" x14ac:dyDescent="0.2">
      <c r="A286" s="102" t="s">
        <v>29684</v>
      </c>
      <c r="B286" s="102" t="s">
        <v>29603</v>
      </c>
      <c r="C286" s="102" t="s">
        <v>8</v>
      </c>
      <c r="D286" s="102" t="s">
        <v>21</v>
      </c>
      <c r="E286" s="102" t="s">
        <v>25636</v>
      </c>
      <c r="F286" s="102" t="s">
        <v>91</v>
      </c>
      <c r="G286" s="102" t="s">
        <v>25636</v>
      </c>
      <c r="H286" s="102" t="s">
        <v>29717</v>
      </c>
      <c r="I286" s="102" t="s">
        <v>28</v>
      </c>
      <c r="J286" s="102" t="s">
        <v>25976</v>
      </c>
      <c r="L286" s="102" t="s">
        <v>25598</v>
      </c>
      <c r="M286" s="102" t="s">
        <v>20</v>
      </c>
      <c r="N286" s="102">
        <v>450</v>
      </c>
      <c r="S286" t="str">
        <f t="shared" si="41"/>
        <v>80-588-80-57</v>
      </c>
      <c r="T286" s="129" t="s">
        <v>28344</v>
      </c>
      <c r="U286" s="112">
        <v>5</v>
      </c>
    </row>
    <row r="287" spans="1:21" x14ac:dyDescent="0.2">
      <c r="A287" s="102" t="s">
        <v>29684</v>
      </c>
      <c r="B287" s="102" t="s">
        <v>29603</v>
      </c>
      <c r="C287" s="102" t="s">
        <v>8</v>
      </c>
      <c r="D287" s="102" t="s">
        <v>21</v>
      </c>
      <c r="E287" s="102" t="s">
        <v>25636</v>
      </c>
      <c r="F287" s="102" t="s">
        <v>91</v>
      </c>
      <c r="G287" s="102" t="s">
        <v>25636</v>
      </c>
      <c r="H287" s="102" t="s">
        <v>29717</v>
      </c>
      <c r="I287" s="102" t="s">
        <v>28</v>
      </c>
      <c r="J287" s="102" t="s">
        <v>25976</v>
      </c>
      <c r="L287" s="102" t="s">
        <v>25598</v>
      </c>
      <c r="M287" s="102" t="s">
        <v>20</v>
      </c>
      <c r="N287" s="102">
        <v>450</v>
      </c>
      <c r="S287" t="str">
        <f t="shared" si="41"/>
        <v>80-588-80-59</v>
      </c>
      <c r="T287" s="129" t="s">
        <v>28340</v>
      </c>
      <c r="U287" s="112">
        <v>7</v>
      </c>
    </row>
    <row r="288" spans="1:21" x14ac:dyDescent="0.2">
      <c r="A288" s="102" t="s">
        <v>29685</v>
      </c>
      <c r="B288" s="102" t="s">
        <v>29686</v>
      </c>
      <c r="C288" s="102" t="s">
        <v>8</v>
      </c>
      <c r="D288" s="102" t="s">
        <v>9</v>
      </c>
      <c r="E288" s="102" t="s">
        <v>25636</v>
      </c>
      <c r="F288" s="102" t="s">
        <v>91</v>
      </c>
      <c r="G288" s="102" t="s">
        <v>25636</v>
      </c>
      <c r="H288" s="102" t="s">
        <v>29715</v>
      </c>
      <c r="I288" s="102" t="s">
        <v>1</v>
      </c>
      <c r="J288" s="102" t="s">
        <v>25972</v>
      </c>
      <c r="L288" s="102" t="s">
        <v>25598</v>
      </c>
      <c r="M288" s="102" t="s">
        <v>20</v>
      </c>
      <c r="N288" s="102">
        <v>450</v>
      </c>
      <c r="S288" t="str">
        <f t="shared" ref="S288:S295" si="42">A288&amp;"-"&amp;T288</f>
        <v>80-590-09-55</v>
      </c>
      <c r="T288" s="129" t="s">
        <v>28267</v>
      </c>
      <c r="U288" s="112">
        <v>1</v>
      </c>
    </row>
    <row r="289" spans="1:21" x14ac:dyDescent="0.2">
      <c r="A289" s="102" t="s">
        <v>29685</v>
      </c>
      <c r="B289" s="102" t="s">
        <v>29686</v>
      </c>
      <c r="C289" s="102" t="s">
        <v>8</v>
      </c>
      <c r="D289" s="102" t="s">
        <v>9</v>
      </c>
      <c r="E289" s="102" t="s">
        <v>25636</v>
      </c>
      <c r="F289" s="102" t="s">
        <v>91</v>
      </c>
      <c r="G289" s="102" t="s">
        <v>25636</v>
      </c>
      <c r="H289" s="102" t="s">
        <v>29715</v>
      </c>
      <c r="I289" s="102" t="s">
        <v>1</v>
      </c>
      <c r="J289" s="102" t="s">
        <v>25972</v>
      </c>
      <c r="L289" s="102" t="s">
        <v>25598</v>
      </c>
      <c r="M289" s="102" t="s">
        <v>20</v>
      </c>
      <c r="N289" s="102">
        <v>450</v>
      </c>
      <c r="S289" t="str">
        <f t="shared" si="42"/>
        <v>80-590-09-57</v>
      </c>
      <c r="T289" s="129" t="s">
        <v>28344</v>
      </c>
      <c r="U289" s="112">
        <v>1</v>
      </c>
    </row>
    <row r="290" spans="1:21" x14ac:dyDescent="0.2">
      <c r="A290" s="102" t="s">
        <v>29685</v>
      </c>
      <c r="B290" s="102" t="s">
        <v>29686</v>
      </c>
      <c r="C290" s="102" t="s">
        <v>8</v>
      </c>
      <c r="D290" s="102" t="s">
        <v>9</v>
      </c>
      <c r="E290" s="102" t="s">
        <v>25636</v>
      </c>
      <c r="F290" s="102" t="s">
        <v>91</v>
      </c>
      <c r="G290" s="102" t="s">
        <v>25636</v>
      </c>
      <c r="H290" s="102" t="s">
        <v>29715</v>
      </c>
      <c r="I290" s="102" t="s">
        <v>1</v>
      </c>
      <c r="J290" s="102" t="s">
        <v>25972</v>
      </c>
      <c r="L290" s="102" t="s">
        <v>25598</v>
      </c>
      <c r="M290" s="102" t="s">
        <v>20</v>
      </c>
      <c r="N290" s="102">
        <v>450</v>
      </c>
      <c r="S290" t="str">
        <f t="shared" si="42"/>
        <v>80-590-09-59</v>
      </c>
      <c r="T290" s="129" t="s">
        <v>28340</v>
      </c>
      <c r="U290" s="112">
        <v>1</v>
      </c>
    </row>
    <row r="291" spans="1:21" x14ac:dyDescent="0.2">
      <c r="A291" s="102" t="s">
        <v>29685</v>
      </c>
      <c r="B291" s="102" t="s">
        <v>29686</v>
      </c>
      <c r="C291" s="102" t="s">
        <v>8</v>
      </c>
      <c r="D291" s="102" t="s">
        <v>9</v>
      </c>
      <c r="E291" s="102" t="s">
        <v>25636</v>
      </c>
      <c r="F291" s="102" t="s">
        <v>91</v>
      </c>
      <c r="G291" s="102" t="s">
        <v>25636</v>
      </c>
      <c r="H291" s="102" t="s">
        <v>29715</v>
      </c>
      <c r="I291" s="102" t="s">
        <v>1</v>
      </c>
      <c r="J291" s="102" t="s">
        <v>25972</v>
      </c>
      <c r="L291" s="102" t="s">
        <v>25598</v>
      </c>
      <c r="M291" s="102" t="s">
        <v>20</v>
      </c>
      <c r="N291" s="102">
        <v>450</v>
      </c>
      <c r="S291" t="str">
        <f t="shared" si="42"/>
        <v>80-590-09-61</v>
      </c>
      <c r="T291" s="129" t="s">
        <v>28345</v>
      </c>
      <c r="U291" s="112">
        <v>1</v>
      </c>
    </row>
    <row r="292" spans="1:21" x14ac:dyDescent="0.2">
      <c r="A292" s="102" t="s">
        <v>29687</v>
      </c>
      <c r="B292" s="102" t="s">
        <v>29688</v>
      </c>
      <c r="C292" s="102" t="s">
        <v>8</v>
      </c>
      <c r="D292" s="102" t="s">
        <v>25576</v>
      </c>
      <c r="E292" s="102" t="s">
        <v>25636</v>
      </c>
      <c r="F292" s="102" t="s">
        <v>91</v>
      </c>
      <c r="G292" s="102" t="s">
        <v>25636</v>
      </c>
      <c r="H292" s="102" t="s">
        <v>29714</v>
      </c>
      <c r="I292" s="102" t="s">
        <v>23</v>
      </c>
      <c r="J292" s="102" t="s">
        <v>26014</v>
      </c>
      <c r="K292" s="102" t="s">
        <v>264</v>
      </c>
      <c r="L292" s="102" t="s">
        <v>25596</v>
      </c>
      <c r="M292" s="102" t="s">
        <v>20</v>
      </c>
      <c r="N292" s="102">
        <v>270</v>
      </c>
      <c r="S292" t="str">
        <f t="shared" si="42"/>
        <v>80-591-16-55</v>
      </c>
      <c r="T292" s="129" t="s">
        <v>28267</v>
      </c>
      <c r="U292" s="112">
        <v>8</v>
      </c>
    </row>
    <row r="293" spans="1:21" x14ac:dyDescent="0.2">
      <c r="A293" s="102" t="s">
        <v>29687</v>
      </c>
      <c r="B293" s="102" t="s">
        <v>29688</v>
      </c>
      <c r="C293" s="102" t="s">
        <v>8</v>
      </c>
      <c r="D293" s="102" t="s">
        <v>25576</v>
      </c>
      <c r="E293" s="102" t="s">
        <v>25636</v>
      </c>
      <c r="F293" s="102" t="s">
        <v>91</v>
      </c>
      <c r="G293" s="102" t="s">
        <v>25636</v>
      </c>
      <c r="H293" s="102" t="s">
        <v>29714</v>
      </c>
      <c r="I293" s="102" t="s">
        <v>23</v>
      </c>
      <c r="J293" s="102" t="s">
        <v>26014</v>
      </c>
      <c r="K293" s="102" t="s">
        <v>264</v>
      </c>
      <c r="L293" s="102" t="s">
        <v>25596</v>
      </c>
      <c r="M293" s="102" t="s">
        <v>20</v>
      </c>
      <c r="N293" s="102">
        <v>270</v>
      </c>
      <c r="S293" t="str">
        <f t="shared" si="42"/>
        <v>80-591-16-57</v>
      </c>
      <c r="T293" s="129" t="s">
        <v>28344</v>
      </c>
      <c r="U293" s="112">
        <v>10</v>
      </c>
    </row>
    <row r="294" spans="1:21" x14ac:dyDescent="0.2">
      <c r="A294" s="102" t="s">
        <v>29689</v>
      </c>
      <c r="B294" s="102" t="s">
        <v>29690</v>
      </c>
      <c r="C294" s="102" t="s">
        <v>8</v>
      </c>
      <c r="D294" s="102" t="s">
        <v>21</v>
      </c>
      <c r="E294" s="102" t="s">
        <v>25636</v>
      </c>
      <c r="F294" s="102" t="s">
        <v>91</v>
      </c>
      <c r="G294" s="102" t="s">
        <v>25636</v>
      </c>
      <c r="H294" s="102" t="s">
        <v>29714</v>
      </c>
      <c r="I294" s="102" t="s">
        <v>23</v>
      </c>
      <c r="J294" s="102" t="s">
        <v>0</v>
      </c>
      <c r="K294" s="102" t="s">
        <v>25677</v>
      </c>
      <c r="L294" s="102" t="s">
        <v>25596</v>
      </c>
      <c r="M294" s="102" t="s">
        <v>12</v>
      </c>
      <c r="N294" s="102">
        <v>450</v>
      </c>
      <c r="S294" t="str">
        <f t="shared" si="42"/>
        <v>81-089-16-57</v>
      </c>
      <c r="T294" s="129" t="s">
        <v>28344</v>
      </c>
      <c r="U294" s="112">
        <v>6</v>
      </c>
    </row>
    <row r="295" spans="1:21" x14ac:dyDescent="0.2">
      <c r="A295" s="102" t="s">
        <v>29689</v>
      </c>
      <c r="B295" s="102" t="s">
        <v>29690</v>
      </c>
      <c r="C295" s="102" t="s">
        <v>8</v>
      </c>
      <c r="D295" s="102" t="s">
        <v>21</v>
      </c>
      <c r="E295" s="102" t="s">
        <v>25636</v>
      </c>
      <c r="F295" s="102" t="s">
        <v>91</v>
      </c>
      <c r="G295" s="102" t="s">
        <v>25636</v>
      </c>
      <c r="H295" s="102" t="s">
        <v>29714</v>
      </c>
      <c r="I295" s="102" t="s">
        <v>23</v>
      </c>
      <c r="J295" s="102" t="s">
        <v>0</v>
      </c>
      <c r="K295" s="102" t="s">
        <v>25677</v>
      </c>
      <c r="L295" s="102" t="s">
        <v>25596</v>
      </c>
      <c r="M295" s="102" t="s">
        <v>12</v>
      </c>
      <c r="N295" s="102">
        <v>450</v>
      </c>
      <c r="S295" t="str">
        <f t="shared" si="42"/>
        <v>81-089-16-59</v>
      </c>
      <c r="T295" s="129" t="s">
        <v>28340</v>
      </c>
      <c r="U295" s="112">
        <v>15</v>
      </c>
    </row>
    <row r="296" spans="1:21" x14ac:dyDescent="0.2">
      <c r="A296" s="102" t="s">
        <v>29691</v>
      </c>
      <c r="B296" s="102" t="s">
        <v>29692</v>
      </c>
      <c r="C296" s="102" t="s">
        <v>46</v>
      </c>
      <c r="D296" s="102" t="s">
        <v>47</v>
      </c>
      <c r="E296" s="102" t="s">
        <v>25636</v>
      </c>
      <c r="F296" s="102" t="s">
        <v>91</v>
      </c>
      <c r="G296" s="102" t="s">
        <v>25636</v>
      </c>
      <c r="H296" s="102" t="s">
        <v>29735</v>
      </c>
      <c r="I296" s="102" t="s">
        <v>197</v>
      </c>
      <c r="J296" s="102" t="s">
        <v>25711</v>
      </c>
      <c r="K296" s="102" t="s">
        <v>25674</v>
      </c>
      <c r="L296" s="102" t="s">
        <v>25598</v>
      </c>
      <c r="M296" s="102" t="s">
        <v>20</v>
      </c>
      <c r="N296" s="102">
        <v>2451.6</v>
      </c>
      <c r="S296" t="str">
        <f t="shared" ref="S296:S302" si="43">A296&amp;"-"&amp;T296</f>
        <v>81-090-13-57</v>
      </c>
      <c r="T296" s="129" t="s">
        <v>28344</v>
      </c>
      <c r="U296" s="112">
        <v>3</v>
      </c>
    </row>
    <row r="297" spans="1:21" x14ac:dyDescent="0.2">
      <c r="A297" s="102" t="s">
        <v>29691</v>
      </c>
      <c r="B297" s="102" t="s">
        <v>29692</v>
      </c>
      <c r="C297" s="102" t="s">
        <v>46</v>
      </c>
      <c r="D297" s="102" t="s">
        <v>47</v>
      </c>
      <c r="E297" s="102" t="s">
        <v>25636</v>
      </c>
      <c r="F297" s="102" t="s">
        <v>91</v>
      </c>
      <c r="G297" s="102" t="s">
        <v>25636</v>
      </c>
      <c r="H297" s="102" t="s">
        <v>29735</v>
      </c>
      <c r="I297" s="102" t="s">
        <v>197</v>
      </c>
      <c r="J297" s="102" t="s">
        <v>25711</v>
      </c>
      <c r="K297" s="102" t="s">
        <v>25674</v>
      </c>
      <c r="L297" s="102" t="s">
        <v>25598</v>
      </c>
      <c r="M297" s="102" t="s">
        <v>20</v>
      </c>
      <c r="N297" s="102">
        <v>2451.6</v>
      </c>
      <c r="S297" t="str">
        <f t="shared" si="43"/>
        <v>81-090-13-58</v>
      </c>
      <c r="T297" s="129" t="s">
        <v>28386</v>
      </c>
      <c r="U297" s="112">
        <v>4</v>
      </c>
    </row>
    <row r="298" spans="1:21" x14ac:dyDescent="0.2">
      <c r="A298" s="102" t="s">
        <v>29691</v>
      </c>
      <c r="B298" s="102" t="s">
        <v>29692</v>
      </c>
      <c r="C298" s="102" t="s">
        <v>46</v>
      </c>
      <c r="D298" s="102" t="s">
        <v>47</v>
      </c>
      <c r="E298" s="102" t="s">
        <v>25636</v>
      </c>
      <c r="F298" s="102" t="s">
        <v>91</v>
      </c>
      <c r="G298" s="102" t="s">
        <v>25636</v>
      </c>
      <c r="H298" s="102" t="s">
        <v>29735</v>
      </c>
      <c r="I298" s="102" t="s">
        <v>197</v>
      </c>
      <c r="J298" s="102" t="s">
        <v>25711</v>
      </c>
      <c r="K298" s="102" t="s">
        <v>25674</v>
      </c>
      <c r="L298" s="102" t="s">
        <v>25598</v>
      </c>
      <c r="M298" s="102" t="s">
        <v>20</v>
      </c>
      <c r="N298" s="102">
        <v>2451.6</v>
      </c>
      <c r="S298" t="str">
        <f t="shared" si="43"/>
        <v>81-090-13-59</v>
      </c>
      <c r="T298" s="129" t="s">
        <v>28340</v>
      </c>
      <c r="U298" s="112">
        <v>5</v>
      </c>
    </row>
    <row r="299" spans="1:21" x14ac:dyDescent="0.2">
      <c r="A299" s="102" t="s">
        <v>29691</v>
      </c>
      <c r="B299" s="102" t="s">
        <v>29692</v>
      </c>
      <c r="C299" s="102" t="s">
        <v>46</v>
      </c>
      <c r="D299" s="102" t="s">
        <v>47</v>
      </c>
      <c r="E299" s="102" t="s">
        <v>25636</v>
      </c>
      <c r="F299" s="102" t="s">
        <v>91</v>
      </c>
      <c r="G299" s="102" t="s">
        <v>25636</v>
      </c>
      <c r="H299" s="102" t="s">
        <v>29735</v>
      </c>
      <c r="I299" s="102" t="s">
        <v>197</v>
      </c>
      <c r="J299" s="102" t="s">
        <v>25711</v>
      </c>
      <c r="K299" s="102" t="s">
        <v>25674</v>
      </c>
      <c r="L299" s="102" t="s">
        <v>25598</v>
      </c>
      <c r="M299" s="102" t="s">
        <v>20</v>
      </c>
      <c r="N299" s="102">
        <v>2451.6</v>
      </c>
      <c r="S299" t="str">
        <f t="shared" si="43"/>
        <v>81-090-13-60</v>
      </c>
      <c r="T299" s="129" t="s">
        <v>28263</v>
      </c>
      <c r="U299" s="112">
        <v>1</v>
      </c>
    </row>
    <row r="300" spans="1:21" x14ac:dyDescent="0.2">
      <c r="A300" s="102" t="s">
        <v>29691</v>
      </c>
      <c r="B300" s="102" t="s">
        <v>29692</v>
      </c>
      <c r="C300" s="102" t="s">
        <v>46</v>
      </c>
      <c r="D300" s="102" t="s">
        <v>47</v>
      </c>
      <c r="E300" s="102" t="s">
        <v>25636</v>
      </c>
      <c r="F300" s="102" t="s">
        <v>91</v>
      </c>
      <c r="G300" s="102" t="s">
        <v>25636</v>
      </c>
      <c r="H300" s="102" t="s">
        <v>29735</v>
      </c>
      <c r="I300" s="102" t="s">
        <v>197</v>
      </c>
      <c r="J300" s="102" t="s">
        <v>25711</v>
      </c>
      <c r="K300" s="102" t="s">
        <v>25674</v>
      </c>
      <c r="L300" s="102" t="s">
        <v>25598</v>
      </c>
      <c r="M300" s="102" t="s">
        <v>20</v>
      </c>
      <c r="N300" s="102">
        <v>2451.6</v>
      </c>
      <c r="S300" t="str">
        <f t="shared" si="43"/>
        <v>81-090-13-61</v>
      </c>
      <c r="T300" s="129" t="s">
        <v>28345</v>
      </c>
      <c r="U300" s="112">
        <v>2</v>
      </c>
    </row>
    <row r="301" spans="1:21" x14ac:dyDescent="0.2">
      <c r="A301" s="102" t="s">
        <v>29693</v>
      </c>
      <c r="B301" s="102" t="s">
        <v>29694</v>
      </c>
      <c r="C301" s="102" t="s">
        <v>46</v>
      </c>
      <c r="D301" s="102" t="s">
        <v>47</v>
      </c>
      <c r="E301" s="102" t="s">
        <v>25636</v>
      </c>
      <c r="F301" s="102" t="s">
        <v>91</v>
      </c>
      <c r="G301" s="102" t="s">
        <v>25636</v>
      </c>
      <c r="H301" s="102" t="s">
        <v>29722</v>
      </c>
      <c r="I301" s="102" t="s">
        <v>52</v>
      </c>
      <c r="J301" s="102" t="s">
        <v>11</v>
      </c>
      <c r="K301" s="102" t="s">
        <v>25678</v>
      </c>
      <c r="L301" s="102" t="s">
        <v>25598</v>
      </c>
      <c r="M301" s="102" t="s">
        <v>12</v>
      </c>
      <c r="N301" s="102">
        <v>696.6</v>
      </c>
      <c r="S301" t="str">
        <f t="shared" si="43"/>
        <v>81-091-02-00</v>
      </c>
      <c r="T301" s="129" t="s">
        <v>25299</v>
      </c>
      <c r="U301" s="112">
        <v>20</v>
      </c>
    </row>
    <row r="302" spans="1:21" x14ac:dyDescent="0.2">
      <c r="A302" s="102" t="s">
        <v>29695</v>
      </c>
      <c r="B302" s="102" t="s">
        <v>29694</v>
      </c>
      <c r="C302" s="102" t="s">
        <v>46</v>
      </c>
      <c r="D302" s="102" t="s">
        <v>47</v>
      </c>
      <c r="E302" s="102" t="s">
        <v>25636</v>
      </c>
      <c r="F302" s="102" t="s">
        <v>91</v>
      </c>
      <c r="G302" s="102" t="s">
        <v>25636</v>
      </c>
      <c r="H302" s="102" t="s">
        <v>29736</v>
      </c>
      <c r="I302" s="102" t="s">
        <v>25385</v>
      </c>
      <c r="J302" s="102" t="s">
        <v>11</v>
      </c>
      <c r="K302" s="102" t="s">
        <v>25678</v>
      </c>
      <c r="L302" s="102" t="s">
        <v>25598</v>
      </c>
      <c r="M302" s="102" t="s">
        <v>12</v>
      </c>
      <c r="N302" s="102">
        <v>696.6</v>
      </c>
      <c r="S302" t="str">
        <f t="shared" si="43"/>
        <v>81-091-20-00</v>
      </c>
      <c r="T302" s="129" t="s">
        <v>25299</v>
      </c>
      <c r="U302" s="112">
        <v>12</v>
      </c>
    </row>
    <row r="303" spans="1:21" x14ac:dyDescent="0.2">
      <c r="A303" s="102" t="s">
        <v>29696</v>
      </c>
      <c r="B303" s="102" t="s">
        <v>29694</v>
      </c>
      <c r="C303" s="102" t="s">
        <v>46</v>
      </c>
      <c r="D303" s="102" t="s">
        <v>47</v>
      </c>
      <c r="E303" s="102" t="s">
        <v>25636</v>
      </c>
      <c r="F303" s="102" t="s">
        <v>91</v>
      </c>
      <c r="G303" s="102" t="s">
        <v>25636</v>
      </c>
      <c r="H303" s="102" t="s">
        <v>29715</v>
      </c>
      <c r="I303" s="102" t="s">
        <v>1</v>
      </c>
      <c r="J303" s="102" t="s">
        <v>11</v>
      </c>
      <c r="K303" s="102" t="s">
        <v>25678</v>
      </c>
      <c r="L303" s="102" t="s">
        <v>25598</v>
      </c>
      <c r="M303" s="102" t="s">
        <v>12</v>
      </c>
      <c r="N303" s="102">
        <v>696.6</v>
      </c>
      <c r="S303" t="str">
        <f t="shared" ref="S303:S304" si="44">A303&amp;"-"&amp;T303</f>
        <v>81-091-09-00</v>
      </c>
      <c r="T303" s="129" t="s">
        <v>25299</v>
      </c>
      <c r="U303" s="112">
        <v>70</v>
      </c>
    </row>
    <row r="304" spans="1:21" x14ac:dyDescent="0.2">
      <c r="A304" s="102" t="s">
        <v>29697</v>
      </c>
      <c r="B304" s="102" t="s">
        <v>29698</v>
      </c>
      <c r="C304" s="102" t="s">
        <v>46</v>
      </c>
      <c r="D304" s="102" t="s">
        <v>47</v>
      </c>
      <c r="E304" s="102" t="s">
        <v>25636</v>
      </c>
      <c r="F304" s="102" t="s">
        <v>91</v>
      </c>
      <c r="G304" s="102" t="s">
        <v>25636</v>
      </c>
      <c r="H304" s="102" t="s">
        <v>29726</v>
      </c>
      <c r="I304" s="102" t="s">
        <v>28</v>
      </c>
      <c r="J304" s="102" t="s">
        <v>29743</v>
      </c>
      <c r="L304" s="102" t="s">
        <v>25598</v>
      </c>
      <c r="M304" s="102" t="s">
        <v>12</v>
      </c>
      <c r="N304" s="102">
        <v>755.1</v>
      </c>
      <c r="S304" t="str">
        <f t="shared" si="44"/>
        <v>81-092-80-00</v>
      </c>
      <c r="T304" s="129" t="s">
        <v>25299</v>
      </c>
      <c r="U304" s="112">
        <v>40</v>
      </c>
    </row>
    <row r="305" spans="1:21" x14ac:dyDescent="0.2">
      <c r="A305" s="102" t="s">
        <v>29699</v>
      </c>
      <c r="B305" s="102" t="s">
        <v>29700</v>
      </c>
      <c r="C305" s="102" t="s">
        <v>49</v>
      </c>
      <c r="D305" s="102" t="s">
        <v>25567</v>
      </c>
      <c r="E305" s="102" t="s">
        <v>25636</v>
      </c>
      <c r="F305" s="102" t="s">
        <v>91</v>
      </c>
      <c r="G305" s="102" t="s">
        <v>25636</v>
      </c>
      <c r="H305" s="102" t="s">
        <v>29717</v>
      </c>
      <c r="I305" s="102" t="s">
        <v>28</v>
      </c>
      <c r="J305" s="102" t="s">
        <v>192</v>
      </c>
      <c r="K305" s="102" t="s">
        <v>264</v>
      </c>
      <c r="L305" s="102" t="s">
        <v>25598</v>
      </c>
      <c r="M305" s="102" t="s">
        <v>12</v>
      </c>
      <c r="N305" s="102">
        <v>579.6</v>
      </c>
      <c r="S305" t="str">
        <f t="shared" ref="S305:S308" si="45">A305&amp;"-"&amp;T305</f>
        <v>81-093-80-00</v>
      </c>
      <c r="T305" s="129" t="s">
        <v>25299</v>
      </c>
      <c r="U305" s="112">
        <v>4</v>
      </c>
    </row>
    <row r="306" spans="1:21" x14ac:dyDescent="0.2">
      <c r="A306" s="102" t="s">
        <v>29701</v>
      </c>
      <c r="B306" s="102" t="s">
        <v>29700</v>
      </c>
      <c r="C306" s="102" t="s">
        <v>49</v>
      </c>
      <c r="D306" s="102" t="s">
        <v>25567</v>
      </c>
      <c r="E306" s="102" t="s">
        <v>25636</v>
      </c>
      <c r="F306" s="102" t="s">
        <v>91</v>
      </c>
      <c r="G306" s="102" t="s">
        <v>25636</v>
      </c>
      <c r="H306" s="102" t="s">
        <v>29714</v>
      </c>
      <c r="I306" s="102" t="s">
        <v>23</v>
      </c>
      <c r="J306" s="102" t="s">
        <v>192</v>
      </c>
      <c r="K306" s="102" t="s">
        <v>264</v>
      </c>
      <c r="L306" s="102" t="s">
        <v>25598</v>
      </c>
      <c r="M306" s="102" t="s">
        <v>12</v>
      </c>
      <c r="N306" s="102">
        <v>579.6</v>
      </c>
      <c r="S306" t="str">
        <f t="shared" si="45"/>
        <v>81-093-16-00</v>
      </c>
      <c r="T306" s="129" t="s">
        <v>25299</v>
      </c>
      <c r="U306" s="112">
        <v>4</v>
      </c>
    </row>
    <row r="307" spans="1:21" x14ac:dyDescent="0.2">
      <c r="A307" s="102" t="s">
        <v>29702</v>
      </c>
      <c r="B307" s="102" t="s">
        <v>29703</v>
      </c>
      <c r="C307" s="102" t="s">
        <v>198</v>
      </c>
      <c r="D307" s="102" t="s">
        <v>199</v>
      </c>
      <c r="E307" s="102" t="s">
        <v>25636</v>
      </c>
      <c r="F307" s="102" t="s">
        <v>91</v>
      </c>
      <c r="G307" s="102" t="s">
        <v>25636</v>
      </c>
      <c r="H307" s="102" t="s">
        <v>29722</v>
      </c>
      <c r="I307" s="102" t="s">
        <v>52</v>
      </c>
      <c r="J307" s="102" t="s">
        <v>11</v>
      </c>
      <c r="K307" s="102" t="s">
        <v>25678</v>
      </c>
      <c r="L307" s="102" t="s">
        <v>25598</v>
      </c>
      <c r="M307" s="102" t="s">
        <v>12</v>
      </c>
      <c r="N307" s="102">
        <v>813.59999999999991</v>
      </c>
      <c r="S307" t="str">
        <f t="shared" si="45"/>
        <v>81-094-02-57</v>
      </c>
      <c r="T307" s="129" t="s">
        <v>28344</v>
      </c>
      <c r="U307" s="112">
        <v>6</v>
      </c>
    </row>
    <row r="308" spans="1:21" x14ac:dyDescent="0.2">
      <c r="A308" s="102" t="s">
        <v>29702</v>
      </c>
      <c r="B308" s="102" t="s">
        <v>29703</v>
      </c>
      <c r="C308" s="102" t="s">
        <v>198</v>
      </c>
      <c r="D308" s="102" t="s">
        <v>199</v>
      </c>
      <c r="E308" s="102" t="s">
        <v>25636</v>
      </c>
      <c r="F308" s="102" t="s">
        <v>91</v>
      </c>
      <c r="G308" s="102" t="s">
        <v>25636</v>
      </c>
      <c r="H308" s="102" t="s">
        <v>29722</v>
      </c>
      <c r="I308" s="102" t="s">
        <v>52</v>
      </c>
      <c r="J308" s="102" t="s">
        <v>11</v>
      </c>
      <c r="K308" s="102" t="s">
        <v>25678</v>
      </c>
      <c r="L308" s="102" t="s">
        <v>25598</v>
      </c>
      <c r="M308" s="102" t="s">
        <v>12</v>
      </c>
      <c r="N308" s="102">
        <v>813.59999999999991</v>
      </c>
      <c r="S308" t="str">
        <f t="shared" si="45"/>
        <v>81-094-02-59</v>
      </c>
      <c r="T308" s="129" t="s">
        <v>28340</v>
      </c>
      <c r="U308" s="112">
        <v>6</v>
      </c>
    </row>
    <row r="309" spans="1:21" x14ac:dyDescent="0.2">
      <c r="A309" s="102" t="s">
        <v>29704</v>
      </c>
      <c r="B309" s="102" t="s">
        <v>29703</v>
      </c>
      <c r="C309" s="102" t="s">
        <v>198</v>
      </c>
      <c r="D309" s="102" t="s">
        <v>199</v>
      </c>
      <c r="E309" s="102" t="s">
        <v>25636</v>
      </c>
      <c r="F309" s="102" t="s">
        <v>91</v>
      </c>
      <c r="G309" s="102" t="s">
        <v>25636</v>
      </c>
      <c r="H309" s="102" t="s">
        <v>29736</v>
      </c>
      <c r="I309" s="102" t="s">
        <v>25385</v>
      </c>
      <c r="J309" s="102" t="s">
        <v>11</v>
      </c>
      <c r="K309" s="102" t="s">
        <v>25678</v>
      </c>
      <c r="L309" s="102" t="s">
        <v>25598</v>
      </c>
      <c r="M309" s="102" t="s">
        <v>12</v>
      </c>
      <c r="N309" s="102">
        <v>813.59999999999991</v>
      </c>
      <c r="S309" t="str">
        <f t="shared" ref="S309:S314" si="46">A309&amp;"-"&amp;T309</f>
        <v>81-094-20-57</v>
      </c>
      <c r="T309" s="129" t="s">
        <v>28344</v>
      </c>
      <c r="U309" s="112">
        <v>6</v>
      </c>
    </row>
    <row r="310" spans="1:21" x14ac:dyDescent="0.2">
      <c r="A310" s="102" t="s">
        <v>29704</v>
      </c>
      <c r="B310" s="102" t="s">
        <v>29703</v>
      </c>
      <c r="C310" s="102" t="s">
        <v>198</v>
      </c>
      <c r="D310" s="102" t="s">
        <v>199</v>
      </c>
      <c r="E310" s="102" t="s">
        <v>25636</v>
      </c>
      <c r="F310" s="102" t="s">
        <v>91</v>
      </c>
      <c r="G310" s="102" t="s">
        <v>25636</v>
      </c>
      <c r="H310" s="102" t="s">
        <v>29736</v>
      </c>
      <c r="I310" s="102" t="s">
        <v>25385</v>
      </c>
      <c r="J310" s="102" t="s">
        <v>11</v>
      </c>
      <c r="K310" s="102" t="s">
        <v>25678</v>
      </c>
      <c r="L310" s="102" t="s">
        <v>25598</v>
      </c>
      <c r="M310" s="102" t="s">
        <v>12</v>
      </c>
      <c r="N310" s="102">
        <v>813.59999999999991</v>
      </c>
      <c r="S310" t="str">
        <f t="shared" si="46"/>
        <v>81-094-20-59</v>
      </c>
      <c r="T310" s="129" t="s">
        <v>28340</v>
      </c>
      <c r="U310" s="112">
        <v>6</v>
      </c>
    </row>
    <row r="311" spans="1:21" x14ac:dyDescent="0.2">
      <c r="A311" s="102" t="s">
        <v>29705</v>
      </c>
      <c r="B311" s="102" t="s">
        <v>29703</v>
      </c>
      <c r="C311" s="102" t="s">
        <v>198</v>
      </c>
      <c r="D311" s="102" t="s">
        <v>199</v>
      </c>
      <c r="E311" s="102" t="s">
        <v>25636</v>
      </c>
      <c r="F311" s="102" t="s">
        <v>91</v>
      </c>
      <c r="G311" s="102" t="s">
        <v>25636</v>
      </c>
      <c r="H311" s="102" t="s">
        <v>29715</v>
      </c>
      <c r="I311" s="102" t="s">
        <v>1</v>
      </c>
      <c r="J311" s="102" t="s">
        <v>11</v>
      </c>
      <c r="K311" s="102" t="s">
        <v>25678</v>
      </c>
      <c r="L311" s="102" t="s">
        <v>25598</v>
      </c>
      <c r="M311" s="102" t="s">
        <v>12</v>
      </c>
      <c r="N311" s="102">
        <v>813.59999999999991</v>
      </c>
      <c r="S311" t="str">
        <f t="shared" si="46"/>
        <v>81-094-09-57</v>
      </c>
      <c r="T311" s="129" t="s">
        <v>28344</v>
      </c>
      <c r="U311" s="112">
        <v>16</v>
      </c>
    </row>
    <row r="312" spans="1:21" x14ac:dyDescent="0.2">
      <c r="A312" s="102" t="s">
        <v>29705</v>
      </c>
      <c r="B312" s="102" t="s">
        <v>29703</v>
      </c>
      <c r="C312" s="102" t="s">
        <v>198</v>
      </c>
      <c r="D312" s="102" t="s">
        <v>199</v>
      </c>
      <c r="E312" s="102" t="s">
        <v>25636</v>
      </c>
      <c r="F312" s="102" t="s">
        <v>91</v>
      </c>
      <c r="G312" s="102" t="s">
        <v>25636</v>
      </c>
      <c r="H312" s="102" t="s">
        <v>29715</v>
      </c>
      <c r="I312" s="102" t="s">
        <v>1</v>
      </c>
      <c r="J312" s="102" t="s">
        <v>11</v>
      </c>
      <c r="K312" s="102" t="s">
        <v>25678</v>
      </c>
      <c r="L312" s="102" t="s">
        <v>25598</v>
      </c>
      <c r="M312" s="102" t="s">
        <v>12</v>
      </c>
      <c r="N312" s="102">
        <v>813.59999999999991</v>
      </c>
      <c r="S312" t="str">
        <f t="shared" si="46"/>
        <v>81-094-09-59</v>
      </c>
      <c r="T312" s="129" t="s">
        <v>28340</v>
      </c>
      <c r="U312" s="112">
        <v>16</v>
      </c>
    </row>
    <row r="313" spans="1:21" x14ac:dyDescent="0.2">
      <c r="A313" s="102" t="s">
        <v>29706</v>
      </c>
      <c r="B313" s="102" t="s">
        <v>29703</v>
      </c>
      <c r="C313" s="102" t="s">
        <v>198</v>
      </c>
      <c r="D313" s="102" t="s">
        <v>199</v>
      </c>
      <c r="E313" s="102" t="s">
        <v>25636</v>
      </c>
      <c r="F313" s="102" t="s">
        <v>91</v>
      </c>
      <c r="G313" s="102" t="s">
        <v>25636</v>
      </c>
      <c r="H313" s="102" t="s">
        <v>29737</v>
      </c>
      <c r="I313" s="102" t="s">
        <v>220</v>
      </c>
      <c r="J313" s="102" t="s">
        <v>11</v>
      </c>
      <c r="K313" s="102" t="s">
        <v>25678</v>
      </c>
      <c r="L313" s="102" t="s">
        <v>25596</v>
      </c>
      <c r="M313" s="102" t="s">
        <v>12</v>
      </c>
      <c r="N313" s="102">
        <v>813.59999999999991</v>
      </c>
      <c r="S313" t="str">
        <f t="shared" si="46"/>
        <v>81-094-34-57</v>
      </c>
      <c r="T313" s="129" t="s">
        <v>28344</v>
      </c>
      <c r="U313" s="112">
        <v>6</v>
      </c>
    </row>
    <row r="314" spans="1:21" x14ac:dyDescent="0.2">
      <c r="A314" s="102" t="s">
        <v>29706</v>
      </c>
      <c r="B314" s="102" t="s">
        <v>29703</v>
      </c>
      <c r="C314" s="102" t="s">
        <v>198</v>
      </c>
      <c r="D314" s="102" t="s">
        <v>199</v>
      </c>
      <c r="E314" s="102" t="s">
        <v>25636</v>
      </c>
      <c r="F314" s="102" t="s">
        <v>91</v>
      </c>
      <c r="G314" s="102" t="s">
        <v>25636</v>
      </c>
      <c r="H314" s="102" t="s">
        <v>29737</v>
      </c>
      <c r="I314" s="102" t="s">
        <v>220</v>
      </c>
      <c r="J314" s="102" t="s">
        <v>11</v>
      </c>
      <c r="K314" s="102" t="s">
        <v>25678</v>
      </c>
      <c r="L314" s="102" t="s">
        <v>25596</v>
      </c>
      <c r="M314" s="102" t="s">
        <v>12</v>
      </c>
      <c r="N314" s="102">
        <v>813.59999999999991</v>
      </c>
      <c r="S314" t="str">
        <f t="shared" si="46"/>
        <v>81-094-34-59</v>
      </c>
      <c r="T314" s="129" t="s">
        <v>28340</v>
      </c>
      <c r="U314" s="112">
        <v>6</v>
      </c>
    </row>
    <row r="315" spans="1:21" x14ac:dyDescent="0.2">
      <c r="A315" s="102" t="s">
        <v>29707</v>
      </c>
      <c r="B315" s="102" t="s">
        <v>29708</v>
      </c>
      <c r="C315" s="102" t="s">
        <v>49</v>
      </c>
      <c r="D315" s="102" t="s">
        <v>212</v>
      </c>
      <c r="E315" s="102" t="s">
        <v>25636</v>
      </c>
      <c r="F315" s="102" t="s">
        <v>26642</v>
      </c>
      <c r="G315" s="102" t="s">
        <v>25636</v>
      </c>
      <c r="H315" s="102" t="s">
        <v>29712</v>
      </c>
      <c r="I315" s="102" t="s">
        <v>27</v>
      </c>
      <c r="J315" s="102" t="s">
        <v>29739</v>
      </c>
      <c r="L315" s="102" t="s">
        <v>25598</v>
      </c>
      <c r="M315" s="102" t="s">
        <v>26652</v>
      </c>
      <c r="N315" s="102">
        <v>755.1</v>
      </c>
      <c r="S315" t="str">
        <f t="shared" ref="S315:S316" si="47">A315&amp;"-"&amp;T315</f>
        <v>81-095-06-00</v>
      </c>
      <c r="T315" s="129" t="s">
        <v>25299</v>
      </c>
      <c r="U315" s="112">
        <v>12</v>
      </c>
    </row>
    <row r="316" spans="1:21" x14ac:dyDescent="0.2">
      <c r="A316" s="102" t="s">
        <v>29709</v>
      </c>
      <c r="B316" s="102" t="s">
        <v>29708</v>
      </c>
      <c r="C316" s="102" t="s">
        <v>49</v>
      </c>
      <c r="D316" s="102" t="s">
        <v>212</v>
      </c>
      <c r="E316" s="102" t="s">
        <v>25636</v>
      </c>
      <c r="F316" s="102" t="s">
        <v>26642</v>
      </c>
      <c r="G316" s="102" t="s">
        <v>25636</v>
      </c>
      <c r="H316" s="102" t="s">
        <v>29733</v>
      </c>
      <c r="I316" s="102" t="s">
        <v>100</v>
      </c>
      <c r="J316" s="102" t="s">
        <v>29739</v>
      </c>
      <c r="L316" s="102" t="s">
        <v>25598</v>
      </c>
      <c r="M316" s="102" t="s">
        <v>26652</v>
      </c>
      <c r="N316" s="102">
        <v>755.1</v>
      </c>
      <c r="S316" t="str">
        <f t="shared" si="47"/>
        <v>81-095-17-00</v>
      </c>
      <c r="T316" s="129" t="s">
        <v>25299</v>
      </c>
      <c r="U316" s="112">
        <v>12</v>
      </c>
    </row>
    <row r="317" spans="1:21" x14ac:dyDescent="0.2">
      <c r="A317" s="102" t="s">
        <v>29710</v>
      </c>
      <c r="B317" s="102" t="s">
        <v>29708</v>
      </c>
      <c r="C317" s="102" t="s">
        <v>49</v>
      </c>
      <c r="D317" s="102" t="s">
        <v>212</v>
      </c>
      <c r="E317" s="102" t="s">
        <v>25636</v>
      </c>
      <c r="F317" s="102" t="s">
        <v>26642</v>
      </c>
      <c r="G317" s="102" t="s">
        <v>25636</v>
      </c>
      <c r="H317" s="102" t="s">
        <v>29714</v>
      </c>
      <c r="I317" s="102" t="s">
        <v>23</v>
      </c>
      <c r="J317" s="102" t="s">
        <v>29739</v>
      </c>
      <c r="L317" s="102" t="s">
        <v>25598</v>
      </c>
      <c r="M317" s="102" t="s">
        <v>26652</v>
      </c>
      <c r="N317" s="102">
        <v>755.1</v>
      </c>
      <c r="S317" t="str">
        <f t="shared" ref="S317:S318" si="48">A317&amp;"-"&amp;T317</f>
        <v>81-095-16-00</v>
      </c>
      <c r="T317" s="129" t="s">
        <v>25299</v>
      </c>
      <c r="U317" s="112">
        <v>30</v>
      </c>
    </row>
    <row r="318" spans="1:21" x14ac:dyDescent="0.2">
      <c r="A318" s="102" t="s">
        <v>29711</v>
      </c>
      <c r="B318" s="102" t="s">
        <v>29708</v>
      </c>
      <c r="C318" s="102" t="s">
        <v>49</v>
      </c>
      <c r="D318" s="102" t="s">
        <v>212</v>
      </c>
      <c r="E318" s="102" t="s">
        <v>25636</v>
      </c>
      <c r="F318" s="102" t="s">
        <v>26642</v>
      </c>
      <c r="G318" s="102" t="s">
        <v>25636</v>
      </c>
      <c r="H318" s="102" t="s">
        <v>29715</v>
      </c>
      <c r="I318" s="102" t="s">
        <v>1</v>
      </c>
      <c r="J318" s="102" t="s">
        <v>29739</v>
      </c>
      <c r="L318" s="102" t="s">
        <v>25598</v>
      </c>
      <c r="M318" s="102" t="s">
        <v>26652</v>
      </c>
      <c r="N318" s="102">
        <v>755.1</v>
      </c>
      <c r="S318" t="str">
        <f t="shared" si="48"/>
        <v>81-095-09-00</v>
      </c>
      <c r="T318" s="129" t="s">
        <v>25299</v>
      </c>
      <c r="U318" s="112">
        <v>40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27567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HERMAN</v>
      </c>
      <c r="C2" s="67" t="str">
        <f>_xlfn.LET(_xlpm.Letter,LEFT(ADDRESS(1,COLUMN(Строчный!S1),4,1,)),"Строчный!"&amp;_xlpm.Letter&amp;"1:"&amp;_xlpm.Letter&amp;COUNTA(Строчный!S:S))</f>
        <v>Строчный!S1:S318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2022-05-12T13:14:14Z</dcterms:modified>
</cp:coreProperties>
</file>