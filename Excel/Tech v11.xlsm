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7F82BF40-03A8-447C-AB4E-15E393F2518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4" l="1"/>
  <c r="D39" i="4"/>
  <c r="D40" i="4"/>
  <c r="D41" i="4"/>
  <c r="D42" i="4"/>
  <c r="D43" i="4"/>
  <c r="D44" i="4"/>
  <c r="D45" i="4"/>
  <c r="D46" i="4"/>
  <c r="BE2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7765" i="8" l="1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<sst xmlns="http://schemas.openxmlformats.org/spreadsheetml/2006/main" count="2509" uniqueCount="909">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</sst>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S5" sqref="S5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0.7109375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" ca="1" si="2">IF(AU2&lt;&gt;"",VLOOKUP(AU2,INDIRECT(SUBSTITUTE($J2," ","")&amp;"Manufactures"),3,0),"Требуется код страны")</f>
        <v>Требуется код страны</v>
      </c>
      <c r="AW2" s="115" t="str">
        <f t="shared" ref="AW2" ca="1" si="3">IF(AU2&lt;&gt;"",VLOOKUP(AU2,INDIRECT(SUBSTITUTE($J2," ","")&amp;"Manufactures"),2,0),"Требуется код страны")</f>
        <v>Требуется код страны</v>
      </c>
      <c r="AX2" s="139">
        <f t="shared" ref="AX2" si="4">0.05+0.05</f>
        <v>0.1</v>
      </c>
      <c r="AY2" s="115">
        <f t="shared" ref="AY2" si="5">IF(AX2&lt;&gt;"",AX2*1.5,"Требуется нетто")</f>
        <v>0.15000000000000002</v>
      </c>
      <c r="AZ2" s="115" t="str">
        <f t="shared" ref="AZ2" si="6">+IF(AX2&lt;&gt;"",IFERROR(AT2*AX2,"Требуются кол-во и нетто"),"Требуются кол-во и нетто")</f>
        <v>Требуются кол-во и нетто</v>
      </c>
      <c r="BA2" s="115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" si="9">IFERROR(IF(BE2,"-",IFERROR(IF(BD2&gt;0,0,1),"")),"")</f>
        <v/>
      </c>
      <c r="BG2" s="111"/>
    </row>
    <row r="3" spans="1:59" ht="98.1" customHeight="1">
      <c r="C3" s="114"/>
      <c r="G3" s="115"/>
      <c r="I3" s="116"/>
      <c r="K3" s="136"/>
      <c r="L3" s="138"/>
      <c r="M3" s="137"/>
      <c r="N3" s="137"/>
      <c r="O3" s="137"/>
      <c r="P3" s="137"/>
      <c r="Q3" s="138"/>
      <c r="R3" s="137"/>
      <c r="S3" s="137"/>
      <c r="T3" s="108"/>
      <c r="U3" s="108"/>
      <c r="V3" s="108"/>
      <c r="Y3" s="108"/>
      <c r="AA3" s="108"/>
      <c r="AC3" s="108"/>
      <c r="AE3" s="108"/>
      <c r="AG3" s="108"/>
      <c r="AT3" s="115"/>
      <c r="AU3" s="132"/>
      <c r="AV3" s="115"/>
      <c r="BE3" s="109"/>
      <c r="BF3" s="110"/>
    </row>
    <row r="4" spans="1:59" ht="98.1" customHeight="1">
      <c r="C4" s="114"/>
      <c r="G4" s="115"/>
      <c r="J4" s="137"/>
      <c r="K4" s="120"/>
      <c r="M4" s="137"/>
      <c r="N4" s="137"/>
      <c r="O4" s="137"/>
      <c r="P4" s="137"/>
      <c r="Q4" s="138"/>
      <c r="R4" s="137"/>
      <c r="S4" s="137"/>
      <c r="T4" s="108"/>
      <c r="U4" s="108"/>
      <c r="V4" s="108"/>
      <c r="Y4" s="108"/>
      <c r="AA4" s="108"/>
      <c r="AC4" s="108"/>
      <c r="AE4" s="108"/>
      <c r="AG4" s="108"/>
      <c r="AT4" s="115"/>
      <c r="AU4" s="132"/>
      <c r="AV4" s="115"/>
      <c r="BE4" s="109"/>
      <c r="BF4" s="110"/>
    </row>
    <row r="5" spans="1:59" ht="98.1" customHeight="1">
      <c r="C5" s="114"/>
      <c r="G5" s="115"/>
      <c r="J5" s="137"/>
      <c r="K5" s="120"/>
      <c r="M5" s="137"/>
      <c r="N5" s="137"/>
      <c r="O5" s="137"/>
      <c r="P5" s="137"/>
      <c r="Q5" s="138"/>
      <c r="R5" s="137"/>
      <c r="S5" s="137"/>
      <c r="T5" s="108"/>
      <c r="U5" s="108"/>
      <c r="V5" s="108"/>
      <c r="Y5" s="108"/>
      <c r="AA5" s="108"/>
      <c r="AC5" s="108"/>
      <c r="AE5" s="108"/>
      <c r="AG5" s="108"/>
      <c r="AT5" s="115"/>
      <c r="AU5" s="132"/>
      <c r="AV5" s="115"/>
      <c r="BE5" s="109"/>
      <c r="BF5" s="110"/>
    </row>
    <row r="6" spans="1:59" ht="98.1" customHeight="1">
      <c r="C6" s="122"/>
      <c r="G6" s="115"/>
      <c r="J6" s="137"/>
      <c r="K6" s="121"/>
      <c r="M6" s="137"/>
      <c r="N6" s="137"/>
      <c r="O6" s="137"/>
      <c r="P6" s="137"/>
      <c r="Q6" s="138"/>
      <c r="R6" s="137"/>
      <c r="S6" s="137"/>
      <c r="T6" s="108"/>
      <c r="U6" s="108"/>
      <c r="V6" s="108"/>
      <c r="Y6" s="108"/>
      <c r="AA6" s="108"/>
      <c r="AC6" s="108"/>
      <c r="AE6" s="108"/>
      <c r="AG6" s="108"/>
      <c r="AT6" s="115"/>
      <c r="AU6" s="132"/>
      <c r="AV6" s="115"/>
      <c r="BE6" s="109"/>
      <c r="BF6" s="110"/>
    </row>
    <row r="7" spans="1:59" ht="98.1" customHeight="1">
      <c r="C7" s="122"/>
      <c r="G7" s="115"/>
      <c r="J7" s="137"/>
      <c r="K7" s="121"/>
      <c r="M7" s="137"/>
      <c r="N7" s="137"/>
      <c r="O7" s="137"/>
      <c r="P7" s="137"/>
      <c r="Q7" s="138"/>
      <c r="R7" s="137"/>
      <c r="S7" s="137"/>
      <c r="T7" s="108"/>
      <c r="U7" s="108"/>
      <c r="V7" s="108"/>
      <c r="Y7" s="108"/>
      <c r="AA7" s="108"/>
      <c r="AC7" s="108"/>
      <c r="AE7" s="108"/>
      <c r="AG7" s="108"/>
      <c r="AT7" s="115"/>
      <c r="AU7" s="132"/>
      <c r="AV7" s="115"/>
      <c r="BE7" s="109"/>
      <c r="BF7" s="110"/>
    </row>
    <row r="8" spans="1:59" ht="98.1" customHeight="1">
      <c r="C8" s="122"/>
      <c r="G8" s="115"/>
      <c r="J8" s="137"/>
      <c r="K8" s="121"/>
      <c r="M8" s="137"/>
      <c r="N8" s="137"/>
      <c r="O8" s="137"/>
      <c r="P8" s="137"/>
      <c r="Q8" s="138"/>
      <c r="R8" s="137"/>
      <c r="S8" s="137"/>
      <c r="T8" s="108"/>
      <c r="U8" s="108"/>
      <c r="V8" s="108"/>
      <c r="Y8" s="108"/>
      <c r="AA8" s="108"/>
      <c r="AC8" s="108"/>
      <c r="AE8" s="108"/>
      <c r="AG8" s="108"/>
      <c r="AT8" s="115"/>
      <c r="AU8" s="132"/>
      <c r="AV8" s="115"/>
      <c r="BE8" s="109"/>
      <c r="BF8" s="110"/>
    </row>
    <row r="9" spans="1:59" ht="98.1" customHeight="1">
      <c r="C9" s="122"/>
      <c r="G9" s="115"/>
      <c r="J9" s="137"/>
      <c r="K9" s="121"/>
      <c r="M9" s="137"/>
      <c r="N9" s="137"/>
      <c r="O9" s="137"/>
      <c r="P9" s="137"/>
      <c r="Q9" s="138"/>
      <c r="R9" s="137"/>
      <c r="S9" s="137"/>
      <c r="T9" s="108"/>
      <c r="U9" s="108"/>
      <c r="V9" s="108"/>
      <c r="Y9" s="108"/>
      <c r="AA9" s="108"/>
      <c r="AC9" s="108"/>
      <c r="AE9" s="108"/>
      <c r="AG9" s="108"/>
      <c r="AT9" s="115"/>
      <c r="AU9" s="132"/>
      <c r="AV9" s="115"/>
      <c r="BE9" s="109"/>
      <c r="BF9" s="110"/>
    </row>
    <row r="10" spans="1:59" ht="98.1" customHeight="1">
      <c r="C10" s="122"/>
      <c r="G10" s="115"/>
      <c r="J10" s="137"/>
      <c r="K10" s="121"/>
      <c r="M10" s="137"/>
      <c r="N10" s="137"/>
      <c r="O10" s="137"/>
      <c r="P10" s="137"/>
      <c r="Q10" s="138"/>
      <c r="R10" s="137"/>
      <c r="S10" s="137"/>
      <c r="T10" s="108"/>
      <c r="U10" s="108"/>
      <c r="V10" s="108"/>
      <c r="Y10" s="108"/>
      <c r="AA10" s="108"/>
      <c r="AC10" s="108"/>
      <c r="AE10" s="108"/>
      <c r="AG10" s="108"/>
      <c r="AT10" s="115"/>
      <c r="AU10" s="132"/>
      <c r="AV10" s="115"/>
      <c r="BE10" s="109"/>
      <c r="BF10" s="110"/>
    </row>
    <row r="11" spans="1:59" ht="98.1" customHeight="1">
      <c r="C11" s="122"/>
      <c r="G11" s="115"/>
      <c r="J11" s="137"/>
      <c r="K11" s="121"/>
      <c r="M11" s="137"/>
      <c r="N11" s="137"/>
      <c r="O11" s="137"/>
      <c r="P11" s="137"/>
      <c r="Q11" s="138"/>
      <c r="R11" s="137"/>
      <c r="S11" s="137"/>
      <c r="T11" s="108"/>
      <c r="U11" s="108"/>
      <c r="V11" s="108"/>
      <c r="Y11" s="108"/>
      <c r="AA11" s="108"/>
      <c r="AC11" s="108"/>
      <c r="AE11" s="108"/>
      <c r="AG11" s="108"/>
      <c r="AT11" s="115"/>
      <c r="AU11" s="132"/>
      <c r="AV11" s="115"/>
      <c r="BE11" s="109"/>
      <c r="BF11" s="110"/>
    </row>
    <row r="12" spans="1:59" ht="98.1" customHeight="1">
      <c r="C12" s="122"/>
      <c r="G12" s="115"/>
      <c r="J12" s="137"/>
      <c r="K12" s="121"/>
      <c r="M12" s="137"/>
      <c r="N12" s="137"/>
      <c r="O12" s="137"/>
      <c r="P12" s="137"/>
      <c r="Q12" s="138"/>
      <c r="R12" s="137"/>
      <c r="S12" s="137"/>
      <c r="T12" s="108"/>
      <c r="U12" s="108"/>
      <c r="V12" s="108"/>
      <c r="Y12" s="108"/>
      <c r="AA12" s="108"/>
      <c r="AC12" s="108"/>
      <c r="AE12" s="108"/>
      <c r="AG12" s="108"/>
      <c r="AT12" s="115"/>
      <c r="AU12" s="132"/>
      <c r="AV12" s="115"/>
      <c r="BE12" s="109"/>
      <c r="BF12" s="110"/>
    </row>
    <row r="13" spans="1:59" ht="98.1" customHeight="1">
      <c r="C13" s="122"/>
      <c r="G13" s="115"/>
      <c r="J13" s="137"/>
      <c r="K13" s="121"/>
      <c r="M13" s="137"/>
      <c r="N13" s="137"/>
      <c r="O13" s="137"/>
      <c r="P13" s="137"/>
      <c r="Q13" s="138"/>
      <c r="R13" s="137"/>
      <c r="S13" s="137"/>
      <c r="T13" s="108"/>
      <c r="U13" s="108"/>
      <c r="V13" s="108"/>
      <c r="Y13" s="108"/>
      <c r="AA13" s="108"/>
      <c r="AC13" s="108"/>
      <c r="AE13" s="108"/>
      <c r="AG13" s="108"/>
      <c r="AT13" s="115"/>
      <c r="AU13" s="132"/>
      <c r="AV13" s="115"/>
      <c r="BE13" s="109"/>
      <c r="BF13" s="110"/>
    </row>
    <row r="14" spans="1:59" ht="98.1" customHeight="1">
      <c r="C14" s="122"/>
      <c r="G14" s="115"/>
      <c r="J14" s="137"/>
      <c r="K14" s="121"/>
      <c r="M14" s="137"/>
      <c r="N14" s="137"/>
      <c r="O14" s="137"/>
      <c r="P14" s="137"/>
      <c r="Q14" s="138"/>
      <c r="R14" s="137"/>
      <c r="S14" s="137"/>
      <c r="T14" s="108"/>
      <c r="U14" s="108"/>
      <c r="V14" s="108"/>
      <c r="Y14" s="108"/>
      <c r="AA14" s="108"/>
      <c r="AC14" s="108"/>
      <c r="AE14" s="108"/>
      <c r="AG14" s="108"/>
      <c r="AT14" s="115"/>
      <c r="AU14" s="132"/>
      <c r="AV14" s="115"/>
      <c r="BE14" s="109"/>
      <c r="BF14" s="110"/>
    </row>
    <row r="15" spans="1:59" ht="98.1" customHeight="1">
      <c r="C15" s="122"/>
      <c r="G15" s="115"/>
      <c r="J15" s="137"/>
      <c r="K15" s="121"/>
      <c r="M15" s="137"/>
      <c r="N15" s="137"/>
      <c r="O15" s="137"/>
      <c r="P15" s="137"/>
      <c r="Q15" s="138"/>
      <c r="R15" s="137"/>
      <c r="S15" s="137"/>
      <c r="T15" s="108"/>
      <c r="U15" s="108"/>
      <c r="V15" s="108"/>
      <c r="Y15" s="108"/>
      <c r="AA15" s="108"/>
      <c r="AC15" s="108"/>
      <c r="AE15" s="108"/>
      <c r="AG15" s="108"/>
      <c r="AT15" s="115"/>
      <c r="AU15" s="132"/>
      <c r="AV15" s="115"/>
      <c r="BE15" s="109"/>
      <c r="BF15" s="110"/>
    </row>
    <row r="16" spans="1:59" ht="98.1" customHeight="1">
      <c r="C16" s="122"/>
      <c r="G16" s="115"/>
      <c r="J16" s="137"/>
      <c r="K16" s="121"/>
      <c r="M16" s="137"/>
      <c r="N16" s="137"/>
      <c r="O16" s="137"/>
      <c r="P16" s="137"/>
      <c r="Q16" s="138"/>
      <c r="R16" s="137"/>
      <c r="S16" s="137"/>
      <c r="T16" s="108"/>
      <c r="U16" s="108"/>
      <c r="V16" s="108"/>
      <c r="Y16" s="108"/>
      <c r="AA16" s="108"/>
      <c r="AC16" s="108"/>
      <c r="AE16" s="108"/>
      <c r="AG16" s="108"/>
      <c r="AT16" s="115"/>
      <c r="AU16" s="132"/>
      <c r="AV16" s="115"/>
      <c r="BE16" s="109"/>
      <c r="BF16" s="110"/>
    </row>
    <row r="17" spans="3:58" ht="98.1" customHeight="1">
      <c r="C17" s="122"/>
      <c r="G17" s="115"/>
      <c r="J17" s="137"/>
      <c r="K17" s="121"/>
      <c r="M17" s="137"/>
      <c r="N17" s="137"/>
      <c r="O17" s="137"/>
      <c r="P17" s="137"/>
      <c r="Q17" s="138"/>
      <c r="R17" s="137"/>
      <c r="S17" s="137"/>
      <c r="T17" s="108"/>
      <c r="U17" s="108"/>
      <c r="V17" s="108"/>
      <c r="Y17" s="108"/>
      <c r="AA17" s="108"/>
      <c r="AC17" s="108"/>
      <c r="AE17" s="108"/>
      <c r="AG17" s="108"/>
      <c r="AT17" s="115"/>
      <c r="AU17" s="132"/>
      <c r="AV17" s="115"/>
      <c r="BE17" s="109"/>
      <c r="BF17" s="110"/>
    </row>
    <row r="18" spans="3:58" ht="98.1" customHeight="1">
      <c r="C18" s="122"/>
      <c r="G18" s="115"/>
      <c r="J18" s="137"/>
      <c r="K18" s="121"/>
      <c r="M18" s="137"/>
      <c r="N18" s="137"/>
      <c r="O18" s="137"/>
      <c r="P18" s="137"/>
      <c r="Q18" s="138"/>
      <c r="R18" s="137"/>
      <c r="S18" s="137"/>
      <c r="T18" s="108"/>
      <c r="U18" s="108"/>
      <c r="V18" s="108"/>
      <c r="Y18" s="108"/>
      <c r="AA18" s="108"/>
      <c r="AC18" s="108"/>
      <c r="AE18" s="108"/>
      <c r="AG18" s="108"/>
      <c r="AT18" s="115"/>
      <c r="AU18" s="132"/>
      <c r="AV18" s="115"/>
      <c r="BE18" s="109"/>
      <c r="BF18" s="110"/>
    </row>
    <row r="19" spans="3:58" ht="98.1" customHeight="1">
      <c r="C19" s="122"/>
      <c r="G19" s="115"/>
      <c r="J19" s="137"/>
      <c r="K19" s="121"/>
      <c r="M19" s="137"/>
      <c r="N19" s="137"/>
      <c r="O19" s="137"/>
      <c r="P19" s="137"/>
      <c r="Q19" s="138"/>
      <c r="R19" s="137"/>
      <c r="S19" s="137"/>
      <c r="T19" s="108"/>
      <c r="U19" s="108"/>
      <c r="V19" s="108"/>
      <c r="Y19" s="108"/>
      <c r="AA19" s="108"/>
      <c r="AC19" s="108"/>
      <c r="AE19" s="108"/>
      <c r="AG19" s="108"/>
      <c r="AT19" s="115"/>
      <c r="AU19" s="132"/>
      <c r="AV19" s="115"/>
      <c r="BE19" s="109"/>
      <c r="BF19" s="110"/>
    </row>
    <row r="20" spans="3:58" ht="98.1" customHeight="1">
      <c r="C20" s="122"/>
      <c r="G20" s="115"/>
      <c r="J20" s="137"/>
      <c r="K20" s="121"/>
      <c r="M20" s="137"/>
      <c r="N20" s="137"/>
      <c r="O20" s="137"/>
      <c r="P20" s="137"/>
      <c r="Q20" s="138"/>
      <c r="R20" s="137"/>
      <c r="S20" s="137"/>
      <c r="T20" s="108"/>
      <c r="U20" s="108"/>
      <c r="V20" s="108"/>
      <c r="Y20" s="108"/>
      <c r="AA20" s="108"/>
      <c r="AC20" s="108"/>
      <c r="AE20" s="108"/>
      <c r="AG20" s="108"/>
      <c r="AT20" s="115"/>
      <c r="AU20" s="132"/>
      <c r="AV20" s="115"/>
      <c r="BE20" s="109"/>
      <c r="BF20" s="110"/>
    </row>
    <row r="21" spans="3:58" ht="98.1" customHeight="1">
      <c r="C21" s="122"/>
      <c r="G21" s="115"/>
      <c r="J21" s="137"/>
      <c r="K21" s="121"/>
      <c r="M21" s="137"/>
      <c r="N21" s="137"/>
      <c r="O21" s="137"/>
      <c r="P21" s="137"/>
      <c r="Q21" s="138"/>
      <c r="R21" s="137"/>
      <c r="S21" s="137"/>
      <c r="T21" s="108"/>
      <c r="U21" s="108"/>
      <c r="V21" s="108"/>
      <c r="Y21" s="108"/>
      <c r="AA21" s="108"/>
      <c r="AC21" s="108"/>
      <c r="AE21" s="108"/>
      <c r="AG21" s="108"/>
      <c r="AT21" s="115"/>
      <c r="AU21" s="132"/>
      <c r="AV21" s="115"/>
      <c r="BE21" s="109"/>
      <c r="BF21" s="110"/>
    </row>
    <row r="22" spans="3:58" ht="98.1" customHeight="1">
      <c r="C22" s="122"/>
      <c r="G22" s="115"/>
      <c r="J22" s="137"/>
      <c r="K22" s="121"/>
      <c r="M22" s="137"/>
      <c r="N22" s="137"/>
      <c r="O22" s="137"/>
      <c r="P22" s="137"/>
      <c r="Q22" s="138"/>
      <c r="R22" s="137"/>
      <c r="S22" s="137"/>
      <c r="T22" s="108"/>
      <c r="U22" s="108"/>
      <c r="V22" s="108"/>
      <c r="Y22" s="108"/>
      <c r="AA22" s="108"/>
      <c r="AC22" s="108"/>
      <c r="AE22" s="108"/>
      <c r="AG22" s="108"/>
      <c r="AT22" s="115"/>
      <c r="AU22" s="132"/>
      <c r="AV22" s="115"/>
      <c r="BE22" s="109"/>
      <c r="BF22" s="110"/>
    </row>
    <row r="23" spans="3:58" ht="98.1" customHeight="1">
      <c r="C23" s="122"/>
      <c r="G23" s="115"/>
      <c r="J23" s="137"/>
      <c r="K23" s="121"/>
      <c r="M23" s="137"/>
      <c r="N23" s="137"/>
      <c r="O23" s="137"/>
      <c r="P23" s="137"/>
      <c r="Q23" s="138"/>
      <c r="R23" s="137"/>
      <c r="S23" s="137"/>
      <c r="T23" s="108"/>
      <c r="U23" s="108"/>
      <c r="V23" s="108"/>
      <c r="Y23" s="108"/>
      <c r="AA23" s="108"/>
      <c r="AC23" s="108"/>
      <c r="AE23" s="108"/>
      <c r="AG23" s="108"/>
      <c r="AT23" s="115"/>
      <c r="AU23" s="132"/>
      <c r="AV23" s="115"/>
      <c r="BE23" s="109"/>
      <c r="BF23" s="110"/>
    </row>
    <row r="24" spans="3:58" ht="98.1" customHeight="1">
      <c r="C24" s="122"/>
      <c r="G24" s="115"/>
      <c r="J24" s="137"/>
      <c r="K24" s="121"/>
      <c r="M24" s="137"/>
      <c r="N24" s="137"/>
      <c r="O24" s="137"/>
      <c r="P24" s="137"/>
      <c r="Q24" s="138"/>
      <c r="R24" s="137"/>
      <c r="S24" s="137"/>
      <c r="T24" s="108"/>
      <c r="U24" s="108"/>
      <c r="V24" s="108"/>
      <c r="Y24" s="108"/>
      <c r="AA24" s="108"/>
      <c r="AC24" s="108"/>
      <c r="AE24" s="108"/>
      <c r="AG24" s="108"/>
      <c r="AT24" s="115"/>
      <c r="AU24" s="132"/>
      <c r="AV24" s="115"/>
      <c r="BE24" s="109"/>
      <c r="BF24" s="110"/>
    </row>
    <row r="25" spans="3:58" ht="98.1" customHeight="1">
      <c r="C25" s="122"/>
      <c r="G25" s="115"/>
      <c r="J25" s="137"/>
      <c r="K25" s="121"/>
      <c r="M25" s="137"/>
      <c r="N25" s="137"/>
      <c r="O25" s="137"/>
      <c r="P25" s="137"/>
      <c r="Q25" s="138"/>
      <c r="R25" s="137"/>
      <c r="S25" s="137"/>
      <c r="T25" s="108"/>
      <c r="U25" s="108"/>
      <c r="V25" s="108"/>
      <c r="Y25" s="108"/>
      <c r="AA25" s="108"/>
      <c r="AC25" s="108"/>
      <c r="AE25" s="108"/>
      <c r="AG25" s="108"/>
      <c r="AT25" s="115"/>
      <c r="AU25" s="132"/>
      <c r="AV25" s="115"/>
      <c r="BE25" s="109"/>
      <c r="BF25" s="110"/>
    </row>
    <row r="26" spans="3:58" ht="98.1" customHeight="1">
      <c r="C26" s="122"/>
      <c r="G26" s="115"/>
      <c r="J26" s="137"/>
      <c r="K26" s="121"/>
      <c r="M26" s="137"/>
      <c r="N26" s="137"/>
      <c r="O26" s="137"/>
      <c r="P26" s="137"/>
      <c r="Q26" s="138"/>
      <c r="R26" s="137"/>
      <c r="S26" s="137"/>
      <c r="T26" s="108"/>
      <c r="U26" s="108"/>
      <c r="V26" s="108"/>
      <c r="Y26" s="108"/>
      <c r="AA26" s="108"/>
      <c r="AC26" s="108"/>
      <c r="AE26" s="108"/>
      <c r="AG26" s="108"/>
      <c r="AT26" s="115"/>
      <c r="AU26" s="132"/>
      <c r="AV26" s="115"/>
      <c r="BE26" s="109"/>
      <c r="BF26" s="110"/>
    </row>
    <row r="27" spans="3:58" ht="98.1" customHeight="1">
      <c r="C27" s="122"/>
      <c r="G27" s="115"/>
      <c r="J27" s="137"/>
      <c r="K27" s="121"/>
      <c r="M27" s="137"/>
      <c r="N27" s="137"/>
      <c r="O27" s="137"/>
      <c r="P27" s="137"/>
      <c r="Q27" s="138"/>
      <c r="R27" s="137"/>
      <c r="S27" s="137"/>
      <c r="T27" s="108"/>
      <c r="U27" s="108"/>
      <c r="V27" s="108"/>
      <c r="Y27" s="108"/>
      <c r="AA27" s="108"/>
      <c r="AC27" s="108"/>
      <c r="AE27" s="108"/>
      <c r="AG27" s="108"/>
      <c r="AT27" s="115"/>
      <c r="AU27" s="132"/>
      <c r="AV27" s="115"/>
      <c r="BE27" s="109"/>
      <c r="BF27" s="110"/>
    </row>
    <row r="28" spans="3:58" ht="98.1" customHeight="1">
      <c r="C28" s="122"/>
      <c r="G28" s="115"/>
      <c r="J28" s="137"/>
      <c r="K28" s="121"/>
      <c r="M28" s="137"/>
      <c r="N28" s="137"/>
      <c r="O28" s="137"/>
      <c r="P28" s="137"/>
      <c r="Q28" s="138"/>
      <c r="R28" s="137"/>
      <c r="S28" s="137"/>
      <c r="T28" s="108"/>
      <c r="U28" s="108"/>
      <c r="V28" s="108"/>
      <c r="Y28" s="108"/>
      <c r="AA28" s="108"/>
      <c r="AC28" s="108"/>
      <c r="AE28" s="108"/>
      <c r="AG28" s="108"/>
      <c r="AT28" s="115"/>
      <c r="AU28" s="132"/>
      <c r="AV28" s="115"/>
      <c r="BE28" s="109"/>
      <c r="BF28" s="110"/>
    </row>
    <row r="29" spans="3:58" ht="98.1" customHeight="1">
      <c r="C29" s="122"/>
      <c r="G29" s="115"/>
      <c r="J29" s="137"/>
      <c r="K29" s="121"/>
      <c r="M29" s="137"/>
      <c r="N29" s="137"/>
      <c r="O29" s="137"/>
      <c r="P29" s="137"/>
      <c r="Q29" s="138"/>
      <c r="R29" s="137"/>
      <c r="S29" s="137"/>
      <c r="T29" s="108"/>
      <c r="U29" s="108"/>
      <c r="V29" s="108"/>
      <c r="Y29" s="108"/>
      <c r="AA29" s="108"/>
      <c r="AC29" s="108"/>
      <c r="AE29" s="108"/>
      <c r="AG29" s="108"/>
      <c r="AT29" s="115"/>
      <c r="AU29" s="132"/>
      <c r="AV29" s="115"/>
      <c r="BE29" s="109"/>
      <c r="BF29" s="110"/>
    </row>
    <row r="30" spans="3:58" ht="98.1" customHeight="1">
      <c r="C30" s="122"/>
      <c r="G30" s="115"/>
      <c r="J30" s="108"/>
      <c r="K30" s="121"/>
      <c r="M30" s="137"/>
      <c r="N30" s="137"/>
      <c r="O30" s="137"/>
      <c r="P30" s="137"/>
      <c r="Q30" s="138"/>
      <c r="R30" s="137"/>
      <c r="S30" s="137"/>
      <c r="T30" s="108"/>
      <c r="U30" s="108"/>
      <c r="V30" s="108"/>
      <c r="Y30" s="108"/>
      <c r="AA30" s="108"/>
      <c r="AC30" s="108"/>
      <c r="AE30" s="108"/>
      <c r="AG30" s="108"/>
      <c r="AT30" s="115"/>
      <c r="AU30" s="132"/>
      <c r="AV30" s="115"/>
      <c r="BE30" s="109"/>
      <c r="BF30" s="110"/>
    </row>
    <row r="31" spans="3:58" ht="98.1" customHeight="1">
      <c r="C31" s="122"/>
      <c r="G31" s="115"/>
      <c r="J31" s="108"/>
      <c r="K31" s="121"/>
      <c r="M31" s="137"/>
      <c r="N31" s="137"/>
      <c r="O31" s="137"/>
      <c r="P31" s="137"/>
      <c r="Q31" s="138"/>
      <c r="R31" s="137"/>
      <c r="S31" s="137"/>
      <c r="T31" s="108"/>
      <c r="U31" s="108"/>
      <c r="V31" s="108"/>
      <c r="Y31" s="108"/>
      <c r="AA31" s="108"/>
      <c r="AC31" s="108"/>
      <c r="AE31" s="108"/>
      <c r="AG31" s="108"/>
      <c r="AT31" s="115"/>
      <c r="AU31" s="132"/>
      <c r="AV31" s="115"/>
      <c r="BE31" s="109"/>
      <c r="BF31" s="110"/>
    </row>
    <row r="32" spans="3:58" ht="98.1" customHeight="1">
      <c r="C32" s="122"/>
      <c r="G32" s="115"/>
      <c r="J32" s="108"/>
      <c r="K32" s="121"/>
      <c r="M32" s="137"/>
      <c r="N32" s="137"/>
      <c r="O32" s="137"/>
      <c r="P32" s="137"/>
      <c r="Q32" s="138"/>
      <c r="R32" s="137"/>
      <c r="S32" s="137"/>
      <c r="T32" s="108"/>
      <c r="U32" s="108"/>
      <c r="V32" s="108"/>
      <c r="Y32" s="108"/>
      <c r="AA32" s="108"/>
      <c r="AC32" s="108"/>
      <c r="AE32" s="108"/>
      <c r="AG32" s="108"/>
      <c r="AT32" s="115"/>
      <c r="AU32" s="132"/>
      <c r="AV32" s="115"/>
      <c r="BE32" s="109"/>
      <c r="BF32" s="110"/>
    </row>
    <row r="33" spans="3:58" ht="98.1" customHeight="1">
      <c r="C33" s="122"/>
      <c r="G33" s="115"/>
      <c r="J33" s="108"/>
      <c r="K33" s="121"/>
      <c r="M33" s="137"/>
      <c r="N33" s="137"/>
      <c r="O33" s="137"/>
      <c r="P33" s="137"/>
      <c r="Q33" s="138"/>
      <c r="R33" s="137"/>
      <c r="S33" s="137"/>
      <c r="T33" s="108"/>
      <c r="U33" s="108"/>
      <c r="V33" s="108"/>
      <c r="Y33" s="108"/>
      <c r="AA33" s="108"/>
      <c r="AC33" s="108"/>
      <c r="AE33" s="108"/>
      <c r="AG33" s="108"/>
      <c r="AT33" s="115"/>
      <c r="AU33" s="132"/>
      <c r="AV33" s="115"/>
      <c r="BE33" s="109"/>
      <c r="BF33" s="110"/>
    </row>
    <row r="34" spans="3:58" ht="98.1" customHeight="1">
      <c r="C34" s="122"/>
      <c r="G34" s="115"/>
      <c r="J34" s="108"/>
      <c r="K34" s="121"/>
      <c r="M34" s="137"/>
      <c r="N34" s="137"/>
      <c r="O34" s="137"/>
      <c r="P34" s="137"/>
      <c r="Q34" s="138"/>
      <c r="R34" s="137"/>
      <c r="S34" s="137"/>
      <c r="T34" s="108"/>
      <c r="U34" s="108"/>
      <c r="V34" s="108"/>
      <c r="Y34" s="108"/>
      <c r="AA34" s="108"/>
      <c r="AC34" s="108"/>
      <c r="AE34" s="108"/>
      <c r="AG34" s="108"/>
      <c r="AT34" s="115"/>
      <c r="AU34" s="132"/>
      <c r="AV34" s="115"/>
      <c r="BE34" s="109"/>
      <c r="BF34" s="110"/>
    </row>
    <row r="35" spans="3:58" ht="98.1" customHeight="1">
      <c r="C35" s="122"/>
      <c r="G35" s="115"/>
      <c r="J35" s="108"/>
      <c r="K35" s="121"/>
      <c r="M35" s="137"/>
      <c r="N35" s="137"/>
      <c r="O35" s="137"/>
      <c r="P35" s="137"/>
      <c r="Q35" s="138"/>
      <c r="R35" s="137"/>
      <c r="S35" s="137"/>
      <c r="T35" s="108"/>
      <c r="U35" s="108"/>
      <c r="V35" s="108"/>
      <c r="Y35" s="108"/>
      <c r="AA35" s="108"/>
      <c r="AC35" s="108"/>
      <c r="AE35" s="108"/>
      <c r="AG35" s="108"/>
      <c r="AT35" s="115"/>
      <c r="AU35" s="132"/>
      <c r="AV35" s="115"/>
      <c r="BE35" s="109"/>
      <c r="BF35" s="110"/>
    </row>
    <row r="36" spans="3:58" ht="98.1" customHeight="1">
      <c r="C36" s="122"/>
      <c r="G36" s="115"/>
      <c r="J36" s="108"/>
      <c r="K36" s="121"/>
      <c r="M36" s="137"/>
      <c r="N36" s="137"/>
      <c r="O36" s="137"/>
      <c r="P36" s="137"/>
      <c r="Q36" s="138"/>
      <c r="R36" s="137"/>
      <c r="S36" s="137"/>
      <c r="T36" s="108"/>
      <c r="U36" s="108"/>
      <c r="V36" s="108"/>
      <c r="Y36" s="108"/>
      <c r="AA36" s="108"/>
      <c r="AC36" s="108"/>
      <c r="AE36" s="108"/>
      <c r="AG36" s="108"/>
      <c r="AU36" s="132"/>
      <c r="AV36" s="115"/>
      <c r="BE36" s="109"/>
      <c r="BF36" s="110"/>
    </row>
    <row r="37" spans="3:58" ht="98.1" customHeight="1">
      <c r="C37" s="122"/>
      <c r="G37" s="115"/>
      <c r="M37" s="137"/>
      <c r="N37" s="137"/>
      <c r="O37" s="137"/>
      <c r="P37" s="137"/>
      <c r="Q37" s="138"/>
      <c r="R37" s="137"/>
      <c r="S37" s="137"/>
      <c r="T37" s="108"/>
      <c r="U37" s="108"/>
      <c r="V37" s="108"/>
      <c r="Y37" s="108"/>
      <c r="AA37" s="108"/>
      <c r="AC37" s="108"/>
      <c r="AE37" s="108"/>
      <c r="AG37" s="108"/>
      <c r="AU37" s="132"/>
      <c r="AV37" s="115"/>
      <c r="BE37" s="109"/>
      <c r="BF37" s="110"/>
    </row>
    <row r="38" spans="3:58" ht="98.1" customHeight="1">
      <c r="C38" s="122"/>
      <c r="G38" s="115"/>
      <c r="M38" s="137"/>
      <c r="N38" s="137"/>
      <c r="O38" s="137"/>
      <c r="P38" s="137"/>
      <c r="Q38" s="138"/>
      <c r="R38" s="137"/>
      <c r="S38" s="137"/>
      <c r="T38" s="108"/>
      <c r="U38" s="108"/>
      <c r="V38" s="108"/>
      <c r="Y38" s="108"/>
      <c r="AA38" s="108"/>
      <c r="AC38" s="108"/>
      <c r="AE38" s="108"/>
      <c r="AG38" s="108"/>
      <c r="AU38" s="132"/>
      <c r="AV38" s="115"/>
      <c r="BE38" s="109"/>
      <c r="BF38" s="110"/>
    </row>
    <row r="39" spans="3:58" ht="98.1" customHeight="1">
      <c r="C39" s="122"/>
      <c r="G39" s="115"/>
      <c r="M39" s="137"/>
      <c r="N39" s="137"/>
      <c r="O39" s="137"/>
      <c r="P39" s="137"/>
      <c r="Q39" s="138"/>
      <c r="R39" s="137"/>
      <c r="S39" s="137"/>
      <c r="T39" s="108"/>
      <c r="U39" s="108"/>
      <c r="V39" s="108"/>
      <c r="Y39" s="108"/>
      <c r="AA39" s="108"/>
      <c r="AC39" s="108"/>
      <c r="AE39" s="108"/>
      <c r="AG39" s="108"/>
      <c r="AU39" s="132"/>
      <c r="AV39" s="115"/>
      <c r="BE39" s="109"/>
      <c r="BF39" s="110"/>
    </row>
    <row r="40" spans="3:58" ht="98.1" customHeight="1">
      <c r="C40" s="122"/>
      <c r="G40" s="115"/>
      <c r="M40" s="137"/>
      <c r="N40" s="137"/>
      <c r="O40" s="137"/>
      <c r="P40" s="137"/>
      <c r="Q40" s="138"/>
      <c r="R40" s="137"/>
      <c r="S40" s="137"/>
      <c r="T40" s="108"/>
      <c r="U40" s="108"/>
      <c r="V40" s="108"/>
      <c r="Y40" s="108"/>
      <c r="AA40" s="108"/>
      <c r="AC40" s="108"/>
      <c r="AE40" s="108"/>
      <c r="AG40" s="108"/>
      <c r="AU40" s="132"/>
      <c r="AV40" s="115"/>
      <c r="BE40" s="109"/>
      <c r="BF40" s="110"/>
    </row>
    <row r="41" spans="3:58" ht="98.1" customHeight="1">
      <c r="C41" s="122"/>
      <c r="G41" s="115"/>
      <c r="L41" s="136"/>
      <c r="M41" s="137"/>
      <c r="N41" s="137"/>
      <c r="O41" s="137"/>
      <c r="P41" s="137"/>
      <c r="Q41" s="138"/>
      <c r="R41" s="137"/>
      <c r="S41" s="137"/>
      <c r="T41" s="108"/>
      <c r="U41" s="108"/>
      <c r="V41" s="108"/>
      <c r="Y41" s="108"/>
      <c r="AA41" s="108"/>
      <c r="AC41" s="108"/>
      <c r="AE41" s="108"/>
      <c r="AG41" s="108"/>
      <c r="AU41" s="132"/>
      <c r="AV41" s="115"/>
      <c r="BE41" s="109"/>
      <c r="BF41" s="110"/>
    </row>
    <row r="42" spans="3:58" ht="98.1" customHeight="1">
      <c r="C42" s="122"/>
      <c r="G42" s="115"/>
      <c r="M42" s="137"/>
      <c r="N42" s="137"/>
      <c r="O42" s="137"/>
      <c r="P42" s="137"/>
      <c r="Q42" s="138"/>
      <c r="R42" s="137"/>
      <c r="S42" s="137"/>
      <c r="T42" s="108"/>
      <c r="U42" s="108"/>
      <c r="V42" s="108"/>
      <c r="Y42" s="108"/>
      <c r="AA42" s="108"/>
      <c r="AC42" s="108"/>
      <c r="AE42" s="108"/>
      <c r="AG42" s="108"/>
      <c r="AU42" s="132"/>
      <c r="AV42" s="115"/>
      <c r="BE42" s="109"/>
      <c r="BF42" s="110"/>
    </row>
    <row r="43" spans="3:58" ht="98.1" customHeight="1">
      <c r="C43" s="122"/>
      <c r="G43" s="115"/>
      <c r="M43" s="137"/>
      <c r="N43" s="137"/>
      <c r="O43" s="137"/>
      <c r="P43" s="137"/>
      <c r="Q43" s="138"/>
      <c r="R43" s="137"/>
      <c r="S43" s="137"/>
      <c r="T43" s="108"/>
      <c r="U43" s="108"/>
      <c r="V43" s="108"/>
      <c r="Y43" s="108"/>
      <c r="AA43" s="108"/>
      <c r="AC43" s="108"/>
      <c r="AE43" s="108"/>
      <c r="AG43" s="108"/>
      <c r="AU43" s="132"/>
      <c r="AV43" s="115"/>
      <c r="BE43" s="109"/>
      <c r="BF43" s="110"/>
    </row>
    <row r="44" spans="3:58" ht="98.1" customHeight="1">
      <c r="C44" s="122"/>
      <c r="G44" s="115"/>
      <c r="L44" s="136"/>
      <c r="M44" s="137"/>
      <c r="N44" s="137"/>
      <c r="O44" s="137"/>
      <c r="P44" s="137"/>
      <c r="Q44" s="138"/>
      <c r="R44" s="137"/>
      <c r="S44" s="137"/>
      <c r="T44" s="108"/>
      <c r="U44" s="108"/>
      <c r="V44" s="108"/>
      <c r="Y44" s="108"/>
      <c r="AA44" s="108"/>
      <c r="AC44" s="108"/>
      <c r="AE44" s="108"/>
      <c r="AG44" s="108"/>
      <c r="AU44" s="132"/>
      <c r="AV44" s="115"/>
      <c r="BE44" s="109"/>
      <c r="BF44" s="110"/>
    </row>
    <row r="45" spans="3:58" ht="98.1" customHeight="1">
      <c r="C45" s="122"/>
      <c r="G45" s="115"/>
      <c r="M45" s="137"/>
      <c r="N45" s="137"/>
      <c r="O45" s="137"/>
      <c r="P45" s="137"/>
      <c r="Q45" s="138"/>
      <c r="R45" s="137"/>
      <c r="S45" s="137"/>
      <c r="T45" s="108"/>
      <c r="U45" s="108"/>
      <c r="V45" s="108"/>
      <c r="Y45" s="108"/>
      <c r="AA45" s="108"/>
      <c r="AC45" s="108"/>
      <c r="AE45" s="108"/>
      <c r="AG45" s="108"/>
      <c r="AU45" s="132"/>
      <c r="AV45" s="115"/>
      <c r="BE45" s="109"/>
      <c r="BF45" s="110"/>
    </row>
    <row r="46" spans="3:58" ht="98.1" customHeight="1">
      <c r="C46" s="122"/>
      <c r="G46" s="115"/>
      <c r="L46" s="136"/>
      <c r="M46" s="137"/>
      <c r="N46" s="137"/>
      <c r="O46" s="137"/>
      <c r="P46" s="137"/>
      <c r="Q46" s="138"/>
      <c r="R46" s="137"/>
      <c r="S46" s="137"/>
      <c r="T46" s="108"/>
      <c r="U46" s="108"/>
      <c r="V46" s="108"/>
      <c r="Y46" s="108"/>
      <c r="AA46" s="108"/>
      <c r="AC46" s="108"/>
      <c r="AE46" s="108"/>
      <c r="AG46" s="108"/>
      <c r="AU46" s="132"/>
      <c r="AV46" s="115"/>
      <c r="BE46" s="109"/>
      <c r="BF46" s="110"/>
    </row>
    <row r="47" spans="3:58" ht="98.1" customHeight="1">
      <c r="C47" s="122"/>
      <c r="G47" s="115"/>
      <c r="L47" s="136"/>
      <c r="M47" s="137"/>
      <c r="N47" s="137"/>
      <c r="O47" s="137"/>
      <c r="P47" s="137"/>
      <c r="Q47" s="138"/>
      <c r="R47" s="137"/>
      <c r="S47" s="137"/>
      <c r="T47" s="108"/>
      <c r="U47" s="108"/>
      <c r="V47" s="108"/>
      <c r="Y47" s="108"/>
      <c r="AA47" s="108"/>
      <c r="AC47" s="108"/>
      <c r="AE47" s="108"/>
      <c r="AG47" s="108"/>
      <c r="AU47" s="132"/>
      <c r="AV47" s="115"/>
      <c r="BE47" s="109"/>
      <c r="BF47" s="110"/>
    </row>
    <row r="48" spans="3:58" ht="98.1" customHeight="1">
      <c r="C48" s="122"/>
      <c r="G48" s="115"/>
      <c r="L48" s="136"/>
      <c r="M48" s="137"/>
      <c r="N48" s="137"/>
      <c r="O48" s="137"/>
      <c r="P48" s="137"/>
      <c r="Q48" s="138"/>
      <c r="R48" s="137"/>
      <c r="S48" s="137"/>
      <c r="T48" s="108"/>
      <c r="U48" s="108"/>
      <c r="V48" s="108"/>
      <c r="Y48" s="108"/>
      <c r="AA48" s="108"/>
      <c r="AC48" s="108"/>
      <c r="AE48" s="108"/>
      <c r="AG48" s="108"/>
      <c r="AU48" s="132"/>
      <c r="AV48" s="115"/>
      <c r="BE48" s="109"/>
      <c r="BF48" s="110"/>
    </row>
    <row r="49" spans="3:58" ht="98.1" customHeight="1">
      <c r="C49" s="122"/>
      <c r="G49" s="115"/>
      <c r="L49" s="136"/>
      <c r="M49" s="137"/>
      <c r="N49" s="137"/>
      <c r="O49" s="137"/>
      <c r="P49" s="137"/>
      <c r="Q49" s="138"/>
      <c r="R49" s="137"/>
      <c r="S49" s="137"/>
      <c r="T49" s="108"/>
      <c r="U49" s="108"/>
      <c r="V49" s="108"/>
      <c r="Y49" s="108"/>
      <c r="AA49" s="108"/>
      <c r="AC49" s="108"/>
      <c r="AE49" s="108"/>
      <c r="AG49" s="108"/>
      <c r="AU49" s="132"/>
      <c r="AV49" s="115"/>
      <c r="BE49" s="109"/>
      <c r="BF49" s="110"/>
    </row>
    <row r="50" spans="3:58" ht="98.1" customHeight="1">
      <c r="C50" s="122"/>
      <c r="G50" s="115"/>
      <c r="M50" s="137"/>
      <c r="N50" s="137"/>
      <c r="O50" s="137"/>
      <c r="P50" s="137"/>
      <c r="Q50" s="138"/>
      <c r="R50" s="137"/>
      <c r="S50" s="137"/>
      <c r="T50" s="108"/>
      <c r="U50" s="108"/>
      <c r="V50" s="108"/>
      <c r="Y50" s="108"/>
      <c r="AA50" s="108"/>
      <c r="AC50" s="108"/>
      <c r="AE50" s="108"/>
      <c r="AG50" s="108"/>
      <c r="AU50" s="132"/>
      <c r="AV50" s="115"/>
      <c r="BE50" s="109"/>
      <c r="BF50" s="110"/>
    </row>
    <row r="51" spans="3:58" ht="98.1" customHeight="1">
      <c r="C51" s="122"/>
      <c r="G51" s="115"/>
      <c r="M51" s="137"/>
      <c r="N51" s="137"/>
      <c r="O51" s="137"/>
      <c r="P51" s="137"/>
      <c r="Q51" s="138"/>
      <c r="R51" s="137"/>
      <c r="S51" s="137"/>
      <c r="T51" s="108"/>
      <c r="U51" s="108"/>
      <c r="V51" s="108"/>
      <c r="Y51" s="108"/>
      <c r="AA51" s="108"/>
      <c r="AC51" s="108"/>
      <c r="AE51" s="108"/>
      <c r="AG51" s="108"/>
      <c r="AU51" s="132"/>
      <c r="AV51" s="115"/>
      <c r="BE51" s="109"/>
      <c r="BF51" s="110"/>
    </row>
    <row r="52" spans="3:58" ht="98.1" customHeight="1">
      <c r="C52" s="122"/>
      <c r="G52" s="115"/>
      <c r="M52" s="137"/>
      <c r="N52" s="137"/>
      <c r="O52" s="137"/>
      <c r="P52" s="137"/>
      <c r="Q52" s="138"/>
      <c r="R52" s="137"/>
      <c r="S52" s="137"/>
      <c r="T52" s="108"/>
      <c r="U52" s="108"/>
      <c r="V52" s="108"/>
      <c r="Y52" s="108"/>
      <c r="AA52" s="108"/>
      <c r="AC52" s="108"/>
      <c r="AE52" s="108"/>
      <c r="AG52" s="108"/>
      <c r="AU52" s="132"/>
      <c r="AV52" s="115"/>
      <c r="BE52" s="109"/>
      <c r="BF52" s="110"/>
    </row>
    <row r="53" spans="3:58" ht="98.1" customHeight="1">
      <c r="C53" s="122"/>
      <c r="G53" s="115"/>
      <c r="M53" s="132"/>
      <c r="N53" s="137"/>
      <c r="O53" s="137"/>
      <c r="P53" s="137"/>
      <c r="Q53" s="138"/>
      <c r="R53" s="137"/>
      <c r="S53" s="137"/>
      <c r="T53" s="108"/>
      <c r="U53" s="108"/>
      <c r="V53" s="108"/>
      <c r="Y53" s="108"/>
      <c r="AA53" s="108"/>
      <c r="AC53" s="108"/>
      <c r="AE53" s="108"/>
      <c r="AG53" s="108"/>
      <c r="AU53" s="132"/>
      <c r="AV53" s="115"/>
      <c r="BE53" s="109"/>
      <c r="BF53" s="110"/>
    </row>
    <row r="54" spans="3:58" ht="98.1" customHeight="1">
      <c r="C54" s="122"/>
      <c r="G54" s="115"/>
      <c r="M54" s="132"/>
      <c r="N54" s="137"/>
      <c r="O54" s="137"/>
      <c r="P54" s="137"/>
      <c r="Q54" s="138"/>
      <c r="R54" s="137"/>
      <c r="S54" s="137"/>
      <c r="T54" s="108"/>
      <c r="U54" s="108"/>
      <c r="V54" s="108"/>
      <c r="Y54" s="108"/>
      <c r="AA54" s="108"/>
      <c r="AC54" s="108"/>
      <c r="AE54" s="108"/>
      <c r="AG54" s="108"/>
      <c r="AU54" s="132"/>
      <c r="AV54" s="115"/>
      <c r="BE54" s="109"/>
      <c r="BF54" s="110"/>
    </row>
    <row r="55" spans="3:58" ht="98.1" customHeight="1">
      <c r="C55" s="122"/>
      <c r="G55" s="115"/>
      <c r="L55" s="136"/>
      <c r="M55" s="132"/>
      <c r="N55" s="137"/>
      <c r="O55" s="137"/>
      <c r="P55" s="137"/>
      <c r="Q55" s="138"/>
      <c r="R55" s="137"/>
      <c r="S55" s="137"/>
      <c r="T55" s="108"/>
      <c r="U55" s="108"/>
      <c r="V55" s="108"/>
      <c r="Y55" s="108"/>
      <c r="AA55" s="108"/>
      <c r="AC55" s="108"/>
      <c r="AE55" s="108"/>
      <c r="AG55" s="108"/>
      <c r="AU55" s="132"/>
      <c r="AV55" s="115"/>
      <c r="BE55" s="109"/>
      <c r="BF55" s="110"/>
    </row>
    <row r="56" spans="3:58" ht="98.1" customHeight="1">
      <c r="C56" s="122"/>
      <c r="G56" s="115"/>
      <c r="L56" s="136"/>
      <c r="M56" s="132"/>
      <c r="N56" s="137"/>
      <c r="O56" s="137"/>
      <c r="P56" s="137"/>
      <c r="Q56" s="138"/>
      <c r="R56" s="137"/>
      <c r="S56" s="137"/>
      <c r="T56" s="108"/>
      <c r="U56" s="108"/>
      <c r="V56" s="108"/>
      <c r="Y56" s="108"/>
      <c r="AA56" s="108"/>
      <c r="AC56" s="108"/>
      <c r="AE56" s="108"/>
      <c r="AG56" s="108"/>
      <c r="AU56" s="132"/>
      <c r="AV56" s="115"/>
      <c r="BE56" s="109"/>
      <c r="BF56" s="110"/>
    </row>
    <row r="57" spans="3:58" ht="98.1" customHeight="1">
      <c r="C57" s="122"/>
      <c r="G57" s="115"/>
      <c r="L57" s="136"/>
      <c r="M57" s="132"/>
      <c r="N57" s="137"/>
      <c r="O57" s="137"/>
      <c r="P57" s="137"/>
      <c r="Q57" s="138"/>
      <c r="R57" s="137"/>
      <c r="S57" s="137"/>
      <c r="T57" s="108"/>
      <c r="U57" s="108"/>
      <c r="V57" s="108"/>
      <c r="Y57" s="108"/>
      <c r="AA57" s="108"/>
      <c r="AC57" s="108"/>
      <c r="AE57" s="108"/>
      <c r="AG57" s="108"/>
      <c r="AU57" s="132"/>
      <c r="AV57" s="115"/>
      <c r="BE57" s="109"/>
      <c r="BF57" s="110"/>
    </row>
    <row r="58" spans="3:58" ht="98.1" customHeight="1">
      <c r="C58" s="122"/>
      <c r="G58" s="115"/>
      <c r="L58" s="136"/>
      <c r="M58" s="132"/>
      <c r="N58" s="137"/>
      <c r="O58" s="137"/>
      <c r="P58" s="137"/>
      <c r="Q58" s="138"/>
      <c r="R58" s="137"/>
      <c r="S58" s="137"/>
      <c r="T58" s="108"/>
      <c r="U58" s="108"/>
      <c r="V58" s="108"/>
      <c r="Y58" s="108"/>
      <c r="AA58" s="108"/>
      <c r="AC58" s="108"/>
      <c r="AE58" s="108"/>
      <c r="AG58" s="108"/>
      <c r="AU58" s="132"/>
      <c r="AV58" s="115"/>
      <c r="BE58" s="109"/>
      <c r="BF58" s="110"/>
    </row>
    <row r="59" spans="3:58" ht="98.1" customHeight="1">
      <c r="C59" s="122"/>
      <c r="G59" s="115"/>
      <c r="L59" s="136"/>
      <c r="M59" s="132"/>
      <c r="N59" s="137"/>
      <c r="O59" s="137"/>
      <c r="P59" s="137"/>
      <c r="Q59" s="138"/>
      <c r="R59" s="137"/>
      <c r="S59" s="137"/>
      <c r="T59" s="108"/>
      <c r="U59" s="108"/>
      <c r="V59" s="108"/>
      <c r="Y59" s="108"/>
      <c r="AA59" s="108"/>
      <c r="AC59" s="108"/>
      <c r="AE59" s="108"/>
      <c r="AG59" s="108"/>
      <c r="AU59" s="132"/>
      <c r="AV59" s="115"/>
      <c r="BE59" s="109"/>
      <c r="BF59" s="110"/>
    </row>
    <row r="60" spans="3:58" ht="98.1" customHeight="1">
      <c r="C60" s="122"/>
      <c r="G60" s="115"/>
      <c r="M60" s="132"/>
      <c r="N60" s="137"/>
      <c r="O60" s="137"/>
      <c r="P60" s="137"/>
      <c r="Q60" s="138"/>
      <c r="R60" s="137"/>
      <c r="S60" s="137"/>
      <c r="T60" s="108"/>
      <c r="U60" s="108"/>
      <c r="V60" s="108"/>
      <c r="Y60" s="108"/>
      <c r="AA60" s="108"/>
      <c r="AC60" s="108"/>
      <c r="AE60" s="108"/>
      <c r="AG60" s="108"/>
      <c r="AU60" s="132"/>
      <c r="AV60" s="115"/>
      <c r="BE60" s="109"/>
      <c r="BF60" s="110"/>
    </row>
    <row r="61" spans="3:58" ht="98.1" customHeight="1">
      <c r="C61" s="122"/>
      <c r="G61" s="115"/>
      <c r="M61" s="132"/>
      <c r="N61" s="137"/>
      <c r="O61" s="137"/>
      <c r="P61" s="137"/>
      <c r="Q61" s="138"/>
      <c r="R61" s="137"/>
      <c r="S61" s="137"/>
      <c r="T61" s="108"/>
      <c r="U61" s="108"/>
      <c r="V61" s="108"/>
      <c r="Y61" s="108"/>
      <c r="AA61" s="108"/>
      <c r="AC61" s="108"/>
      <c r="AE61" s="108"/>
      <c r="AG61" s="108"/>
      <c r="AU61" s="132"/>
      <c r="AV61" s="115"/>
      <c r="BE61" s="109"/>
      <c r="BF61" s="110"/>
    </row>
    <row r="62" spans="3:58" ht="98.1" customHeight="1">
      <c r="C62" s="122"/>
      <c r="G62" s="115"/>
      <c r="M62" s="132"/>
      <c r="N62" s="137"/>
      <c r="O62" s="137"/>
      <c r="P62" s="137"/>
      <c r="Q62" s="138"/>
      <c r="R62" s="137"/>
      <c r="S62" s="137"/>
      <c r="T62" s="108"/>
      <c r="U62" s="108"/>
      <c r="V62" s="108"/>
      <c r="Y62" s="108"/>
      <c r="AA62" s="108"/>
      <c r="AC62" s="108"/>
      <c r="AE62" s="108"/>
      <c r="AG62" s="108"/>
      <c r="AU62" s="132"/>
      <c r="AV62" s="115"/>
      <c r="BE62" s="109"/>
      <c r="BF62" s="110"/>
    </row>
    <row r="63" spans="3:58" ht="98.1" customHeight="1">
      <c r="C63" s="122"/>
      <c r="G63" s="115"/>
      <c r="M63" s="132"/>
      <c r="N63" s="137"/>
      <c r="O63" s="137"/>
      <c r="P63" s="137"/>
      <c r="Q63" s="138"/>
      <c r="R63" s="137"/>
      <c r="S63" s="137"/>
      <c r="T63" s="108"/>
      <c r="U63" s="108"/>
      <c r="V63" s="108"/>
      <c r="Y63" s="108"/>
      <c r="AA63" s="108"/>
      <c r="AC63" s="108"/>
      <c r="AE63" s="108"/>
      <c r="AG63" s="108"/>
      <c r="AU63" s="132"/>
      <c r="AV63" s="115"/>
      <c r="BE63" s="109"/>
      <c r="BF63" s="110"/>
    </row>
    <row r="64" spans="3:58" ht="98.1" customHeight="1">
      <c r="C64" s="122"/>
      <c r="G64" s="115"/>
      <c r="M64" s="132"/>
      <c r="N64" s="137"/>
      <c r="O64" s="137"/>
      <c r="P64" s="137"/>
      <c r="Q64" s="138"/>
      <c r="R64" s="137"/>
      <c r="S64" s="137"/>
      <c r="T64" s="108"/>
      <c r="U64" s="108"/>
      <c r="V64" s="108"/>
      <c r="Y64" s="108"/>
      <c r="AA64" s="108"/>
      <c r="AC64" s="108"/>
      <c r="AE64" s="108"/>
      <c r="AG64" s="108"/>
      <c r="AU64" s="132"/>
      <c r="AV64" s="115"/>
      <c r="BE64" s="109"/>
      <c r="BF64" s="110"/>
    </row>
    <row r="65" spans="3:58" ht="98.1" customHeight="1">
      <c r="C65" s="122"/>
      <c r="G65" s="115"/>
      <c r="L65" s="136"/>
      <c r="M65" s="132"/>
      <c r="N65" s="137"/>
      <c r="O65" s="137"/>
      <c r="P65" s="137"/>
      <c r="Q65" s="138"/>
      <c r="R65" s="137"/>
      <c r="S65" s="137"/>
      <c r="T65" s="108"/>
      <c r="U65" s="108"/>
      <c r="V65" s="108"/>
      <c r="Y65" s="108"/>
      <c r="AA65" s="108"/>
      <c r="AC65" s="108"/>
      <c r="AE65" s="108"/>
      <c r="AG65" s="108"/>
      <c r="AU65" s="132"/>
      <c r="AV65" s="115"/>
      <c r="BE65" s="109"/>
      <c r="BF65" s="110"/>
    </row>
    <row r="66" spans="3:58" ht="98.1" customHeight="1">
      <c r="C66" s="122"/>
      <c r="G66" s="115"/>
      <c r="L66" s="136"/>
      <c r="M66" s="132"/>
      <c r="N66" s="137"/>
      <c r="O66" s="137"/>
      <c r="P66" s="137"/>
      <c r="Q66" s="138"/>
      <c r="R66" s="137"/>
      <c r="S66" s="137"/>
      <c r="T66" s="108"/>
      <c r="U66" s="108"/>
      <c r="V66" s="108"/>
      <c r="Y66" s="108"/>
      <c r="AA66" s="108"/>
      <c r="AC66" s="108"/>
      <c r="AE66" s="108"/>
      <c r="AG66" s="108"/>
      <c r="AU66" s="132"/>
      <c r="AV66" s="115"/>
      <c r="BE66" s="109"/>
      <c r="BF66" s="110"/>
    </row>
    <row r="67" spans="3:58" ht="98.1" customHeight="1">
      <c r="C67" s="122"/>
      <c r="G67" s="115"/>
      <c r="L67" s="136"/>
      <c r="M67" s="132"/>
      <c r="N67" s="137"/>
      <c r="O67" s="137"/>
      <c r="P67" s="137"/>
      <c r="Q67" s="138"/>
      <c r="R67" s="137"/>
      <c r="S67" s="137"/>
      <c r="T67" s="108"/>
      <c r="U67" s="108"/>
      <c r="V67" s="108"/>
      <c r="Y67" s="108"/>
      <c r="AA67" s="108"/>
      <c r="AC67" s="108"/>
      <c r="AE67" s="108"/>
      <c r="AG67" s="108"/>
      <c r="AU67" s="132"/>
      <c r="AV67" s="115"/>
      <c r="BE67" s="109"/>
      <c r="BF67" s="110"/>
    </row>
    <row r="68" spans="3:58" ht="98.1" customHeight="1">
      <c r="C68" s="122"/>
      <c r="G68" s="115"/>
      <c r="L68" s="136"/>
      <c r="M68" s="132"/>
      <c r="N68" s="137"/>
      <c r="O68" s="137"/>
      <c r="P68" s="137"/>
      <c r="Q68" s="138"/>
      <c r="R68" s="137"/>
      <c r="S68" s="137"/>
      <c r="T68" s="108"/>
      <c r="U68" s="108"/>
      <c r="V68" s="108"/>
      <c r="Y68" s="108"/>
      <c r="AA68" s="108"/>
      <c r="AC68" s="108"/>
      <c r="AE68" s="108"/>
      <c r="AG68" s="108"/>
      <c r="AU68" s="132"/>
      <c r="AV68" s="115"/>
      <c r="BE68" s="109"/>
      <c r="BF68" s="110"/>
    </row>
    <row r="69" spans="3:58" ht="98.1" customHeight="1">
      <c r="C69" s="122"/>
      <c r="G69" s="115"/>
      <c r="L69" s="136"/>
      <c r="M69" s="132"/>
      <c r="N69" s="137"/>
      <c r="O69" s="137"/>
      <c r="P69" s="137"/>
      <c r="Q69" s="138"/>
      <c r="R69" s="137"/>
      <c r="S69" s="137"/>
      <c r="T69" s="108"/>
      <c r="U69" s="108"/>
      <c r="V69" s="108"/>
      <c r="Y69" s="108"/>
      <c r="AA69" s="108"/>
      <c r="AC69" s="108"/>
      <c r="AE69" s="108"/>
      <c r="AG69" s="108"/>
      <c r="AU69" s="132"/>
      <c r="AV69" s="115"/>
      <c r="BE69" s="109"/>
      <c r="BF69" s="110"/>
    </row>
    <row r="70" spans="3:58" ht="98.1" customHeight="1">
      <c r="C70" s="122"/>
      <c r="G70" s="115"/>
      <c r="L70" s="136"/>
      <c r="M70" s="132"/>
      <c r="N70" s="137"/>
      <c r="O70" s="137"/>
      <c r="P70" s="137"/>
      <c r="Q70" s="138"/>
      <c r="R70" s="137"/>
      <c r="S70" s="137"/>
      <c r="T70" s="108"/>
      <c r="U70" s="108"/>
      <c r="V70" s="108"/>
      <c r="Y70" s="108"/>
      <c r="AA70" s="108"/>
      <c r="AC70" s="108"/>
      <c r="AE70" s="108"/>
      <c r="AG70" s="108"/>
      <c r="AU70" s="132"/>
      <c r="AV70" s="115"/>
      <c r="BE70" s="109"/>
      <c r="BF70" s="110"/>
    </row>
    <row r="71" spans="3:58" ht="98.1" customHeight="1">
      <c r="C71" s="122"/>
      <c r="G71" s="115"/>
      <c r="L71" s="136"/>
      <c r="M71" s="132"/>
      <c r="N71" s="137"/>
      <c r="O71" s="137"/>
      <c r="P71" s="137"/>
      <c r="Q71" s="138"/>
      <c r="R71" s="137"/>
      <c r="S71" s="137"/>
      <c r="T71" s="108"/>
      <c r="U71" s="108"/>
      <c r="V71" s="108"/>
      <c r="Y71" s="108"/>
      <c r="AA71" s="108"/>
      <c r="AC71" s="108"/>
      <c r="AE71" s="108"/>
      <c r="AG71" s="108"/>
      <c r="AU71" s="132"/>
      <c r="AV71" s="115"/>
      <c r="BE71" s="109"/>
      <c r="BF71" s="110"/>
    </row>
    <row r="72" spans="3:58" ht="98.1" customHeight="1">
      <c r="C72" s="122"/>
      <c r="G72" s="115"/>
      <c r="M72" s="132"/>
      <c r="N72" s="137"/>
      <c r="O72" s="137"/>
      <c r="P72" s="137"/>
      <c r="Q72" s="138"/>
      <c r="R72" s="137"/>
      <c r="S72" s="137"/>
      <c r="T72" s="108"/>
      <c r="U72" s="108"/>
      <c r="V72" s="108"/>
      <c r="Y72" s="108"/>
      <c r="AA72" s="108"/>
      <c r="AC72" s="108"/>
      <c r="AE72" s="108"/>
      <c r="AG72" s="108"/>
      <c r="AU72" s="132"/>
      <c r="AV72" s="115"/>
      <c r="BE72" s="109"/>
      <c r="BF72" s="110"/>
    </row>
    <row r="73" spans="3:58" ht="98.1" customHeight="1">
      <c r="C73" s="122"/>
      <c r="G73" s="115"/>
      <c r="M73" s="132"/>
      <c r="N73" s="137"/>
      <c r="O73" s="137"/>
      <c r="P73" s="137"/>
      <c r="Q73" s="138"/>
      <c r="R73" s="137"/>
      <c r="S73" s="137"/>
      <c r="T73" s="108"/>
      <c r="U73" s="108"/>
      <c r="V73" s="108"/>
      <c r="Y73" s="108"/>
      <c r="AA73" s="108"/>
      <c r="AC73" s="108"/>
      <c r="AE73" s="108"/>
      <c r="AG73" s="108"/>
      <c r="AU73" s="132"/>
      <c r="AV73" s="115"/>
      <c r="BE73" s="109"/>
      <c r="BF73" s="110"/>
    </row>
    <row r="74" spans="3:58" ht="98.1" customHeight="1">
      <c r="C74" s="122"/>
      <c r="G74" s="115"/>
      <c r="M74" s="132"/>
      <c r="N74" s="137"/>
      <c r="O74" s="137"/>
      <c r="P74" s="137"/>
      <c r="Q74" s="138"/>
      <c r="R74" s="137"/>
      <c r="S74" s="137"/>
      <c r="T74" s="108"/>
      <c r="U74" s="108"/>
      <c r="V74" s="108"/>
      <c r="Y74" s="108"/>
      <c r="AA74" s="108"/>
      <c r="AC74" s="108"/>
      <c r="AE74" s="108"/>
      <c r="AG74" s="108"/>
      <c r="AU74" s="132"/>
      <c r="AV74" s="115"/>
      <c r="BE74" s="109"/>
      <c r="BF74" s="110"/>
    </row>
    <row r="75" spans="3:58" ht="98.1" customHeight="1">
      <c r="C75" s="122"/>
      <c r="G75" s="115"/>
      <c r="M75" s="132"/>
      <c r="N75" s="137"/>
      <c r="O75" s="137"/>
      <c r="P75" s="137"/>
      <c r="Q75" s="138"/>
      <c r="R75" s="137"/>
      <c r="S75" s="137"/>
      <c r="T75" s="108"/>
      <c r="U75" s="108"/>
      <c r="V75" s="108"/>
      <c r="Y75" s="108"/>
      <c r="AA75" s="108"/>
      <c r="AC75" s="108"/>
      <c r="AE75" s="108"/>
      <c r="AG75" s="108"/>
      <c r="AU75" s="132"/>
      <c r="AV75" s="115"/>
      <c r="BE75" s="109"/>
      <c r="BF75" s="110"/>
    </row>
    <row r="76" spans="3:58" ht="98.1" customHeight="1">
      <c r="C76" s="122"/>
      <c r="G76" s="115"/>
      <c r="M76" s="132"/>
      <c r="N76" s="137"/>
      <c r="O76" s="137"/>
      <c r="P76" s="137"/>
      <c r="Q76" s="138"/>
      <c r="R76" s="137"/>
      <c r="S76" s="137"/>
      <c r="T76" s="108"/>
      <c r="U76" s="108"/>
      <c r="V76" s="108"/>
      <c r="Y76" s="108"/>
      <c r="AA76" s="108"/>
      <c r="AC76" s="108"/>
      <c r="AE76" s="108"/>
      <c r="AG76" s="108"/>
      <c r="AU76" s="132"/>
      <c r="AV76" s="115"/>
      <c r="BE76" s="109"/>
      <c r="BF76" s="110"/>
    </row>
    <row r="77" spans="3:58" ht="98.1" customHeight="1">
      <c r="C77" s="122"/>
      <c r="G77" s="115"/>
      <c r="L77" s="136"/>
      <c r="M77" s="132"/>
      <c r="N77" s="137"/>
      <c r="O77" s="137"/>
      <c r="P77" s="137"/>
      <c r="Q77" s="138"/>
      <c r="R77" s="137"/>
      <c r="S77" s="137"/>
      <c r="T77" s="108"/>
      <c r="U77" s="108"/>
      <c r="V77" s="108"/>
      <c r="Y77" s="108"/>
      <c r="AA77" s="108"/>
      <c r="AC77" s="108"/>
      <c r="AE77" s="108"/>
      <c r="AG77" s="108"/>
      <c r="AU77" s="132"/>
      <c r="AV77" s="115"/>
      <c r="BE77" s="109"/>
      <c r="BF77" s="110"/>
    </row>
    <row r="78" spans="3:58" ht="98.1" customHeight="1">
      <c r="C78" s="122"/>
      <c r="G78" s="115"/>
      <c r="M78" s="132"/>
      <c r="N78" s="137"/>
      <c r="O78" s="137"/>
      <c r="P78" s="137"/>
      <c r="Q78" s="138"/>
      <c r="R78" s="137"/>
      <c r="S78" s="137"/>
      <c r="T78" s="108"/>
      <c r="U78" s="108"/>
      <c r="V78" s="108"/>
      <c r="Y78" s="108"/>
      <c r="AA78" s="108"/>
      <c r="AC78" s="108"/>
      <c r="AE78" s="108"/>
      <c r="AG78" s="108"/>
      <c r="AU78" s="132"/>
      <c r="AV78" s="115"/>
      <c r="BE78" s="109"/>
      <c r="BF78" s="110"/>
    </row>
    <row r="79" spans="3:58" ht="98.1" customHeight="1">
      <c r="C79" s="122"/>
      <c r="G79" s="115"/>
      <c r="M79" s="132"/>
      <c r="N79" s="137"/>
      <c r="O79" s="137"/>
      <c r="P79" s="137"/>
      <c r="Q79" s="138"/>
      <c r="R79" s="137"/>
      <c r="S79" s="137"/>
      <c r="T79" s="108"/>
      <c r="U79" s="108"/>
      <c r="V79" s="108"/>
      <c r="Y79" s="108"/>
      <c r="AA79" s="108"/>
      <c r="AC79" s="108"/>
      <c r="AE79" s="108"/>
      <c r="AG79" s="108"/>
      <c r="AU79" s="132"/>
      <c r="AV79" s="115"/>
      <c r="BE79" s="109"/>
      <c r="BF79" s="110"/>
    </row>
    <row r="80" spans="3:58" ht="98.1" customHeight="1">
      <c r="C80" s="122"/>
      <c r="G80" s="115"/>
      <c r="M80" s="132"/>
      <c r="N80" s="137"/>
      <c r="O80" s="137"/>
      <c r="P80" s="137"/>
      <c r="Q80" s="138"/>
      <c r="R80" s="137"/>
      <c r="S80" s="137"/>
      <c r="T80" s="108"/>
      <c r="U80" s="108"/>
      <c r="V80" s="108"/>
      <c r="Y80" s="108"/>
      <c r="AA80" s="108"/>
      <c r="AC80" s="108"/>
      <c r="AE80" s="108"/>
      <c r="AG80" s="108"/>
      <c r="AU80" s="132"/>
      <c r="AV80" s="115"/>
      <c r="BE80" s="109"/>
      <c r="BF80" s="110"/>
    </row>
    <row r="81" spans="3:58" ht="98.1" customHeight="1">
      <c r="C81" s="122"/>
      <c r="G81" s="115"/>
      <c r="M81" s="132"/>
      <c r="N81" s="137"/>
      <c r="O81" s="137"/>
      <c r="P81" s="137"/>
      <c r="Q81" s="138"/>
      <c r="R81" s="137"/>
      <c r="S81" s="137"/>
      <c r="T81" s="108"/>
      <c r="U81" s="108"/>
      <c r="V81" s="108"/>
      <c r="Y81" s="108"/>
      <c r="AA81" s="108"/>
      <c r="AC81" s="108"/>
      <c r="AE81" s="108"/>
      <c r="AG81" s="108"/>
      <c r="AU81" s="132"/>
      <c r="AV81" s="115"/>
      <c r="BE81" s="109"/>
      <c r="BF81" s="110"/>
    </row>
    <row r="82" spans="3:58" ht="98.1" customHeight="1">
      <c r="C82" s="122"/>
      <c r="G82" s="115"/>
      <c r="M82" s="132"/>
      <c r="N82" s="137"/>
      <c r="O82" s="137"/>
      <c r="P82" s="137"/>
      <c r="Q82" s="138"/>
      <c r="R82" s="137"/>
      <c r="S82" s="137"/>
      <c r="T82" s="108"/>
      <c r="U82" s="108"/>
      <c r="V82" s="108"/>
      <c r="Y82" s="108"/>
      <c r="AA82" s="108"/>
      <c r="AC82" s="108"/>
      <c r="AE82" s="108"/>
      <c r="AG82" s="108"/>
      <c r="AU82" s="132"/>
      <c r="AV82" s="115"/>
      <c r="BE82" s="109"/>
      <c r="BF82" s="110"/>
    </row>
    <row r="83" spans="3:58" ht="98.1" customHeight="1">
      <c r="C83" s="122"/>
      <c r="G83" s="115"/>
      <c r="M83" s="132"/>
      <c r="N83" s="137"/>
      <c r="O83" s="137"/>
      <c r="P83" s="137"/>
      <c r="Q83" s="138"/>
      <c r="R83" s="137"/>
      <c r="S83" s="137"/>
      <c r="T83" s="108"/>
      <c r="U83" s="108"/>
      <c r="V83" s="108"/>
      <c r="Y83" s="108"/>
      <c r="AA83" s="108"/>
      <c r="AC83" s="108"/>
      <c r="AE83" s="108"/>
      <c r="AG83" s="108"/>
      <c r="AU83" s="132"/>
      <c r="AV83" s="115"/>
      <c r="BE83" s="109"/>
      <c r="BF83" s="110"/>
    </row>
    <row r="84" spans="3:58" ht="98.1" customHeight="1">
      <c r="C84" s="122"/>
      <c r="G84" s="115"/>
      <c r="M84" s="132"/>
      <c r="N84" s="137"/>
      <c r="O84" s="137"/>
      <c r="P84" s="137"/>
      <c r="Q84" s="138"/>
      <c r="R84" s="137"/>
      <c r="S84" s="137"/>
      <c r="T84" s="108"/>
      <c r="AU84" s="132"/>
      <c r="AV84" s="115"/>
      <c r="BE84" s="109"/>
    </row>
    <row r="85" spans="3:58" ht="98.1" customHeight="1">
      <c r="C85" s="122"/>
      <c r="G85" s="115"/>
      <c r="M85" s="132"/>
      <c r="N85" s="137"/>
      <c r="O85" s="137"/>
      <c r="P85" s="137"/>
      <c r="Q85" s="138"/>
      <c r="R85" s="137"/>
      <c r="S85" s="137"/>
      <c r="T85" s="108"/>
      <c r="AU85" s="132"/>
      <c r="AV85" s="115"/>
      <c r="BE85" s="109"/>
    </row>
    <row r="86" spans="3:58" ht="98.1" customHeight="1">
      <c r="C86" s="122"/>
      <c r="G86" s="115"/>
      <c r="L86" s="136"/>
      <c r="M86" s="132"/>
      <c r="N86" s="137"/>
      <c r="O86" s="137"/>
      <c r="P86" s="137"/>
      <c r="Q86" s="138"/>
      <c r="R86" s="137"/>
      <c r="S86" s="137"/>
      <c r="T86" s="108"/>
      <c r="U86" s="108"/>
      <c r="AU86" s="132"/>
      <c r="AV86" s="115"/>
      <c r="BE86" s="109"/>
    </row>
    <row r="87" spans="3:58" ht="98.1" customHeight="1">
      <c r="C87" s="122"/>
      <c r="G87" s="115"/>
      <c r="M87" s="132"/>
      <c r="N87" s="137"/>
      <c r="O87" s="137"/>
      <c r="P87" s="137"/>
      <c r="Q87" s="138"/>
      <c r="R87" s="137"/>
      <c r="S87" s="137"/>
      <c r="T87" s="108"/>
      <c r="AU87" s="132"/>
      <c r="AV87" s="115"/>
      <c r="BE87" s="109"/>
    </row>
    <row r="88" spans="3:58" ht="98.1" customHeight="1">
      <c r="C88" s="122"/>
      <c r="G88" s="115"/>
      <c r="M88" s="132"/>
      <c r="N88" s="137"/>
      <c r="O88" s="137"/>
      <c r="P88" s="137"/>
      <c r="Q88" s="138"/>
      <c r="R88" s="137"/>
      <c r="S88" s="137"/>
      <c r="T88" s="108"/>
      <c r="AU88" s="132"/>
      <c r="AV88" s="115"/>
      <c r="BE88" s="109"/>
    </row>
    <row r="89" spans="3:58" ht="98.1" customHeight="1">
      <c r="C89" s="122"/>
      <c r="G89" s="115"/>
      <c r="M89" s="132"/>
      <c r="N89" s="137"/>
      <c r="O89" s="137"/>
      <c r="P89" s="137"/>
      <c r="Q89" s="138"/>
      <c r="R89" s="137"/>
      <c r="S89" s="137"/>
      <c r="T89" s="108"/>
      <c r="AV89" s="115"/>
      <c r="BE89" s="109"/>
    </row>
    <row r="90" spans="3:58" ht="98.1" customHeight="1">
      <c r="G90" s="115"/>
      <c r="M90" s="132"/>
      <c r="N90" s="137"/>
      <c r="O90" s="137"/>
      <c r="P90" s="137"/>
      <c r="Q90" s="138"/>
      <c r="R90" s="137"/>
      <c r="S90" s="137"/>
      <c r="T90" s="108"/>
      <c r="AV90" s="115"/>
      <c r="BE90" s="109"/>
    </row>
    <row r="91" spans="3:58" ht="98.1" customHeight="1">
      <c r="G91" s="115"/>
      <c r="M91" s="132"/>
      <c r="N91" s="137"/>
      <c r="O91" s="137"/>
      <c r="P91" s="137"/>
      <c r="Q91" s="138"/>
      <c r="R91" s="137"/>
      <c r="S91" s="137"/>
      <c r="T91" s="108"/>
      <c r="AV91" s="115"/>
      <c r="BE91" s="109"/>
    </row>
    <row r="92" spans="3:58" ht="98.1" customHeight="1">
      <c r="G92" s="115"/>
      <c r="M92" s="132"/>
      <c r="N92" s="137"/>
      <c r="O92" s="137"/>
      <c r="P92" s="137"/>
      <c r="Q92" s="138"/>
      <c r="R92" s="137"/>
      <c r="S92" s="137"/>
      <c r="T92" s="108"/>
      <c r="AV92" s="115"/>
      <c r="BE92" s="109"/>
    </row>
    <row r="93" spans="3:58" ht="98.1" customHeight="1">
      <c r="G93" s="115"/>
      <c r="L93" s="136"/>
      <c r="M93" s="132"/>
      <c r="N93" s="137"/>
      <c r="O93" s="137"/>
      <c r="P93" s="137"/>
      <c r="Q93" s="138"/>
      <c r="R93" s="137"/>
      <c r="S93" s="137"/>
      <c r="T93" s="108"/>
      <c r="U93" s="108"/>
      <c r="AV93" s="115"/>
      <c r="BE93" s="109"/>
    </row>
    <row r="94" spans="3:58" ht="98.1" customHeight="1">
      <c r="G94" s="115"/>
      <c r="M94" s="132"/>
      <c r="N94" s="137"/>
      <c r="O94" s="137"/>
      <c r="P94" s="137"/>
      <c r="Q94" s="138"/>
      <c r="R94" s="137"/>
      <c r="S94" s="137"/>
      <c r="T94" s="108"/>
      <c r="AV94" s="115"/>
      <c r="BE94" s="109"/>
    </row>
    <row r="95" spans="3:58" ht="98.1" customHeight="1">
      <c r="G95" s="115"/>
      <c r="L95" s="136"/>
      <c r="M95" s="132"/>
      <c r="N95" s="137"/>
      <c r="O95" s="137"/>
      <c r="P95" s="137"/>
      <c r="Q95" s="138"/>
      <c r="R95" s="137"/>
      <c r="S95" s="137"/>
      <c r="T95" s="108"/>
      <c r="U95" s="108"/>
      <c r="AV95" s="115"/>
      <c r="BE95" s="109"/>
    </row>
    <row r="96" spans="3:58" ht="98.1" customHeight="1">
      <c r="G96" s="115"/>
      <c r="M96" s="132"/>
      <c r="N96" s="137"/>
      <c r="O96" s="137"/>
      <c r="P96" s="137"/>
      <c r="Q96" s="138"/>
      <c r="R96" s="137"/>
      <c r="S96" s="137"/>
      <c r="T96" s="108"/>
      <c r="AV96" s="115"/>
      <c r="BE96" s="109"/>
    </row>
    <row r="97" spans="7:57" ht="98.1" customHeight="1">
      <c r="G97" s="115"/>
      <c r="M97" s="132"/>
      <c r="N97" s="137"/>
      <c r="O97" s="137"/>
      <c r="P97" s="137"/>
      <c r="Q97" s="138"/>
      <c r="R97" s="137"/>
      <c r="S97" s="137"/>
      <c r="T97" s="108"/>
      <c r="AV97" s="115"/>
      <c r="BE97" s="109"/>
    </row>
    <row r="98" spans="7:57" ht="98.1" customHeight="1">
      <c r="G98" s="115"/>
      <c r="L98" s="136"/>
      <c r="M98" s="132"/>
      <c r="N98" s="137"/>
      <c r="O98" s="137"/>
      <c r="P98" s="137"/>
      <c r="Q98" s="137"/>
      <c r="R98" s="137"/>
      <c r="S98" s="137"/>
      <c r="T98" s="108"/>
      <c r="U98" s="108"/>
      <c r="AV98" s="115"/>
      <c r="BE98" s="109"/>
    </row>
    <row r="99" spans="7:57" ht="98.1" customHeight="1">
      <c r="G99" s="115"/>
      <c r="L99" s="136"/>
      <c r="M99" s="132"/>
      <c r="N99" s="137"/>
      <c r="O99" s="137"/>
      <c r="P99" s="137"/>
      <c r="Q99" s="137"/>
      <c r="R99" s="137"/>
      <c r="S99" s="137"/>
      <c r="T99" s="108"/>
      <c r="U99" s="108"/>
      <c r="AV99" s="115"/>
      <c r="BE99" s="109"/>
    </row>
    <row r="100" spans="7:57" ht="98.1" customHeight="1">
      <c r="G100" s="115"/>
      <c r="M100" s="132"/>
      <c r="N100" s="137"/>
      <c r="O100" s="137"/>
      <c r="P100" s="137"/>
      <c r="R100" s="137"/>
      <c r="S100" s="137"/>
      <c r="T100" s="108"/>
      <c r="AV100" s="115"/>
      <c r="BE100" s="109"/>
    </row>
    <row r="101" spans="7:57" ht="98.1" customHeight="1">
      <c r="G101" s="115"/>
      <c r="L101" s="136"/>
      <c r="M101" s="132"/>
      <c r="N101" s="137"/>
      <c r="O101" s="137"/>
      <c r="P101" s="137"/>
      <c r="Q101" s="138"/>
      <c r="R101" s="137"/>
      <c r="S101" s="137"/>
      <c r="T101" s="108"/>
      <c r="AV101" s="115"/>
      <c r="BE101" s="109"/>
    </row>
    <row r="102" spans="7:57" ht="98.1" customHeight="1">
      <c r="G102" s="115"/>
      <c r="L102" s="136"/>
      <c r="M102" s="132"/>
      <c r="N102" s="137"/>
      <c r="O102" s="137"/>
      <c r="P102" s="137"/>
      <c r="Q102" s="137"/>
      <c r="R102" s="137"/>
      <c r="S102" s="137"/>
      <c r="T102" s="108"/>
      <c r="U102" s="108"/>
      <c r="AV102" s="115"/>
      <c r="BE102" s="109"/>
    </row>
    <row r="103" spans="7:57" ht="98.1" customHeight="1">
      <c r="G103" s="115"/>
      <c r="L103" s="136"/>
      <c r="M103" s="132"/>
      <c r="N103" s="137"/>
      <c r="O103" s="137"/>
      <c r="P103" s="137"/>
      <c r="Q103" s="138"/>
      <c r="R103" s="137"/>
      <c r="S103" s="137"/>
      <c r="T103" s="108"/>
      <c r="U103" s="108"/>
      <c r="AV103" s="115"/>
      <c r="BE103" s="109"/>
    </row>
    <row r="104" spans="7:57" ht="98.1" customHeight="1">
      <c r="G104" s="115"/>
      <c r="M104" s="132"/>
      <c r="N104" s="137"/>
      <c r="O104" s="137"/>
      <c r="P104" s="137"/>
      <c r="R104" s="137"/>
      <c r="S104" s="137"/>
      <c r="T104" s="108"/>
      <c r="AV104" s="115"/>
      <c r="BE104" s="109"/>
    </row>
    <row r="105" spans="7:57" ht="98.1" customHeight="1">
      <c r="G105" s="115"/>
      <c r="M105" s="132"/>
      <c r="N105" s="137"/>
      <c r="O105" s="137"/>
      <c r="P105" s="137"/>
      <c r="Q105" s="138"/>
      <c r="R105" s="137"/>
      <c r="S105" s="137"/>
      <c r="T105" s="108"/>
      <c r="AV105" s="115"/>
      <c r="BE105" s="109"/>
    </row>
    <row r="106" spans="7:57" ht="98.1" customHeight="1">
      <c r="G106" s="115"/>
      <c r="L106" s="136"/>
      <c r="M106" s="132"/>
      <c r="N106" s="137"/>
      <c r="O106" s="137"/>
      <c r="P106" s="137"/>
      <c r="Q106" s="138"/>
      <c r="R106" s="137"/>
      <c r="S106" s="137"/>
      <c r="T106" s="108"/>
      <c r="U106" s="108"/>
      <c r="AV106" s="115"/>
      <c r="BE106" s="109"/>
    </row>
    <row r="107" spans="7:57" ht="98.1" customHeight="1">
      <c r="G107" s="115"/>
      <c r="L107" s="136"/>
      <c r="M107" s="132"/>
      <c r="N107" s="137"/>
      <c r="O107" s="137"/>
      <c r="P107" s="137"/>
      <c r="Q107" s="138"/>
      <c r="R107" s="137"/>
      <c r="S107" s="137"/>
      <c r="T107" s="108"/>
      <c r="U107" s="108"/>
      <c r="AV107" s="115"/>
      <c r="BE107" s="109"/>
    </row>
    <row r="108" spans="7:57" ht="98.1" customHeight="1">
      <c r="G108" s="115"/>
      <c r="L108" s="136"/>
      <c r="M108" s="132"/>
      <c r="N108" s="137"/>
      <c r="O108" s="137"/>
      <c r="P108" s="137"/>
      <c r="Q108" s="138"/>
      <c r="R108" s="137"/>
      <c r="S108" s="137"/>
      <c r="T108" s="108"/>
      <c r="U108" s="108"/>
      <c r="AV108" s="115"/>
      <c r="BE108" s="109"/>
    </row>
    <row r="109" spans="7:57" ht="98.1" customHeight="1">
      <c r="G109" s="115"/>
      <c r="L109" s="136"/>
      <c r="M109" s="132"/>
      <c r="N109" s="137"/>
      <c r="O109" s="137"/>
      <c r="P109" s="137"/>
      <c r="Q109" s="138"/>
      <c r="R109" s="137"/>
      <c r="S109" s="137"/>
      <c r="T109" s="108"/>
      <c r="U109" s="108"/>
      <c r="AV109" s="115"/>
      <c r="BE109" s="109"/>
    </row>
    <row r="110" spans="7:57" ht="98.1" customHeight="1">
      <c r="G110" s="115"/>
      <c r="L110" s="136"/>
      <c r="M110" s="132"/>
      <c r="N110" s="137"/>
      <c r="O110" s="137"/>
      <c r="P110" s="137"/>
      <c r="Q110" s="138"/>
      <c r="R110" s="137"/>
      <c r="S110" s="137"/>
      <c r="T110" s="108"/>
      <c r="U110" s="108"/>
      <c r="AV110" s="115"/>
      <c r="BE110" s="109"/>
    </row>
    <row r="111" spans="7:57" ht="98.1" customHeight="1">
      <c r="G111" s="115"/>
      <c r="L111" s="136"/>
      <c r="M111" s="132"/>
      <c r="N111" s="137"/>
      <c r="O111" s="137"/>
      <c r="P111" s="137"/>
      <c r="Q111" s="138"/>
      <c r="R111" s="137"/>
      <c r="S111" s="137"/>
      <c r="T111" s="108"/>
      <c r="U111" s="108"/>
      <c r="AV111" s="115"/>
      <c r="BE111" s="109"/>
    </row>
    <row r="112" spans="7:57" ht="98.1" customHeight="1">
      <c r="G112" s="115"/>
      <c r="M112" s="132"/>
      <c r="N112" s="137"/>
      <c r="O112" s="137"/>
      <c r="P112" s="137"/>
      <c r="Q112" s="138"/>
      <c r="R112" s="137"/>
      <c r="S112" s="137"/>
      <c r="T112" s="108"/>
      <c r="AV112" s="115"/>
      <c r="BE112" s="109"/>
    </row>
    <row r="113" spans="7:57" ht="98.1" customHeight="1">
      <c r="G113" s="115"/>
      <c r="M113" s="132"/>
      <c r="N113" s="137"/>
      <c r="O113" s="137"/>
      <c r="P113" s="137"/>
      <c r="Q113" s="138"/>
      <c r="R113" s="137"/>
      <c r="S113" s="137"/>
      <c r="T113" s="108"/>
      <c r="AV113" s="115"/>
      <c r="BE113" s="109"/>
    </row>
    <row r="114" spans="7:57" ht="98.1" customHeight="1">
      <c r="G114" s="115"/>
      <c r="L114" s="136"/>
      <c r="M114" s="132"/>
      <c r="N114" s="137"/>
      <c r="O114" s="137"/>
      <c r="P114" s="137"/>
      <c r="Q114" s="138"/>
      <c r="R114" s="137"/>
      <c r="S114" s="137"/>
      <c r="T114" s="108"/>
      <c r="U114" s="108"/>
      <c r="AV114" s="115"/>
      <c r="BE114" s="109"/>
    </row>
    <row r="115" spans="7:57" ht="98.1" customHeight="1">
      <c r="G115" s="115"/>
      <c r="L115" s="136"/>
      <c r="M115" s="132"/>
      <c r="N115" s="137"/>
      <c r="O115" s="137"/>
      <c r="P115" s="137"/>
      <c r="Q115" s="138"/>
      <c r="R115" s="137"/>
      <c r="S115" s="137"/>
      <c r="T115" s="108"/>
      <c r="U115" s="108"/>
      <c r="AV115" s="115"/>
      <c r="BE115" s="109"/>
    </row>
    <row r="116" spans="7:57" ht="98.1" customHeight="1">
      <c r="G116" s="115"/>
      <c r="L116" s="136"/>
      <c r="M116" s="132"/>
      <c r="N116" s="137"/>
      <c r="O116" s="137"/>
      <c r="P116" s="137"/>
      <c r="Q116" s="138"/>
      <c r="R116" s="137"/>
      <c r="S116" s="137"/>
      <c r="T116" s="108"/>
      <c r="U116" s="108"/>
      <c r="AV116" s="115"/>
      <c r="BE116" s="109"/>
    </row>
    <row r="117" spans="7:57" ht="98.1" customHeight="1">
      <c r="G117" s="115"/>
      <c r="L117" s="136"/>
      <c r="M117" s="132"/>
      <c r="N117" s="137"/>
      <c r="O117" s="137"/>
      <c r="P117" s="137"/>
      <c r="Q117" s="138"/>
      <c r="R117" s="137"/>
      <c r="S117" s="137"/>
      <c r="T117" s="108"/>
      <c r="U117" s="108"/>
      <c r="AV117" s="115"/>
      <c r="BE117" s="109"/>
    </row>
    <row r="118" spans="7:57" ht="98.1" customHeight="1">
      <c r="G118" s="115"/>
      <c r="M118" s="132"/>
      <c r="N118" s="137"/>
      <c r="O118" s="137"/>
      <c r="P118" s="137"/>
      <c r="Q118" s="138"/>
      <c r="R118" s="137"/>
      <c r="S118" s="137"/>
      <c r="T118" s="108"/>
      <c r="AV118" s="115"/>
      <c r="BE118" s="109"/>
    </row>
    <row r="119" spans="7:57" ht="98.1" customHeight="1">
      <c r="G119" s="115"/>
      <c r="M119" s="132"/>
      <c r="N119" s="137"/>
      <c r="O119" s="137"/>
      <c r="P119" s="137"/>
      <c r="Q119" s="138"/>
      <c r="R119" s="137"/>
      <c r="S119" s="137"/>
      <c r="T119" s="108"/>
      <c r="AV119" s="115"/>
      <c r="BE119" s="109"/>
    </row>
    <row r="120" spans="7:57" ht="98.1" customHeight="1">
      <c r="G120" s="115"/>
      <c r="M120" s="132"/>
      <c r="N120" s="137"/>
      <c r="O120" s="137"/>
      <c r="P120" s="137"/>
      <c r="Q120" s="138"/>
      <c r="R120" s="137"/>
      <c r="S120" s="137"/>
      <c r="T120" s="108"/>
      <c r="AV120" s="115"/>
      <c r="BE120" s="109"/>
    </row>
    <row r="121" spans="7:57" ht="98.1" customHeight="1">
      <c r="G121" s="115"/>
      <c r="M121" s="132"/>
      <c r="N121" s="137"/>
      <c r="O121" s="137"/>
      <c r="P121" s="137"/>
      <c r="Q121" s="138"/>
      <c r="R121" s="137"/>
      <c r="S121" s="137"/>
      <c r="T121" s="108"/>
      <c r="AV121" s="115"/>
      <c r="BE121" s="109"/>
    </row>
    <row r="122" spans="7:57" ht="98.1" customHeight="1">
      <c r="G122" s="115"/>
      <c r="M122" s="132"/>
      <c r="N122" s="137"/>
      <c r="O122" s="137"/>
      <c r="P122" s="137"/>
      <c r="Q122" s="138"/>
      <c r="R122" s="137"/>
      <c r="S122" s="137"/>
      <c r="T122" s="108"/>
      <c r="AV122" s="115"/>
      <c r="BE122" s="109"/>
    </row>
    <row r="123" spans="7:57" ht="98.1" customHeight="1">
      <c r="G123" s="115"/>
      <c r="M123" s="132"/>
      <c r="N123" s="137"/>
      <c r="O123" s="137"/>
      <c r="P123" s="137"/>
      <c r="Q123" s="138"/>
      <c r="R123" s="137"/>
      <c r="S123" s="137"/>
      <c r="T123" s="108"/>
      <c r="AV123" s="115"/>
      <c r="BE123" s="109"/>
    </row>
    <row r="124" spans="7:57" ht="98.1" customHeight="1">
      <c r="G124" s="115"/>
      <c r="M124" s="132"/>
      <c r="N124" s="137"/>
      <c r="O124" s="137"/>
      <c r="P124" s="137"/>
      <c r="Q124" s="138"/>
      <c r="R124" s="137"/>
      <c r="S124" s="137"/>
      <c r="T124" s="108"/>
      <c r="AV124" s="115"/>
      <c r="BE124" s="109"/>
    </row>
    <row r="125" spans="7:57" ht="98.1" customHeight="1">
      <c r="G125" s="115"/>
      <c r="M125" s="132"/>
      <c r="N125" s="137"/>
      <c r="O125" s="137"/>
      <c r="P125" s="137"/>
      <c r="Q125" s="138"/>
      <c r="R125" s="137"/>
      <c r="S125" s="137"/>
      <c r="T125" s="108"/>
      <c r="AV125" s="115"/>
      <c r="BE125" s="109"/>
    </row>
    <row r="126" spans="7:57" ht="98.1" customHeight="1">
      <c r="G126" s="115"/>
      <c r="L126" s="136"/>
      <c r="M126" s="132"/>
      <c r="N126" s="137"/>
      <c r="O126" s="137"/>
      <c r="P126" s="137"/>
      <c r="Q126" s="138"/>
      <c r="R126" s="137"/>
      <c r="S126" s="137"/>
      <c r="T126" s="108"/>
      <c r="U126" s="108"/>
      <c r="AV126" s="115"/>
      <c r="BE126" s="109"/>
    </row>
    <row r="127" spans="7:57" ht="98.1" customHeight="1">
      <c r="G127" s="115"/>
      <c r="M127" s="132"/>
      <c r="N127" s="137"/>
      <c r="O127" s="137"/>
      <c r="P127" s="137"/>
      <c r="Q127" s="138"/>
      <c r="R127" s="137"/>
      <c r="S127" s="137"/>
      <c r="T127" s="108"/>
      <c r="AV127" s="115"/>
      <c r="BE127" s="109"/>
    </row>
    <row r="128" spans="7:57" ht="98.1" customHeight="1">
      <c r="G128" s="115"/>
      <c r="L128" s="136"/>
      <c r="M128" s="132"/>
      <c r="N128" s="137"/>
      <c r="O128" s="137"/>
      <c r="P128" s="137"/>
      <c r="Q128" s="138"/>
      <c r="R128" s="137"/>
      <c r="S128" s="137"/>
      <c r="T128" s="108"/>
      <c r="U128" s="108"/>
      <c r="AV128" s="115"/>
      <c r="BE128" s="109"/>
    </row>
    <row r="129" spans="7:57" ht="98.1" customHeight="1">
      <c r="G129" s="115"/>
      <c r="M129" s="132"/>
      <c r="N129" s="137"/>
      <c r="O129" s="137"/>
      <c r="P129" s="137"/>
      <c r="Q129" s="138"/>
      <c r="R129" s="137"/>
      <c r="S129" s="137"/>
      <c r="T129" s="108"/>
      <c r="AV129" s="115"/>
      <c r="BE129" s="109"/>
    </row>
    <row r="130" spans="7:57" ht="98.1" customHeight="1">
      <c r="G130" s="115"/>
      <c r="M130" s="132"/>
      <c r="N130" s="137"/>
      <c r="O130" s="137"/>
      <c r="P130" s="137"/>
      <c r="Q130" s="138"/>
      <c r="R130" s="137"/>
      <c r="S130" s="137"/>
      <c r="T130" s="108"/>
      <c r="AV130" s="115"/>
      <c r="BE130" s="109"/>
    </row>
    <row r="131" spans="7:57" ht="98.1" customHeight="1">
      <c r="G131" s="115"/>
      <c r="M131" s="132"/>
      <c r="N131" s="137"/>
      <c r="O131" s="137"/>
      <c r="P131" s="137"/>
      <c r="Q131" s="138"/>
      <c r="R131" s="137"/>
      <c r="S131" s="137"/>
      <c r="T131" s="108"/>
      <c r="AV131" s="115"/>
      <c r="BE131" s="109"/>
    </row>
    <row r="132" spans="7:57" ht="98.1" customHeight="1">
      <c r="G132" s="115"/>
      <c r="M132" s="132"/>
      <c r="N132" s="137"/>
      <c r="O132" s="137"/>
      <c r="P132" s="137"/>
      <c r="Q132" s="138"/>
      <c r="R132" s="137"/>
      <c r="S132" s="137"/>
      <c r="T132" s="108"/>
      <c r="AV132" s="115"/>
      <c r="BE132" s="109"/>
    </row>
    <row r="133" spans="7:57" ht="98.1" customHeight="1">
      <c r="G133" s="115"/>
      <c r="M133" s="132"/>
      <c r="N133" s="137"/>
      <c r="O133" s="137"/>
      <c r="P133" s="137"/>
      <c r="Q133" s="138"/>
      <c r="R133" s="137"/>
      <c r="S133" s="137"/>
      <c r="T133" s="108"/>
      <c r="AV133" s="115"/>
      <c r="BE133" s="109"/>
    </row>
    <row r="134" spans="7:57" ht="98.1" customHeight="1">
      <c r="G134" s="115"/>
      <c r="M134" s="132"/>
      <c r="N134" s="137"/>
      <c r="O134" s="137"/>
      <c r="P134" s="137"/>
      <c r="Q134" s="138"/>
      <c r="R134" s="137"/>
      <c r="S134" s="137"/>
      <c r="T134" s="108"/>
      <c r="AV134" s="115"/>
      <c r="BE134" s="109"/>
    </row>
    <row r="135" spans="7:57" ht="98.1" customHeight="1">
      <c r="G135" s="115"/>
      <c r="L135" s="136"/>
      <c r="M135" s="132"/>
      <c r="N135" s="137"/>
      <c r="O135" s="137"/>
      <c r="P135" s="137"/>
      <c r="Q135" s="138"/>
      <c r="R135" s="137"/>
      <c r="S135" s="137"/>
      <c r="T135" s="108"/>
      <c r="U135" s="108"/>
      <c r="AV135" s="115"/>
      <c r="BE135" s="109"/>
    </row>
    <row r="136" spans="7:57" ht="98.1" customHeight="1">
      <c r="G136" s="115"/>
      <c r="L136" s="136"/>
      <c r="M136" s="132"/>
      <c r="N136" s="137"/>
      <c r="O136" s="137"/>
      <c r="P136" s="137"/>
      <c r="Q136" s="138"/>
      <c r="R136" s="137"/>
      <c r="S136" s="137"/>
      <c r="T136" s="108"/>
      <c r="U136" s="108"/>
      <c r="AV136" s="115"/>
      <c r="BE136" s="109"/>
    </row>
    <row r="137" spans="7:57" ht="98.1" customHeight="1"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V137" s="115"/>
      <c r="BE137" s="109"/>
    </row>
    <row r="138" spans="7:57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7:57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7:57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7:57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7:57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7:57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7:57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P1:BD356 A1:O2 J3:M3">
    <cfRule type="expression" dxfId="25" priority="16">
      <formula>IF(УФ_Переключатель=1,IFERROR(TEXT(RIGHT(A1,255),"###"),TRUE))</formula>
    </cfRule>
  </conditionalFormatting>
  <conditionalFormatting sqref="A3:H3 M3:O52 N3:O187 B3:B187 A4:O356 P1:BF356 A1:O2 J3:M3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453</v>
      </c>
      <c r="C1" s="146"/>
      <c r="D1" s="146"/>
      <c r="E1" s="147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8" t="s">
        <v>466</v>
      </c>
      <c r="C5" s="148"/>
      <c r="D5" s="148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9"/>
      <c r="C6" s="150"/>
      <c r="D6" s="150"/>
      <c r="E6" s="15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5" t="s">
        <v>543</v>
      </c>
      <c r="C8" s="146"/>
      <c r="D8" s="146"/>
      <c r="E8" s="14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2" t="s">
        <v>572</v>
      </c>
      <c r="C9" s="153"/>
      <c r="D9" s="15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2"/>
      <c r="C17" s="143"/>
      <c r="D17" s="143"/>
      <c r="E17" s="14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CO1" zoomScale="70" zoomScaleNormal="70" workbookViewId="0">
      <pane ySplit="1" topLeftCell="A2" activePane="bottomLeft" state="frozen"/>
      <selection pane="bottomLeft" activeCell="DE6" sqref="DE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5" t="s">
        <v>556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N1" workbookViewId="0">
      <pane ySplit="1" topLeftCell="A2" activePane="bottomLeft" state="frozen"/>
      <selection pane="bottomLeft" activeCell="Y6" sqref="Y6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0</v>
      </c>
      <c r="AD1" s="54"/>
      <c r="AE1" s="54" t="str">
        <f>RIGHT(TEXT(MAX(AE2:AE10000),"###"),3)</f>
        <v/>
      </c>
      <c r="AF1" s="55" t="str">
        <f>RIGHT("000"&amp;AC1,2)&amp;"-"&amp;RIGHT("000"&amp;AE1,3)</f>
        <v>00-000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57" t="s">
        <v>582</v>
      </c>
      <c r="AJ1" s="98"/>
      <c r="AK1" s="57" t="s">
        <v>852</v>
      </c>
      <c r="AL1" s="99">
        <v>1</v>
      </c>
    </row>
    <row r="2" spans="1:38">
      <c r="A2" s="60" t="str">
        <f>IF(G2&amp;Q2&lt;&gt;"",W2&amp;Q2,"")</f>
        <v/>
      </c>
      <c r="B2" s="60" t="str">
        <f>IF(C2&lt;&gt;"",LEFT(C2,9),"")</f>
        <v/>
      </c>
      <c r="G2" s="74"/>
      <c r="V2" s="60" t="str">
        <f>W2&amp;H2</f>
        <v/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60" t="str">
        <f>IF(A2&lt;&gt;"",IFERROR(IF(FIND(" ",G2)&gt;=1,MID(G2,FIND(" ",G2)+1,LEN(G2)),""),""),"")</f>
        <v/>
      </c>
      <c r="AC2" s="51">
        <f>IFERROR(VALUE(MID($C2,1,2)),0)</f>
        <v>0</v>
      </c>
      <c r="AD2" s="44">
        <f t="shared" ref="AD2:AD66" si="1">IFERROR(VALUE(MID($C2,4,3)),0)</f>
        <v>0</v>
      </c>
      <c r="AE2" s="51">
        <f>VALUE(RIGHT("00"&amp;AC2,2)&amp;RIGHT("000"&amp;AD2,3))</f>
        <v>0</v>
      </c>
    </row>
    <row r="3" spans="1:38">
      <c r="A3" s="60" t="str">
        <f t="shared" ref="A3:A66" si="2">IF(G3&amp;Q3&lt;&gt;"",W3&amp;Q3,"")</f>
        <v/>
      </c>
      <c r="B3" s="60" t="str">
        <f t="shared" ref="B3:B66" si="3">IF(C3&lt;&gt;"",LEFT(C3,9),"")</f>
        <v/>
      </c>
      <c r="G3" s="74"/>
      <c r="V3" s="60" t="str">
        <f t="shared" ref="V3:V66" si="4">W3&amp;H3</f>
        <v/>
      </c>
      <c r="W3" s="60" t="str">
        <f t="shared" si="0"/>
        <v/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0</v>
      </c>
      <c r="AD3" s="44">
        <f t="shared" si="1"/>
        <v>0</v>
      </c>
      <c r="AE3" s="51">
        <f t="shared" ref="AE3:AE66" si="7">VALUE(RIGHT("00"&amp;AC3,2)&amp;RIGHT("000"&amp;AD3,3))</f>
        <v>0</v>
      </c>
    </row>
    <row r="4" spans="1:38">
      <c r="A4" s="60" t="str">
        <f t="shared" si="2"/>
        <v/>
      </c>
      <c r="B4" s="60" t="str">
        <f t="shared" si="3"/>
        <v/>
      </c>
      <c r="G4" s="74"/>
      <c r="V4" s="60" t="str">
        <f t="shared" si="4"/>
        <v/>
      </c>
      <c r="W4" s="60" t="str">
        <f t="shared" si="0"/>
        <v/>
      </c>
      <c r="X4" s="60" t="str">
        <f t="shared" si="5"/>
        <v/>
      </c>
      <c r="AC4" s="51">
        <f t="shared" si="6"/>
        <v>0</v>
      </c>
      <c r="AD4" s="44">
        <f t="shared" si="1"/>
        <v>0</v>
      </c>
      <c r="AE4" s="51">
        <f t="shared" si="7"/>
        <v>0</v>
      </c>
    </row>
    <row r="5" spans="1:38">
      <c r="A5" s="60" t="str">
        <f t="shared" si="2"/>
        <v/>
      </c>
      <c r="B5" s="60" t="str">
        <f t="shared" si="3"/>
        <v/>
      </c>
      <c r="G5" s="74"/>
      <c r="V5" s="60" t="str">
        <f t="shared" si="4"/>
        <v/>
      </c>
      <c r="W5" s="60" t="str">
        <f t="shared" si="0"/>
        <v/>
      </c>
      <c r="X5" s="60" t="str">
        <f t="shared" si="5"/>
        <v/>
      </c>
      <c r="AC5" s="51">
        <f t="shared" si="6"/>
        <v>0</v>
      </c>
      <c r="AD5" s="44">
        <f t="shared" si="1"/>
        <v>0</v>
      </c>
      <c r="AE5" s="51">
        <f t="shared" si="7"/>
        <v>0</v>
      </c>
    </row>
    <row r="6" spans="1:38">
      <c r="A6" s="60" t="str">
        <f t="shared" si="2"/>
        <v/>
      </c>
      <c r="B6" s="60" t="str">
        <f t="shared" si="3"/>
        <v/>
      </c>
      <c r="G6" s="74"/>
      <c r="V6" s="60" t="str">
        <f t="shared" si="4"/>
        <v/>
      </c>
      <c r="W6" s="60" t="str">
        <f t="shared" si="0"/>
        <v/>
      </c>
      <c r="X6" s="60" t="str">
        <f t="shared" si="5"/>
        <v/>
      </c>
      <c r="AC6" s="51">
        <f t="shared" si="6"/>
        <v>0</v>
      </c>
      <c r="AD6" s="44">
        <f t="shared" si="1"/>
        <v>0</v>
      </c>
      <c r="AE6" s="51">
        <f t="shared" si="7"/>
        <v>0</v>
      </c>
    </row>
    <row r="7" spans="1:38">
      <c r="A7" s="60" t="str">
        <f t="shared" si="2"/>
        <v/>
      </c>
      <c r="B7" s="60" t="str">
        <f t="shared" si="3"/>
        <v/>
      </c>
      <c r="G7" s="74"/>
      <c r="V7" s="60" t="str">
        <f t="shared" si="4"/>
        <v/>
      </c>
      <c r="W7" s="60" t="str">
        <f t="shared" si="0"/>
        <v/>
      </c>
      <c r="X7" s="60" t="str">
        <f t="shared" si="5"/>
        <v/>
      </c>
      <c r="AC7" s="51">
        <f t="shared" si="6"/>
        <v>0</v>
      </c>
      <c r="AD7" s="44">
        <f t="shared" si="1"/>
        <v>0</v>
      </c>
      <c r="AE7" s="51">
        <f t="shared" si="7"/>
        <v>0</v>
      </c>
    </row>
    <row r="8" spans="1:38">
      <c r="A8" s="60" t="str">
        <f t="shared" si="2"/>
        <v/>
      </c>
      <c r="B8" s="60" t="str">
        <f t="shared" si="3"/>
        <v/>
      </c>
      <c r="G8" s="74"/>
      <c r="V8" s="60" t="str">
        <f t="shared" si="4"/>
        <v/>
      </c>
      <c r="W8" s="60" t="str">
        <f t="shared" si="0"/>
        <v/>
      </c>
      <c r="X8" s="60" t="str">
        <f t="shared" si="5"/>
        <v/>
      </c>
      <c r="AC8" s="51">
        <f t="shared" si="6"/>
        <v>0</v>
      </c>
      <c r="AD8" s="44">
        <f t="shared" si="1"/>
        <v>0</v>
      </c>
      <c r="AE8" s="51">
        <f t="shared" si="7"/>
        <v>0</v>
      </c>
    </row>
    <row r="9" spans="1:38">
      <c r="A9" s="60" t="str">
        <f t="shared" si="2"/>
        <v/>
      </c>
      <c r="B9" s="60" t="str">
        <f t="shared" si="3"/>
        <v/>
      </c>
      <c r="G9" s="74"/>
      <c r="V9" s="60" t="str">
        <f t="shared" si="4"/>
        <v/>
      </c>
      <c r="W9" s="60" t="str">
        <f t="shared" si="0"/>
        <v/>
      </c>
      <c r="X9" s="60" t="str">
        <f t="shared" si="5"/>
        <v/>
      </c>
      <c r="AC9" s="51">
        <f t="shared" si="6"/>
        <v>0</v>
      </c>
      <c r="AD9" s="44">
        <f t="shared" si="1"/>
        <v>0</v>
      </c>
      <c r="AE9" s="51">
        <f t="shared" si="7"/>
        <v>0</v>
      </c>
    </row>
    <row r="10" spans="1:38">
      <c r="A10" s="60" t="str">
        <f t="shared" si="2"/>
        <v/>
      </c>
      <c r="B10" s="60" t="str">
        <f t="shared" si="3"/>
        <v/>
      </c>
      <c r="G10" s="74"/>
      <c r="V10" s="60" t="str">
        <f t="shared" si="4"/>
        <v/>
      </c>
      <c r="W10" s="60" t="str">
        <f t="shared" si="0"/>
        <v/>
      </c>
      <c r="X10" s="60" t="str">
        <f t="shared" si="5"/>
        <v/>
      </c>
      <c r="AC10" s="51">
        <f t="shared" si="6"/>
        <v>0</v>
      </c>
      <c r="AD10" s="44">
        <f t="shared" si="1"/>
        <v>0</v>
      </c>
      <c r="AE10" s="51">
        <f t="shared" si="7"/>
        <v>0</v>
      </c>
    </row>
    <row r="11" spans="1:38">
      <c r="A11" s="60" t="str">
        <f t="shared" si="2"/>
        <v/>
      </c>
      <c r="B11" s="60" t="str">
        <f t="shared" si="3"/>
        <v/>
      </c>
      <c r="G11" s="74"/>
      <c r="V11" s="60" t="str">
        <f t="shared" si="4"/>
        <v/>
      </c>
      <c r="W11" s="60" t="str">
        <f t="shared" si="0"/>
        <v/>
      </c>
      <c r="X11" s="60" t="str">
        <f t="shared" si="5"/>
        <v/>
      </c>
      <c r="AC11" s="51">
        <f t="shared" si="6"/>
        <v>0</v>
      </c>
      <c r="AD11" s="44">
        <f t="shared" si="1"/>
        <v>0</v>
      </c>
      <c r="AE11" s="51">
        <f t="shared" si="7"/>
        <v>0</v>
      </c>
    </row>
    <row r="12" spans="1:38">
      <c r="A12" s="60" t="str">
        <f t="shared" si="2"/>
        <v/>
      </c>
      <c r="B12" s="60" t="str">
        <f t="shared" si="3"/>
        <v/>
      </c>
      <c r="G12" s="74"/>
      <c r="V12" s="60" t="str">
        <f t="shared" si="4"/>
        <v/>
      </c>
      <c r="W12" s="60" t="str">
        <f t="shared" si="0"/>
        <v/>
      </c>
      <c r="X12" s="60" t="str">
        <f t="shared" si="5"/>
        <v/>
      </c>
      <c r="AC12" s="51">
        <f t="shared" si="6"/>
        <v>0</v>
      </c>
      <c r="AD12" s="44">
        <f t="shared" si="1"/>
        <v>0</v>
      </c>
      <c r="AE12" s="51">
        <f t="shared" si="7"/>
        <v>0</v>
      </c>
    </row>
    <row r="13" spans="1:38">
      <c r="A13" s="60" t="str">
        <f t="shared" si="2"/>
        <v/>
      </c>
      <c r="B13" s="60" t="str">
        <f t="shared" si="3"/>
        <v/>
      </c>
      <c r="G13" s="74"/>
      <c r="V13" s="60" t="str">
        <f t="shared" si="4"/>
        <v/>
      </c>
      <c r="W13" s="60" t="str">
        <f t="shared" si="0"/>
        <v/>
      </c>
      <c r="X13" s="60" t="str">
        <f t="shared" si="5"/>
        <v/>
      </c>
      <c r="AC13" s="51">
        <f t="shared" si="6"/>
        <v>0</v>
      </c>
      <c r="AD13" s="44">
        <f t="shared" si="1"/>
        <v>0</v>
      </c>
      <c r="AE13" s="51">
        <f t="shared" si="7"/>
        <v>0</v>
      </c>
    </row>
    <row r="14" spans="1:38">
      <c r="A14" s="60" t="str">
        <f t="shared" si="2"/>
        <v/>
      </c>
      <c r="B14" s="60" t="str">
        <f t="shared" si="3"/>
        <v/>
      </c>
      <c r="G14" s="74"/>
      <c r="V14" s="60" t="str">
        <f t="shared" si="4"/>
        <v/>
      </c>
      <c r="W14" s="60" t="str">
        <f t="shared" si="0"/>
        <v/>
      </c>
      <c r="X14" s="60" t="str">
        <f t="shared" si="5"/>
        <v/>
      </c>
      <c r="AC14" s="51">
        <f t="shared" si="6"/>
        <v>0</v>
      </c>
      <c r="AD14" s="44">
        <f t="shared" si="1"/>
        <v>0</v>
      </c>
      <c r="AE14" s="51">
        <f t="shared" si="7"/>
        <v>0</v>
      </c>
    </row>
    <row r="15" spans="1:38">
      <c r="A15" s="60" t="str">
        <f t="shared" si="2"/>
        <v/>
      </c>
      <c r="B15" s="60" t="str">
        <f t="shared" si="3"/>
        <v/>
      </c>
      <c r="G15" s="74"/>
      <c r="V15" s="60" t="str">
        <f t="shared" si="4"/>
        <v/>
      </c>
      <c r="W15" s="60" t="str">
        <f t="shared" si="0"/>
        <v/>
      </c>
      <c r="X15" s="60" t="str">
        <f t="shared" si="5"/>
        <v/>
      </c>
      <c r="AC15" s="51">
        <f t="shared" si="6"/>
        <v>0</v>
      </c>
      <c r="AD15" s="44">
        <f t="shared" si="1"/>
        <v>0</v>
      </c>
      <c r="AE15" s="51">
        <f t="shared" si="7"/>
        <v>0</v>
      </c>
    </row>
    <row r="16" spans="1:38">
      <c r="A16" s="60" t="str">
        <f t="shared" si="2"/>
        <v/>
      </c>
      <c r="B16" s="60" t="str">
        <f t="shared" si="3"/>
        <v/>
      </c>
      <c r="G16" s="74"/>
      <c r="V16" s="60" t="str">
        <f t="shared" si="4"/>
        <v/>
      </c>
      <c r="W16" s="60" t="str">
        <f t="shared" si="0"/>
        <v/>
      </c>
      <c r="X16" s="60" t="str">
        <f t="shared" si="5"/>
        <v/>
      </c>
      <c r="AC16" s="51">
        <f t="shared" si="6"/>
        <v>0</v>
      </c>
      <c r="AD16" s="44">
        <f t="shared" si="1"/>
        <v>0</v>
      </c>
      <c r="AE16" s="51">
        <f t="shared" si="7"/>
        <v>0</v>
      </c>
    </row>
    <row r="17" spans="1:31">
      <c r="A17" s="60" t="str">
        <f t="shared" si="2"/>
        <v/>
      </c>
      <c r="B17" s="60" t="str">
        <f t="shared" si="3"/>
        <v/>
      </c>
      <c r="G17" s="74"/>
      <c r="V17" s="60" t="str">
        <f t="shared" si="4"/>
        <v/>
      </c>
      <c r="W17" s="60" t="str">
        <f t="shared" si="0"/>
        <v/>
      </c>
      <c r="X17" s="60" t="str">
        <f t="shared" si="5"/>
        <v/>
      </c>
      <c r="AC17" s="51">
        <f t="shared" si="6"/>
        <v>0</v>
      </c>
      <c r="AD17" s="44">
        <f t="shared" si="1"/>
        <v>0</v>
      </c>
      <c r="AE17" s="51">
        <f t="shared" si="7"/>
        <v>0</v>
      </c>
    </row>
    <row r="18" spans="1:31">
      <c r="A18" s="60" t="str">
        <f t="shared" si="2"/>
        <v/>
      </c>
      <c r="B18" s="60" t="str">
        <f t="shared" si="3"/>
        <v/>
      </c>
      <c r="G18" s="74"/>
      <c r="V18" s="60" t="str">
        <f t="shared" si="4"/>
        <v/>
      </c>
      <c r="W18" s="60" t="str">
        <f t="shared" si="0"/>
        <v/>
      </c>
      <c r="X18" s="60" t="str">
        <f t="shared" si="5"/>
        <v/>
      </c>
      <c r="AC18" s="51">
        <f t="shared" si="6"/>
        <v>0</v>
      </c>
      <c r="AD18" s="44">
        <f t="shared" si="1"/>
        <v>0</v>
      </c>
      <c r="AE18" s="51">
        <f t="shared" si="7"/>
        <v>0</v>
      </c>
    </row>
    <row r="19" spans="1:31">
      <c r="A19" s="60" t="str">
        <f t="shared" si="2"/>
        <v/>
      </c>
      <c r="B19" s="60" t="str">
        <f t="shared" si="3"/>
        <v/>
      </c>
      <c r="G19" s="74"/>
      <c r="V19" s="60" t="str">
        <f t="shared" si="4"/>
        <v/>
      </c>
      <c r="W19" s="60" t="str">
        <f t="shared" si="0"/>
        <v/>
      </c>
      <c r="X19" s="60" t="str">
        <f t="shared" si="5"/>
        <v/>
      </c>
      <c r="AC19" s="51">
        <f t="shared" si="6"/>
        <v>0</v>
      </c>
      <c r="AD19" s="44">
        <f t="shared" si="1"/>
        <v>0</v>
      </c>
      <c r="AE19" s="51">
        <f t="shared" si="7"/>
        <v>0</v>
      </c>
    </row>
    <row r="20" spans="1:31">
      <c r="A20" s="60" t="str">
        <f t="shared" si="2"/>
        <v/>
      </c>
      <c r="B20" s="60" t="str">
        <f t="shared" si="3"/>
        <v/>
      </c>
      <c r="G20" s="74"/>
      <c r="V20" s="60" t="str">
        <f t="shared" si="4"/>
        <v/>
      </c>
      <c r="W20" s="60" t="str">
        <f t="shared" si="0"/>
        <v/>
      </c>
      <c r="X20" s="60" t="str">
        <f t="shared" si="5"/>
        <v/>
      </c>
      <c r="AC20" s="51">
        <f t="shared" si="6"/>
        <v>0</v>
      </c>
      <c r="AD20" s="44">
        <f t="shared" si="1"/>
        <v>0</v>
      </c>
      <c r="AE20" s="51">
        <f t="shared" si="7"/>
        <v>0</v>
      </c>
    </row>
    <row r="21" spans="1:31">
      <c r="A21" s="60" t="str">
        <f t="shared" si="2"/>
        <v/>
      </c>
      <c r="B21" s="60" t="str">
        <f t="shared" si="3"/>
        <v/>
      </c>
      <c r="G21" s="74"/>
      <c r="V21" s="60" t="str">
        <f t="shared" si="4"/>
        <v/>
      </c>
      <c r="W21" s="60" t="str">
        <f t="shared" si="0"/>
        <v/>
      </c>
      <c r="X21" s="60" t="str">
        <f t="shared" si="5"/>
        <v/>
      </c>
      <c r="AC21" s="51">
        <f t="shared" si="6"/>
        <v>0</v>
      </c>
      <c r="AD21" s="44">
        <f t="shared" si="1"/>
        <v>0</v>
      </c>
      <c r="AE21" s="51">
        <f t="shared" si="7"/>
        <v>0</v>
      </c>
    </row>
    <row r="22" spans="1:31">
      <c r="A22" s="60" t="str">
        <f t="shared" si="2"/>
        <v/>
      </c>
      <c r="B22" s="60" t="str">
        <f t="shared" si="3"/>
        <v/>
      </c>
      <c r="G22" s="74"/>
      <c r="V22" s="60" t="str">
        <f t="shared" si="4"/>
        <v/>
      </c>
      <c r="W22" s="60" t="str">
        <f t="shared" si="0"/>
        <v/>
      </c>
      <c r="X22" s="60" t="str">
        <f t="shared" si="5"/>
        <v/>
      </c>
      <c r="AC22" s="51">
        <f t="shared" si="6"/>
        <v>0</v>
      </c>
      <c r="AD22" s="44">
        <f t="shared" si="1"/>
        <v>0</v>
      </c>
      <c r="AE22" s="51">
        <f t="shared" si="7"/>
        <v>0</v>
      </c>
    </row>
    <row r="23" spans="1:31">
      <c r="A23" s="60" t="str">
        <f t="shared" si="2"/>
        <v/>
      </c>
      <c r="B23" s="60" t="str">
        <f t="shared" si="3"/>
        <v/>
      </c>
      <c r="G23" s="74"/>
      <c r="V23" s="60" t="str">
        <f t="shared" si="4"/>
        <v/>
      </c>
      <c r="W23" s="60" t="str">
        <f t="shared" si="0"/>
        <v/>
      </c>
      <c r="X23" s="60" t="str">
        <f t="shared" si="5"/>
        <v/>
      </c>
      <c r="AC23" s="51">
        <f t="shared" si="6"/>
        <v>0</v>
      </c>
      <c r="AD23" s="44">
        <f t="shared" si="1"/>
        <v>0</v>
      </c>
      <c r="AE23" s="51">
        <f t="shared" si="7"/>
        <v>0</v>
      </c>
    </row>
    <row r="24" spans="1:31">
      <c r="A24" s="60" t="str">
        <f t="shared" si="2"/>
        <v/>
      </c>
      <c r="B24" s="60" t="str">
        <f t="shared" si="3"/>
        <v/>
      </c>
      <c r="G24" s="74"/>
      <c r="V24" s="60" t="str">
        <f t="shared" si="4"/>
        <v/>
      </c>
      <c r="W24" s="60" t="str">
        <f t="shared" si="0"/>
        <v/>
      </c>
      <c r="X24" s="60" t="str">
        <f t="shared" si="5"/>
        <v/>
      </c>
      <c r="AC24" s="51">
        <f t="shared" si="6"/>
        <v>0</v>
      </c>
      <c r="AD24" s="44">
        <f t="shared" si="1"/>
        <v>0</v>
      </c>
      <c r="AE24" s="51">
        <f t="shared" si="7"/>
        <v>0</v>
      </c>
    </row>
    <row r="25" spans="1:31">
      <c r="A25" s="60" t="str">
        <f t="shared" si="2"/>
        <v/>
      </c>
      <c r="B25" s="60" t="str">
        <f t="shared" si="3"/>
        <v/>
      </c>
      <c r="G25" s="74"/>
      <c r="V25" s="60" t="str">
        <f t="shared" si="4"/>
        <v/>
      </c>
      <c r="W25" s="60" t="str">
        <f t="shared" si="0"/>
        <v/>
      </c>
      <c r="X25" s="60" t="str">
        <f t="shared" si="5"/>
        <v/>
      </c>
      <c r="AC25" s="51">
        <f t="shared" si="6"/>
        <v>0</v>
      </c>
      <c r="AD25" s="44">
        <f t="shared" si="1"/>
        <v>0</v>
      </c>
      <c r="AE25" s="51">
        <f t="shared" si="7"/>
        <v>0</v>
      </c>
    </row>
    <row r="26" spans="1:31">
      <c r="A26" s="60" t="str">
        <f t="shared" si="2"/>
        <v/>
      </c>
      <c r="B26" s="60" t="str">
        <f t="shared" si="3"/>
        <v/>
      </c>
      <c r="G26" s="74"/>
      <c r="V26" s="60" t="str">
        <f t="shared" si="4"/>
        <v/>
      </c>
      <c r="W26" s="60" t="str">
        <f t="shared" si="0"/>
        <v/>
      </c>
      <c r="X26" s="60" t="str">
        <f t="shared" si="5"/>
        <v/>
      </c>
      <c r="AC26" s="51">
        <f t="shared" si="6"/>
        <v>0</v>
      </c>
      <c r="AD26" s="44">
        <f t="shared" si="1"/>
        <v>0</v>
      </c>
      <c r="AE26" s="51">
        <f t="shared" si="7"/>
        <v>0</v>
      </c>
    </row>
    <row r="27" spans="1:31">
      <c r="A27" s="60" t="str">
        <f t="shared" si="2"/>
        <v/>
      </c>
      <c r="B27" s="60" t="str">
        <f t="shared" si="3"/>
        <v/>
      </c>
      <c r="G27" s="74"/>
      <c r="V27" s="60" t="str">
        <f t="shared" si="4"/>
        <v/>
      </c>
      <c r="W27" s="60" t="str">
        <f t="shared" si="0"/>
        <v/>
      </c>
      <c r="X27" s="60" t="str">
        <f t="shared" si="5"/>
        <v/>
      </c>
      <c r="AC27" s="51">
        <f t="shared" si="6"/>
        <v>0</v>
      </c>
      <c r="AD27" s="44">
        <f t="shared" si="1"/>
        <v>0</v>
      </c>
      <c r="AE27" s="51">
        <f t="shared" si="7"/>
        <v>0</v>
      </c>
    </row>
    <row r="28" spans="1:31">
      <c r="A28" s="60" t="str">
        <f t="shared" si="2"/>
        <v/>
      </c>
      <c r="B28" s="60" t="str">
        <f t="shared" si="3"/>
        <v/>
      </c>
      <c r="G28" s="74"/>
      <c r="V28" s="60" t="str">
        <f t="shared" si="4"/>
        <v/>
      </c>
      <c r="W28" s="60" t="str">
        <f t="shared" si="0"/>
        <v/>
      </c>
      <c r="X28" s="60" t="str">
        <f t="shared" si="5"/>
        <v/>
      </c>
      <c r="AC28" s="51">
        <f t="shared" si="6"/>
        <v>0</v>
      </c>
      <c r="AD28" s="44">
        <f t="shared" si="1"/>
        <v>0</v>
      </c>
      <c r="AE28" s="51">
        <f t="shared" si="7"/>
        <v>0</v>
      </c>
    </row>
    <row r="29" spans="1:31">
      <c r="A29" s="60" t="str">
        <f t="shared" si="2"/>
        <v/>
      </c>
      <c r="B29" s="60" t="str">
        <f t="shared" si="3"/>
        <v/>
      </c>
      <c r="G29" s="74"/>
      <c r="V29" s="60" t="str">
        <f t="shared" si="4"/>
        <v/>
      </c>
      <c r="W29" s="60" t="str">
        <f t="shared" si="0"/>
        <v/>
      </c>
      <c r="X29" s="60" t="str">
        <f t="shared" si="5"/>
        <v/>
      </c>
      <c r="AC29" s="51">
        <f t="shared" si="6"/>
        <v>0</v>
      </c>
      <c r="AD29" s="44">
        <f t="shared" si="1"/>
        <v>0</v>
      </c>
      <c r="AE29" s="51">
        <f t="shared" si="7"/>
        <v>0</v>
      </c>
    </row>
    <row r="30" spans="1:31">
      <c r="A30" s="60" t="str">
        <f t="shared" si="2"/>
        <v/>
      </c>
      <c r="B30" s="60" t="str">
        <f t="shared" si="3"/>
        <v/>
      </c>
      <c r="G30" s="74"/>
      <c r="V30" s="60" t="str">
        <f t="shared" si="4"/>
        <v/>
      </c>
      <c r="W30" s="60" t="str">
        <f t="shared" si="0"/>
        <v/>
      </c>
      <c r="X30" s="60" t="str">
        <f t="shared" si="5"/>
        <v/>
      </c>
      <c r="AC30" s="51">
        <f t="shared" si="6"/>
        <v>0</v>
      </c>
      <c r="AD30" s="44">
        <f t="shared" si="1"/>
        <v>0</v>
      </c>
      <c r="AE30" s="51">
        <f t="shared" si="7"/>
        <v>0</v>
      </c>
    </row>
    <row r="31" spans="1:31">
      <c r="A31" s="60" t="str">
        <f t="shared" si="2"/>
        <v/>
      </c>
      <c r="B31" s="60" t="str">
        <f t="shared" si="3"/>
        <v/>
      </c>
      <c r="G31" s="74"/>
      <c r="V31" s="60" t="str">
        <f t="shared" si="4"/>
        <v/>
      </c>
      <c r="W31" s="60" t="str">
        <f t="shared" si="0"/>
        <v/>
      </c>
      <c r="X31" s="60" t="str">
        <f t="shared" si="5"/>
        <v/>
      </c>
      <c r="AC31" s="51">
        <f t="shared" si="6"/>
        <v>0</v>
      </c>
      <c r="AD31" s="44">
        <f t="shared" si="1"/>
        <v>0</v>
      </c>
      <c r="AE31" s="51">
        <f t="shared" si="7"/>
        <v>0</v>
      </c>
    </row>
    <row r="32" spans="1:31">
      <c r="A32" s="60" t="str">
        <f t="shared" si="2"/>
        <v/>
      </c>
      <c r="B32" s="60" t="str">
        <f t="shared" si="3"/>
        <v/>
      </c>
      <c r="G32" s="74"/>
      <c r="V32" s="60" t="str">
        <f t="shared" si="4"/>
        <v/>
      </c>
      <c r="W32" s="60" t="str">
        <f t="shared" si="0"/>
        <v/>
      </c>
      <c r="X32" s="60" t="str">
        <f t="shared" si="5"/>
        <v/>
      </c>
      <c r="AC32" s="51">
        <f t="shared" si="6"/>
        <v>0</v>
      </c>
      <c r="AD32" s="44">
        <f t="shared" si="1"/>
        <v>0</v>
      </c>
      <c r="AE32" s="51">
        <f t="shared" si="7"/>
        <v>0</v>
      </c>
    </row>
    <row r="33" spans="1:31">
      <c r="A33" s="60" t="str">
        <f t="shared" si="2"/>
        <v/>
      </c>
      <c r="B33" s="60" t="str">
        <f t="shared" si="3"/>
        <v/>
      </c>
      <c r="G33" s="74"/>
      <c r="V33" s="60" t="str">
        <f t="shared" si="4"/>
        <v/>
      </c>
      <c r="W33" s="60" t="str">
        <f t="shared" si="0"/>
        <v/>
      </c>
      <c r="X33" s="60" t="str">
        <f t="shared" si="5"/>
        <v/>
      </c>
      <c r="AC33" s="51">
        <f t="shared" si="6"/>
        <v>0</v>
      </c>
      <c r="AD33" s="44">
        <f t="shared" si="1"/>
        <v>0</v>
      </c>
      <c r="AE33" s="51">
        <f t="shared" si="7"/>
        <v>0</v>
      </c>
    </row>
    <row r="34" spans="1:31">
      <c r="A34" s="60" t="str">
        <f t="shared" si="2"/>
        <v/>
      </c>
      <c r="B34" s="60" t="str">
        <f t="shared" si="3"/>
        <v/>
      </c>
      <c r="G34" s="74"/>
      <c r="V34" s="60" t="str">
        <f t="shared" si="4"/>
        <v/>
      </c>
      <c r="W34" s="60" t="str">
        <f t="shared" si="0"/>
        <v/>
      </c>
      <c r="X34" s="60" t="str">
        <f t="shared" si="5"/>
        <v/>
      </c>
      <c r="AC34" s="51">
        <f t="shared" si="6"/>
        <v>0</v>
      </c>
      <c r="AD34" s="44">
        <f t="shared" si="1"/>
        <v>0</v>
      </c>
      <c r="AE34" s="51">
        <f t="shared" si="7"/>
        <v>0</v>
      </c>
    </row>
    <row r="35" spans="1:31">
      <c r="A35" s="60" t="str">
        <f t="shared" si="2"/>
        <v/>
      </c>
      <c r="B35" s="60" t="str">
        <f t="shared" si="3"/>
        <v/>
      </c>
      <c r="G35" s="74"/>
      <c r="V35" s="60" t="str">
        <f t="shared" si="4"/>
        <v/>
      </c>
      <c r="W35" s="60" t="str">
        <f t="shared" si="0"/>
        <v/>
      </c>
      <c r="X35" s="60" t="str">
        <f t="shared" si="5"/>
        <v/>
      </c>
      <c r="AC35" s="51">
        <f t="shared" si="6"/>
        <v>0</v>
      </c>
      <c r="AD35" s="44">
        <f t="shared" si="1"/>
        <v>0</v>
      </c>
      <c r="AE35" s="51">
        <f t="shared" si="7"/>
        <v>0</v>
      </c>
    </row>
    <row r="36" spans="1:31">
      <c r="A36" s="60" t="str">
        <f t="shared" si="2"/>
        <v/>
      </c>
      <c r="B36" s="60" t="str">
        <f t="shared" si="3"/>
        <v/>
      </c>
      <c r="G36" s="74"/>
      <c r="V36" s="60" t="str">
        <f t="shared" si="4"/>
        <v/>
      </c>
      <c r="W36" s="60" t="str">
        <f t="shared" si="0"/>
        <v/>
      </c>
      <c r="X36" s="60" t="str">
        <f t="shared" si="5"/>
        <v/>
      </c>
      <c r="AC36" s="51">
        <f t="shared" si="6"/>
        <v>0</v>
      </c>
      <c r="AD36" s="44">
        <f t="shared" si="1"/>
        <v>0</v>
      </c>
      <c r="AE36" s="51">
        <f t="shared" si="7"/>
        <v>0</v>
      </c>
    </row>
    <row r="37" spans="1:31">
      <c r="A37" s="60" t="str">
        <f t="shared" si="2"/>
        <v/>
      </c>
      <c r="B37" s="60" t="str">
        <f t="shared" si="3"/>
        <v/>
      </c>
      <c r="G37" s="74"/>
      <c r="V37" s="60" t="str">
        <f t="shared" si="4"/>
        <v/>
      </c>
      <c r="W37" s="60" t="str">
        <f t="shared" si="0"/>
        <v/>
      </c>
      <c r="X37" s="60" t="str">
        <f t="shared" si="5"/>
        <v/>
      </c>
      <c r="AC37" s="51">
        <f t="shared" si="6"/>
        <v>0</v>
      </c>
      <c r="AD37" s="44">
        <f t="shared" si="1"/>
        <v>0</v>
      </c>
      <c r="AE37" s="51">
        <f t="shared" si="7"/>
        <v>0</v>
      </c>
    </row>
    <row r="38" spans="1:31">
      <c r="A38" s="60" t="str">
        <f t="shared" si="2"/>
        <v/>
      </c>
      <c r="B38" s="60" t="str">
        <f t="shared" si="3"/>
        <v/>
      </c>
      <c r="G38" s="74"/>
      <c r="V38" s="60" t="str">
        <f t="shared" si="4"/>
        <v/>
      </c>
      <c r="W38" s="60" t="str">
        <f t="shared" si="0"/>
        <v/>
      </c>
      <c r="X38" s="60" t="str">
        <f t="shared" si="5"/>
        <v/>
      </c>
      <c r="AC38" s="51">
        <f t="shared" si="6"/>
        <v>0</v>
      </c>
      <c r="AD38" s="44">
        <f t="shared" si="1"/>
        <v>0</v>
      </c>
      <c r="AE38" s="51">
        <f t="shared" si="7"/>
        <v>0</v>
      </c>
    </row>
    <row r="39" spans="1:31">
      <c r="A39" s="60" t="str">
        <f t="shared" si="2"/>
        <v/>
      </c>
      <c r="B39" s="60" t="str">
        <f t="shared" si="3"/>
        <v/>
      </c>
      <c r="G39" s="74"/>
      <c r="V39" s="60" t="str">
        <f t="shared" si="4"/>
        <v/>
      </c>
      <c r="W39" s="60" t="str">
        <f t="shared" si="0"/>
        <v/>
      </c>
      <c r="X39" s="60" t="str">
        <f t="shared" si="5"/>
        <v/>
      </c>
      <c r="AC39" s="51">
        <f t="shared" si="6"/>
        <v>0</v>
      </c>
      <c r="AD39" s="44">
        <f t="shared" si="1"/>
        <v>0</v>
      </c>
      <c r="AE39" s="51">
        <f t="shared" si="7"/>
        <v>0</v>
      </c>
    </row>
    <row r="40" spans="1:31">
      <c r="A40" s="60" t="str">
        <f t="shared" si="2"/>
        <v/>
      </c>
      <c r="B40" s="60" t="str">
        <f t="shared" si="3"/>
        <v/>
      </c>
      <c r="G40" s="74"/>
      <c r="V40" s="60" t="str">
        <f t="shared" si="4"/>
        <v/>
      </c>
      <c r="W40" s="60" t="str">
        <f t="shared" si="0"/>
        <v/>
      </c>
      <c r="X40" s="60" t="str">
        <f t="shared" si="5"/>
        <v/>
      </c>
      <c r="AC40" s="51">
        <f t="shared" si="6"/>
        <v>0</v>
      </c>
      <c r="AD40" s="44">
        <f t="shared" si="1"/>
        <v>0</v>
      </c>
      <c r="AE40" s="51">
        <f t="shared" si="7"/>
        <v>0</v>
      </c>
    </row>
    <row r="41" spans="1:31">
      <c r="A41" s="60" t="str">
        <f t="shared" si="2"/>
        <v/>
      </c>
      <c r="B41" s="60" t="str">
        <f t="shared" si="3"/>
        <v/>
      </c>
      <c r="G41" s="74"/>
      <c r="V41" s="60" t="str">
        <f t="shared" si="4"/>
        <v/>
      </c>
      <c r="W41" s="60" t="str">
        <f t="shared" si="0"/>
        <v/>
      </c>
      <c r="X41" s="60" t="str">
        <f t="shared" si="5"/>
        <v/>
      </c>
      <c r="AC41" s="51">
        <f t="shared" si="6"/>
        <v>0</v>
      </c>
      <c r="AD41" s="44">
        <f t="shared" si="1"/>
        <v>0</v>
      </c>
      <c r="AE41" s="51">
        <f t="shared" si="7"/>
        <v>0</v>
      </c>
    </row>
    <row r="42" spans="1:31">
      <c r="A42" s="60" t="str">
        <f t="shared" si="2"/>
        <v/>
      </c>
      <c r="B42" s="60" t="str">
        <f t="shared" si="3"/>
        <v/>
      </c>
      <c r="G42" s="74"/>
      <c r="V42" s="60" t="str">
        <f t="shared" si="4"/>
        <v/>
      </c>
      <c r="W42" s="60" t="str">
        <f t="shared" si="0"/>
        <v/>
      </c>
      <c r="X42" s="60" t="str">
        <f t="shared" si="5"/>
        <v/>
      </c>
      <c r="AC42" s="51">
        <f t="shared" si="6"/>
        <v>0</v>
      </c>
      <c r="AD42" s="44">
        <f t="shared" si="1"/>
        <v>0</v>
      </c>
      <c r="AE42" s="51">
        <f t="shared" si="7"/>
        <v>0</v>
      </c>
    </row>
    <row r="43" spans="1:31">
      <c r="A43" s="60" t="str">
        <f t="shared" si="2"/>
        <v/>
      </c>
      <c r="B43" s="60" t="str">
        <f t="shared" si="3"/>
        <v/>
      </c>
      <c r="G43" s="74"/>
      <c r="V43" s="60" t="str">
        <f t="shared" si="4"/>
        <v/>
      </c>
      <c r="W43" s="60" t="str">
        <f t="shared" si="0"/>
        <v/>
      </c>
      <c r="X43" s="60" t="str">
        <f t="shared" si="5"/>
        <v/>
      </c>
      <c r="AC43" s="51">
        <f t="shared" si="6"/>
        <v>0</v>
      </c>
      <c r="AD43" s="44">
        <f t="shared" si="1"/>
        <v>0</v>
      </c>
      <c r="AE43" s="51">
        <f t="shared" si="7"/>
        <v>0</v>
      </c>
    </row>
    <row r="44" spans="1:31">
      <c r="A44" s="60" t="str">
        <f t="shared" si="2"/>
        <v/>
      </c>
      <c r="B44" s="60" t="str">
        <f t="shared" si="3"/>
        <v/>
      </c>
      <c r="G44" s="74"/>
      <c r="V44" s="60" t="str">
        <f t="shared" si="4"/>
        <v/>
      </c>
      <c r="W44" s="60" t="str">
        <f t="shared" si="0"/>
        <v/>
      </c>
      <c r="X44" s="60" t="str">
        <f t="shared" si="5"/>
        <v/>
      </c>
      <c r="AC44" s="51">
        <f t="shared" si="6"/>
        <v>0</v>
      </c>
      <c r="AD44" s="44">
        <f t="shared" si="1"/>
        <v>0</v>
      </c>
      <c r="AE44" s="51">
        <f t="shared" si="7"/>
        <v>0</v>
      </c>
    </row>
    <row r="45" spans="1:31">
      <c r="A45" s="60" t="str">
        <f t="shared" si="2"/>
        <v/>
      </c>
      <c r="B45" s="60" t="str">
        <f t="shared" si="3"/>
        <v/>
      </c>
      <c r="G45" s="74"/>
      <c r="V45" s="60" t="str">
        <f t="shared" si="4"/>
        <v/>
      </c>
      <c r="W45" s="60" t="str">
        <f t="shared" si="0"/>
        <v/>
      </c>
      <c r="X45" s="60" t="str">
        <f t="shared" si="5"/>
        <v/>
      </c>
      <c r="AC45" s="51">
        <f t="shared" si="6"/>
        <v>0</v>
      </c>
      <c r="AD45" s="44">
        <f t="shared" si="1"/>
        <v>0</v>
      </c>
      <c r="AE45" s="51">
        <f t="shared" si="7"/>
        <v>0</v>
      </c>
    </row>
    <row r="46" spans="1:31">
      <c r="A46" s="60" t="str">
        <f t="shared" si="2"/>
        <v/>
      </c>
      <c r="B46" s="60" t="str">
        <f t="shared" si="3"/>
        <v/>
      </c>
      <c r="G46" s="74"/>
      <c r="V46" s="60" t="str">
        <f t="shared" si="4"/>
        <v/>
      </c>
      <c r="W46" s="60" t="str">
        <f t="shared" si="0"/>
        <v/>
      </c>
      <c r="X46" s="60" t="str">
        <f t="shared" si="5"/>
        <v/>
      </c>
      <c r="AC46" s="51">
        <f t="shared" si="6"/>
        <v>0</v>
      </c>
      <c r="AD46" s="44">
        <f t="shared" si="1"/>
        <v>0</v>
      </c>
      <c r="AE46" s="51">
        <f t="shared" si="7"/>
        <v>0</v>
      </c>
    </row>
    <row r="47" spans="1:31">
      <c r="A47" s="60" t="str">
        <f t="shared" si="2"/>
        <v/>
      </c>
      <c r="B47" s="60" t="str">
        <f t="shared" si="3"/>
        <v/>
      </c>
      <c r="G47" s="74"/>
      <c r="V47" s="60" t="str">
        <f t="shared" si="4"/>
        <v/>
      </c>
      <c r="W47" s="60" t="str">
        <f t="shared" si="0"/>
        <v/>
      </c>
      <c r="X47" s="60" t="str">
        <f t="shared" si="5"/>
        <v/>
      </c>
      <c r="AC47" s="51">
        <f t="shared" si="6"/>
        <v>0</v>
      </c>
      <c r="AD47" s="44">
        <f t="shared" si="1"/>
        <v>0</v>
      </c>
      <c r="AE47" s="51">
        <f t="shared" si="7"/>
        <v>0</v>
      </c>
    </row>
    <row r="48" spans="1:31">
      <c r="A48" s="60" t="str">
        <f t="shared" si="2"/>
        <v/>
      </c>
      <c r="B48" s="60" t="str">
        <f t="shared" si="3"/>
        <v/>
      </c>
      <c r="G48" s="74"/>
      <c r="V48" s="60" t="str">
        <f t="shared" si="4"/>
        <v/>
      </c>
      <c r="W48" s="60" t="str">
        <f t="shared" si="0"/>
        <v/>
      </c>
      <c r="X48" s="60" t="str">
        <f t="shared" si="5"/>
        <v/>
      </c>
      <c r="AC48" s="51">
        <f t="shared" si="6"/>
        <v>0</v>
      </c>
      <c r="AD48" s="44">
        <f t="shared" si="1"/>
        <v>0</v>
      </c>
      <c r="AE48" s="51">
        <f t="shared" si="7"/>
        <v>0</v>
      </c>
    </row>
    <row r="49" spans="1:31">
      <c r="A49" s="60" t="str">
        <f t="shared" si="2"/>
        <v/>
      </c>
      <c r="B49" s="60" t="str">
        <f t="shared" si="3"/>
        <v/>
      </c>
      <c r="G49" s="74"/>
      <c r="V49" s="60" t="str">
        <f t="shared" si="4"/>
        <v/>
      </c>
      <c r="W49" s="60" t="str">
        <f t="shared" si="0"/>
        <v/>
      </c>
      <c r="X49" s="60" t="str">
        <f t="shared" si="5"/>
        <v/>
      </c>
      <c r="AC49" s="51">
        <f t="shared" si="6"/>
        <v>0</v>
      </c>
      <c r="AD49" s="44">
        <f t="shared" si="1"/>
        <v>0</v>
      </c>
      <c r="AE49" s="51">
        <f t="shared" si="7"/>
        <v>0</v>
      </c>
    </row>
    <row r="50" spans="1:31">
      <c r="A50" s="60" t="str">
        <f t="shared" si="2"/>
        <v/>
      </c>
      <c r="B50" s="60" t="str">
        <f t="shared" si="3"/>
        <v/>
      </c>
      <c r="G50" s="74"/>
      <c r="V50" s="60" t="str">
        <f t="shared" si="4"/>
        <v/>
      </c>
      <c r="W50" s="60" t="str">
        <f t="shared" si="0"/>
        <v/>
      </c>
      <c r="X50" s="60" t="str">
        <f t="shared" si="5"/>
        <v/>
      </c>
      <c r="AC50" s="51">
        <f t="shared" si="6"/>
        <v>0</v>
      </c>
      <c r="AD50" s="44">
        <f t="shared" si="1"/>
        <v>0</v>
      </c>
      <c r="AE50" s="51">
        <f t="shared" si="7"/>
        <v>0</v>
      </c>
    </row>
    <row r="51" spans="1:31">
      <c r="A51" s="60" t="str">
        <f t="shared" si="2"/>
        <v/>
      </c>
      <c r="B51" s="60" t="str">
        <f t="shared" si="3"/>
        <v/>
      </c>
      <c r="G51" s="74"/>
      <c r="V51" s="60" t="str">
        <f t="shared" si="4"/>
        <v/>
      </c>
      <c r="W51" s="60" t="str">
        <f t="shared" si="0"/>
        <v/>
      </c>
      <c r="X51" s="60" t="str">
        <f t="shared" si="5"/>
        <v/>
      </c>
      <c r="AC51" s="51">
        <f t="shared" si="6"/>
        <v>0</v>
      </c>
      <c r="AD51" s="44">
        <f t="shared" si="1"/>
        <v>0</v>
      </c>
      <c r="AE51" s="51">
        <f t="shared" si="7"/>
        <v>0</v>
      </c>
    </row>
    <row r="52" spans="1:31">
      <c r="A52" s="60" t="str">
        <f t="shared" si="2"/>
        <v/>
      </c>
      <c r="B52" s="60" t="str">
        <f t="shared" si="3"/>
        <v/>
      </c>
      <c r="G52" s="74"/>
      <c r="V52" s="60" t="str">
        <f t="shared" si="4"/>
        <v/>
      </c>
      <c r="W52" s="60" t="str">
        <f t="shared" si="0"/>
        <v/>
      </c>
      <c r="X52" s="60" t="str">
        <f t="shared" si="5"/>
        <v/>
      </c>
      <c r="AC52" s="51">
        <f t="shared" si="6"/>
        <v>0</v>
      </c>
      <c r="AD52" s="44">
        <f t="shared" si="1"/>
        <v>0</v>
      </c>
      <c r="AE52" s="51">
        <f t="shared" si="7"/>
        <v>0</v>
      </c>
    </row>
    <row r="53" spans="1:31">
      <c r="A53" s="60" t="str">
        <f t="shared" si="2"/>
        <v/>
      </c>
      <c r="B53" s="60" t="str">
        <f t="shared" si="3"/>
        <v/>
      </c>
      <c r="G53" s="74"/>
      <c r="V53" s="60" t="str">
        <f t="shared" si="4"/>
        <v/>
      </c>
      <c r="W53" s="60" t="str">
        <f t="shared" si="0"/>
        <v/>
      </c>
      <c r="X53" s="60" t="str">
        <f t="shared" si="5"/>
        <v/>
      </c>
      <c r="AC53" s="51">
        <f t="shared" si="6"/>
        <v>0</v>
      </c>
      <c r="AD53" s="44">
        <f t="shared" si="1"/>
        <v>0</v>
      </c>
      <c r="AE53" s="51">
        <f t="shared" si="7"/>
        <v>0</v>
      </c>
    </row>
    <row r="54" spans="1:31">
      <c r="A54" s="60" t="str">
        <f t="shared" si="2"/>
        <v/>
      </c>
      <c r="B54" s="60" t="str">
        <f t="shared" si="3"/>
        <v/>
      </c>
      <c r="G54" s="74"/>
      <c r="V54" s="60" t="str">
        <f t="shared" si="4"/>
        <v/>
      </c>
      <c r="W54" s="60" t="str">
        <f t="shared" si="0"/>
        <v/>
      </c>
      <c r="X54" s="60" t="str">
        <f t="shared" si="5"/>
        <v/>
      </c>
      <c r="AC54" s="51">
        <f t="shared" si="6"/>
        <v>0</v>
      </c>
      <c r="AD54" s="44">
        <f t="shared" si="1"/>
        <v>0</v>
      </c>
      <c r="AE54" s="51">
        <f t="shared" si="7"/>
        <v>0</v>
      </c>
    </row>
    <row r="55" spans="1:31">
      <c r="A55" s="60" t="str">
        <f t="shared" si="2"/>
        <v/>
      </c>
      <c r="B55" s="60" t="str">
        <f t="shared" si="3"/>
        <v/>
      </c>
      <c r="G55" s="74"/>
      <c r="V55" s="60" t="str">
        <f t="shared" si="4"/>
        <v/>
      </c>
      <c r="W55" s="60" t="str">
        <f t="shared" si="0"/>
        <v/>
      </c>
      <c r="X55" s="60" t="str">
        <f t="shared" si="5"/>
        <v/>
      </c>
      <c r="AC55" s="51">
        <f t="shared" si="6"/>
        <v>0</v>
      </c>
      <c r="AD55" s="44">
        <f t="shared" si="1"/>
        <v>0</v>
      </c>
      <c r="AE55" s="51">
        <f t="shared" si="7"/>
        <v>0</v>
      </c>
    </row>
    <row r="56" spans="1:31">
      <c r="A56" s="60" t="str">
        <f t="shared" si="2"/>
        <v/>
      </c>
      <c r="B56" s="60" t="str">
        <f t="shared" si="3"/>
        <v/>
      </c>
      <c r="G56" s="74"/>
      <c r="V56" s="60" t="str">
        <f t="shared" si="4"/>
        <v/>
      </c>
      <c r="W56" s="60" t="str">
        <f t="shared" si="0"/>
        <v/>
      </c>
      <c r="X56" s="60" t="str">
        <f t="shared" si="5"/>
        <v/>
      </c>
      <c r="AC56" s="51">
        <f t="shared" si="6"/>
        <v>0</v>
      </c>
      <c r="AD56" s="44">
        <f t="shared" si="1"/>
        <v>0</v>
      </c>
      <c r="AE56" s="51">
        <f t="shared" si="7"/>
        <v>0</v>
      </c>
    </row>
    <row r="57" spans="1:31">
      <c r="A57" s="60" t="str">
        <f t="shared" si="2"/>
        <v/>
      </c>
      <c r="B57" s="60" t="str">
        <f t="shared" si="3"/>
        <v/>
      </c>
      <c r="G57" s="74"/>
      <c r="V57" s="60" t="str">
        <f t="shared" si="4"/>
        <v/>
      </c>
      <c r="W57" s="60" t="str">
        <f t="shared" si="0"/>
        <v/>
      </c>
      <c r="X57" s="60" t="str">
        <f t="shared" si="5"/>
        <v/>
      </c>
      <c r="AC57" s="51">
        <f t="shared" si="6"/>
        <v>0</v>
      </c>
      <c r="AD57" s="44">
        <f t="shared" si="1"/>
        <v>0</v>
      </c>
      <c r="AE57" s="51">
        <f t="shared" si="7"/>
        <v>0</v>
      </c>
    </row>
    <row r="58" spans="1:31">
      <c r="A58" s="60" t="str">
        <f t="shared" si="2"/>
        <v/>
      </c>
      <c r="B58" s="60" t="str">
        <f t="shared" si="3"/>
        <v/>
      </c>
      <c r="G58" s="74"/>
      <c r="V58" s="60" t="str">
        <f t="shared" si="4"/>
        <v/>
      </c>
      <c r="W58" s="60" t="str">
        <f t="shared" si="0"/>
        <v/>
      </c>
      <c r="X58" s="60" t="str">
        <f t="shared" si="5"/>
        <v/>
      </c>
      <c r="AC58" s="51">
        <f t="shared" si="6"/>
        <v>0</v>
      </c>
      <c r="AD58" s="44">
        <f t="shared" si="1"/>
        <v>0</v>
      </c>
      <c r="AE58" s="51">
        <f t="shared" si="7"/>
        <v>0</v>
      </c>
    </row>
    <row r="59" spans="1:31">
      <c r="A59" s="60" t="str">
        <f t="shared" si="2"/>
        <v/>
      </c>
      <c r="B59" s="60" t="str">
        <f t="shared" si="3"/>
        <v/>
      </c>
      <c r="G59" s="74"/>
      <c r="V59" s="60" t="str">
        <f t="shared" si="4"/>
        <v/>
      </c>
      <c r="W59" s="60" t="str">
        <f t="shared" si="0"/>
        <v/>
      </c>
      <c r="X59" s="60" t="str">
        <f t="shared" si="5"/>
        <v/>
      </c>
      <c r="AC59" s="51">
        <f t="shared" si="6"/>
        <v>0</v>
      </c>
      <c r="AD59" s="44">
        <f t="shared" si="1"/>
        <v>0</v>
      </c>
      <c r="AE59" s="51">
        <f t="shared" si="7"/>
        <v>0</v>
      </c>
    </row>
    <row r="60" spans="1:31">
      <c r="A60" s="60" t="str">
        <f t="shared" si="2"/>
        <v/>
      </c>
      <c r="B60" s="60" t="str">
        <f t="shared" si="3"/>
        <v/>
      </c>
      <c r="G60" s="74"/>
      <c r="V60" s="60" t="str">
        <f t="shared" si="4"/>
        <v/>
      </c>
      <c r="W60" s="60" t="str">
        <f t="shared" si="0"/>
        <v/>
      </c>
      <c r="X60" s="60" t="str">
        <f t="shared" si="5"/>
        <v/>
      </c>
      <c r="AC60" s="51">
        <f t="shared" si="6"/>
        <v>0</v>
      </c>
      <c r="AD60" s="44">
        <f t="shared" si="1"/>
        <v>0</v>
      </c>
      <c r="AE60" s="51">
        <f t="shared" si="7"/>
        <v>0</v>
      </c>
    </row>
    <row r="61" spans="1:31">
      <c r="A61" s="60" t="str">
        <f t="shared" si="2"/>
        <v/>
      </c>
      <c r="B61" s="60" t="str">
        <f t="shared" si="3"/>
        <v/>
      </c>
      <c r="G61" s="74"/>
      <c r="V61" s="60" t="str">
        <f t="shared" si="4"/>
        <v/>
      </c>
      <c r="W61" s="60" t="str">
        <f t="shared" si="0"/>
        <v/>
      </c>
      <c r="X61" s="60" t="str">
        <f t="shared" si="5"/>
        <v/>
      </c>
      <c r="AC61" s="51">
        <f t="shared" si="6"/>
        <v>0</v>
      </c>
      <c r="AD61" s="44">
        <f t="shared" si="1"/>
        <v>0</v>
      </c>
      <c r="AE61" s="51">
        <f t="shared" si="7"/>
        <v>0</v>
      </c>
    </row>
    <row r="62" spans="1:31">
      <c r="A62" s="60" t="str">
        <f t="shared" si="2"/>
        <v/>
      </c>
      <c r="B62" s="60" t="str">
        <f t="shared" si="3"/>
        <v/>
      </c>
      <c r="G62" s="74"/>
      <c r="V62" s="60" t="str">
        <f t="shared" si="4"/>
        <v/>
      </c>
      <c r="W62" s="60" t="str">
        <f t="shared" si="0"/>
        <v/>
      </c>
      <c r="X62" s="60" t="str">
        <f t="shared" si="5"/>
        <v/>
      </c>
      <c r="AC62" s="51">
        <f t="shared" si="6"/>
        <v>0</v>
      </c>
      <c r="AD62" s="44">
        <f t="shared" si="1"/>
        <v>0</v>
      </c>
      <c r="AE62" s="51">
        <f t="shared" si="7"/>
        <v>0</v>
      </c>
    </row>
    <row r="63" spans="1:31">
      <c r="A63" s="60" t="str">
        <f t="shared" si="2"/>
        <v/>
      </c>
      <c r="B63" s="60" t="str">
        <f t="shared" si="3"/>
        <v/>
      </c>
      <c r="G63" s="74"/>
      <c r="V63" s="60" t="str">
        <f t="shared" si="4"/>
        <v/>
      </c>
      <c r="W63" s="60" t="str">
        <f t="shared" si="0"/>
        <v/>
      </c>
      <c r="X63" s="60" t="str">
        <f t="shared" si="5"/>
        <v/>
      </c>
      <c r="AC63" s="51">
        <f t="shared" si="6"/>
        <v>0</v>
      </c>
      <c r="AD63" s="44">
        <f t="shared" si="1"/>
        <v>0</v>
      </c>
      <c r="AE63" s="51">
        <f t="shared" si="7"/>
        <v>0</v>
      </c>
    </row>
    <row r="64" spans="1:31">
      <c r="A64" s="60" t="str">
        <f t="shared" si="2"/>
        <v/>
      </c>
      <c r="B64" s="60" t="str">
        <f t="shared" si="3"/>
        <v/>
      </c>
      <c r="G64" s="74"/>
      <c r="V64" s="60" t="str">
        <f t="shared" si="4"/>
        <v/>
      </c>
      <c r="W64" s="60" t="str">
        <f t="shared" si="0"/>
        <v/>
      </c>
      <c r="X64" s="60" t="str">
        <f t="shared" si="5"/>
        <v/>
      </c>
      <c r="AC64" s="51">
        <f t="shared" si="6"/>
        <v>0</v>
      </c>
      <c r="AD64" s="44">
        <f t="shared" si="1"/>
        <v>0</v>
      </c>
      <c r="AE64" s="51">
        <f t="shared" si="7"/>
        <v>0</v>
      </c>
    </row>
    <row r="65" spans="1:31">
      <c r="A65" s="60" t="str">
        <f t="shared" si="2"/>
        <v/>
      </c>
      <c r="B65" s="60" t="str">
        <f t="shared" si="3"/>
        <v/>
      </c>
      <c r="G65" s="74"/>
      <c r="V65" s="60" t="str">
        <f t="shared" si="4"/>
        <v/>
      </c>
      <c r="W65" s="60" t="str">
        <f t="shared" si="0"/>
        <v/>
      </c>
      <c r="X65" s="60" t="str">
        <f t="shared" si="5"/>
        <v/>
      </c>
      <c r="AC65" s="51">
        <f t="shared" si="6"/>
        <v>0</v>
      </c>
      <c r="AD65" s="44">
        <f t="shared" si="1"/>
        <v>0</v>
      </c>
      <c r="AE65" s="51">
        <f t="shared" si="7"/>
        <v>0</v>
      </c>
    </row>
    <row r="66" spans="1:31">
      <c r="A66" s="60" t="str">
        <f t="shared" si="2"/>
        <v/>
      </c>
      <c r="B66" s="60" t="str">
        <f t="shared" si="3"/>
        <v/>
      </c>
      <c r="G66" s="74"/>
      <c r="V66" s="60" t="str">
        <f t="shared" si="4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si="5"/>
        <v/>
      </c>
      <c r="AC66" s="51">
        <f t="shared" si="6"/>
        <v>0</v>
      </c>
      <c r="AD66" s="44">
        <f t="shared" si="1"/>
        <v>0</v>
      </c>
      <c r="AE66" s="51">
        <f t="shared" si="7"/>
        <v>0</v>
      </c>
    </row>
    <row r="67" spans="1:31">
      <c r="A67" s="60" t="str">
        <f t="shared" ref="A67:A130" si="9">IF(G67&amp;Q67&lt;&gt;"",W67&amp;Q67,"")</f>
        <v/>
      </c>
      <c r="B67" s="60" t="str">
        <f t="shared" ref="B67:B130" si="10">IF(C67&lt;&gt;"",LEFT(C67,9),"")</f>
        <v/>
      </c>
      <c r="G67" s="74"/>
      <c r="V67" s="60" t="str">
        <f t="shared" ref="V67:V130" si="11">W67&amp;H67</f>
        <v/>
      </c>
      <c r="W67" s="60" t="str">
        <f t="shared" si="8"/>
        <v/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9"/>
        <v/>
      </c>
      <c r="B68" s="60" t="str">
        <f t="shared" si="10"/>
        <v/>
      </c>
      <c r="G68" s="74"/>
      <c r="V68" s="60" t="str">
        <f t="shared" si="11"/>
        <v/>
      </c>
      <c r="W68" s="60" t="str">
        <f t="shared" si="8"/>
        <v/>
      </c>
      <c r="X68" s="60" t="str">
        <f t="shared" si="12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9"/>
        <v/>
      </c>
      <c r="B69" s="60" t="str">
        <f t="shared" si="10"/>
        <v/>
      </c>
      <c r="G69" s="74"/>
      <c r="V69" s="60" t="str">
        <f t="shared" si="11"/>
        <v/>
      </c>
      <c r="W69" s="60" t="str">
        <f t="shared" si="8"/>
        <v/>
      </c>
      <c r="X69" s="60" t="str">
        <f t="shared" si="12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9"/>
        <v/>
      </c>
      <c r="B70" s="60" t="str">
        <f t="shared" si="10"/>
        <v/>
      </c>
      <c r="G70" s="74"/>
      <c r="V70" s="60" t="str">
        <f t="shared" si="11"/>
        <v/>
      </c>
      <c r="W70" s="60" t="str">
        <f t="shared" si="8"/>
        <v/>
      </c>
      <c r="X70" s="60" t="str">
        <f t="shared" si="12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9"/>
        <v/>
      </c>
      <c r="B71" s="60" t="str">
        <f t="shared" si="10"/>
        <v/>
      </c>
      <c r="G71" s="74"/>
      <c r="V71" s="60" t="str">
        <f t="shared" si="11"/>
        <v/>
      </c>
      <c r="W71" s="60" t="str">
        <f t="shared" si="8"/>
        <v/>
      </c>
      <c r="X71" s="60" t="str">
        <f t="shared" si="12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9"/>
        <v/>
      </c>
      <c r="B72" s="60" t="str">
        <f t="shared" si="10"/>
        <v/>
      </c>
      <c r="G72" s="74"/>
      <c r="V72" s="60" t="str">
        <f t="shared" si="11"/>
        <v/>
      </c>
      <c r="W72" s="60" t="str">
        <f t="shared" si="8"/>
        <v/>
      </c>
      <c r="X72" s="60" t="str">
        <f t="shared" si="12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9"/>
        <v/>
      </c>
      <c r="B73" s="60" t="str">
        <f t="shared" si="10"/>
        <v/>
      </c>
      <c r="G73" s="74"/>
      <c r="V73" s="60" t="str">
        <f t="shared" si="11"/>
        <v/>
      </c>
      <c r="W73" s="60" t="str">
        <f t="shared" si="8"/>
        <v/>
      </c>
      <c r="X73" s="60" t="str">
        <f t="shared" si="12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9"/>
        <v/>
      </c>
      <c r="B74" s="60" t="str">
        <f t="shared" si="10"/>
        <v/>
      </c>
      <c r="G74" s="74"/>
      <c r="V74" s="60" t="str">
        <f t="shared" si="11"/>
        <v/>
      </c>
      <c r="W74" s="60" t="str">
        <f t="shared" si="8"/>
        <v/>
      </c>
      <c r="X74" s="60" t="str">
        <f t="shared" si="12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9"/>
        <v/>
      </c>
      <c r="B75" s="60" t="str">
        <f t="shared" si="10"/>
        <v/>
      </c>
      <c r="G75" s="74"/>
      <c r="V75" s="60" t="str">
        <f t="shared" si="11"/>
        <v/>
      </c>
      <c r="W75" s="60" t="str">
        <f t="shared" si="8"/>
        <v/>
      </c>
      <c r="X75" s="60" t="str">
        <f t="shared" si="12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9"/>
        <v/>
      </c>
      <c r="B76" s="60" t="str">
        <f t="shared" si="10"/>
        <v/>
      </c>
      <c r="G76" s="74"/>
      <c r="V76" s="60" t="str">
        <f t="shared" si="11"/>
        <v/>
      </c>
      <c r="W76" s="60" t="str">
        <f t="shared" si="8"/>
        <v/>
      </c>
      <c r="X76" s="60" t="str">
        <f t="shared" si="12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9"/>
        <v/>
      </c>
      <c r="B77" s="60" t="str">
        <f t="shared" si="10"/>
        <v/>
      </c>
      <c r="G77" s="74"/>
      <c r="V77" s="60" t="str">
        <f t="shared" si="11"/>
        <v/>
      </c>
      <c r="W77" s="60" t="str">
        <f t="shared" si="8"/>
        <v/>
      </c>
      <c r="X77" s="60" t="str">
        <f t="shared" si="12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9"/>
        <v/>
      </c>
      <c r="B78" s="60" t="str">
        <f t="shared" si="10"/>
        <v/>
      </c>
      <c r="G78" s="74"/>
      <c r="V78" s="60" t="str">
        <f t="shared" si="11"/>
        <v/>
      </c>
      <c r="W78" s="60" t="str">
        <f t="shared" si="8"/>
        <v/>
      </c>
      <c r="X78" s="60" t="str">
        <f t="shared" si="12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9"/>
        <v/>
      </c>
      <c r="B79" s="60" t="str">
        <f t="shared" si="10"/>
        <v/>
      </c>
      <c r="G79" s="74"/>
      <c r="V79" s="60" t="str">
        <f t="shared" si="11"/>
        <v/>
      </c>
      <c r="W79" s="60" t="str">
        <f t="shared" si="8"/>
        <v/>
      </c>
      <c r="X79" s="60" t="str">
        <f t="shared" si="12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9"/>
        <v/>
      </c>
      <c r="B80" s="60" t="str">
        <f t="shared" si="10"/>
        <v/>
      </c>
      <c r="G80" s="74"/>
      <c r="V80" s="60" t="str">
        <f t="shared" si="11"/>
        <v/>
      </c>
      <c r="W80" s="60" t="str">
        <f t="shared" si="8"/>
        <v/>
      </c>
      <c r="X80" s="60" t="str">
        <f t="shared" si="12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9"/>
        <v/>
      </c>
      <c r="B81" s="60" t="str">
        <f t="shared" si="10"/>
        <v/>
      </c>
      <c r="G81" s="74"/>
      <c r="V81" s="60" t="str">
        <f t="shared" si="11"/>
        <v/>
      </c>
      <c r="W81" s="60" t="str">
        <f t="shared" si="8"/>
        <v/>
      </c>
      <c r="X81" s="60" t="str">
        <f t="shared" si="12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9"/>
        <v/>
      </c>
      <c r="B82" s="60" t="str">
        <f t="shared" si="10"/>
        <v/>
      </c>
      <c r="G82" s="74"/>
      <c r="V82" s="60" t="str">
        <f t="shared" si="11"/>
        <v/>
      </c>
      <c r="W82" s="60" t="str">
        <f t="shared" si="8"/>
        <v/>
      </c>
      <c r="X82" s="60" t="str">
        <f t="shared" si="12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9"/>
        <v/>
      </c>
      <c r="B83" s="60" t="str">
        <f t="shared" si="10"/>
        <v/>
      </c>
      <c r="G83" s="74"/>
      <c r="V83" s="60" t="str">
        <f t="shared" si="11"/>
        <v/>
      </c>
      <c r="W83" s="60" t="str">
        <f t="shared" si="8"/>
        <v/>
      </c>
      <c r="X83" s="60" t="str">
        <f t="shared" si="12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9"/>
        <v/>
      </c>
      <c r="B84" s="60" t="str">
        <f t="shared" si="10"/>
        <v/>
      </c>
      <c r="G84" s="74"/>
      <c r="V84" s="60" t="str">
        <f t="shared" si="11"/>
        <v/>
      </c>
      <c r="W84" s="60" t="str">
        <f t="shared" si="8"/>
        <v/>
      </c>
      <c r="X84" s="60" t="str">
        <f t="shared" si="12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9"/>
        <v/>
      </c>
      <c r="B85" s="60" t="str">
        <f t="shared" si="10"/>
        <v/>
      </c>
      <c r="G85" s="74"/>
      <c r="V85" s="60" t="str">
        <f t="shared" si="11"/>
        <v/>
      </c>
      <c r="W85" s="60" t="str">
        <f t="shared" si="8"/>
        <v/>
      </c>
      <c r="X85" s="60" t="str">
        <f t="shared" si="12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9"/>
        <v/>
      </c>
      <c r="B86" s="60" t="str">
        <f t="shared" si="10"/>
        <v/>
      </c>
      <c r="G86" s="74"/>
      <c r="V86" s="60" t="str">
        <f t="shared" si="11"/>
        <v/>
      </c>
      <c r="W86" s="60" t="str">
        <f t="shared" si="8"/>
        <v/>
      </c>
      <c r="X86" s="60" t="str">
        <f t="shared" si="12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9"/>
        <v/>
      </c>
      <c r="B87" s="60" t="str">
        <f t="shared" si="10"/>
        <v/>
      </c>
      <c r="G87" s="74"/>
      <c r="V87" s="60" t="str">
        <f t="shared" si="11"/>
        <v/>
      </c>
      <c r="W87" s="60" t="str">
        <f t="shared" si="8"/>
        <v/>
      </c>
      <c r="X87" s="60" t="str">
        <f t="shared" si="12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9"/>
        <v/>
      </c>
      <c r="B88" s="60" t="str">
        <f t="shared" si="10"/>
        <v/>
      </c>
      <c r="G88" s="74"/>
      <c r="V88" s="60" t="str">
        <f t="shared" si="11"/>
        <v/>
      </c>
      <c r="W88" s="60" t="str">
        <f t="shared" si="8"/>
        <v/>
      </c>
      <c r="X88" s="60" t="str">
        <f t="shared" si="12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9"/>
        <v/>
      </c>
      <c r="B89" s="60" t="str">
        <f t="shared" si="10"/>
        <v/>
      </c>
      <c r="G89" s="74"/>
      <c r="V89" s="60" t="str">
        <f t="shared" si="11"/>
        <v/>
      </c>
      <c r="W89" s="60" t="str">
        <f t="shared" si="8"/>
        <v/>
      </c>
      <c r="X89" s="60" t="str">
        <f t="shared" si="12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9"/>
        <v/>
      </c>
      <c r="B90" s="60" t="str">
        <f t="shared" si="10"/>
        <v/>
      </c>
      <c r="G90" s="74"/>
      <c r="V90" s="60" t="str">
        <f t="shared" si="11"/>
        <v/>
      </c>
      <c r="W90" s="60" t="str">
        <f t="shared" si="8"/>
        <v/>
      </c>
      <c r="X90" s="60" t="str">
        <f t="shared" si="12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9"/>
        <v/>
      </c>
      <c r="B91" s="60" t="str">
        <f t="shared" si="10"/>
        <v/>
      </c>
      <c r="G91" s="74"/>
      <c r="V91" s="60" t="str">
        <f t="shared" si="11"/>
        <v/>
      </c>
      <c r="W91" s="60" t="str">
        <f t="shared" si="8"/>
        <v/>
      </c>
      <c r="X91" s="60" t="str">
        <f t="shared" si="12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9"/>
        <v/>
      </c>
      <c r="B92" s="60" t="str">
        <f t="shared" si="10"/>
        <v/>
      </c>
      <c r="V92" s="60" t="str">
        <f t="shared" si="11"/>
        <v/>
      </c>
      <c r="W92" s="60" t="str">
        <f t="shared" si="8"/>
        <v/>
      </c>
      <c r="X92" s="60" t="str">
        <f t="shared" si="12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9"/>
        <v/>
      </c>
      <c r="B93" s="60" t="str">
        <f t="shared" si="10"/>
        <v/>
      </c>
      <c r="V93" s="60" t="str">
        <f t="shared" si="11"/>
        <v/>
      </c>
      <c r="W93" s="60" t="str">
        <f t="shared" si="8"/>
        <v/>
      </c>
      <c r="X93" s="60" t="str">
        <f t="shared" si="12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9"/>
        <v/>
      </c>
      <c r="B94" s="60" t="str">
        <f t="shared" si="10"/>
        <v/>
      </c>
      <c r="V94" s="60" t="str">
        <f t="shared" si="11"/>
        <v/>
      </c>
      <c r="W94" s="60" t="str">
        <f t="shared" si="8"/>
        <v/>
      </c>
      <c r="X94" s="60" t="str">
        <f t="shared" si="12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9"/>
        <v/>
      </c>
      <c r="B95" s="60" t="str">
        <f t="shared" si="10"/>
        <v/>
      </c>
      <c r="V95" s="60" t="str">
        <f t="shared" si="11"/>
        <v/>
      </c>
      <c r="W95" s="60" t="str">
        <f t="shared" si="8"/>
        <v/>
      </c>
      <c r="X95" s="60" t="str">
        <f t="shared" si="12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9"/>
        <v/>
      </c>
      <c r="B96" s="60" t="str">
        <f t="shared" si="10"/>
        <v/>
      </c>
      <c r="V96" s="60" t="str">
        <f t="shared" si="11"/>
        <v/>
      </c>
      <c r="W96" s="60" t="str">
        <f t="shared" si="8"/>
        <v/>
      </c>
      <c r="X96" s="60" t="str">
        <f t="shared" si="12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9"/>
        <v/>
      </c>
      <c r="B97" s="60" t="str">
        <f t="shared" si="10"/>
        <v/>
      </c>
      <c r="V97" s="60" t="str">
        <f t="shared" si="11"/>
        <v/>
      </c>
      <c r="W97" s="60" t="str">
        <f t="shared" si="8"/>
        <v/>
      </c>
      <c r="X97" s="60" t="str">
        <f t="shared" si="12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9"/>
        <v/>
      </c>
      <c r="B98" s="60" t="str">
        <f t="shared" si="10"/>
        <v/>
      </c>
      <c r="V98" s="60" t="str">
        <f t="shared" si="11"/>
        <v/>
      </c>
      <c r="W98" s="60" t="str">
        <f t="shared" si="8"/>
        <v/>
      </c>
      <c r="X98" s="60" t="str">
        <f t="shared" si="12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9"/>
        <v/>
      </c>
      <c r="B99" s="60" t="str">
        <f t="shared" si="10"/>
        <v/>
      </c>
      <c r="V99" s="60" t="str">
        <f t="shared" si="11"/>
        <v/>
      </c>
      <c r="W99" s="60" t="str">
        <f t="shared" si="8"/>
        <v/>
      </c>
      <c r="X99" s="60" t="str">
        <f t="shared" si="12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9"/>
        <v/>
      </c>
      <c r="B100" s="60" t="str">
        <f t="shared" si="10"/>
        <v/>
      </c>
      <c r="V100" s="60" t="str">
        <f t="shared" si="11"/>
        <v/>
      </c>
      <c r="W100" s="60" t="str">
        <f t="shared" si="8"/>
        <v/>
      </c>
      <c r="X100" s="60" t="str">
        <f t="shared" si="12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9"/>
        <v/>
      </c>
      <c r="B101" s="60" t="str">
        <f t="shared" si="10"/>
        <v/>
      </c>
      <c r="V101" s="60" t="str">
        <f t="shared" si="11"/>
        <v/>
      </c>
      <c r="W101" s="60" t="str">
        <f t="shared" si="8"/>
        <v/>
      </c>
      <c r="X101" s="60" t="str">
        <f t="shared" si="12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9"/>
        <v/>
      </c>
      <c r="B102" s="60" t="str">
        <f t="shared" si="10"/>
        <v/>
      </c>
      <c r="V102" s="60" t="str">
        <f t="shared" si="11"/>
        <v/>
      </c>
      <c r="W102" s="60" t="str">
        <f t="shared" si="8"/>
        <v/>
      </c>
      <c r="X102" s="60" t="str">
        <f t="shared" si="12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9"/>
        <v/>
      </c>
      <c r="B103" s="60" t="str">
        <f t="shared" si="10"/>
        <v/>
      </c>
      <c r="V103" s="60" t="str">
        <f t="shared" si="11"/>
        <v/>
      </c>
      <c r="W103" s="60" t="str">
        <f t="shared" si="8"/>
        <v/>
      </c>
      <c r="X103" s="60" t="str">
        <f t="shared" si="12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9"/>
        <v/>
      </c>
      <c r="B104" s="60" t="str">
        <f t="shared" si="10"/>
        <v/>
      </c>
      <c r="V104" s="60" t="str">
        <f t="shared" si="11"/>
        <v/>
      </c>
      <c r="W104" s="60" t="str">
        <f t="shared" si="8"/>
        <v/>
      </c>
      <c r="X104" s="60" t="str">
        <f t="shared" si="12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9"/>
        <v/>
      </c>
      <c r="B105" s="60" t="str">
        <f t="shared" si="10"/>
        <v/>
      </c>
      <c r="V105" s="60" t="str">
        <f t="shared" si="11"/>
        <v/>
      </c>
      <c r="W105" s="60" t="str">
        <f t="shared" si="8"/>
        <v/>
      </c>
      <c r="X105" s="60" t="str">
        <f t="shared" si="12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9"/>
        <v/>
      </c>
      <c r="B106" s="60" t="str">
        <f t="shared" si="10"/>
        <v/>
      </c>
      <c r="V106" s="60" t="str">
        <f t="shared" si="11"/>
        <v/>
      </c>
      <c r="W106" s="60" t="str">
        <f t="shared" si="8"/>
        <v/>
      </c>
      <c r="X106" s="60" t="str">
        <f t="shared" si="12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9"/>
        <v/>
      </c>
      <c r="B107" s="60" t="str">
        <f t="shared" si="10"/>
        <v/>
      </c>
      <c r="V107" s="60" t="str">
        <f t="shared" si="11"/>
        <v/>
      </c>
      <c r="W107" s="60" t="str">
        <f t="shared" si="8"/>
        <v/>
      </c>
      <c r="X107" s="60" t="str">
        <f t="shared" si="12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9"/>
        <v/>
      </c>
      <c r="B108" s="60" t="str">
        <f t="shared" si="10"/>
        <v/>
      </c>
      <c r="V108" s="60" t="str">
        <f t="shared" si="11"/>
        <v/>
      </c>
      <c r="W108" s="60" t="str">
        <f t="shared" si="8"/>
        <v/>
      </c>
      <c r="X108" s="60" t="str">
        <f t="shared" si="12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9"/>
        <v/>
      </c>
      <c r="B109" s="60" t="str">
        <f t="shared" si="10"/>
        <v/>
      </c>
      <c r="V109" s="60" t="str">
        <f t="shared" si="11"/>
        <v/>
      </c>
      <c r="W109" s="60" t="str">
        <f t="shared" si="8"/>
        <v/>
      </c>
      <c r="X109" s="60" t="str">
        <f t="shared" si="12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9"/>
        <v/>
      </c>
      <c r="B110" s="60" t="str">
        <f t="shared" si="10"/>
        <v/>
      </c>
      <c r="V110" s="60" t="str">
        <f t="shared" si="11"/>
        <v/>
      </c>
      <c r="W110" s="60" t="str">
        <f t="shared" si="8"/>
        <v/>
      </c>
      <c r="X110" s="60" t="str">
        <f t="shared" si="12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9"/>
        <v/>
      </c>
      <c r="B111" s="60" t="str">
        <f t="shared" si="10"/>
        <v/>
      </c>
      <c r="V111" s="60" t="str">
        <f t="shared" si="11"/>
        <v/>
      </c>
      <c r="W111" s="60" t="str">
        <f t="shared" si="8"/>
        <v/>
      </c>
      <c r="X111" s="60" t="str">
        <f t="shared" si="12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9"/>
        <v/>
      </c>
      <c r="B112" s="60" t="str">
        <f t="shared" si="10"/>
        <v/>
      </c>
      <c r="V112" s="60" t="str">
        <f t="shared" si="11"/>
        <v/>
      </c>
      <c r="W112" s="60" t="str">
        <f t="shared" si="8"/>
        <v/>
      </c>
      <c r="X112" s="60" t="str">
        <f t="shared" si="12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9"/>
        <v/>
      </c>
      <c r="B113" s="60" t="str">
        <f t="shared" si="10"/>
        <v/>
      </c>
      <c r="V113" s="60" t="str">
        <f t="shared" si="11"/>
        <v/>
      </c>
      <c r="W113" s="60" t="str">
        <f t="shared" si="8"/>
        <v/>
      </c>
      <c r="X113" s="60" t="str">
        <f t="shared" si="12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9"/>
        <v/>
      </c>
      <c r="B114" s="60" t="str">
        <f t="shared" si="10"/>
        <v/>
      </c>
      <c r="V114" s="60" t="str">
        <f t="shared" si="11"/>
        <v/>
      </c>
      <c r="W114" s="60" t="str">
        <f t="shared" si="8"/>
        <v/>
      </c>
      <c r="X114" s="60" t="str">
        <f t="shared" si="12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9"/>
        <v/>
      </c>
      <c r="B115" s="60" t="str">
        <f t="shared" si="10"/>
        <v/>
      </c>
      <c r="V115" s="60" t="str">
        <f t="shared" si="11"/>
        <v/>
      </c>
      <c r="W115" s="60" t="str">
        <f t="shared" si="8"/>
        <v/>
      </c>
      <c r="X115" s="60" t="str">
        <f t="shared" si="12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9"/>
        <v/>
      </c>
      <c r="B116" s="60" t="str">
        <f t="shared" si="10"/>
        <v/>
      </c>
      <c r="V116" s="60" t="str">
        <f t="shared" si="11"/>
        <v/>
      </c>
      <c r="W116" s="60" t="str">
        <f t="shared" si="8"/>
        <v/>
      </c>
      <c r="X116" s="60" t="str">
        <f t="shared" si="12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9"/>
        <v/>
      </c>
      <c r="B117" s="60" t="str">
        <f t="shared" si="10"/>
        <v/>
      </c>
      <c r="V117" s="60" t="str">
        <f t="shared" si="11"/>
        <v/>
      </c>
      <c r="W117" s="60" t="str">
        <f t="shared" si="8"/>
        <v/>
      </c>
      <c r="X117" s="60" t="str">
        <f t="shared" si="12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9"/>
        <v/>
      </c>
      <c r="B118" s="60" t="str">
        <f t="shared" si="10"/>
        <v/>
      </c>
      <c r="V118" s="60" t="str">
        <f t="shared" si="11"/>
        <v/>
      </c>
      <c r="W118" s="60" t="str">
        <f t="shared" si="8"/>
        <v/>
      </c>
      <c r="X118" s="60" t="str">
        <f t="shared" si="12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9"/>
        <v/>
      </c>
      <c r="B119" s="60" t="str">
        <f t="shared" si="10"/>
        <v/>
      </c>
      <c r="V119" s="60" t="str">
        <f t="shared" si="11"/>
        <v/>
      </c>
      <c r="W119" s="60" t="str">
        <f t="shared" si="8"/>
        <v/>
      </c>
      <c r="X119" s="60" t="str">
        <f t="shared" si="12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9"/>
        <v/>
      </c>
      <c r="B120" s="60" t="str">
        <f t="shared" si="10"/>
        <v/>
      </c>
      <c r="V120" s="60" t="str">
        <f t="shared" si="11"/>
        <v/>
      </c>
      <c r="W120" s="60" t="str">
        <f t="shared" si="8"/>
        <v/>
      </c>
      <c r="X120" s="60" t="str">
        <f t="shared" si="12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9"/>
        <v/>
      </c>
      <c r="B121" s="60" t="str">
        <f t="shared" si="10"/>
        <v/>
      </c>
      <c r="V121" s="60" t="str">
        <f t="shared" si="11"/>
        <v/>
      </c>
      <c r="W121" s="60" t="str">
        <f t="shared" si="8"/>
        <v/>
      </c>
      <c r="X121" s="60" t="str">
        <f t="shared" si="12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9"/>
        <v/>
      </c>
      <c r="B122" s="60" t="str">
        <f t="shared" si="10"/>
        <v/>
      </c>
      <c r="V122" s="60" t="str">
        <f t="shared" si="11"/>
        <v/>
      </c>
      <c r="W122" s="60" t="str">
        <f t="shared" si="8"/>
        <v/>
      </c>
      <c r="X122" s="60" t="str">
        <f t="shared" si="12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9"/>
        <v/>
      </c>
      <c r="B123" s="60" t="str">
        <f t="shared" si="10"/>
        <v/>
      </c>
      <c r="V123" s="60" t="str">
        <f t="shared" si="11"/>
        <v/>
      </c>
      <c r="W123" s="60" t="str">
        <f t="shared" si="8"/>
        <v/>
      </c>
      <c r="X123" s="60" t="str">
        <f t="shared" si="12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9"/>
        <v/>
      </c>
      <c r="B124" s="60" t="str">
        <f t="shared" si="10"/>
        <v/>
      </c>
      <c r="V124" s="60" t="str">
        <f t="shared" si="11"/>
        <v/>
      </c>
      <c r="W124" s="60" t="str">
        <f t="shared" si="8"/>
        <v/>
      </c>
      <c r="X124" s="60" t="str">
        <f t="shared" si="12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9"/>
        <v/>
      </c>
      <c r="B125" s="60" t="str">
        <f t="shared" si="10"/>
        <v/>
      </c>
      <c r="V125" s="60" t="str">
        <f t="shared" si="11"/>
        <v/>
      </c>
      <c r="W125" s="60" t="str">
        <f t="shared" si="8"/>
        <v/>
      </c>
      <c r="X125" s="60" t="str">
        <f t="shared" si="12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9"/>
        <v/>
      </c>
      <c r="B126" s="60" t="str">
        <f t="shared" si="10"/>
        <v/>
      </c>
      <c r="V126" s="60" t="str">
        <f t="shared" si="11"/>
        <v/>
      </c>
      <c r="W126" s="60" t="str">
        <f t="shared" si="8"/>
        <v/>
      </c>
      <c r="X126" s="60" t="str">
        <f t="shared" si="12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9"/>
        <v/>
      </c>
      <c r="B127" s="60" t="str">
        <f t="shared" si="10"/>
        <v/>
      </c>
      <c r="V127" s="60" t="str">
        <f t="shared" si="11"/>
        <v/>
      </c>
      <c r="W127" s="60" t="str">
        <f t="shared" si="8"/>
        <v/>
      </c>
      <c r="X127" s="60" t="str">
        <f t="shared" si="12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9"/>
        <v/>
      </c>
      <c r="B128" s="60" t="str">
        <f t="shared" si="10"/>
        <v/>
      </c>
      <c r="V128" s="60" t="str">
        <f t="shared" si="11"/>
        <v/>
      </c>
      <c r="W128" s="60" t="str">
        <f t="shared" si="8"/>
        <v/>
      </c>
      <c r="X128" s="60" t="str">
        <f t="shared" si="12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"/>
  <sheetViews>
    <sheetView workbookViewId="0">
      <selection activeCell="G10" sqref="G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2022-05-24T12:06:56Z</dcterms:modified>
</cp:coreProperties>
</file>