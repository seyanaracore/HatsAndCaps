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E027E504-6255-49A6-99F9-ACE4C736F20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AZ49" i="1" l="1"/>
  <c r="AZ48" i="1"/>
  <c r="AZ41" i="1"/>
  <c r="AZ40" i="1"/>
  <c r="AZ33" i="1"/>
  <c r="AZ32" i="1"/>
  <c r="AZ25" i="1"/>
  <c r="AZ24" i="1"/>
  <c r="AZ17" i="1"/>
  <c r="AZ16" i="1"/>
  <c r="AZ9" i="1"/>
  <c r="AZ8" i="1"/>
  <c r="AW52" i="1"/>
  <c r="AW47" i="1"/>
  <c r="AW46" i="1"/>
  <c r="AW45" i="1"/>
  <c r="AW44" i="1"/>
  <c r="AW39" i="1"/>
  <c r="AW38" i="1"/>
  <c r="AW37" i="1"/>
  <c r="AW36" i="1"/>
  <c r="AW31" i="1"/>
  <c r="AW30" i="1"/>
  <c r="AW29" i="1"/>
  <c r="AW28" i="1"/>
  <c r="AW23" i="1"/>
  <c r="AW22" i="1"/>
  <c r="AW21" i="1"/>
  <c r="AW20" i="1"/>
  <c r="AW15" i="1"/>
  <c r="AW14" i="1"/>
  <c r="AW13" i="1"/>
  <c r="AW12" i="1"/>
  <c r="AW7" i="1"/>
  <c r="AW6" i="1"/>
  <c r="AW5" i="1"/>
  <c r="AW4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52" i="1"/>
  <c r="AZ52" i="1" s="1"/>
  <c r="AQ51" i="1"/>
  <c r="AW51" i="1" s="1"/>
  <c r="AQ50" i="1"/>
  <c r="AW50" i="1" s="1"/>
  <c r="AQ49" i="1"/>
  <c r="AX49" i="1" s="1"/>
  <c r="AQ48" i="1"/>
  <c r="AX48" i="1" s="1"/>
  <c r="AQ47" i="1"/>
  <c r="AZ47" i="1" s="1"/>
  <c r="AQ46" i="1"/>
  <c r="AZ46" i="1" s="1"/>
  <c r="AQ45" i="1"/>
  <c r="AZ45" i="1" s="1"/>
  <c r="AQ44" i="1"/>
  <c r="AX44" i="1" s="1"/>
  <c r="AQ43" i="1"/>
  <c r="AW43" i="1" s="1"/>
  <c r="AQ42" i="1"/>
  <c r="AZ42" i="1" s="1"/>
  <c r="AQ41" i="1"/>
  <c r="AX41" i="1" s="1"/>
  <c r="AQ40" i="1"/>
  <c r="AX40" i="1" s="1"/>
  <c r="AQ39" i="1"/>
  <c r="AZ39" i="1" s="1"/>
  <c r="AQ38" i="1"/>
  <c r="AZ38" i="1" s="1"/>
  <c r="AQ37" i="1"/>
  <c r="AZ37" i="1" s="1"/>
  <c r="AQ36" i="1"/>
  <c r="AX36" i="1" s="1"/>
  <c r="AQ35" i="1"/>
  <c r="AW35" i="1" s="1"/>
  <c r="AQ34" i="1"/>
  <c r="AX34" i="1" s="1"/>
  <c r="AQ33" i="1"/>
  <c r="AX33" i="1" s="1"/>
  <c r="AQ32" i="1"/>
  <c r="AX32" i="1" s="1"/>
  <c r="AQ31" i="1"/>
  <c r="AZ31" i="1" s="1"/>
  <c r="AQ30" i="1"/>
  <c r="AZ30" i="1" s="1"/>
  <c r="AQ29" i="1"/>
  <c r="AZ29" i="1" s="1"/>
  <c r="AQ28" i="1"/>
  <c r="AX28" i="1" s="1"/>
  <c r="AQ27" i="1"/>
  <c r="AW27" i="1" s="1"/>
  <c r="AQ26" i="1"/>
  <c r="AZ26" i="1" s="1"/>
  <c r="AQ25" i="1"/>
  <c r="AX25" i="1" s="1"/>
  <c r="AQ24" i="1"/>
  <c r="AX24" i="1" s="1"/>
  <c r="AQ23" i="1"/>
  <c r="AZ23" i="1" s="1"/>
  <c r="AQ22" i="1"/>
  <c r="AZ22" i="1" s="1"/>
  <c r="AQ21" i="1"/>
  <c r="AZ21" i="1" s="1"/>
  <c r="AQ20" i="1"/>
  <c r="AZ20" i="1" s="1"/>
  <c r="AQ19" i="1"/>
  <c r="AW19" i="1" s="1"/>
  <c r="AQ18" i="1"/>
  <c r="AW18" i="1" s="1"/>
  <c r="AQ17" i="1"/>
  <c r="AX17" i="1" s="1"/>
  <c r="AQ16" i="1"/>
  <c r="AX16" i="1" s="1"/>
  <c r="AQ15" i="1"/>
  <c r="AZ15" i="1" s="1"/>
  <c r="AQ14" i="1"/>
  <c r="AZ14" i="1" s="1"/>
  <c r="AQ13" i="1"/>
  <c r="AZ13" i="1" s="1"/>
  <c r="AQ12" i="1"/>
  <c r="AX12" i="1" s="1"/>
  <c r="AQ11" i="1"/>
  <c r="AW11" i="1" s="1"/>
  <c r="AQ10" i="1"/>
  <c r="AZ10" i="1" s="1"/>
  <c r="AQ9" i="1"/>
  <c r="AX9" i="1" s="1"/>
  <c r="AQ8" i="1"/>
  <c r="AX8" i="1" s="1"/>
  <c r="AQ7" i="1"/>
  <c r="AZ7" i="1" s="1"/>
  <c r="AQ6" i="1"/>
  <c r="AZ6" i="1" s="1"/>
  <c r="AQ5" i="1"/>
  <c r="AX5" i="1" s="1"/>
  <c r="AQ4" i="1"/>
  <c r="AX4" i="1" s="1"/>
  <c r="AQ3" i="1"/>
  <c r="AW3" i="1" s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X10" i="1" l="1"/>
  <c r="AX13" i="1"/>
  <c r="AX37" i="1"/>
  <c r="AX45" i="1"/>
  <c r="AZ3" i="1"/>
  <c r="AZ11" i="1"/>
  <c r="AZ19" i="1"/>
  <c r="AZ27" i="1"/>
  <c r="AZ35" i="1"/>
  <c r="AZ43" i="1"/>
  <c r="AZ51" i="1"/>
  <c r="AX42" i="1"/>
  <c r="AX3" i="1"/>
  <c r="AX35" i="1"/>
  <c r="AX51" i="1"/>
  <c r="AX20" i="1"/>
  <c r="AX52" i="1"/>
  <c r="AZ18" i="1"/>
  <c r="AZ50" i="1"/>
  <c r="AX29" i="1"/>
  <c r="AW8" i="1"/>
  <c r="AW16" i="1"/>
  <c r="AW24" i="1"/>
  <c r="AW32" i="1"/>
  <c r="AW40" i="1"/>
  <c r="AW48" i="1"/>
  <c r="AX6" i="1"/>
  <c r="AX14" i="1"/>
  <c r="AX22" i="1"/>
  <c r="AX30" i="1"/>
  <c r="AX38" i="1"/>
  <c r="AX46" i="1"/>
  <c r="AZ4" i="1"/>
  <c r="AZ12" i="1"/>
  <c r="AZ28" i="1"/>
  <c r="AZ36" i="1"/>
  <c r="AZ44" i="1"/>
  <c r="AX26" i="1"/>
  <c r="AX19" i="1"/>
  <c r="AX21" i="1"/>
  <c r="AW9" i="1"/>
  <c r="AW17" i="1"/>
  <c r="AW25" i="1"/>
  <c r="AW33" i="1"/>
  <c r="AW41" i="1"/>
  <c r="AW49" i="1"/>
  <c r="AX7" i="1"/>
  <c r="AX15" i="1"/>
  <c r="AX23" i="1"/>
  <c r="AX31" i="1"/>
  <c r="AX39" i="1"/>
  <c r="AX47" i="1"/>
  <c r="AZ5" i="1"/>
  <c r="AX18" i="1"/>
  <c r="AX50" i="1"/>
  <c r="AX27" i="1"/>
  <c r="AZ34" i="1"/>
  <c r="AW10" i="1"/>
  <c r="AW26" i="1"/>
  <c r="AW34" i="1"/>
  <c r="AW42" i="1"/>
  <c r="AX11" i="1"/>
  <c r="AX43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S3" i="8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S49" i="1"/>
  <c r="AT49" i="1"/>
  <c r="AS32" i="1"/>
  <c r="AT32" i="1"/>
  <c r="AS15" i="1"/>
  <c r="AT15" i="1"/>
  <c r="AT45" i="1"/>
  <c r="AS45" i="1"/>
  <c r="AT36" i="1"/>
  <c r="AS36" i="1"/>
  <c r="AS27" i="1"/>
  <c r="AT27" i="1"/>
  <c r="AT18" i="1"/>
  <c r="AS18" i="1"/>
  <c r="AS41" i="1"/>
  <c r="AT41" i="1"/>
  <c r="AS24" i="1"/>
  <c r="AT24" i="1"/>
  <c r="AS7" i="1"/>
  <c r="AT7" i="1"/>
  <c r="AT37" i="1"/>
  <c r="AS37" i="1"/>
  <c r="AS28" i="1"/>
  <c r="AT28" i="1"/>
  <c r="AS19" i="1"/>
  <c r="AT19" i="1"/>
  <c r="AT10" i="1"/>
  <c r="AS10" i="1"/>
  <c r="AT44" i="1"/>
  <c r="AS44" i="1"/>
  <c r="AS33" i="1"/>
  <c r="AT33" i="1"/>
  <c r="AS16" i="1"/>
  <c r="AT16" i="1"/>
  <c r="AS46" i="1"/>
  <c r="AT46" i="1"/>
  <c r="AT29" i="1"/>
  <c r="AS29" i="1"/>
  <c r="AT20" i="1"/>
  <c r="AS20" i="1"/>
  <c r="AT11" i="1"/>
  <c r="AS11" i="1"/>
  <c r="AS23" i="1"/>
  <c r="AT23" i="1"/>
  <c r="AS25" i="1"/>
  <c r="AT25" i="1"/>
  <c r="AS8" i="1"/>
  <c r="AT8" i="1"/>
  <c r="AS38" i="1"/>
  <c r="AT38" i="1"/>
  <c r="AT21" i="1"/>
  <c r="AS21" i="1"/>
  <c r="AS12" i="1"/>
  <c r="AT12" i="1"/>
  <c r="AT3" i="1"/>
  <c r="AS3" i="1"/>
  <c r="AT26" i="1"/>
  <c r="AS26" i="1"/>
  <c r="AS17" i="1"/>
  <c r="AT17" i="1"/>
  <c r="AS47" i="1"/>
  <c r="AT47" i="1"/>
  <c r="AS30" i="1"/>
  <c r="AT30" i="1"/>
  <c r="AS13" i="1"/>
  <c r="AT13" i="1"/>
  <c r="AT4" i="1"/>
  <c r="AS4" i="1"/>
  <c r="AT50" i="1"/>
  <c r="AS50" i="1"/>
  <c r="AS6" i="1"/>
  <c r="AT6" i="1"/>
  <c r="AS9" i="1"/>
  <c r="AT9" i="1"/>
  <c r="AS39" i="1"/>
  <c r="AT39" i="1"/>
  <c r="AS22" i="1"/>
  <c r="AT22" i="1"/>
  <c r="AT5" i="1"/>
  <c r="AS5" i="1"/>
  <c r="AT51" i="1"/>
  <c r="AS51" i="1"/>
  <c r="AT42" i="1"/>
  <c r="AS42" i="1"/>
  <c r="AT35" i="1"/>
  <c r="AS35" i="1"/>
  <c r="AS48" i="1"/>
  <c r="AT48" i="1"/>
  <c r="AS31" i="1"/>
  <c r="AT31" i="1"/>
  <c r="AS14" i="1"/>
  <c r="AT14" i="1"/>
  <c r="AS52" i="1"/>
  <c r="AT52" i="1"/>
  <c r="AS43" i="1"/>
  <c r="AT43" i="1"/>
  <c r="AT34" i="1"/>
  <c r="AS34" i="1"/>
  <c r="AS40" i="1"/>
  <c r="AT40" i="1"/>
  <c r="M47" i="1" l="1"/>
  <c r="M27" i="1"/>
  <c r="M17" i="1"/>
  <c r="M9" i="1"/>
  <c r="L48" i="1"/>
  <c r="L28" i="1"/>
  <c r="L18" i="1"/>
  <c r="L10" i="1"/>
  <c r="L9" i="1"/>
  <c r="M44" i="1"/>
  <c r="M26" i="1"/>
  <c r="M16" i="1"/>
  <c r="M8" i="1"/>
  <c r="L47" i="1"/>
  <c r="L17" i="1"/>
  <c r="M40" i="1"/>
  <c r="M23" i="1"/>
  <c r="M15" i="1"/>
  <c r="M7" i="1"/>
  <c r="L44" i="1"/>
  <c r="L26" i="1"/>
  <c r="L16" i="1"/>
  <c r="L8" i="1"/>
  <c r="M14" i="1"/>
  <c r="L23" i="1"/>
  <c r="L15" i="1"/>
  <c r="M39" i="1"/>
  <c r="M22" i="1"/>
  <c r="M6" i="1"/>
  <c r="L40" i="1"/>
  <c r="L7" i="1"/>
  <c r="M33" i="1"/>
  <c r="M21" i="1"/>
  <c r="M13" i="1"/>
  <c r="M5" i="1"/>
  <c r="L39" i="1"/>
  <c r="L22" i="1"/>
  <c r="L14" i="1"/>
  <c r="L6" i="1"/>
  <c r="M30" i="1"/>
  <c r="M20" i="1"/>
  <c r="M12" i="1"/>
  <c r="M4" i="1"/>
  <c r="L33" i="1"/>
  <c r="L21" i="1"/>
  <c r="L13" i="1"/>
  <c r="L5" i="1"/>
  <c r="M51" i="1"/>
  <c r="M29" i="1"/>
  <c r="M19" i="1"/>
  <c r="M11" i="1"/>
  <c r="M3" i="1"/>
  <c r="L30" i="1"/>
  <c r="L20" i="1"/>
  <c r="L12" i="1"/>
  <c r="L4" i="1"/>
  <c r="M48" i="1"/>
  <c r="M28" i="1"/>
  <c r="M18" i="1"/>
  <c r="M10" i="1"/>
  <c r="L51" i="1"/>
  <c r="L29" i="1"/>
  <c r="L19" i="1"/>
  <c r="L11" i="1"/>
  <c r="L3" i="1"/>
  <c r="L27" i="1"/>
  <c r="BA14" i="1"/>
  <c r="BA33" i="1"/>
  <c r="BA50" i="1"/>
  <c r="BA35" i="1"/>
  <c r="BA36" i="1"/>
  <c r="BA6" i="1"/>
  <c r="BA39" i="1"/>
  <c r="BA30" i="1"/>
  <c r="BA17" i="1"/>
  <c r="BA9" i="1"/>
  <c r="BA43" i="1"/>
  <c r="BA8" i="1"/>
  <c r="BA41" i="1"/>
  <c r="BA25" i="1"/>
  <c r="BA51" i="1"/>
  <c r="BA5" i="1"/>
  <c r="BA22" i="1"/>
  <c r="BA16" i="1"/>
  <c r="BA10" i="1"/>
  <c r="BA49" i="1"/>
  <c r="BA4" i="1"/>
  <c r="BA38" i="1"/>
  <c r="BA24" i="1"/>
  <c r="BA18" i="1"/>
  <c r="BA3" i="1"/>
  <c r="BA20" i="1"/>
  <c r="BA21" i="1"/>
  <c r="BA7" i="1"/>
  <c r="BA40" i="1"/>
  <c r="BA19" i="1"/>
  <c r="BA37" i="1"/>
  <c r="BA52" i="1"/>
  <c r="BA13" i="1"/>
  <c r="BA32" i="1"/>
  <c r="BA26" i="1"/>
  <c r="BA11" i="1"/>
  <c r="BA44" i="1"/>
  <c r="BA29" i="1"/>
  <c r="BA15" i="1"/>
  <c r="BA34" i="1"/>
  <c r="BA12" i="1"/>
  <c r="BA23" i="1"/>
  <c r="BA47" i="1"/>
  <c r="BA48" i="1"/>
  <c r="BA42" i="1"/>
  <c r="BA27" i="1"/>
  <c r="BA28" i="1"/>
  <c r="BA45" i="1"/>
  <c r="BA31" i="1"/>
  <c r="BA46" i="1"/>
  <c r="BB5" i="1"/>
  <c r="BC5" i="1" s="1"/>
  <c r="B5" i="1" s="1"/>
  <c r="BB13" i="1"/>
  <c r="BC13" i="1" s="1"/>
  <c r="B13" i="1" s="1"/>
  <c r="BB21" i="1"/>
  <c r="BC21" i="1" s="1"/>
  <c r="B21" i="1" s="1"/>
  <c r="BB29" i="1"/>
  <c r="BC29" i="1" s="1"/>
  <c r="B29" i="1" s="1"/>
  <c r="BB37" i="1"/>
  <c r="BC37" i="1" s="1"/>
  <c r="BB45" i="1"/>
  <c r="BC45" i="1" s="1"/>
  <c r="BB6" i="1"/>
  <c r="BC6" i="1" s="1"/>
  <c r="BB22" i="1"/>
  <c r="BC22" i="1" s="1"/>
  <c r="BB16" i="1"/>
  <c r="BC16" i="1" s="1"/>
  <c r="B16" i="1" s="1"/>
  <c r="B45" i="1"/>
  <c r="BB30" i="1"/>
  <c r="BC30" i="1" s="1"/>
  <c r="BB48" i="1"/>
  <c r="BC48" i="1" s="1"/>
  <c r="BB7" i="1"/>
  <c r="BC7" i="1" s="1"/>
  <c r="BB15" i="1"/>
  <c r="BC15" i="1" s="1"/>
  <c r="BB23" i="1"/>
  <c r="BC23" i="1" s="1"/>
  <c r="BB31" i="1"/>
  <c r="BB39" i="1"/>
  <c r="BC39" i="1" s="1"/>
  <c r="BB47" i="1"/>
  <c r="BC47" i="1" s="1"/>
  <c r="BB32" i="1"/>
  <c r="BC32" i="1" s="1"/>
  <c r="BB9" i="1"/>
  <c r="BC9" i="1" s="1"/>
  <c r="B9" i="1" s="1"/>
  <c r="BB17" i="1"/>
  <c r="BC17" i="1" s="1"/>
  <c r="B17" i="1" s="1"/>
  <c r="BB25" i="1"/>
  <c r="BC25" i="1" s="1"/>
  <c r="B25" i="1" s="1"/>
  <c r="BB33" i="1"/>
  <c r="BC33" i="1" s="1"/>
  <c r="B33" i="1" s="1"/>
  <c r="BB41" i="1"/>
  <c r="BC41" i="1" s="1"/>
  <c r="B41" i="1" s="1"/>
  <c r="BB49" i="1"/>
  <c r="BC49" i="1" s="1"/>
  <c r="B49" i="1" s="1"/>
  <c r="B23" i="1"/>
  <c r="BB19" i="1"/>
  <c r="BC19" i="1" s="1"/>
  <c r="B19" i="1" s="1"/>
  <c r="BB51" i="1"/>
  <c r="BC51" i="1" s="1"/>
  <c r="B51" i="1" s="1"/>
  <c r="BB8" i="1"/>
  <c r="BC8" i="1" s="1"/>
  <c r="B8" i="1" s="1"/>
  <c r="BB10" i="1"/>
  <c r="BC10" i="1" s="1"/>
  <c r="BB18" i="1"/>
  <c r="BC18" i="1" s="1"/>
  <c r="B18" i="1" s="1"/>
  <c r="BB26" i="1"/>
  <c r="BC26" i="1" s="1"/>
  <c r="B26" i="1" s="1"/>
  <c r="BB34" i="1"/>
  <c r="BC34" i="1" s="1"/>
  <c r="B34" i="1" s="1"/>
  <c r="BB42" i="1"/>
  <c r="BC42" i="1" s="1"/>
  <c r="B42" i="1" s="1"/>
  <c r="BB50" i="1"/>
  <c r="BC50" i="1" s="1"/>
  <c r="B50" i="1" s="1"/>
  <c r="B15" i="1"/>
  <c r="BB3" i="1"/>
  <c r="BC3" i="1" s="1"/>
  <c r="B3" i="1" s="1"/>
  <c r="BB27" i="1"/>
  <c r="BC27" i="1" s="1"/>
  <c r="BB43" i="1"/>
  <c r="BC43" i="1" s="1"/>
  <c r="B43" i="1" s="1"/>
  <c r="BB24" i="1"/>
  <c r="BC24" i="1" s="1"/>
  <c r="B24" i="1" s="1"/>
  <c r="B48" i="1"/>
  <c r="B7" i="1"/>
  <c r="BB11" i="1"/>
  <c r="BC11" i="1" s="1"/>
  <c r="B11" i="1" s="1"/>
  <c r="BB35" i="1"/>
  <c r="BC35" i="1" s="1"/>
  <c r="B35" i="1" s="1"/>
  <c r="BB38" i="1"/>
  <c r="BC38" i="1" s="1"/>
  <c r="B38" i="1" s="1"/>
  <c r="BB40" i="1"/>
  <c r="BC40" i="1" s="1"/>
  <c r="B40" i="1" s="1"/>
  <c r="B47" i="1"/>
  <c r="B39" i="1"/>
  <c r="B30" i="1"/>
  <c r="B22" i="1"/>
  <c r="B6" i="1"/>
  <c r="BB4" i="1"/>
  <c r="BC4" i="1" s="1"/>
  <c r="BB12" i="1"/>
  <c r="BC12" i="1" s="1"/>
  <c r="B12" i="1" s="1"/>
  <c r="BB20" i="1"/>
  <c r="BC20" i="1" s="1"/>
  <c r="B20" i="1" s="1"/>
  <c r="BB28" i="1"/>
  <c r="BC28" i="1" s="1"/>
  <c r="B28" i="1" s="1"/>
  <c r="BB36" i="1"/>
  <c r="BC36" i="1" s="1"/>
  <c r="B36" i="1" s="1"/>
  <c r="BB44" i="1"/>
  <c r="BC44" i="1" s="1"/>
  <c r="B44" i="1" s="1"/>
  <c r="BB52" i="1"/>
  <c r="BC52" i="1" s="1"/>
  <c r="B52" i="1" s="1"/>
  <c r="B37" i="1"/>
  <c r="B4" i="1"/>
  <c r="BB14" i="1"/>
  <c r="BC14" i="1" s="1"/>
  <c r="B14" i="1" s="1"/>
  <c r="BB46" i="1"/>
  <c r="BC46" i="1" s="1"/>
  <c r="B46" i="1" s="1"/>
  <c r="B32" i="1"/>
  <c r="T2" i="8"/>
  <c r="T3723" i="8"/>
  <c r="T4149" i="8"/>
  <c r="B27" i="1" l="1"/>
  <c r="B10" i="1"/>
  <c r="BC31" i="1"/>
  <c r="B31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<sst xmlns="http://schemas.openxmlformats.org/spreadsheetml/2006/main" count="3020" uniqueCount="1003">
  <si>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</si>
  <si>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</si>
  <si>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</si>
  <si>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</si>
  <si>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</si>
  <si>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</si>
  <si>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</si>
  <si>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</si>
  <si>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</si>
  <si>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</si>
  <si>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</si>
  <si>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</si>
  <si>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</si>
  <si>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</si>
  <si>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</si>
  <si>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</si>
  <si>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</si>
  <si>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</si>
  <si>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</si>
  <si>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</si>
  <si>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</si>
  <si>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</si>
  <si>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</si>
  <si>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</si>
  <si>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</si>
  <si>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</si>
  <si>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</si>
  <si>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</si>
  <si>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</si>
  <si>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</si>
  <si>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</si>
  <si>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</si>
  <si>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</si>
  <si>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</si>
  <si>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</si>
  <si>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</si>
  <si>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</si>
  <si>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</si>
  <si>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</si>
  <si>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</si>
  <si>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</si>
  <si>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</si>
  <si>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</si>
  <si>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</si>
  <si>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</si>
  <si>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</si>
  <si>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</si>
  <si>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</si>
  <si>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</si>
  <si>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</si>
  <si>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</si>
  <si>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</si>
  <si>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</si>
  <si>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</si>
  <si>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</si>
  <si>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</si>
  <si>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</si>
  <si>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</si>
  <si>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</si>
  <si>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</si>
  <si>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</si>
  <si>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</si>
  <si>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</si>
  <si>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</si>
  <si>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</si>
  <si>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</si>
  <si>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</si>
  <si>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</si>
  <si>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</si>
  <si>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</si>
  <si>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</si>
  <si>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</si>
  <si>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</si>
  <si>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</si>
  <si>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</si>
  <si>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</si>
  <si>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</si>
  <si>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</si>
  <si>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</si>
  <si>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</si>
  <si>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</si>
  <si>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</si>
  <si>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</si>
  <si>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</si>
  <si>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</si>
  <si>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</si>
  <si>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</si>
  <si>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</si>
  <si>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</si>
  <si>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</si>
  <si>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</si>
  <si>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</si>
  <si>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</si>
  <si>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</si>
  <si>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</si>
  <si>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</si>
  <si>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</si>
  <si>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</si>
  <si>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</si>
  <si>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</si>
  <si>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</si>
  <si>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</si>
  <si>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</si>
  <si>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</si>
  <si>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</si>
  <si>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</si>
  <si>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</si>
  <si>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</si>
  <si>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</si>
  <si>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</si>
  <si>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</si>
  <si>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</si>
  <si>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</si>
  <si>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</si>
  <si>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</si>
  <si>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</si>
  <si>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</si>
  <si>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</si>
  <si>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</si>
  <si>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</si>
  <si>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</si>
  <si>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</si>
  <si>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</si>
  <si>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</si>
  <si>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</si>
  <si>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</si>
  <si>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</si>
  <si>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</si>
  <si>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</si>
  <si>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</si>
  <si>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</si>
  <si>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</si>
  <si>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</si>
  <si>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</si>
  <si>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</si>
  <si>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</si>
  <si>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</si>
  <si>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</si>
  <si>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</si>
  <si>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</si>
  <si>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</si>
  <si>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</si>
  <si>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</si>
  <si>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</si>
  <si>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</si>
  <si>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</si>
  <si>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</si>
  <si>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</si>
  <si>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</si>
  <si>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</si>
  <si>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</si>
  <si>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</si>
  <si>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</si>
  <si>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</si>
  <si>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</si>
  <si>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</si>
  <si>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</si>
  <si>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</si>
  <si>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</si>
  <si>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</si>
  <si>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</si>
  <si>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</si>
  <si>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</si>
  <si>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</si>
  <si>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</si>
  <si>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</si>
  <si>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</si>
  <si>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</si>
  <si>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</si>
  <si>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</si>
  <si>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</si>
  <si>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</si>
  <si>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</si>
  <si>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</si>
  <si>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</si>
  <si>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</si>
  <si>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</si>
  <si>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</si>
  <si>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</si>
  <si>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</si>
  <si>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</si>
  <si>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</si>
  <si>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</si>
  <si>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</si>
  <si>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</si>
  <si>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</si>
  <si>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</si>
  <si>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</si>
  <si>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</si>
  <si>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</si>
  <si>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</si>
  <si>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</si>
  <si>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</si>
  <si>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</si>
  <si>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</si>
  <si>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</si>
  <si>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</si>
  <si>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</si>
  <si>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</si>
  <si>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</si>
  <si>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</si>
  <si>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</si>
  <si>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</si>
  <si>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</si>
  <si>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</si>
  <si>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</si>
  <si>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</si>
  <si>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</si>
  <si>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</si>
  <si>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</si>
  <si>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</si>
  <si>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</si>
  <si>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</si>
  <si>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</si>
  <si>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</si>
  <si>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</si>
  <si>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</si>
  <si>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</si>
  <si>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</si>
  <si>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</si>
  <si>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</si>
  <si>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</si>
  <si>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</si>
  <si>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</si>
  <si>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</si>
  <si>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</si>
  <si>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</si>
  <si>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</si>
  <si>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</si>
  <si>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</si>
  <si>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</si>
  <si>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</si>
  <si>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</si>
  <si>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</si>
  <si>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</si>
  <si>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</si>
  <si>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</si>
  <si>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</si>
  <si>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</si>
  <si>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</si>
  <si>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</si>
  <si>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</si>
  <si>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</si>
  <si>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</si>
  <si>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</si>
  <si>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</si>
  <si>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</si>
  <si>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</si>
  <si>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</si>
  <si>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</si>
  <si>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</si>
  <si>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</si>
  <si>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</si>
  <si>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</si>
  <si>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</si>
  <si>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</si>
  <si>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</si>
  <si>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</si>
  <si>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</si>
  <si>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</si>
  <si>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</si>
  <si>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</si>
  <si>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</si>
  <si>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</si>
  <si>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</si>
  <si>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</si>
  <si>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</si>
  <si>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</si>
  <si>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</si>
  <si>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</si>
  <si>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</si>
  <si>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</si>
  <si>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</si>
  <si>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</si>
  <si>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</si>
  <si>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</si>
  <si>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</si>
  <si>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</si>
  <si>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</si>
  <si>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</si>
  <si>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</si>
  <si>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</si>
  <si>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</si>
  <si>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</si>
  <si>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</si>
  <si>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</si>
  <si>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</si>
  <si>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</si>
  <si>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</si>
  <si>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</si>
  <si>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</si>
  <si>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</si>
  <si>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</si>
  <si>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</si>
  <si>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</si>
  <si>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</si>
  <si>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</si>
  <si>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</si>
  <si>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</si>
  <si>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</si>
  <si>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</si>
  <si>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</si>
  <si>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</si>
  <si>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</si>
  <si>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</si>
  <si>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</si>
  <si>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</si>
  <si>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</si>
  <si>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</si>
  <si>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</si>
  <si>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</si>
  <si>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</si>
  <si>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</si>
  <si>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</si>
  <si>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</si>
  <si>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</si>
  <si>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</si>
  <si>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</si>
  <si>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</si>
  <si>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</si>
  <si>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</si>
  <si>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</si>
  <si>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</si>
  <si>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</si>
  <si>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</si>
  <si>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</si>
  <si>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</si>
  <si>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</si>
  <si>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</si>
  <si>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</si>
  <si>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</si>
  <si>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</si>
  <si>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</si>
  <si>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</si>
  <si>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</si>
  <si>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</si>
  <si>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</si>
  <si>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</si>
  <si>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</si>
  <si>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</si>
  <si>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</si>
  <si>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</si>
  <si>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</si>
  <si>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</si>
  <si>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</si>
  <si>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</si>
  <si>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</si>
  <si>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</si>
  <si>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</si>
  <si>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</si>
  <si>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</si>
  <si>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</si>
  <si>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</si>
  <si>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</si>
  <si>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</si>
  <si>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</si>
  <si>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</si>
  <si>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</si>
  <si>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</si>
  <si>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</si>
  <si>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</si>
  <si>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</si>
  <si>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</si>
  <si>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</si>
  <si>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</si>
  <si>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</si>
  <si>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</si>
  <si>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</si>
  <si>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</si>
  <si>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</si>
  <si>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</si>
  <si>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</si>
  <si>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</si>
  <si>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</si>
  <si>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</si>
  <si>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</si>
  <si>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</si>
  <si>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</si>
  <si>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</si>
  <si>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</si>
  <si>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</si>
  <si>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</si>
  <si>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</si>
  <si>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</si>
  <si>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</si>
  <si>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</si>
  <si>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</si>
  <si>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</si>
  <si>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</si>
  <si>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</si>
  <si>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</si>
  <si>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</si>
  <si>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</si>
  <si>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</si>
  <si>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</si>
  <si>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</si>
  <si>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</si>
  <si>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</si>
  <si>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</si>
  <si>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</si>
  <si>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</si>
  <si>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</si>
  <si>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</si>
  <si>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</si>
  <si>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</si>
  <si>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</si>
  <si>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</si>
  <si>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</si>
  <si>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</si>
  <si>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</si>
  <si>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</si>
  <si>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</si>
  <si>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</si>
  <si>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</si>
  <si>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</si>
  <si>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</si>
  <si>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</si>
  <si>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</si>
  <si>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</si>
  <si>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</si>
  <si>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</si>
  <si>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</si>
  <si>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</si>
  <si>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</si>
  <si>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</si>
  <si>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</si>
  <si>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</si>
  <si>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</si>
  <si>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</si>
  <si>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</si>
  <si>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</si>
  <si>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</si>
  <si>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</si>
  <si>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</si>
  <si>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</si>
  <si>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</si>
  <si>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</si>
  <si>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</si>
  <si>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</si>
  <si>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</si>
  <si>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</si>
  <si>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</si>
  <si>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</si>
  <si>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</si>
  <si>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</si>
  <si>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</si>
  <si>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</si>
  <si>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</si>
  <si>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</si>
  <si>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</si>
  <si>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</si>
  <si>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</si>
  <si>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</si>
  <si>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</si>
  <si>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</si>
  <si>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</si>
  <si>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</si>
  <si>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</si>
  <si>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</si>
  <si>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</si>
  <si>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</si>
  <si>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</si>
  <si>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</si>
  <si>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</si>
  <si>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</si>
  <si>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</si>
  <si>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</si>
  <si>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</si>
  <si>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</si>
  <si>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</si>
  <si>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</si>
  <si>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</si>
  <si>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</si>
  <si>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</si>
  <si>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</si>
  <si>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</si>
  <si>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</si>
  <si>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</si>
  <si>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</si>
  <si>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</si>
  <si>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</si>
  <si>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</si>
  <si>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</si>
  <si>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</si>
  <si>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</si>
  <si>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</si>
  <si>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</si>
  <si>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</si>
  <si>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</si>
  <si>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</si>
  <si>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</si>
  <si>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</si>
  <si>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</si>
  <si>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</si>
  <si>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</si>
  <si>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</si>
  <si>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</si>
  <si>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</si>
  <si>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</si>
  <si>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</si>
  <si>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</si>
  <si>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</si>
  <si>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</si>
  <si>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</si>
  <si>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</si>
  <si>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</si>
  <si>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</si>
  <si>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</si>
  <si>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</si>
  <si>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</si>
  <si>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</si>
  <si>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</si>
  <si>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</si>
  <si>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</si>
  <si>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</si>
  <si>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</si>
  <si>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</si>
  <si>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</si>
  <si>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</si>
  <si>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</si>
  <si>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</si>
  <si>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</si>
  <si>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</si>
  <si>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</si>
  <si>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</si>
  <si>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</si>
  <si>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</si>
  <si>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</si>
  <si>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</si>
  <si>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</si>
  <si>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</si>
  <si>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</si>
  <si>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</si>
  <si>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</si>
  <si>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</si>
  <si>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</si>
  <si>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</si>
  <si>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</si>
  <si>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</si>
  <si>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</si>
  <si>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</si>
  <si>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</si>
  <si>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</si>
  <si>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</si>
  <si>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</si>
  <si>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</si>
  <si>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</si>
  <si>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</si>
  <si>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</si>
  <si>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</si>
  <si>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</si>
  <si>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</si>
  <si>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</si>
  <si>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</si>
  <si>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</si>
  <si>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</si>
  <si>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</si>
  <si>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</si>
  <si>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</si>
  <si>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</si>
  <si>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</si>
  <si>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</si>
  <si>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</si>
  <si>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</si>
  <si>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</si>
  <si>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</si>
  <si>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</si>
  <si>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</si>
  <si>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</si>
  <si>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</si>
  <si>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</si>
  <si>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</si>
  <si>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</si>
  <si>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</si>
  <si>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</si>
  <si>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</si>
  <si>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</si>
  <si>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</si>
  <si>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</si>
  <si>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</si>
  <si>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</si>
  <si>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</si>
  <si>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</si>
  <si>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</si>
  <si>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</si>
  <si>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</si>
  <si>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</si>
  <si>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</si>
  <si>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</si>
  <si>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</si>
  <si>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</si>
  <si>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</si>
  <si>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</si>
  <si>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</si>
  <si>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</si>
  <si>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</si>
  <si>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</si>
  <si>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</si>
  <si>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</si>
  <si>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</si>
  <si>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</si>
  <si>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</si>
  <si>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</si>
  <si>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</si>
  <si>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</si>
  <si>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</si>
  <si>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</si>
  <si>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</si>
  <si>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</si>
  <si>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</si>
  <si>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</si>
  <si>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</si>
  <si>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</si>
  <si>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</si>
  <si>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</si>
  <si>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</si>
  <si>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</si>
  <si>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</si>
  <si>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</si>
  <si>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</si>
  <si>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</si>
  <si>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</si>
  <si>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</si>
  <si>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</si>
  <si>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</si>
  <si>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</si>
  <si>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</si>
  <si>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</si>
  <si>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</si>
  <si>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</si>
  <si>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</si>
  <si>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</si>
  <si>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</si>
  <si>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</si>
  <si>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</si>
  <si>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</si>
  <si>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</si>
  <si>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</si>
  <si>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</si>
  <si>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</si>
  <si>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</si>
  <si>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</si>
  <si>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</si>
  <si>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</si>
  <si>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</si>
  <si>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</si>
  <si>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</si>
  <si>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</si>
  <si>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</si>
  <si>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</si>
  <si>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</si>
  <si>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</si>
  <si>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</si>
  <si>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</si>
  <si>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</si>
  <si>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</si>
  <si>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</si>
  <si>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</si>
  <si>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</si>
  <si>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</si>
  <si>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</si>
  <si>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</si>
  <si>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</si>
  <si>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</si>
  <si>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</si>
  <si>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</si>
  <si>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</si>
  <si>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</si>
  <si>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</si>
  <si>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</si>
  <si>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</si>
  <si>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</si>
  <si>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</si>
  <si>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</si>
  <si>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</si>
  <si>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</si>
  <si>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</si>
  <si>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</si>
  <si>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</si>
  <si>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</si>
  <si>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</si>
  <si>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</si>
  <si>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</si>
  <si>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</si>
  <si>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</si>
  <si>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</si>
  <si>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</si>
  <si>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</si>
  <si>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</si>
  <si>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</si>
  <si>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</si>
  <si>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</si>
  <si>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</si>
  <si>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</si>
  <si>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</si>
  <si>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</si>
  <si>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</si>
  <si>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</si>
  <si>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</si>
  <si>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</si>
  <si>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</si>
  <si>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</si>
  <si>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</si>
  <si>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</si>
  <si>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</si>
  <si>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</si>
  <si>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</si>
  <si>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</si>
  <si>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</si>
  <si>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</si>
  <si>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</si>
  <si>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</si>
  <si>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</si>
  <si>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</si>
  <si>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</si>
  <si>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</si>
  <si>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</si>
  <si>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</si>
  <si>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</si>
  <si>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</si>
  <si>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</si>
  <si>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</si>
  <si>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</si>
  <si>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</si>
  <si>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</si>
  <si>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</si>
  <si>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</si>
  <si>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</si>
  <si>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</si>
  <si>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</si>
  <si>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</si>
  <si>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</si>
  <si>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</si>
  <si>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</si>
  <si>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</si>
  <si>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</si>
  <si>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</si>
  <si>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</si>
  <si>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</si>
  <si>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</si>
  <si>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</si>
  <si>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</si>
  <si>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</si>
  <si>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</si>
  <si>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</si>
  <si>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</si>
  <si>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</si>
  <si>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</si>
  <si>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</si>
  <si>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</si>
  <si>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</si>
  <si>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</si>
  <si>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</si>
  <si>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</si>
  <si>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</si>
  <si>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</si>
  <si>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</si>
  <si>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</si>
  <si>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</si>
  <si>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</si>
  <si>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</si>
  <si>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</si>
  <si>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</si>
  <si>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</si>
  <si>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</si>
  <si>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</si>
  <si>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</si>
  <si>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</si>
  <si>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</si>
  <si>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</si>
  <si>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</si>
  <si>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</si>
  <si>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</si>
  <si>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</si>
  <si>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</si>
  <si>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</si>
  <si>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</si>
  <si>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</si>
  <si>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</si>
  <si>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</si>
  <si>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</si>
  <si>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</si>
  <si>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</si>
  <si>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</si>
  <si>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</si>
  <si>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</si>
  <si>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</si>
  <si>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</si>
  <si>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</si>
  <si>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</si>
  <si>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</si>
  <si>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</si>
  <si>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</si>
  <si>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</si>
  <si>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</si>
  <si>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</si>
  <si>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</si>
  <si>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</si>
  <si>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</si>
  <si>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</si>
  <si>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</si>
  <si>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</si>
  <si>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</si>
  <si>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</si>
  <si>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</si>
  <si>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</si>
  <si>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</si>
  <si>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</si>
  <si>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</si>
  <si>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</si>
  <si>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</si>
  <si>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</si>
  <si>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</si>
  <si>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</si>
  <si>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</si>
  <si>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</si>
  <si>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</si>
  <si>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</si>
  <si>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</si>
  <si>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</si>
  <si>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</si>
  <si>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</si>
  <si>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</si>
  <si>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</si>
  <si>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</si>
  <si>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</si>
  <si>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</si>
  <si>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</si>
  <si>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</si>
  <si>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</si>
  <si>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</si>
  <si>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</si>
  <si>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</si>
  <si>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</si>
  <si>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</si>
  <si>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</si>
  <si>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</si>
  <si>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</si>
  <si>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</si>
  <si>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</si>
  <si>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</si>
  <si>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</si>
  <si>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</si>
  <si>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</si>
  <si>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</si>
  <si>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</si>
  <si>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</si>
  <si>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</si>
  <si>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</si>
  <si>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</si>
  <si>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</si>
  <si>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</si>
  <si>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</si>
  <si>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</si>
  <si>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</si>
  <si>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</si>
  <si>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</si>
  <si>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</si>
  <si>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</si>
  <si>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</si>
  <si>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</si>
  <si>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</si>
  <si>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</si>
  <si>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</si>
  <si>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</si>
  <si>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</si>
  <si>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</si>
  <si>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</si>
  <si>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</si>
  <si>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</si>
  <si>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</si>
  <si>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</si>
  <si>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</si>
  <si>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</si>
  <si>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</si>
  <si>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</si>
  <si>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</si>
  <si>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</si>
  <si>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</si>
  <si>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</si>
  <si>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</si>
  <si>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</si>
  <si>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</si>
  <si>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</si>
  <si>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</si>
  <si>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</si>
  <si>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</si>
  <si>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</si>
  <si>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</si>
  <si>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</si>
  <si>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</si>
  <si>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</si>
  <si>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</si>
  <si>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</si>
  <si>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</si>
  <si>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</si>
  <si>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</si>
  <si>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</si>
  <si>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</si>
  <si>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</si>
  <si>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</si>
  <si>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</si>
  <si>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</si>
  <si>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</si>
  <si>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</si>
  <si>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</si>
  <si>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</si>
  <si>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</si>
  <si>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</si>
  <si>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</si>
  <si>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</si>
  <si>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</si>
  <si>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</si>
  <si>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</si>
  <si>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</si>
  <si>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</si>
  <si>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</si>
  <si>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</si>
  <si>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</si>
  <si>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</si>
  <si>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</si>
  <si>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</si>
  <si>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</si>
  <si>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</si>
  <si>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</si>
  <si>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</si>
  <si>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</si>
  <si>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</si>
  <si>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</si>
  <si>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</si>
  <si>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</si>
  <si>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</si>
  <si>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</si>
  <si>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</si>
  <si>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</si>
  <si>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</si>
  <si>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</si>
  <si>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</si>
  <si>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</si>
  <si>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</si>
  <si>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</si>
  <si>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</si>
  <si>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</si>
  <si>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</si>
  <si>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</si>
  <si>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</si>
  <si>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</si>
  <si>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</si>
  <si>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Летний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</si>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</sst>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1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16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395995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131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084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41" activePane="bottomLeft" state="frozen"/>
      <selection pane="bottomLeft" activeCell="AU3" sqref="AU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68" bestFit="1" customWidth="1"/>
    <col min="52" max="52" width="16.5703125" style="16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4" t="s">
        <v>499</v>
      </c>
      <c r="AZ1" s="16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t="shared" ref="AS2:AS3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33" ca="1" si="3">IF(AR2&lt;&gt;"",VLOOKUP(AR2,INDIRECT(SUBSTITUTE($J2," ","")&amp;"Manufactures"),2,0),"Требуется код страны")</f>
        <v>Требуется код страны</v>
      </c>
      <c r="AU2" s="75">
        <f t="shared" ref="AU2:AU52" si="4">0.05+0.05</f>
        <v>0.1</v>
      </c>
      <c r="AV2" s="56">
        <f t="shared" ref="AV2:AV52" si="5">IF(AU2&lt;&gt;"",AU2*1.5,"Требуется нетто")</f>
        <v>0.15000000000000002</v>
      </c>
      <c r="AW2" s="56" t="str">
        <f t="shared" ref="AW2:AW52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7">IF(AV2&lt;&gt;"",IFERROR(AQ2*AV2,"Требуются кол-во и брутто"),"Требуются кол-во и брутто")</f>
        <v>Требуются кол-во и брутто</v>
      </c>
      <c r="AY2" s="166"/>
      <c r="AZ2" s="167" t="str">
        <f t="shared" ref="AZ2:AZ52" si="8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9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'1C'!$AF$1</f>
        <v>HOOD</v>
      </c>
      <c r="K3" s="102" t="s">
        <v>936</v>
      </c>
      <c r="L3" s="145" t="str">
        <f>IF(K3&lt;&gt;"",IFERROR(VLOOKUP(A3,'1C'!A:T,8,0),IFERROR(VLOOKUP(K3,Colors!D:E,2,0),"")),"")</f>
        <v>черный</v>
      </c>
      <c r="M3" s="145" t="str">
        <f>IF(K3&lt;&gt;"",IFERROR(VLOOKUP(A3,'1C'!A:T,18,0),IFERROR(VLOOKUP(K3,Colors!D:E,2,0),"")),"")</f>
        <v>черный</v>
      </c>
      <c r="N3" s="141" t="s">
        <v>949</v>
      </c>
      <c r="O3" s="65"/>
      <c r="P3" s="63" t="s">
        <v>43</v>
      </c>
      <c r="Q3" s="58" t="s">
        <v>15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">
        <v>444</v>
      </c>
      <c r="AS3" s="56" t="str">
        <f t="shared" ca="1" si="2"/>
        <v>HOOD HAT, LLC, 15332 Antioch st., #211 Pacific Palisades, CA 90272, USA</v>
      </c>
      <c r="AT3" s="56" t="str">
        <f t="shared" ca="1" si="3"/>
        <v>Соединенные Штаты</v>
      </c>
      <c r="AU3" s="76">
        <f t="shared" si="4"/>
        <v>0.1</v>
      </c>
      <c r="AV3" s="43">
        <f t="shared" si="5"/>
        <v>0.15000000000000002</v>
      </c>
      <c r="AW3" s="43">
        <f t="shared" si="6"/>
        <v>0.60000000000000009</v>
      </c>
      <c r="AX3" s="43">
        <f t="shared" si="7"/>
        <v>0.90000000000000013</v>
      </c>
      <c r="AY3" s="168">
        <v>1820</v>
      </c>
      <c r="AZ3" s="169">
        <f t="shared" si="8"/>
        <v>10920</v>
      </c>
      <c r="BA3" s="45">
        <f>IF(A3&lt;&gt;"",IF(_xlfn.XLOOKUP(A3,'1C'!A:A,'1C'!A:A,0,0)&gt;0,1,0),"")</f>
        <v>0</v>
      </c>
      <c r="BB3" s="146">
        <f>IF(C3&lt;&gt;"",IF(_xlfn.XLOOKUP(C3,'1C'!S:S,'1C'!S:S,0,0)&gt;0,0,1),"")</f>
        <v>0</v>
      </c>
      <c r="BC3" s="73">
        <f t="shared" si="9"/>
        <v>1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948</v>
      </c>
      <c r="J4" s="57" t="str">
        <f>'1C'!$AF$1</f>
        <v>HOOD</v>
      </c>
      <c r="K4" s="101" t="s">
        <v>936</v>
      </c>
      <c r="L4" s="59" t="str">
        <f>IF(K4&lt;&gt;"",IFERROR(VLOOKUP(A4,'1C'!A:T,8,0),IFERROR(VLOOKUP(K4,Colors!D:E,2,0),"")),"")</f>
        <v>черный</v>
      </c>
      <c r="M4" s="145" t="str">
        <f>IF(K4&lt;&gt;"",IFERROR(VLOOKUP(A4,'1C'!A:T,18,0),IFERROR(VLOOKUP(K4,Colors!D:E,2,0),"")),"")</f>
        <v>черный</v>
      </c>
      <c r="N4" s="141" t="s">
        <v>949</v>
      </c>
      <c r="O4" s="65"/>
      <c r="P4" s="63" t="s">
        <v>43</v>
      </c>
      <c r="Q4" s="58" t="s">
        <v>15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">
        <v>444</v>
      </c>
      <c r="AS4" s="56" t="str">
        <f t="shared" ca="1" si="2"/>
        <v>HOOD HAT, LLC, 15332 Antioch st., #211 Pacific Palisades, CA 90272, USA</v>
      </c>
      <c r="AT4" s="56" t="str">
        <f t="shared" ca="1" si="3"/>
        <v>Соединенные Штаты</v>
      </c>
      <c r="AU4" s="76">
        <f t="shared" si="4"/>
        <v>0.1</v>
      </c>
      <c r="AV4" s="43">
        <f t="shared" si="5"/>
        <v>0.15000000000000002</v>
      </c>
      <c r="AW4" s="43">
        <f t="shared" si="6"/>
        <v>0.60000000000000009</v>
      </c>
      <c r="AX4" s="43">
        <f t="shared" si="7"/>
        <v>0.90000000000000013</v>
      </c>
      <c r="AY4" s="168">
        <v>1820</v>
      </c>
      <c r="AZ4" s="169">
        <f t="shared" si="8"/>
        <v>10920</v>
      </c>
      <c r="BA4" s="45">
        <f>IF(A4&lt;&gt;"",IF(_xlfn.XLOOKUP(A4,'1C'!A:A,'1C'!A:A,0,0)&gt;0,1,0),"")</f>
        <v>0</v>
      </c>
      <c r="BB4" s="146">
        <f>IF(C4&lt;&gt;"",IF(_xlfn.XLOOKUP(C4,'1C'!S:S,'1C'!S:S,0,0)&gt;0,0,1),"")</f>
        <v>0</v>
      </c>
      <c r="BC4" s="73">
        <f t="shared" si="9"/>
        <v>1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948</v>
      </c>
      <c r="J5" s="57" t="str">
        <f>'1C'!$AF$1</f>
        <v>HOOD</v>
      </c>
      <c r="K5" s="101" t="s">
        <v>936</v>
      </c>
      <c r="L5" s="59" t="str">
        <f>IF(K5&lt;&gt;"",IFERROR(VLOOKUP(A5,'1C'!A:T,8,0),IFERROR(VLOOKUP(K5,Colors!D:E,2,0),"")),"")</f>
        <v>черный</v>
      </c>
      <c r="M5" s="145" t="str">
        <f>IF(K5&lt;&gt;"",IFERROR(VLOOKUP(A5,'1C'!A:T,18,0),IFERROR(VLOOKUP(K5,Colors!D:E,2,0),"")),"")</f>
        <v>черный</v>
      </c>
      <c r="N5" s="141" t="s">
        <v>949</v>
      </c>
      <c r="O5" s="65"/>
      <c r="P5" s="63" t="s">
        <v>43</v>
      </c>
      <c r="Q5" s="58" t="s">
        <v>15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">
        <v>444</v>
      </c>
      <c r="AS5" s="56" t="str">
        <f t="shared" ca="1" si="2"/>
        <v>HOOD HAT, LLC, 15332 Antioch st., #211 Pacific Palisades, CA 90272, USA</v>
      </c>
      <c r="AT5" s="56" t="str">
        <f t="shared" ca="1" si="3"/>
        <v>Соединенные Штаты</v>
      </c>
      <c r="AU5" s="76">
        <f t="shared" si="4"/>
        <v>0.1</v>
      </c>
      <c r="AV5" s="43">
        <f t="shared" si="5"/>
        <v>0.15000000000000002</v>
      </c>
      <c r="AW5" s="43">
        <f t="shared" si="6"/>
        <v>0.60000000000000009</v>
      </c>
      <c r="AX5" s="43">
        <f t="shared" si="7"/>
        <v>0.90000000000000013</v>
      </c>
      <c r="AY5" s="168">
        <v>1820</v>
      </c>
      <c r="AZ5" s="169">
        <f t="shared" si="8"/>
        <v>10920</v>
      </c>
      <c r="BA5" s="45">
        <f>IF(A5&lt;&gt;"",IF(_xlfn.XLOOKUP(A5,'1C'!A:A,'1C'!A:A,0,0)&gt;0,1,0),"")</f>
        <v>0</v>
      </c>
      <c r="BB5" s="146">
        <f>IF(C5&lt;&gt;"",IF(_xlfn.XLOOKUP(C5,'1C'!S:S,'1C'!S:S,0,0)&gt;0,0,1),"")</f>
        <v>0</v>
      </c>
      <c r="BC5" s="73">
        <f t="shared" si="9"/>
        <v>1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948</v>
      </c>
      <c r="J6" s="57" t="str">
        <f>'1C'!$AF$1</f>
        <v>HOOD</v>
      </c>
      <c r="K6" s="103" t="s">
        <v>936</v>
      </c>
      <c r="L6" s="59" t="str">
        <f>IF(K6&lt;&gt;"",IFERROR(VLOOKUP(A6,'1C'!A:T,8,0),IFERROR(VLOOKUP(K6,Colors!D:E,2,0),"")),"")</f>
        <v>черный</v>
      </c>
      <c r="M6" s="145" t="str">
        <f>IF(K6&lt;&gt;"",IFERROR(VLOOKUP(A6,'1C'!A:T,18,0),IFERROR(VLOOKUP(K6,Colors!D:E,2,0),"")),"")</f>
        <v>черный</v>
      </c>
      <c r="N6" s="141" t="s">
        <v>949</v>
      </c>
      <c r="O6" s="65"/>
      <c r="P6" s="63" t="s">
        <v>43</v>
      </c>
      <c r="Q6" s="58" t="s">
        <v>15</v>
      </c>
      <c r="R6" s="58" t="s">
        <v>382</v>
      </c>
      <c r="S6" s="58">
        <v>6</v>
      </c>
      <c r="V6" s="58"/>
      <c r="X6" s="58"/>
      <c r="Z6" s="58"/>
      <c r="AB6" s="58"/>
      <c r="AD6" s="58"/>
      <c r="AQ6" s="57">
        <f t="shared" si="1"/>
        <v>6</v>
      </c>
      <c r="AR6" s="66" t="s">
        <v>444</v>
      </c>
      <c r="AS6" s="56" t="str">
        <f t="shared" ca="1" si="2"/>
        <v>HOOD HAT, LLC, 15332 Antioch st., #211 Pacific Palisades, CA 90272, USA</v>
      </c>
      <c r="AT6" s="56" t="str">
        <f t="shared" ca="1" si="3"/>
        <v>Соединенные Штаты</v>
      </c>
      <c r="AU6" s="76">
        <f t="shared" si="4"/>
        <v>0.1</v>
      </c>
      <c r="AV6" s="43">
        <f t="shared" si="5"/>
        <v>0.15000000000000002</v>
      </c>
      <c r="AW6" s="43">
        <f t="shared" si="6"/>
        <v>0.60000000000000009</v>
      </c>
      <c r="AX6" s="43">
        <f t="shared" si="7"/>
        <v>0.90000000000000013</v>
      </c>
      <c r="AY6" s="168">
        <v>1820</v>
      </c>
      <c r="AZ6" s="169">
        <f t="shared" si="8"/>
        <v>10920</v>
      </c>
      <c r="BA6" s="45">
        <f>IF(A6&lt;&gt;"",IF(_xlfn.XLOOKUP(A6,'1C'!A:A,'1C'!A:A,0,0)&gt;0,1,0),"")</f>
        <v>0</v>
      </c>
      <c r="BB6" s="146">
        <f>IF(C6&lt;&gt;"",IF(_xlfn.XLOOKUP(C6,'1C'!S:S,'1C'!S:S,0,0)&gt;0,0,1),"")</f>
        <v>0</v>
      </c>
      <c r="BC6" s="73">
        <f t="shared" si="9"/>
        <v>1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948</v>
      </c>
      <c r="J7" s="57" t="str">
        <f>'1C'!$AF$1</f>
        <v>HOOD</v>
      </c>
      <c r="K7" s="103" t="s">
        <v>936</v>
      </c>
      <c r="L7" s="59" t="str">
        <f>IF(K7&lt;&gt;"",IFERROR(VLOOKUP(A7,'1C'!A:T,8,0),IFERROR(VLOOKUP(K7,Colors!D:E,2,0),"")),"")</f>
        <v>черный</v>
      </c>
      <c r="M7" s="145" t="str">
        <f>IF(K7&lt;&gt;"",IFERROR(VLOOKUP(A7,'1C'!A:T,18,0),IFERROR(VLOOKUP(K7,Colors!D:E,2,0),"")),"")</f>
        <v>черный</v>
      </c>
      <c r="N7" s="141" t="s">
        <v>949</v>
      </c>
      <c r="O7" s="65"/>
      <c r="P7" s="63" t="s">
        <v>43</v>
      </c>
      <c r="Q7" s="58" t="s">
        <v>15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">
        <v>444</v>
      </c>
      <c r="AS7" s="56" t="str">
        <f t="shared" ca="1" si="2"/>
        <v>HOOD HAT, LLC, 15332 Antioch st., #211 Pacific Palisades, CA 90272, USA</v>
      </c>
      <c r="AT7" s="56" t="str">
        <f t="shared" ca="1" si="3"/>
        <v>Соединенные Штаты</v>
      </c>
      <c r="AU7" s="76">
        <f t="shared" si="4"/>
        <v>0.1</v>
      </c>
      <c r="AV7" s="43">
        <f t="shared" si="5"/>
        <v>0.15000000000000002</v>
      </c>
      <c r="AW7" s="43">
        <f t="shared" si="6"/>
        <v>0.60000000000000009</v>
      </c>
      <c r="AX7" s="43">
        <f t="shared" si="7"/>
        <v>0.90000000000000013</v>
      </c>
      <c r="AY7" s="168">
        <v>1820</v>
      </c>
      <c r="AZ7" s="169">
        <f t="shared" si="8"/>
        <v>10920</v>
      </c>
      <c r="BA7" s="45">
        <f>IF(A7&lt;&gt;"",IF(_xlfn.XLOOKUP(A7,'1C'!A:A,'1C'!A:A,0,0)&gt;0,1,0),"")</f>
        <v>0</v>
      </c>
      <c r="BB7" s="146">
        <f>IF(C7&lt;&gt;"",IF(_xlfn.XLOOKUP(C7,'1C'!S:S,'1C'!S:S,0,0)&gt;0,0,1),"")</f>
        <v>0</v>
      </c>
      <c r="BC7" s="73">
        <f t="shared" si="9"/>
        <v>1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948</v>
      </c>
      <c r="J8" s="57" t="str">
        <f>'1C'!$AF$1</f>
        <v>HOOD</v>
      </c>
      <c r="K8" s="103" t="s">
        <v>936</v>
      </c>
      <c r="L8" s="59" t="str">
        <f>IF(K8&lt;&gt;"",IFERROR(VLOOKUP(A8,'1C'!A:T,8,0),IFERROR(VLOOKUP(K8,Colors!D:E,2,0),"")),"")</f>
        <v>черный</v>
      </c>
      <c r="M8" s="145" t="str">
        <f>IF(K8&lt;&gt;"",IFERROR(VLOOKUP(A8,'1C'!A:T,18,0),IFERROR(VLOOKUP(K8,Colors!D:E,2,0),"")),"")</f>
        <v>черный</v>
      </c>
      <c r="N8" s="141" t="s">
        <v>949</v>
      </c>
      <c r="O8" s="65"/>
      <c r="P8" s="63" t="s">
        <v>43</v>
      </c>
      <c r="Q8" s="58" t="s">
        <v>15</v>
      </c>
      <c r="R8" s="58" t="s">
        <v>382</v>
      </c>
      <c r="S8" s="58">
        <v>6</v>
      </c>
      <c r="V8" s="58"/>
      <c r="X8" s="58"/>
      <c r="Z8" s="58"/>
      <c r="AB8" s="58"/>
      <c r="AD8" s="58"/>
      <c r="AQ8" s="57">
        <f t="shared" si="1"/>
        <v>6</v>
      </c>
      <c r="AR8" s="66" t="s">
        <v>444</v>
      </c>
      <c r="AS8" s="56" t="str">
        <f t="shared" ca="1" si="2"/>
        <v>HOOD HAT, LLC, 15332 Antioch st., #211 Pacific Palisades, CA 90272, USA</v>
      </c>
      <c r="AT8" s="56" t="str">
        <f t="shared" ca="1" si="3"/>
        <v>Соединенные Штаты</v>
      </c>
      <c r="AU8" s="76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68">
        <v>1820</v>
      </c>
      <c r="AZ8" s="169">
        <f t="shared" si="8"/>
        <v>10920</v>
      </c>
      <c r="BA8" s="45">
        <f>IF(A8&lt;&gt;"",IF(_xlfn.XLOOKUP(A8,'1C'!A:A,'1C'!A:A,0,0)&gt;0,1,0),"")</f>
        <v>0</v>
      </c>
      <c r="BB8" s="146">
        <f>IF(C8&lt;&gt;"",IF(_xlfn.XLOOKUP(C8,'1C'!S:S,'1C'!S:S,0,0)&gt;0,0,1),"")</f>
        <v>0</v>
      </c>
      <c r="BC8" s="73">
        <f t="shared" si="9"/>
        <v>1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948</v>
      </c>
      <c r="J9" s="57" t="str">
        <f>'1C'!$AF$1</f>
        <v>HOOD</v>
      </c>
      <c r="K9" s="103" t="s">
        <v>936</v>
      </c>
      <c r="L9" s="59" t="str">
        <f>IF(K9&lt;&gt;"",IFERROR(VLOOKUP(A9,'1C'!A:T,8,0),IFERROR(VLOOKUP(K9,Colors!D:E,2,0),"")),"")</f>
        <v>черный</v>
      </c>
      <c r="M9" s="145" t="str">
        <f>IF(K9&lt;&gt;"",IFERROR(VLOOKUP(A9,'1C'!A:T,18,0),IFERROR(VLOOKUP(K9,Colors!D:E,2,0),"")),"")</f>
        <v>черный</v>
      </c>
      <c r="N9" s="141" t="s">
        <v>949</v>
      </c>
      <c r="O9" s="65"/>
      <c r="P9" s="63" t="s">
        <v>43</v>
      </c>
      <c r="Q9" s="58" t="s">
        <v>15</v>
      </c>
      <c r="R9" s="58" t="s">
        <v>382</v>
      </c>
      <c r="S9" s="58">
        <v>12</v>
      </c>
      <c r="V9" s="58"/>
      <c r="X9" s="58"/>
      <c r="Z9" s="58"/>
      <c r="AB9" s="58"/>
      <c r="AD9" s="58"/>
      <c r="AQ9" s="57">
        <f t="shared" si="1"/>
        <v>12</v>
      </c>
      <c r="AR9" s="66" t="s">
        <v>444</v>
      </c>
      <c r="AS9" s="56" t="str">
        <f t="shared" ca="1" si="2"/>
        <v>HOOD HAT, LLC, 15332 Antioch st., #211 Pacific Palisades, CA 90272, USA</v>
      </c>
      <c r="AT9" s="56" t="str">
        <f t="shared" ca="1" si="3"/>
        <v>Соединенные Штаты</v>
      </c>
      <c r="AU9" s="76">
        <f t="shared" si="4"/>
        <v>0.1</v>
      </c>
      <c r="AV9" s="43">
        <f t="shared" si="5"/>
        <v>0.15000000000000002</v>
      </c>
      <c r="AW9" s="43">
        <f t="shared" si="6"/>
        <v>1.2000000000000002</v>
      </c>
      <c r="AX9" s="43">
        <f t="shared" si="7"/>
        <v>1.8000000000000003</v>
      </c>
      <c r="AY9" s="168">
        <v>1820</v>
      </c>
      <c r="AZ9" s="169">
        <f t="shared" si="8"/>
        <v>21840</v>
      </c>
      <c r="BA9" s="45">
        <f>IF(A9&lt;&gt;"",IF(_xlfn.XLOOKUP(A9,'1C'!A:A,'1C'!A:A,0,0)&gt;0,1,0),"")</f>
        <v>0</v>
      </c>
      <c r="BB9" s="146">
        <f>IF(C9&lt;&gt;"",IF(_xlfn.XLOOKUP(C9,'1C'!S:S,'1C'!S:S,0,0)&gt;0,0,1),"")</f>
        <v>0</v>
      </c>
      <c r="BC9" s="73">
        <f t="shared" si="9"/>
        <v>1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948</v>
      </c>
      <c r="J10" s="57" t="str">
        <f>'1C'!$AF$1</f>
        <v>HOOD</v>
      </c>
      <c r="K10" s="103" t="s">
        <v>936</v>
      </c>
      <c r="L10" s="59" t="str">
        <f>IF(K10&lt;&gt;"",IFERROR(VLOOKUP(A10,'1C'!A:T,8,0),IFERROR(VLOOKUP(K10,Colors!D:E,2,0),"")),"")</f>
        <v>черный</v>
      </c>
      <c r="M10" s="145" t="str">
        <f>IF(K10&lt;&gt;"",IFERROR(VLOOKUP(A10,'1C'!A:T,18,0),IFERROR(VLOOKUP(K10,Colors!D:E,2,0),"")),"")</f>
        <v>черный</v>
      </c>
      <c r="N10" s="141" t="s">
        <v>949</v>
      </c>
      <c r="O10" s="65"/>
      <c r="P10" s="63" t="s">
        <v>43</v>
      </c>
      <c r="Q10" s="58" t="s">
        <v>15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">
        <v>444</v>
      </c>
      <c r="AS10" s="56" t="str">
        <f t="shared" ca="1" si="2"/>
        <v>HOOD HAT, LLC, 15332 Antioch st., #211 Pacific Palisades, CA 90272, USA</v>
      </c>
      <c r="AT10" s="56" t="str">
        <f t="shared" ca="1" si="3"/>
        <v>Соединенные Штаты</v>
      </c>
      <c r="AU10" s="76">
        <f t="shared" si="4"/>
        <v>0.1</v>
      </c>
      <c r="AV10" s="43">
        <f t="shared" si="5"/>
        <v>0.15000000000000002</v>
      </c>
      <c r="AW10" s="43">
        <f t="shared" si="6"/>
        <v>1.2000000000000002</v>
      </c>
      <c r="AX10" s="43">
        <f t="shared" si="7"/>
        <v>1.8000000000000003</v>
      </c>
      <c r="AY10" s="168">
        <v>1820</v>
      </c>
      <c r="AZ10" s="169">
        <f t="shared" si="8"/>
        <v>21840</v>
      </c>
      <c r="BA10" s="45">
        <f>IF(A10&lt;&gt;"",IF(_xlfn.XLOOKUP(A10,'1C'!A:A,'1C'!A:A,0,0)&gt;0,1,0),"")</f>
        <v>0</v>
      </c>
      <c r="BB10" s="146">
        <f>IF(C10&lt;&gt;"",IF(_xlfn.XLOOKUP(C10,'1C'!S:S,'1C'!S:S,0,0)&gt;0,0,1),"")</f>
        <v>0</v>
      </c>
      <c r="BC10" s="73">
        <f t="shared" si="9"/>
        <v>1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948</v>
      </c>
      <c r="J11" s="57" t="str">
        <f>'1C'!$AF$1</f>
        <v>HOOD</v>
      </c>
      <c r="K11" s="103" t="s">
        <v>936</v>
      </c>
      <c r="L11" s="59" t="str">
        <f>IF(K11&lt;&gt;"",IFERROR(VLOOKUP(A11,'1C'!A:T,8,0),IFERROR(VLOOKUP(K11,Colors!D:E,2,0),"")),"")</f>
        <v>черный</v>
      </c>
      <c r="M11" s="145" t="str">
        <f>IF(K11&lt;&gt;"",IFERROR(VLOOKUP(A11,'1C'!A:T,18,0),IFERROR(VLOOKUP(K11,Colors!D:E,2,0),"")),"")</f>
        <v>черный</v>
      </c>
      <c r="N11" s="141" t="s">
        <v>949</v>
      </c>
      <c r="O11" s="65"/>
      <c r="P11" s="63" t="s">
        <v>43</v>
      </c>
      <c r="Q11" s="58" t="s">
        <v>15</v>
      </c>
      <c r="R11" s="58" t="s">
        <v>382</v>
      </c>
      <c r="S11" s="58">
        <v>12</v>
      </c>
      <c r="V11" s="58"/>
      <c r="X11" s="58"/>
      <c r="Z11" s="58"/>
      <c r="AB11" s="58"/>
      <c r="AD11" s="58"/>
      <c r="AQ11" s="57">
        <f t="shared" si="1"/>
        <v>12</v>
      </c>
      <c r="AR11" s="66" t="s">
        <v>444</v>
      </c>
      <c r="AS11" s="56" t="str">
        <f t="shared" ca="1" si="2"/>
        <v>HOOD HAT, LLC, 15332 Antioch st., #211 Pacific Palisades, CA 90272, USA</v>
      </c>
      <c r="AT11" s="56" t="str">
        <f t="shared" ca="1" si="3"/>
        <v>Соединенные Штаты</v>
      </c>
      <c r="AU11" s="76">
        <f t="shared" si="4"/>
        <v>0.1</v>
      </c>
      <c r="AV11" s="43">
        <f t="shared" si="5"/>
        <v>0.15000000000000002</v>
      </c>
      <c r="AW11" s="43">
        <f t="shared" si="6"/>
        <v>1.2000000000000002</v>
      </c>
      <c r="AX11" s="43">
        <f t="shared" si="7"/>
        <v>1.8000000000000003</v>
      </c>
      <c r="AY11" s="168">
        <v>1820</v>
      </c>
      <c r="AZ11" s="169">
        <f t="shared" si="8"/>
        <v>21840</v>
      </c>
      <c r="BA11" s="45">
        <f>IF(A11&lt;&gt;"",IF(_xlfn.XLOOKUP(A11,'1C'!A:A,'1C'!A:A,0,0)&gt;0,1,0),"")</f>
        <v>0</v>
      </c>
      <c r="BB11" s="146">
        <f>IF(C11&lt;&gt;"",IF(_xlfn.XLOOKUP(C11,'1C'!S:S,'1C'!S:S,0,0)&gt;0,0,1),"")</f>
        <v>0</v>
      </c>
      <c r="BC11" s="73">
        <f t="shared" si="9"/>
        <v>1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948</v>
      </c>
      <c r="J12" s="57" t="str">
        <f>'1C'!$AF$1</f>
        <v>HOOD</v>
      </c>
      <c r="K12" s="103" t="s">
        <v>936</v>
      </c>
      <c r="L12" s="59" t="str">
        <f>IF(K12&lt;&gt;"",IFERROR(VLOOKUP(A12,'1C'!A:T,8,0),IFERROR(VLOOKUP(K12,Colors!D:E,2,0),"")),"")</f>
        <v>черный</v>
      </c>
      <c r="M12" s="145" t="str">
        <f>IF(K12&lt;&gt;"",IFERROR(VLOOKUP(A12,'1C'!A:T,18,0),IFERROR(VLOOKUP(K12,Colors!D:E,2,0),"")),"")</f>
        <v>черный</v>
      </c>
      <c r="N12" s="141" t="s">
        <v>949</v>
      </c>
      <c r="O12" s="65"/>
      <c r="P12" s="63" t="s">
        <v>43</v>
      </c>
      <c r="Q12" s="58" t="s">
        <v>15</v>
      </c>
      <c r="R12" s="58" t="s">
        <v>382</v>
      </c>
      <c r="S12" s="58">
        <v>12</v>
      </c>
      <c r="V12" s="58"/>
      <c r="X12" s="58"/>
      <c r="Z12" s="58"/>
      <c r="AB12" s="58"/>
      <c r="AD12" s="58"/>
      <c r="AQ12" s="57">
        <f t="shared" si="1"/>
        <v>12</v>
      </c>
      <c r="AR12" s="66" t="s">
        <v>444</v>
      </c>
      <c r="AS12" s="56" t="str">
        <f t="shared" ca="1" si="2"/>
        <v>HOOD HAT, LLC, 15332 Antioch st., #211 Pacific Palisades, CA 90272, USA</v>
      </c>
      <c r="AT12" s="56" t="str">
        <f t="shared" ca="1" si="3"/>
        <v>Соединенные Штаты</v>
      </c>
      <c r="AU12" s="76">
        <f t="shared" si="4"/>
        <v>0.1</v>
      </c>
      <c r="AV12" s="43">
        <f t="shared" si="5"/>
        <v>0.15000000000000002</v>
      </c>
      <c r="AW12" s="43">
        <f t="shared" si="6"/>
        <v>1.2000000000000002</v>
      </c>
      <c r="AX12" s="43">
        <f t="shared" si="7"/>
        <v>1.8000000000000003</v>
      </c>
      <c r="AY12" s="168">
        <v>1820</v>
      </c>
      <c r="AZ12" s="169">
        <f t="shared" si="8"/>
        <v>21840</v>
      </c>
      <c r="BA12" s="45">
        <f>IF(A12&lt;&gt;"",IF(_xlfn.XLOOKUP(A12,'1C'!A:A,'1C'!A:A,0,0)&gt;0,1,0),"")</f>
        <v>0</v>
      </c>
      <c r="BB12" s="146">
        <f>IF(C12&lt;&gt;"",IF(_xlfn.XLOOKUP(C12,'1C'!S:S,'1C'!S:S,0,0)&gt;0,0,1),"")</f>
        <v>0</v>
      </c>
      <c r="BC12" s="73">
        <f t="shared" si="9"/>
        <v>1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948</v>
      </c>
      <c r="J13" s="57" t="str">
        <f>'1C'!$AF$1</f>
        <v>HOOD</v>
      </c>
      <c r="K13" s="103" t="s">
        <v>936</v>
      </c>
      <c r="L13" s="59" t="str">
        <f>IF(K13&lt;&gt;"",IFERROR(VLOOKUP(A13,'1C'!A:T,8,0),IFERROR(VLOOKUP(K13,Colors!D:E,2,0),"")),"")</f>
        <v>черный</v>
      </c>
      <c r="M13" s="145" t="str">
        <f>IF(K13&lt;&gt;"",IFERROR(VLOOKUP(A13,'1C'!A:T,18,0),IFERROR(VLOOKUP(K13,Colors!D:E,2,0),"")),"")</f>
        <v>черный</v>
      </c>
      <c r="N13" s="141" t="s">
        <v>949</v>
      </c>
      <c r="O13" s="65"/>
      <c r="P13" s="63" t="s">
        <v>43</v>
      </c>
      <c r="Q13" s="58" t="s">
        <v>15</v>
      </c>
      <c r="R13" s="58" t="s">
        <v>382</v>
      </c>
      <c r="S13" s="58">
        <v>12</v>
      </c>
      <c r="V13" s="58"/>
      <c r="X13" s="58"/>
      <c r="Z13" s="58"/>
      <c r="AB13" s="58"/>
      <c r="AD13" s="58"/>
      <c r="AQ13" s="57">
        <f t="shared" si="1"/>
        <v>12</v>
      </c>
      <c r="AR13" s="66" t="s">
        <v>444</v>
      </c>
      <c r="AS13" s="56" t="str">
        <f t="shared" ca="1" si="2"/>
        <v>HOOD HAT, LLC, 15332 Antioch st., #211 Pacific Palisades, CA 90272, USA</v>
      </c>
      <c r="AT13" s="56" t="str">
        <f t="shared" ca="1" si="3"/>
        <v>Соединенные Штаты</v>
      </c>
      <c r="AU13" s="76">
        <f t="shared" si="4"/>
        <v>0.1</v>
      </c>
      <c r="AV13" s="43">
        <f t="shared" si="5"/>
        <v>0.15000000000000002</v>
      </c>
      <c r="AW13" s="43">
        <f t="shared" si="6"/>
        <v>1.2000000000000002</v>
      </c>
      <c r="AX13" s="43">
        <f t="shared" si="7"/>
        <v>1.8000000000000003</v>
      </c>
      <c r="AY13" s="168">
        <v>1820</v>
      </c>
      <c r="AZ13" s="169">
        <f t="shared" si="8"/>
        <v>21840</v>
      </c>
      <c r="BA13" s="45">
        <f>IF(A13&lt;&gt;"",IF(_xlfn.XLOOKUP(A13,'1C'!A:A,'1C'!A:A,0,0)&gt;0,1,0),"")</f>
        <v>0</v>
      </c>
      <c r="BB13" s="146">
        <f>IF(C13&lt;&gt;"",IF(_xlfn.XLOOKUP(C13,'1C'!S:S,'1C'!S:S,0,0)&gt;0,0,1),"")</f>
        <v>0</v>
      </c>
      <c r="BC13" s="73">
        <f t="shared" si="9"/>
        <v>1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948</v>
      </c>
      <c r="J14" s="57" t="str">
        <f>'1C'!$AF$1</f>
        <v>HOOD</v>
      </c>
      <c r="K14" s="103" t="s">
        <v>936</v>
      </c>
      <c r="L14" s="59" t="str">
        <f>IF(K14&lt;&gt;"",IFERROR(VLOOKUP(A14,'1C'!A:T,8,0),IFERROR(VLOOKUP(K14,Colors!D:E,2,0),"")),"")</f>
        <v>черный</v>
      </c>
      <c r="M14" s="145" t="str">
        <f>IF(K14&lt;&gt;"",IFERROR(VLOOKUP(A14,'1C'!A:T,18,0),IFERROR(VLOOKUP(K14,Colors!D:E,2,0),"")),"")</f>
        <v>черный</v>
      </c>
      <c r="N14" s="141" t="s">
        <v>949</v>
      </c>
      <c r="O14" s="65"/>
      <c r="P14" s="63" t="s">
        <v>43</v>
      </c>
      <c r="Q14" s="58" t="s">
        <v>15</v>
      </c>
      <c r="R14" s="58" t="s">
        <v>382</v>
      </c>
      <c r="S14" s="58">
        <v>12</v>
      </c>
      <c r="V14" s="58"/>
      <c r="X14" s="58"/>
      <c r="Z14" s="58"/>
      <c r="AB14" s="58"/>
      <c r="AD14" s="58"/>
      <c r="AQ14" s="57">
        <f t="shared" si="1"/>
        <v>12</v>
      </c>
      <c r="AR14" s="66" t="s">
        <v>444</v>
      </c>
      <c r="AS14" s="56" t="str">
        <f t="shared" ca="1" si="2"/>
        <v>HOOD HAT, LLC, 15332 Antioch st., #211 Pacific Palisades, CA 90272, USA</v>
      </c>
      <c r="AT14" s="56" t="str">
        <f t="shared" ca="1" si="3"/>
        <v>Соединенные Штаты</v>
      </c>
      <c r="AU14" s="76">
        <f t="shared" si="4"/>
        <v>0.1</v>
      </c>
      <c r="AV14" s="43">
        <f t="shared" si="5"/>
        <v>0.15000000000000002</v>
      </c>
      <c r="AW14" s="43">
        <f t="shared" si="6"/>
        <v>1.2000000000000002</v>
      </c>
      <c r="AX14" s="43">
        <f t="shared" si="7"/>
        <v>1.8000000000000003</v>
      </c>
      <c r="AY14" s="168">
        <v>1820</v>
      </c>
      <c r="AZ14" s="169">
        <f t="shared" si="8"/>
        <v>21840</v>
      </c>
      <c r="BA14" s="45">
        <f>IF(A14&lt;&gt;"",IF(_xlfn.XLOOKUP(A14,'1C'!A:A,'1C'!A:A,0,0)&gt;0,1,0),"")</f>
        <v>0</v>
      </c>
      <c r="BB14" s="146">
        <f>IF(C14&lt;&gt;"",IF(_xlfn.XLOOKUP(C14,'1C'!S:S,'1C'!S:S,0,0)&gt;0,0,1),"")</f>
        <v>0</v>
      </c>
      <c r="BC14" s="73">
        <f t="shared" si="9"/>
        <v>1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948</v>
      </c>
      <c r="J15" s="57" t="str">
        <f>'1C'!$AF$1</f>
        <v>HOOD</v>
      </c>
      <c r="K15" s="103" t="s">
        <v>936</v>
      </c>
      <c r="L15" s="59" t="str">
        <f>IF(K15&lt;&gt;"",IFERROR(VLOOKUP(A15,'1C'!A:T,8,0),IFERROR(VLOOKUP(K15,Colors!D:E,2,0),"")),"")</f>
        <v>черный</v>
      </c>
      <c r="M15" s="145" t="str">
        <f>IF(K15&lt;&gt;"",IFERROR(VLOOKUP(A15,'1C'!A:T,18,0),IFERROR(VLOOKUP(K15,Colors!D:E,2,0),"")),"")</f>
        <v>черный</v>
      </c>
      <c r="N15" s="141" t="s">
        <v>949</v>
      </c>
      <c r="O15" s="65"/>
      <c r="P15" s="63" t="s">
        <v>43</v>
      </c>
      <c r="Q15" s="58" t="s">
        <v>15</v>
      </c>
      <c r="R15" s="58" t="s">
        <v>382</v>
      </c>
      <c r="S15" s="58">
        <v>12</v>
      </c>
      <c r="V15" s="58"/>
      <c r="X15" s="58"/>
      <c r="Z15" s="58"/>
      <c r="AB15" s="58"/>
      <c r="AD15" s="58"/>
      <c r="AQ15" s="57">
        <f t="shared" si="1"/>
        <v>12</v>
      </c>
      <c r="AR15" s="66" t="s">
        <v>444</v>
      </c>
      <c r="AS15" s="56" t="str">
        <f t="shared" ca="1" si="2"/>
        <v>HOOD HAT, LLC, 15332 Antioch st., #211 Pacific Palisades, CA 90272, USA</v>
      </c>
      <c r="AT15" s="56" t="str">
        <f t="shared" ca="1" si="3"/>
        <v>Соединенные Штаты</v>
      </c>
      <c r="AU15" s="76">
        <f t="shared" si="4"/>
        <v>0.1</v>
      </c>
      <c r="AV15" s="43">
        <f t="shared" si="5"/>
        <v>0.15000000000000002</v>
      </c>
      <c r="AW15" s="43">
        <f t="shared" si="6"/>
        <v>1.2000000000000002</v>
      </c>
      <c r="AX15" s="43">
        <f t="shared" si="7"/>
        <v>1.8000000000000003</v>
      </c>
      <c r="AY15" s="168">
        <v>1820</v>
      </c>
      <c r="AZ15" s="169">
        <f t="shared" si="8"/>
        <v>21840</v>
      </c>
      <c r="BA15" s="45">
        <f>IF(A15&lt;&gt;"",IF(_xlfn.XLOOKUP(A15,'1C'!A:A,'1C'!A:A,0,0)&gt;0,1,0),"")</f>
        <v>0</v>
      </c>
      <c r="BB15" s="146">
        <f>IF(C15&lt;&gt;"",IF(_xlfn.XLOOKUP(C15,'1C'!S:S,'1C'!S:S,0,0)&gt;0,0,1),"")</f>
        <v>0</v>
      </c>
      <c r="BC15" s="73">
        <f t="shared" si="9"/>
        <v>1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92-014-09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948</v>
      </c>
      <c r="J16" s="57" t="str">
        <f>'1C'!$AF$1</f>
        <v>HOOD</v>
      </c>
      <c r="K16" s="103" t="s">
        <v>52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">
        <v>950</v>
      </c>
      <c r="O16" s="65"/>
      <c r="P16" s="63" t="s">
        <v>44</v>
      </c>
      <c r="Q16" s="58" t="s">
        <v>15</v>
      </c>
      <c r="R16" s="58" t="s">
        <v>382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66" t="s">
        <v>444</v>
      </c>
      <c r="AS16" s="56" t="str">
        <f t="shared" ca="1" si="2"/>
        <v>HOOD HAT, LLC, 15332 Antioch st., #211 Pacific Palisades, CA 90272, USA</v>
      </c>
      <c r="AT16" s="56" t="str">
        <f t="shared" ca="1" si="3"/>
        <v>Соединенные Штаты</v>
      </c>
      <c r="AU16" s="76">
        <f t="shared" si="4"/>
        <v>0.1</v>
      </c>
      <c r="AV16" s="43">
        <f t="shared" si="5"/>
        <v>0.15000000000000002</v>
      </c>
      <c r="AW16" s="43">
        <f t="shared" si="6"/>
        <v>0.30000000000000004</v>
      </c>
      <c r="AX16" s="43">
        <f t="shared" si="7"/>
        <v>0.45000000000000007</v>
      </c>
      <c r="AY16" s="168">
        <v>2184</v>
      </c>
      <c r="AZ16" s="169">
        <f t="shared" si="8"/>
        <v>6552</v>
      </c>
      <c r="BA16" s="45">
        <f>IF(A16&lt;&gt;"",IF(_xlfn.XLOOKUP(A16,'1C'!A:A,'1C'!A:A,0,0)&gt;0,1,0),"")</f>
        <v>0</v>
      </c>
      <c r="BB16" s="146">
        <f>IF(C16&lt;&gt;"",IF(_xlfn.XLOOKUP(C16,'1C'!S:S,'1C'!S:S,0,0)&gt;0,0,1),"")</f>
        <v>0</v>
      </c>
      <c r="BC16" s="73">
        <f t="shared" si="9"/>
        <v>1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948</v>
      </c>
      <c r="J17" s="57" t="str">
        <f>'1C'!$AF$1</f>
        <v>HOOD</v>
      </c>
      <c r="K17" s="103" t="s">
        <v>52</v>
      </c>
      <c r="L17" s="59" t="str">
        <f>IF(K17&lt;&gt;"",IFERROR(VLOOKUP(A17,'1C'!A:T,8,0),IFERROR(VLOOKUP(K17,Colors!D:E,2,0),"")),"")</f>
        <v>черный</v>
      </c>
      <c r="M17" s="145" t="str">
        <f>IF(K17&lt;&gt;"",IFERROR(VLOOKUP(A17,'1C'!A:T,18,0),IFERROR(VLOOKUP(K17,Colors!D:E,2,0),"")),"")</f>
        <v>черный</v>
      </c>
      <c r="N17" s="141" t="s">
        <v>950</v>
      </c>
      <c r="O17" s="65"/>
      <c r="P17" s="63" t="s">
        <v>44</v>
      </c>
      <c r="Q17" s="58" t="s">
        <v>15</v>
      </c>
      <c r="R17" s="58" t="s">
        <v>382</v>
      </c>
      <c r="S17" s="58">
        <v>3</v>
      </c>
      <c r="V17" s="58"/>
      <c r="X17" s="58"/>
      <c r="Z17" s="58"/>
      <c r="AB17" s="58"/>
      <c r="AD17" s="58"/>
      <c r="AQ17" s="57">
        <f t="shared" si="1"/>
        <v>3</v>
      </c>
      <c r="AR17" s="66" t="s">
        <v>444</v>
      </c>
      <c r="AS17" s="56" t="str">
        <f t="shared" ca="1" si="2"/>
        <v>HOOD HAT, LLC, 15332 Antioch st., #211 Pacific Palisades, CA 90272, USA</v>
      </c>
      <c r="AT17" s="56" t="str">
        <f t="shared" ca="1" si="3"/>
        <v>Соединенные Штаты</v>
      </c>
      <c r="AU17" s="76">
        <f t="shared" si="4"/>
        <v>0.1</v>
      </c>
      <c r="AV17" s="43">
        <f t="shared" si="5"/>
        <v>0.15000000000000002</v>
      </c>
      <c r="AW17" s="43">
        <f t="shared" si="6"/>
        <v>0.30000000000000004</v>
      </c>
      <c r="AX17" s="43">
        <f t="shared" si="7"/>
        <v>0.45000000000000007</v>
      </c>
      <c r="AY17" s="168">
        <v>2184</v>
      </c>
      <c r="AZ17" s="169">
        <f t="shared" si="8"/>
        <v>6552</v>
      </c>
      <c r="BA17" s="45">
        <f>IF(A17&lt;&gt;"",IF(_xlfn.XLOOKUP(A17,'1C'!A:A,'1C'!A:A,0,0)&gt;0,1,0),"")</f>
        <v>0</v>
      </c>
      <c r="BB17" s="146">
        <f>IF(C17&lt;&gt;"",IF(_xlfn.XLOOKUP(C17,'1C'!S:S,'1C'!S:S,0,0)&gt;0,0,1),"")</f>
        <v>0</v>
      </c>
      <c r="BC17" s="73">
        <f t="shared" si="9"/>
        <v>1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92-016-09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948</v>
      </c>
      <c r="J18" s="57" t="str">
        <f>'1C'!$AF$1</f>
        <v>HOOD</v>
      </c>
      <c r="K18" s="103" t="s">
        <v>52</v>
      </c>
      <c r="L18" s="59" t="str">
        <f>IF(K18&lt;&gt;"",IFERROR(VLOOKUP(A18,'1C'!A:T,8,0),IFERROR(VLOOKUP(K18,Colors!D:E,2,0),"")),"")</f>
        <v>черный</v>
      </c>
      <c r="M18" s="145" t="str">
        <f>IF(K18&lt;&gt;"",IFERROR(VLOOKUP(A18,'1C'!A:T,18,0),IFERROR(VLOOKUP(K18,Colors!D:E,2,0),"")),"")</f>
        <v>черный</v>
      </c>
      <c r="N18" s="141" t="s">
        <v>950</v>
      </c>
      <c r="O18" s="65"/>
      <c r="P18" s="63" t="s">
        <v>44</v>
      </c>
      <c r="Q18" s="58" t="s">
        <v>15</v>
      </c>
      <c r="R18" s="58" t="s">
        <v>382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66" t="s">
        <v>444</v>
      </c>
      <c r="AS18" s="56" t="str">
        <f t="shared" ca="1" si="2"/>
        <v>HOOD HAT, LLC, 15332 Antioch st., #211 Pacific Palisades, CA 90272, USA</v>
      </c>
      <c r="AT18" s="56" t="str">
        <f t="shared" ca="1" si="3"/>
        <v>Соединенные Штаты</v>
      </c>
      <c r="AU18" s="76">
        <f t="shared" si="4"/>
        <v>0.1</v>
      </c>
      <c r="AV18" s="43">
        <f t="shared" si="5"/>
        <v>0.15000000000000002</v>
      </c>
      <c r="AW18" s="43">
        <f t="shared" si="6"/>
        <v>0.30000000000000004</v>
      </c>
      <c r="AX18" s="43">
        <f t="shared" si="7"/>
        <v>0.45000000000000007</v>
      </c>
      <c r="AY18" s="168">
        <v>2184</v>
      </c>
      <c r="AZ18" s="169">
        <f t="shared" si="8"/>
        <v>6552</v>
      </c>
      <c r="BA18" s="45">
        <f>IF(A18&lt;&gt;"",IF(_xlfn.XLOOKUP(A18,'1C'!A:A,'1C'!A:A,0,0)&gt;0,1,0),"")</f>
        <v>0</v>
      </c>
      <c r="BB18" s="146">
        <f>IF(C18&lt;&gt;"",IF(_xlfn.XLOOKUP(C18,'1C'!S:S,'1C'!S:S,0,0)&gt;0,0,1),"")</f>
        <v>0</v>
      </c>
      <c r="BC18" s="73">
        <f t="shared" si="9"/>
        <v>1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92-017-09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948</v>
      </c>
      <c r="J19" s="57" t="str">
        <f>'1C'!$AF$1</f>
        <v>HOOD</v>
      </c>
      <c r="K19" s="103" t="s">
        <v>52</v>
      </c>
      <c r="L19" s="59" t="str">
        <f>IF(K19&lt;&gt;"",IFERROR(VLOOKUP(A19,'1C'!A:T,8,0),IFERROR(VLOOKUP(K19,Colors!D:E,2,0),"")),"")</f>
        <v>черный</v>
      </c>
      <c r="M19" s="145" t="str">
        <f>IF(K19&lt;&gt;"",IFERROR(VLOOKUP(A19,'1C'!A:T,18,0),IFERROR(VLOOKUP(K19,Colors!D:E,2,0),"")),"")</f>
        <v>черный</v>
      </c>
      <c r="N19" s="141" t="s">
        <v>950</v>
      </c>
      <c r="O19" s="65"/>
      <c r="P19" s="63" t="s">
        <v>44</v>
      </c>
      <c r="Q19" s="58" t="s">
        <v>15</v>
      </c>
      <c r="R19" s="58" t="s">
        <v>382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66" t="s">
        <v>444</v>
      </c>
      <c r="AS19" s="56" t="str">
        <f t="shared" ca="1" si="2"/>
        <v>HOOD HAT, LLC, 15332 Antioch st., #211 Pacific Palisades, CA 90272, USA</v>
      </c>
      <c r="AT19" s="56" t="str">
        <f t="shared" ca="1" si="3"/>
        <v>Соединенные Штаты</v>
      </c>
      <c r="AU19" s="76">
        <f t="shared" si="4"/>
        <v>0.1</v>
      </c>
      <c r="AV19" s="43">
        <f t="shared" si="5"/>
        <v>0.15000000000000002</v>
      </c>
      <c r="AW19" s="43">
        <f t="shared" si="6"/>
        <v>0.30000000000000004</v>
      </c>
      <c r="AX19" s="43">
        <f t="shared" si="7"/>
        <v>0.45000000000000007</v>
      </c>
      <c r="AY19" s="168">
        <v>2184</v>
      </c>
      <c r="AZ19" s="169">
        <f t="shared" si="8"/>
        <v>6552</v>
      </c>
      <c r="BA19" s="45">
        <f>IF(A19&lt;&gt;"",IF(_xlfn.XLOOKUP(A19,'1C'!A:A,'1C'!A:A,0,0)&gt;0,1,0),"")</f>
        <v>0</v>
      </c>
      <c r="BB19" s="146">
        <f>IF(C19&lt;&gt;"",IF(_xlfn.XLOOKUP(C19,'1C'!S:S,'1C'!S:S,0,0)&gt;0,0,1),"")</f>
        <v>0</v>
      </c>
      <c r="BC19" s="73">
        <f t="shared" si="9"/>
        <v>1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92-018-16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948</v>
      </c>
      <c r="J20" s="57" t="str">
        <f>'1C'!$AF$1</f>
        <v>HOOD</v>
      </c>
      <c r="K20" s="103" t="s">
        <v>54</v>
      </c>
      <c r="L20" s="59" t="str">
        <f>IF(K20&lt;&gt;"",IFERROR(VLOOKUP(A20,'1C'!A:T,8,0),IFERROR(VLOOKUP(K20,Colors!D:E,2,0),"")),"")</f>
        <v>темно-синий</v>
      </c>
      <c r="M20" s="145" t="str">
        <f>IF(K20&lt;&gt;"",IFERROR(VLOOKUP(A20,'1C'!A:T,18,0),IFERROR(VLOOKUP(K20,Colors!D:E,2,0),"")),"")</f>
        <v>темно-синий</v>
      </c>
      <c r="N20" s="141" t="s">
        <v>950</v>
      </c>
      <c r="O20" s="65"/>
      <c r="P20" s="63" t="s">
        <v>44</v>
      </c>
      <c r="Q20" s="58" t="s">
        <v>15</v>
      </c>
      <c r="R20" s="58" t="s">
        <v>382</v>
      </c>
      <c r="S20" s="58">
        <v>3</v>
      </c>
      <c r="V20" s="58"/>
      <c r="X20" s="58"/>
      <c r="Z20" s="58"/>
      <c r="AB20" s="58"/>
      <c r="AD20" s="58"/>
      <c r="AQ20" s="57">
        <f t="shared" si="1"/>
        <v>3</v>
      </c>
      <c r="AR20" s="66" t="s">
        <v>444</v>
      </c>
      <c r="AS20" s="56" t="str">
        <f t="shared" ca="1" si="2"/>
        <v>HOOD HAT, LLC, 15332 Antioch st., #211 Pacific Palisades, CA 90272, USA</v>
      </c>
      <c r="AT20" s="56" t="str">
        <f t="shared" ca="1" si="3"/>
        <v>Соединенные Штаты</v>
      </c>
      <c r="AU20" s="76">
        <f t="shared" si="4"/>
        <v>0.1</v>
      </c>
      <c r="AV20" s="43">
        <f t="shared" si="5"/>
        <v>0.15000000000000002</v>
      </c>
      <c r="AW20" s="43">
        <f t="shared" si="6"/>
        <v>0.30000000000000004</v>
      </c>
      <c r="AX20" s="43">
        <f t="shared" si="7"/>
        <v>0.45000000000000007</v>
      </c>
      <c r="AY20" s="168">
        <v>2184</v>
      </c>
      <c r="AZ20" s="169">
        <f t="shared" si="8"/>
        <v>6552</v>
      </c>
      <c r="BA20" s="45">
        <f>IF(A20&lt;&gt;"",IF(_xlfn.XLOOKUP(A20,'1C'!A:A,'1C'!A:A,0,0)&gt;0,1,0),"")</f>
        <v>0</v>
      </c>
      <c r="BB20" s="146">
        <f>IF(C20&lt;&gt;"",IF(_xlfn.XLOOKUP(C20,'1C'!S:S,'1C'!S:S,0,0)&gt;0,0,1),"")</f>
        <v>0</v>
      </c>
      <c r="BC20" s="73">
        <f t="shared" si="9"/>
        <v>1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92-019-09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948</v>
      </c>
      <c r="J21" s="57" t="str">
        <f>'1C'!$AF$1</f>
        <v>HOOD</v>
      </c>
      <c r="K21" s="103" t="s">
        <v>52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">
        <v>950</v>
      </c>
      <c r="O21" s="65"/>
      <c r="P21" s="63" t="s">
        <v>44</v>
      </c>
      <c r="Q21" s="58" t="s">
        <v>15</v>
      </c>
      <c r="R21" s="58" t="s">
        <v>382</v>
      </c>
      <c r="S21" s="58">
        <v>6</v>
      </c>
      <c r="V21" s="58"/>
      <c r="X21" s="58"/>
      <c r="Z21" s="58"/>
      <c r="AB21" s="58"/>
      <c r="AD21" s="58"/>
      <c r="AQ21" s="57">
        <f t="shared" si="1"/>
        <v>6</v>
      </c>
      <c r="AR21" s="66" t="s">
        <v>444</v>
      </c>
      <c r="AS21" s="56" t="str">
        <f t="shared" ca="1" si="2"/>
        <v>HOOD HAT, LLC, 15332 Antioch st., #211 Pacific Palisades, CA 90272, USA</v>
      </c>
      <c r="AT21" s="56" t="str">
        <f t="shared" ca="1" si="3"/>
        <v>Соединенные Штаты</v>
      </c>
      <c r="AU21" s="76">
        <f t="shared" si="4"/>
        <v>0.1</v>
      </c>
      <c r="AV21" s="43">
        <f t="shared" si="5"/>
        <v>0.15000000000000002</v>
      </c>
      <c r="AW21" s="43">
        <f t="shared" si="6"/>
        <v>0.60000000000000009</v>
      </c>
      <c r="AX21" s="43">
        <f t="shared" si="7"/>
        <v>0.90000000000000013</v>
      </c>
      <c r="AY21" s="168">
        <v>2184</v>
      </c>
      <c r="AZ21" s="169">
        <f t="shared" si="8"/>
        <v>13104</v>
      </c>
      <c r="BA21" s="45">
        <f>IF(A21&lt;&gt;"",IF(_xlfn.XLOOKUP(A21,'1C'!A:A,'1C'!A:A,0,0)&gt;0,1,0),"")</f>
        <v>0</v>
      </c>
      <c r="BB21" s="146">
        <f>IF(C21&lt;&gt;"",IF(_xlfn.XLOOKUP(C21,'1C'!S:S,'1C'!S:S,0,0)&gt;0,0,1),"")</f>
        <v>0</v>
      </c>
      <c r="BC21" s="73">
        <f t="shared" si="9"/>
        <v>1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948</v>
      </c>
      <c r="J22" s="57" t="str">
        <f>'1C'!$AF$1</f>
        <v>HOOD</v>
      </c>
      <c r="K22" s="103" t="s">
        <v>52</v>
      </c>
      <c r="L22" s="59" t="str">
        <f>IF(K22&lt;&gt;"",IFERROR(VLOOKUP(A22,'1C'!A:T,8,0),IFERROR(VLOOKUP(K22,Colors!D:E,2,0),"")),"")</f>
        <v>черный</v>
      </c>
      <c r="M22" s="145" t="str">
        <f>IF(K22&lt;&gt;"",IFERROR(VLOOKUP(A22,'1C'!A:T,18,0),IFERROR(VLOOKUP(K22,Colors!D:E,2,0),"")),"")</f>
        <v>черный</v>
      </c>
      <c r="N22" s="141" t="s">
        <v>950</v>
      </c>
      <c r="O22" s="65"/>
      <c r="P22" s="63" t="s">
        <v>44</v>
      </c>
      <c r="Q22" s="58" t="s">
        <v>15</v>
      </c>
      <c r="R22" s="58" t="s">
        <v>382</v>
      </c>
      <c r="S22" s="58">
        <v>3</v>
      </c>
      <c r="V22" s="58"/>
      <c r="X22" s="58"/>
      <c r="Z22" s="58"/>
      <c r="AB22" s="58"/>
      <c r="AD22" s="58"/>
      <c r="AQ22" s="57">
        <f t="shared" si="1"/>
        <v>3</v>
      </c>
      <c r="AR22" s="66" t="s">
        <v>444</v>
      </c>
      <c r="AS22" s="56" t="str">
        <f t="shared" ca="1" si="2"/>
        <v>HOOD HAT, LLC, 15332 Antioch st., #211 Pacific Palisades, CA 90272, USA</v>
      </c>
      <c r="AT22" s="56" t="str">
        <f t="shared" ca="1" si="3"/>
        <v>Соединенные Штаты</v>
      </c>
      <c r="AU22" s="76">
        <f t="shared" si="4"/>
        <v>0.1</v>
      </c>
      <c r="AV22" s="43">
        <f t="shared" si="5"/>
        <v>0.15000000000000002</v>
      </c>
      <c r="AW22" s="43">
        <f t="shared" si="6"/>
        <v>0.30000000000000004</v>
      </c>
      <c r="AX22" s="43">
        <f t="shared" si="7"/>
        <v>0.45000000000000007</v>
      </c>
      <c r="AY22" s="168">
        <v>2184</v>
      </c>
      <c r="AZ22" s="169">
        <f t="shared" si="8"/>
        <v>6552</v>
      </c>
      <c r="BA22" s="45">
        <f>IF(A22&lt;&gt;"",IF(_xlfn.XLOOKUP(A22,'1C'!A:A,'1C'!A:A,0,0)&gt;0,1,0),"")</f>
        <v>0</v>
      </c>
      <c r="BB22" s="146">
        <f>IF(C22&lt;&gt;"",IF(_xlfn.XLOOKUP(C22,'1C'!S:S,'1C'!S:S,0,0)&gt;0,0,1),"")</f>
        <v>0</v>
      </c>
      <c r="BC22" s="73">
        <f t="shared" si="9"/>
        <v>1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92-021-09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948</v>
      </c>
      <c r="J23" s="57" t="str">
        <f>'1C'!$AF$1</f>
        <v>HOOD</v>
      </c>
      <c r="K23" s="103" t="s">
        <v>52</v>
      </c>
      <c r="L23" s="59" t="str">
        <f>IF(K23&lt;&gt;"",IFERROR(VLOOKUP(A23,'1C'!A:T,8,0),IFERROR(VLOOKUP(K23,Colors!D:E,2,0),"")),"")</f>
        <v>черный</v>
      </c>
      <c r="M23" s="145" t="str">
        <f>IF(K23&lt;&gt;"",IFERROR(VLOOKUP(A23,'1C'!A:T,18,0),IFERROR(VLOOKUP(K23,Colors!D:E,2,0),"")),"")</f>
        <v>черный</v>
      </c>
      <c r="N23" s="141" t="s">
        <v>950</v>
      </c>
      <c r="O23" s="65"/>
      <c r="P23" s="63" t="s">
        <v>44</v>
      </c>
      <c r="Q23" s="58" t="s">
        <v>15</v>
      </c>
      <c r="R23" s="58" t="s">
        <v>382</v>
      </c>
      <c r="S23" s="58">
        <v>3</v>
      </c>
      <c r="V23" s="58"/>
      <c r="X23" s="58"/>
      <c r="Z23" s="58"/>
      <c r="AB23" s="58"/>
      <c r="AD23" s="58"/>
      <c r="AQ23" s="57">
        <f t="shared" si="1"/>
        <v>3</v>
      </c>
      <c r="AR23" s="66" t="s">
        <v>444</v>
      </c>
      <c r="AS23" s="56" t="str">
        <f t="shared" ca="1" si="2"/>
        <v>HOOD HAT, LLC, 15332 Antioch st., #211 Pacific Palisades, CA 90272, USA</v>
      </c>
      <c r="AT23" s="56" t="str">
        <f t="shared" ca="1" si="3"/>
        <v>Соединенные Штаты</v>
      </c>
      <c r="AU23" s="76">
        <f t="shared" si="4"/>
        <v>0.1</v>
      </c>
      <c r="AV23" s="43">
        <f t="shared" si="5"/>
        <v>0.15000000000000002</v>
      </c>
      <c r="AW23" s="43">
        <f t="shared" si="6"/>
        <v>0.30000000000000004</v>
      </c>
      <c r="AX23" s="43">
        <f t="shared" si="7"/>
        <v>0.45000000000000007</v>
      </c>
      <c r="AY23" s="168">
        <v>2184</v>
      </c>
      <c r="AZ23" s="169">
        <f t="shared" si="8"/>
        <v>6552</v>
      </c>
      <c r="BA23" s="45">
        <f>IF(A23&lt;&gt;"",IF(_xlfn.XLOOKUP(A23,'1C'!A:A,'1C'!A:A,0,0)&gt;0,1,0),"")</f>
        <v>0</v>
      </c>
      <c r="BB23" s="146">
        <f>IF(C23&lt;&gt;"",IF(_xlfn.XLOOKUP(C23,'1C'!S:S,'1C'!S:S,0,0)&gt;0,0,1),"")</f>
        <v>0</v>
      </c>
      <c r="BC23" s="73">
        <f t="shared" si="9"/>
        <v>1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92-022-12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948</v>
      </c>
      <c r="J24" s="57" t="str">
        <f>'1C'!$AF$1</f>
        <v>HOOD</v>
      </c>
      <c r="K24" s="103" t="s">
        <v>937</v>
      </c>
      <c r="L24" s="58" t="s">
        <v>121</v>
      </c>
      <c r="M24" s="66" t="s">
        <v>121</v>
      </c>
      <c r="N24" s="141" t="s">
        <v>950</v>
      </c>
      <c r="O24" s="65"/>
      <c r="P24" s="63" t="s">
        <v>44</v>
      </c>
      <c r="Q24" s="58" t="s">
        <v>15</v>
      </c>
      <c r="R24" s="58" t="s">
        <v>382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66" t="s">
        <v>444</v>
      </c>
      <c r="AS24" s="56" t="str">
        <f t="shared" ca="1" si="2"/>
        <v>HOOD HAT, LLC, 15332 Antioch st., #211 Pacific Palisades, CA 90272, USA</v>
      </c>
      <c r="AT24" s="56" t="str">
        <f t="shared" ca="1" si="3"/>
        <v>Соединенные Штаты</v>
      </c>
      <c r="AU24" s="76">
        <f t="shared" si="4"/>
        <v>0.1</v>
      </c>
      <c r="AV24" s="43">
        <f t="shared" si="5"/>
        <v>0.15000000000000002</v>
      </c>
      <c r="AW24" s="43">
        <f t="shared" si="6"/>
        <v>0.30000000000000004</v>
      </c>
      <c r="AX24" s="43">
        <f t="shared" si="7"/>
        <v>0.45000000000000007</v>
      </c>
      <c r="AY24" s="168">
        <v>2184</v>
      </c>
      <c r="AZ24" s="169">
        <f t="shared" si="8"/>
        <v>6552</v>
      </c>
      <c r="BA24" s="45">
        <f>IF(A24&lt;&gt;"",IF(_xlfn.XLOOKUP(A24,'1C'!A:A,'1C'!A:A,0,0)&gt;0,1,0),"")</f>
        <v>0</v>
      </c>
      <c r="BB24" s="146">
        <f>IF(C24&lt;&gt;"",IF(_xlfn.XLOOKUP(C24,'1C'!S:S,'1C'!S:S,0,0)&gt;0,0,1),"")</f>
        <v>0</v>
      </c>
      <c r="BC24" s="73">
        <f t="shared" si="9"/>
        <v>1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948</v>
      </c>
      <c r="J25" s="57" t="str">
        <f>'1C'!$AF$1</f>
        <v>HOOD</v>
      </c>
      <c r="K25" s="103" t="s">
        <v>938</v>
      </c>
      <c r="L25" s="58" t="s">
        <v>83</v>
      </c>
      <c r="M25" s="66" t="s">
        <v>121</v>
      </c>
      <c r="N25" s="141" t="s">
        <v>950</v>
      </c>
      <c r="O25" s="65"/>
      <c r="P25" s="63" t="s">
        <v>44</v>
      </c>
      <c r="Q25" s="58" t="s">
        <v>15</v>
      </c>
      <c r="R25" s="58" t="s">
        <v>382</v>
      </c>
      <c r="S25" s="58">
        <v>3</v>
      </c>
      <c r="V25" s="58"/>
      <c r="X25" s="58"/>
      <c r="Z25" s="58"/>
      <c r="AB25" s="58"/>
      <c r="AD25" s="58"/>
      <c r="AQ25" s="57">
        <f t="shared" si="1"/>
        <v>3</v>
      </c>
      <c r="AR25" s="66" t="s">
        <v>444</v>
      </c>
      <c r="AS25" s="56" t="str">
        <f t="shared" ca="1" si="2"/>
        <v>HOOD HAT, LLC, 15332 Antioch st., #211 Pacific Palisades, CA 90272, USA</v>
      </c>
      <c r="AT25" s="56" t="str">
        <f t="shared" ca="1" si="3"/>
        <v>Соединенные Штаты</v>
      </c>
      <c r="AU25" s="76">
        <f t="shared" si="4"/>
        <v>0.1</v>
      </c>
      <c r="AV25" s="43">
        <f t="shared" si="5"/>
        <v>0.15000000000000002</v>
      </c>
      <c r="AW25" s="43">
        <f t="shared" si="6"/>
        <v>0.30000000000000004</v>
      </c>
      <c r="AX25" s="43">
        <f t="shared" si="7"/>
        <v>0.45000000000000007</v>
      </c>
      <c r="AY25" s="168">
        <v>2184</v>
      </c>
      <c r="AZ25" s="169">
        <f t="shared" si="8"/>
        <v>6552</v>
      </c>
      <c r="BA25" s="45">
        <f>IF(A25&lt;&gt;"",IF(_xlfn.XLOOKUP(A25,'1C'!A:A,'1C'!A:A,0,0)&gt;0,1,0),"")</f>
        <v>0</v>
      </c>
      <c r="BB25" s="146">
        <f>IF(C25&lt;&gt;"",IF(_xlfn.XLOOKUP(C25,'1C'!S:S,'1C'!S:S,0,0)&gt;0,0,1),"")</f>
        <v>0</v>
      </c>
      <c r="BC25" s="73">
        <f t="shared" si="9"/>
        <v>1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92-024-09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948</v>
      </c>
      <c r="J26" s="57" t="str">
        <f>'1C'!$AF$1</f>
        <v>HOOD</v>
      </c>
      <c r="K26" s="103" t="s">
        <v>52</v>
      </c>
      <c r="L26" s="59" t="str">
        <f>IF(K26&lt;&gt;"",IFERROR(VLOOKUP(A26,'1C'!A:T,8,0),IFERROR(VLOOKUP(K26,Colors!D:E,2,0),"")),"")</f>
        <v>черный</v>
      </c>
      <c r="M26" s="145" t="str">
        <f>IF(K26&lt;&gt;"",IFERROR(VLOOKUP(A26,'1C'!A:T,18,0),IFERROR(VLOOKUP(K26,Colors!D:E,2,0),"")),"")</f>
        <v>черный</v>
      </c>
      <c r="N26" s="141" t="s">
        <v>950</v>
      </c>
      <c r="O26" s="65"/>
      <c r="P26" s="63" t="s">
        <v>44</v>
      </c>
      <c r="Q26" s="58" t="s">
        <v>15</v>
      </c>
      <c r="R26" s="58" t="s">
        <v>382</v>
      </c>
      <c r="S26" s="58">
        <v>3</v>
      </c>
      <c r="V26" s="58"/>
      <c r="X26" s="58"/>
      <c r="Z26" s="58"/>
      <c r="AB26" s="58"/>
      <c r="AD26" s="58"/>
      <c r="AQ26" s="57">
        <f t="shared" si="1"/>
        <v>3</v>
      </c>
      <c r="AR26" s="66" t="s">
        <v>444</v>
      </c>
      <c r="AS26" s="56" t="str">
        <f t="shared" ca="1" si="2"/>
        <v>HOOD HAT, LLC, 15332 Antioch st., #211 Pacific Palisades, CA 90272, USA</v>
      </c>
      <c r="AT26" s="56" t="str">
        <f t="shared" ca="1" si="3"/>
        <v>Соединенные Штаты</v>
      </c>
      <c r="AU26" s="76">
        <f t="shared" si="4"/>
        <v>0.1</v>
      </c>
      <c r="AV26" s="43">
        <f t="shared" si="5"/>
        <v>0.15000000000000002</v>
      </c>
      <c r="AW26" s="43">
        <f t="shared" si="6"/>
        <v>0.30000000000000004</v>
      </c>
      <c r="AX26" s="43">
        <f t="shared" si="7"/>
        <v>0.45000000000000007</v>
      </c>
      <c r="AY26" s="168">
        <v>2184</v>
      </c>
      <c r="AZ26" s="169">
        <f t="shared" si="8"/>
        <v>6552</v>
      </c>
      <c r="BA26" s="45">
        <f>IF(A26&lt;&gt;"",IF(_xlfn.XLOOKUP(A26,'1C'!A:A,'1C'!A:A,0,0)&gt;0,1,0),"")</f>
        <v>0</v>
      </c>
      <c r="BB26" s="146">
        <f>IF(C26&lt;&gt;"",IF(_xlfn.XLOOKUP(C26,'1C'!S:S,'1C'!S:S,0,0)&gt;0,0,1),"")</f>
        <v>0</v>
      </c>
      <c r="BC26" s="73">
        <f t="shared" si="9"/>
        <v>1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92-025-09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948</v>
      </c>
      <c r="J27" s="57" t="str">
        <f>'1C'!$AF$1</f>
        <v>HOOD</v>
      </c>
      <c r="K27" s="103" t="s">
        <v>52</v>
      </c>
      <c r="L27" s="59" t="str">
        <f>IF(K27&lt;&gt;"",IFERROR(VLOOKUP(A27,'1C'!A:T,8,0),IFERROR(VLOOKUP(K27,Colors!D:E,2,0),"")),"")</f>
        <v>черный</v>
      </c>
      <c r="M27" s="145" t="str">
        <f>IF(K27&lt;&gt;"",IFERROR(VLOOKUP(A27,'1C'!A:T,18,0),IFERROR(VLOOKUP(K27,Colors!D:E,2,0),"")),"")</f>
        <v>черный</v>
      </c>
      <c r="N27" s="141" t="s">
        <v>950</v>
      </c>
      <c r="O27" s="65"/>
      <c r="P27" s="63" t="s">
        <v>44</v>
      </c>
      <c r="Q27" s="58" t="s">
        <v>15</v>
      </c>
      <c r="R27" s="58" t="s">
        <v>382</v>
      </c>
      <c r="S27" s="58">
        <v>3</v>
      </c>
      <c r="V27" s="58"/>
      <c r="X27" s="58"/>
      <c r="Z27" s="58"/>
      <c r="AB27" s="58"/>
      <c r="AD27" s="58"/>
      <c r="AQ27" s="57">
        <f t="shared" si="1"/>
        <v>3</v>
      </c>
      <c r="AR27" s="66" t="s">
        <v>444</v>
      </c>
      <c r="AS27" s="56" t="str">
        <f t="shared" ca="1" si="2"/>
        <v>HOOD HAT, LLC, 15332 Antioch st., #211 Pacific Palisades, CA 90272, USA</v>
      </c>
      <c r="AT27" s="56" t="str">
        <f t="shared" ca="1" si="3"/>
        <v>Соединенные Штаты</v>
      </c>
      <c r="AU27" s="76">
        <f t="shared" si="4"/>
        <v>0.1</v>
      </c>
      <c r="AV27" s="43">
        <f t="shared" si="5"/>
        <v>0.15000000000000002</v>
      </c>
      <c r="AW27" s="43">
        <f t="shared" si="6"/>
        <v>0.30000000000000004</v>
      </c>
      <c r="AX27" s="43">
        <f t="shared" si="7"/>
        <v>0.45000000000000007</v>
      </c>
      <c r="AY27" s="168">
        <v>2184</v>
      </c>
      <c r="AZ27" s="169">
        <f t="shared" si="8"/>
        <v>6552</v>
      </c>
      <c r="BA27" s="45">
        <f>IF(A27&lt;&gt;"",IF(_xlfn.XLOOKUP(A27,'1C'!A:A,'1C'!A:A,0,0)&gt;0,1,0),"")</f>
        <v>0</v>
      </c>
      <c r="BB27" s="146">
        <f>IF(C27&lt;&gt;"",IF(_xlfn.XLOOKUP(C27,'1C'!S:S,'1C'!S:S,0,0)&gt;0,0,1),"")</f>
        <v>0</v>
      </c>
      <c r="BC27" s="73">
        <f t="shared" si="9"/>
        <v>1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948</v>
      </c>
      <c r="J28" s="57" t="str">
        <f>'1C'!$AF$1</f>
        <v>HOOD</v>
      </c>
      <c r="K28" s="103" t="s">
        <v>52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">
        <v>950</v>
      </c>
      <c r="O28" s="65"/>
      <c r="P28" s="63" t="s">
        <v>44</v>
      </c>
      <c r="Q28" s="58" t="s">
        <v>15</v>
      </c>
      <c r="R28" s="58" t="s">
        <v>382</v>
      </c>
      <c r="S28" s="58">
        <v>3</v>
      </c>
      <c r="V28" s="58"/>
      <c r="X28" s="58"/>
      <c r="Z28" s="58"/>
      <c r="AB28" s="58"/>
      <c r="AD28" s="58"/>
      <c r="AQ28" s="57">
        <f t="shared" si="1"/>
        <v>3</v>
      </c>
      <c r="AR28" s="66" t="s">
        <v>444</v>
      </c>
      <c r="AS28" s="56" t="str">
        <f t="shared" ca="1" si="2"/>
        <v>HOOD HAT, LLC, 15332 Antioch st., #211 Pacific Palisades, CA 90272, USA</v>
      </c>
      <c r="AT28" s="56" t="str">
        <f t="shared" ca="1" si="3"/>
        <v>Соединенные Штаты</v>
      </c>
      <c r="AU28" s="76">
        <f t="shared" si="4"/>
        <v>0.1</v>
      </c>
      <c r="AV28" s="43">
        <f t="shared" si="5"/>
        <v>0.15000000000000002</v>
      </c>
      <c r="AW28" s="43">
        <f t="shared" si="6"/>
        <v>0.30000000000000004</v>
      </c>
      <c r="AX28" s="43">
        <f t="shared" si="7"/>
        <v>0.45000000000000007</v>
      </c>
      <c r="AY28" s="168">
        <v>2184</v>
      </c>
      <c r="AZ28" s="169">
        <f t="shared" si="8"/>
        <v>6552</v>
      </c>
      <c r="BA28" s="45">
        <f>IF(A28&lt;&gt;"",IF(_xlfn.XLOOKUP(A28,'1C'!A:A,'1C'!A:A,0,0)&gt;0,1,0),"")</f>
        <v>0</v>
      </c>
      <c r="BB28" s="146">
        <f>IF(C28&lt;&gt;"",IF(_xlfn.XLOOKUP(C28,'1C'!S:S,'1C'!S:S,0,0)&gt;0,0,1),"")</f>
        <v>0</v>
      </c>
      <c r="BC28" s="73">
        <f t="shared" si="9"/>
        <v>1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92-027-16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948</v>
      </c>
      <c r="J29" s="57" t="str">
        <f>'1C'!$AF$1</f>
        <v>HOOD</v>
      </c>
      <c r="K29" s="103" t="s">
        <v>54</v>
      </c>
      <c r="L29" s="59" t="str">
        <f>IF(K29&lt;&gt;"",IFERROR(VLOOKUP(A29,'1C'!A:T,8,0),IFERROR(VLOOKUP(K29,Colors!D:E,2,0),"")),"")</f>
        <v>темно-синий</v>
      </c>
      <c r="M29" s="145" t="str">
        <f>IF(K29&lt;&gt;"",IFERROR(VLOOKUP(A29,'1C'!A:T,18,0),IFERROR(VLOOKUP(K29,Colors!D:E,2,0),"")),"")</f>
        <v>темно-синий</v>
      </c>
      <c r="N29" s="141" t="s">
        <v>950</v>
      </c>
      <c r="O29" s="65"/>
      <c r="P29" s="63" t="s">
        <v>44</v>
      </c>
      <c r="Q29" s="58" t="s">
        <v>15</v>
      </c>
      <c r="R29" s="58" t="s">
        <v>382</v>
      </c>
      <c r="S29" s="58">
        <v>3</v>
      </c>
      <c r="V29" s="58"/>
      <c r="X29" s="58"/>
      <c r="Z29" s="58"/>
      <c r="AB29" s="58"/>
      <c r="AD29" s="58"/>
      <c r="AQ29" s="57">
        <f t="shared" si="1"/>
        <v>3</v>
      </c>
      <c r="AR29" s="66" t="s">
        <v>444</v>
      </c>
      <c r="AS29" s="56" t="str">
        <f t="shared" ca="1" si="2"/>
        <v>HOOD HAT, LLC, 15332 Antioch st., #211 Pacific Palisades, CA 90272, USA</v>
      </c>
      <c r="AT29" s="56" t="str">
        <f t="shared" ca="1" si="3"/>
        <v>Соединенные Штаты</v>
      </c>
      <c r="AU29" s="76">
        <f t="shared" si="4"/>
        <v>0.1</v>
      </c>
      <c r="AV29" s="43">
        <f t="shared" si="5"/>
        <v>0.15000000000000002</v>
      </c>
      <c r="AW29" s="43">
        <f t="shared" si="6"/>
        <v>0.30000000000000004</v>
      </c>
      <c r="AX29" s="43">
        <f t="shared" si="7"/>
        <v>0.45000000000000007</v>
      </c>
      <c r="AY29" s="168">
        <v>2184</v>
      </c>
      <c r="AZ29" s="169">
        <f t="shared" si="8"/>
        <v>6552</v>
      </c>
      <c r="BA29" s="45">
        <f>IF(A29&lt;&gt;"",IF(_xlfn.XLOOKUP(A29,'1C'!A:A,'1C'!A:A,0,0)&gt;0,1,0),"")</f>
        <v>0</v>
      </c>
      <c r="BB29" s="146">
        <f>IF(C29&lt;&gt;"",IF(_xlfn.XLOOKUP(C29,'1C'!S:S,'1C'!S:S,0,0)&gt;0,0,1),"")</f>
        <v>0</v>
      </c>
      <c r="BC29" s="73">
        <f t="shared" si="9"/>
        <v>1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948</v>
      </c>
      <c r="J30" s="59" t="str">
        <f>'1C'!$AF$1</f>
        <v>HOOD</v>
      </c>
      <c r="K30" s="103" t="s">
        <v>52</v>
      </c>
      <c r="L30" s="59" t="str">
        <f>IF(K30&lt;&gt;"",IFERROR(VLOOKUP(A30,'1C'!A:T,8,0),IFERROR(VLOOKUP(K30,Colors!D:E,2,0),"")),"")</f>
        <v>черный</v>
      </c>
      <c r="M30" s="145" t="str">
        <f>IF(K30&lt;&gt;"",IFERROR(VLOOKUP(A30,'1C'!A:T,18,0),IFERROR(VLOOKUP(K30,Colors!D:E,2,0),"")),"")</f>
        <v>черный</v>
      </c>
      <c r="N30" s="141" t="s">
        <v>950</v>
      </c>
      <c r="O30" s="65"/>
      <c r="P30" s="63" t="s">
        <v>44</v>
      </c>
      <c r="Q30" s="58" t="s">
        <v>15</v>
      </c>
      <c r="R30" s="58" t="s">
        <v>382</v>
      </c>
      <c r="S30" s="58">
        <v>3</v>
      </c>
      <c r="V30" s="58"/>
      <c r="X30" s="58"/>
      <c r="Z30" s="58"/>
      <c r="AB30" s="58"/>
      <c r="AD30" s="58"/>
      <c r="AQ30" s="57">
        <f t="shared" si="1"/>
        <v>3</v>
      </c>
      <c r="AR30" s="66" t="s">
        <v>444</v>
      </c>
      <c r="AS30" s="56" t="str">
        <f t="shared" ca="1" si="2"/>
        <v>HOOD HAT, LLC, 15332 Antioch st., #211 Pacific Palisades, CA 90272, USA</v>
      </c>
      <c r="AT30" s="56" t="str">
        <f t="shared" ca="1" si="3"/>
        <v>Соединенные Штаты</v>
      </c>
      <c r="AU30" s="76">
        <f t="shared" si="4"/>
        <v>0.1</v>
      </c>
      <c r="AV30" s="43">
        <f t="shared" si="5"/>
        <v>0.15000000000000002</v>
      </c>
      <c r="AW30" s="43">
        <f t="shared" si="6"/>
        <v>0.30000000000000004</v>
      </c>
      <c r="AX30" s="43">
        <f t="shared" si="7"/>
        <v>0.45000000000000007</v>
      </c>
      <c r="AY30" s="168">
        <v>2184</v>
      </c>
      <c r="AZ30" s="169">
        <f t="shared" si="8"/>
        <v>6552</v>
      </c>
      <c r="BA30" s="45">
        <f>IF(A30&lt;&gt;"",IF(_xlfn.XLOOKUP(A30,'1C'!A:A,'1C'!A:A,0,0)&gt;0,1,0),"")</f>
        <v>0</v>
      </c>
      <c r="BB30" s="146">
        <f>IF(C30&lt;&gt;"",IF(_xlfn.XLOOKUP(C30,'1C'!S:S,'1C'!S:S,0,0)&gt;0,0,1),"")</f>
        <v>0</v>
      </c>
      <c r="BC30" s="73">
        <f t="shared" si="9"/>
        <v>1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92-029-08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948</v>
      </c>
      <c r="J31" s="59" t="str">
        <f>'1C'!$AF$1</f>
        <v>HOOD</v>
      </c>
      <c r="K31" s="103" t="s">
        <v>938</v>
      </c>
      <c r="L31" s="58" t="s">
        <v>83</v>
      </c>
      <c r="M31" s="66" t="s">
        <v>83</v>
      </c>
      <c r="N31" s="141" t="s">
        <v>950</v>
      </c>
      <c r="O31" s="65"/>
      <c r="P31" s="63" t="s">
        <v>44</v>
      </c>
      <c r="Q31" s="58" t="s">
        <v>15</v>
      </c>
      <c r="R31" s="58" t="s">
        <v>382</v>
      </c>
      <c r="S31" s="58">
        <v>3</v>
      </c>
      <c r="V31" s="58"/>
      <c r="X31" s="58"/>
      <c r="Z31" s="58"/>
      <c r="AB31" s="58"/>
      <c r="AD31" s="58"/>
      <c r="AQ31" s="57">
        <f t="shared" si="1"/>
        <v>3</v>
      </c>
      <c r="AR31" s="66" t="s">
        <v>444</v>
      </c>
      <c r="AS31" s="56" t="str">
        <f t="shared" ca="1" si="2"/>
        <v>HOOD HAT, LLC, 15332 Antioch st., #211 Pacific Palisades, CA 90272, USA</v>
      </c>
      <c r="AT31" s="56" t="str">
        <f t="shared" ca="1" si="3"/>
        <v>Соединенные Штаты</v>
      </c>
      <c r="AU31" s="76">
        <f t="shared" si="4"/>
        <v>0.1</v>
      </c>
      <c r="AV31" s="43">
        <f t="shared" si="5"/>
        <v>0.15000000000000002</v>
      </c>
      <c r="AW31" s="43">
        <f t="shared" si="6"/>
        <v>0.30000000000000004</v>
      </c>
      <c r="AX31" s="43">
        <f t="shared" si="7"/>
        <v>0.45000000000000007</v>
      </c>
      <c r="AY31" s="168">
        <v>2184</v>
      </c>
      <c r="AZ31" s="169">
        <f t="shared" si="8"/>
        <v>6552</v>
      </c>
      <c r="BA31" s="45">
        <f>IF(A31&lt;&gt;"",IF(_xlfn.XLOOKUP(A31,'1C'!A:A,'1C'!A:A,0,0)&gt;0,1,0),"")</f>
        <v>0</v>
      </c>
      <c r="BB31" s="146">
        <f>IF(C31&lt;&gt;"",IF(_xlfn.XLOOKUP(C31,'1C'!S:S,'1C'!S:S,0,0)&gt;0,0,1),"")</f>
        <v>0</v>
      </c>
      <c r="BC31" s="73">
        <f t="shared" si="9"/>
        <v>1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948</v>
      </c>
      <c r="J32" s="59" t="str">
        <f>'1C'!$AF$1</f>
        <v>HOOD</v>
      </c>
      <c r="K32" s="103" t="s">
        <v>940</v>
      </c>
      <c r="L32" s="58" t="s">
        <v>286</v>
      </c>
      <c r="M32" s="66" t="s">
        <v>286</v>
      </c>
      <c r="N32" s="141" t="s">
        <v>950</v>
      </c>
      <c r="O32" s="65"/>
      <c r="P32" s="63" t="s">
        <v>44</v>
      </c>
      <c r="Q32" s="58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">
        <v>444</v>
      </c>
      <c r="AS32" s="56" t="str">
        <f t="shared" ca="1" si="2"/>
        <v>HOOD HAT, LLC, 15332 Antioch st., #211 Pacific Palisades, CA 90272, USA</v>
      </c>
      <c r="AT32" s="56" t="str">
        <f t="shared" ca="1" si="3"/>
        <v>Соединенные Штаты</v>
      </c>
      <c r="AU32" s="76">
        <f t="shared" si="4"/>
        <v>0.1</v>
      </c>
      <c r="AV32" s="43">
        <f t="shared" si="5"/>
        <v>0.15000000000000002</v>
      </c>
      <c r="AW32" s="43">
        <f t="shared" si="6"/>
        <v>0.60000000000000009</v>
      </c>
      <c r="AX32" s="43">
        <f t="shared" si="7"/>
        <v>0.90000000000000013</v>
      </c>
      <c r="AY32" s="168">
        <v>2184</v>
      </c>
      <c r="AZ32" s="169">
        <f t="shared" si="8"/>
        <v>13104</v>
      </c>
      <c r="BA32" s="45">
        <f>IF(A32&lt;&gt;"",IF(_xlfn.XLOOKUP(A32,'1C'!A:A,'1C'!A:A,0,0)&gt;0,1,0),"")</f>
        <v>0</v>
      </c>
      <c r="BB32" s="146">
        <f>IF(C32&lt;&gt;"",IF(_xlfn.XLOOKUP(C32,'1C'!S:S,'1C'!S:S,0,0)&gt;0,0,1),"")</f>
        <v>0</v>
      </c>
      <c r="BC32" s="73">
        <f t="shared" si="9"/>
        <v>1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92-031-16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948</v>
      </c>
      <c r="J33" s="59" t="str">
        <f>'1C'!$AF$1</f>
        <v>HOOD</v>
      </c>
      <c r="K33" s="103" t="s">
        <v>54</v>
      </c>
      <c r="L33" s="59" t="str">
        <f>IF(K33&lt;&gt;"",IFERROR(VLOOKUP(A33,'1C'!A:T,8,0),IFERROR(VLOOKUP(K33,Colors!D:E,2,0),"")),"")</f>
        <v>темно-синий</v>
      </c>
      <c r="M33" s="145" t="str">
        <f>IF(K33&lt;&gt;"",IFERROR(VLOOKUP(A33,'1C'!A:T,18,0),IFERROR(VLOOKUP(K33,Colors!D:E,2,0),"")),"")</f>
        <v>темно-синий</v>
      </c>
      <c r="N33" s="141" t="s">
        <v>950</v>
      </c>
      <c r="O33" s="65"/>
      <c r="P33" s="63" t="s">
        <v>44</v>
      </c>
      <c r="Q33" s="58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">
        <v>444</v>
      </c>
      <c r="AS33" s="56" t="str">
        <f t="shared" ca="1" si="2"/>
        <v>HOOD HAT, LLC, 15332 Antioch st., #211 Pacific Palisades, CA 90272, USA</v>
      </c>
      <c r="AT33" s="56" t="str">
        <f t="shared" ca="1" si="3"/>
        <v>Соединенные Штаты</v>
      </c>
      <c r="AU33" s="76">
        <f t="shared" si="4"/>
        <v>0.1</v>
      </c>
      <c r="AV33" s="43">
        <f t="shared" si="5"/>
        <v>0.15000000000000002</v>
      </c>
      <c r="AW33" s="43">
        <f t="shared" si="6"/>
        <v>1.2000000000000002</v>
      </c>
      <c r="AX33" s="43">
        <f t="shared" si="7"/>
        <v>1.8000000000000003</v>
      </c>
      <c r="AY33" s="168">
        <v>2184</v>
      </c>
      <c r="AZ33" s="169">
        <f t="shared" si="8"/>
        <v>26208</v>
      </c>
      <c r="BA33" s="45">
        <f>IF(A33&lt;&gt;"",IF(_xlfn.XLOOKUP(A33,'1C'!A:A,'1C'!A:A,0,0)&gt;0,1,0),"")</f>
        <v>0</v>
      </c>
      <c r="BB33" s="146">
        <f>IF(C33&lt;&gt;"",IF(_xlfn.XLOOKUP(C33,'1C'!S:S,'1C'!S:S,0,0)&gt;0,0,1),"")</f>
        <v>0</v>
      </c>
      <c r="BC33" s="73">
        <f t="shared" si="9"/>
        <v>1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92-032-06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948</v>
      </c>
      <c r="J34" s="59" t="str">
        <f>'1C'!$AF$1</f>
        <v>HOOD</v>
      </c>
      <c r="K34" s="103" t="s">
        <v>939</v>
      </c>
      <c r="L34" s="58" t="s">
        <v>71</v>
      </c>
      <c r="M34" s="66" t="s">
        <v>71</v>
      </c>
      <c r="N34" s="141" t="s">
        <v>950</v>
      </c>
      <c r="O34" s="65"/>
      <c r="P34" s="63" t="s">
        <v>44</v>
      </c>
      <c r="Q34" s="58" t="s">
        <v>15</v>
      </c>
      <c r="R34" s="58" t="s">
        <v>382</v>
      </c>
      <c r="S34" s="58">
        <v>3</v>
      </c>
      <c r="V34" s="58"/>
      <c r="X34" s="58"/>
      <c r="Z34" s="58"/>
      <c r="AB34" s="58"/>
      <c r="AD34" s="58"/>
      <c r="AQ34" s="57">
        <f t="shared" si="1"/>
        <v>3</v>
      </c>
      <c r="AR34" s="66" t="s">
        <v>444</v>
      </c>
      <c r="AS34" s="56" t="str">
        <f t="shared" ref="AS34:AS65" ca="1" si="10">IF(AR34&lt;&gt;"",VLOOKUP(AR34,INDIRECT(SUBSTITUTE($J34," ","")&amp;"Manufactures"),3,0),"Требуется код страны")</f>
        <v>HOOD HAT, LLC, 15332 Antioch st., #211 Pacific Palisades, CA 90272, USA</v>
      </c>
      <c r="AT34" s="56" t="str">
        <f t="shared" ref="AT34:AT52" ca="1" si="11">IF(AR34&lt;&gt;"",VLOOKUP(AR34,INDIRECT(SUBSTITUTE($J34," ","")&amp;"Manufactures"),2,0),"Требуется код страны")</f>
        <v>Соединенные Штаты</v>
      </c>
      <c r="AU34" s="76">
        <f t="shared" si="4"/>
        <v>0.1</v>
      </c>
      <c r="AV34" s="43">
        <f t="shared" si="5"/>
        <v>0.15000000000000002</v>
      </c>
      <c r="AW34" s="43">
        <f t="shared" si="6"/>
        <v>0.30000000000000004</v>
      </c>
      <c r="AX34" s="43">
        <f t="shared" si="7"/>
        <v>0.45000000000000007</v>
      </c>
      <c r="AY34" s="168">
        <v>2184</v>
      </c>
      <c r="AZ34" s="169">
        <f t="shared" si="8"/>
        <v>6552</v>
      </c>
      <c r="BA34" s="45">
        <f>IF(A34&lt;&gt;"",IF(_xlfn.XLOOKUP(A34,'1C'!A:A,'1C'!A:A,0,0)&gt;0,1,0),"")</f>
        <v>0</v>
      </c>
      <c r="BB34" s="146">
        <f>IF(C34&lt;&gt;"",IF(_xlfn.XLOOKUP(C34,'1C'!S:S,'1C'!S:S,0,0)&gt;0,0,1),"")</f>
        <v>0</v>
      </c>
      <c r="BC34" s="73">
        <f t="shared" si="9"/>
        <v>1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92-033-08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948</v>
      </c>
      <c r="J35" s="59" t="str">
        <f>'1C'!$AF$1</f>
        <v>HOOD</v>
      </c>
      <c r="K35" s="103" t="s">
        <v>938</v>
      </c>
      <c r="L35" s="58" t="s">
        <v>83</v>
      </c>
      <c r="M35" s="66" t="s">
        <v>83</v>
      </c>
      <c r="N35" s="141" t="s">
        <v>950</v>
      </c>
      <c r="O35" s="65"/>
      <c r="P35" s="63" t="s">
        <v>44</v>
      </c>
      <c r="Q35" s="58" t="s">
        <v>15</v>
      </c>
      <c r="R35" s="58" t="s">
        <v>382</v>
      </c>
      <c r="S35" s="58">
        <v>3</v>
      </c>
      <c r="V35" s="58"/>
      <c r="X35" s="58"/>
      <c r="Z35" s="58"/>
      <c r="AB35" s="58"/>
      <c r="AD35" s="58"/>
      <c r="AQ35" s="57">
        <f t="shared" si="1"/>
        <v>3</v>
      </c>
      <c r="AR35" s="66" t="s">
        <v>444</v>
      </c>
      <c r="AS35" s="56" t="str">
        <f t="shared" ca="1" si="10"/>
        <v>HOOD HAT, LLC, 15332 Antioch st., #211 Pacific Palisades, CA 90272, USA</v>
      </c>
      <c r="AT35" s="56" t="str">
        <f t="shared" ca="1" si="11"/>
        <v>Соединенные Штаты</v>
      </c>
      <c r="AU35" s="76">
        <f t="shared" si="4"/>
        <v>0.1</v>
      </c>
      <c r="AV35" s="43">
        <f t="shared" si="5"/>
        <v>0.15000000000000002</v>
      </c>
      <c r="AW35" s="43">
        <f t="shared" si="6"/>
        <v>0.30000000000000004</v>
      </c>
      <c r="AX35" s="43">
        <f t="shared" si="7"/>
        <v>0.45000000000000007</v>
      </c>
      <c r="AY35" s="168">
        <v>2184</v>
      </c>
      <c r="AZ35" s="169">
        <f t="shared" si="8"/>
        <v>6552</v>
      </c>
      <c r="BA35" s="45">
        <f>IF(A35&lt;&gt;"",IF(_xlfn.XLOOKUP(A35,'1C'!A:A,'1C'!A:A,0,0)&gt;0,1,0),"")</f>
        <v>0</v>
      </c>
      <c r="BB35" s="146">
        <f>IF(C35&lt;&gt;"",IF(_xlfn.XLOOKUP(C35,'1C'!S:S,'1C'!S:S,0,0)&gt;0,0,1),"")</f>
        <v>0</v>
      </c>
      <c r="BC35" s="73">
        <f t="shared" si="9"/>
        <v>1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948</v>
      </c>
      <c r="J36" s="59" t="str">
        <f>'1C'!$AF$1</f>
        <v>HOOD</v>
      </c>
      <c r="K36" s="103" t="s">
        <v>940</v>
      </c>
      <c r="L36" s="58" t="s">
        <v>286</v>
      </c>
      <c r="M36" s="66" t="s">
        <v>286</v>
      </c>
      <c r="N36" s="141" t="s">
        <v>950</v>
      </c>
      <c r="O36" s="65"/>
      <c r="P36" s="63" t="s">
        <v>44</v>
      </c>
      <c r="Q36" s="58" t="s">
        <v>15</v>
      </c>
      <c r="R36" s="58" t="s">
        <v>382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66" t="s">
        <v>444</v>
      </c>
      <c r="AS36" s="56" t="str">
        <f t="shared" ca="1" si="10"/>
        <v>HOOD HAT, LLC, 15332 Antioch st., #211 Pacific Palisades, CA 90272, USA</v>
      </c>
      <c r="AT36" s="56" t="str">
        <f t="shared" ca="1" si="11"/>
        <v>Соединенные Штаты</v>
      </c>
      <c r="AU36" s="76">
        <f t="shared" si="4"/>
        <v>0.1</v>
      </c>
      <c r="AV36" s="43">
        <f t="shared" si="5"/>
        <v>0.15000000000000002</v>
      </c>
      <c r="AW36" s="43">
        <f t="shared" si="6"/>
        <v>0.30000000000000004</v>
      </c>
      <c r="AX36" s="43">
        <f t="shared" si="7"/>
        <v>0.45000000000000007</v>
      </c>
      <c r="AY36" s="168">
        <v>2184</v>
      </c>
      <c r="AZ36" s="169">
        <f t="shared" si="8"/>
        <v>6552</v>
      </c>
      <c r="BA36" s="45">
        <f>IF(A36&lt;&gt;"",IF(_xlfn.XLOOKUP(A36,'1C'!A:A,'1C'!A:A,0,0)&gt;0,1,0),"")</f>
        <v>0</v>
      </c>
      <c r="BB36" s="146">
        <f>IF(C36&lt;&gt;"",IF(_xlfn.XLOOKUP(C36,'1C'!S:S,'1C'!S:S,0,0)&gt;0,0,1),"")</f>
        <v>0</v>
      </c>
      <c r="BC36" s="73">
        <f t="shared" si="9"/>
        <v>1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948</v>
      </c>
      <c r="J37" s="43" t="str">
        <f>'1C'!$AF$1</f>
        <v>HOOD</v>
      </c>
      <c r="K37" s="104" t="s">
        <v>941</v>
      </c>
      <c r="L37" s="58" t="s">
        <v>53</v>
      </c>
      <c r="M37" s="66" t="s">
        <v>53</v>
      </c>
      <c r="N37" s="141" t="s">
        <v>950</v>
      </c>
      <c r="O37" s="65"/>
      <c r="P37" s="63" t="s">
        <v>44</v>
      </c>
      <c r="Q37" s="58" t="s">
        <v>15</v>
      </c>
      <c r="R37" s="58" t="s">
        <v>382</v>
      </c>
      <c r="S37" s="58">
        <v>27</v>
      </c>
      <c r="V37" s="58"/>
      <c r="X37" s="58"/>
      <c r="Z37" s="58"/>
      <c r="AB37" s="58"/>
      <c r="AD37" s="58"/>
      <c r="AQ37" s="59">
        <f t="shared" si="1"/>
        <v>27</v>
      </c>
      <c r="AR37" s="66" t="s">
        <v>444</v>
      </c>
      <c r="AS37" s="56" t="str">
        <f t="shared" ca="1" si="10"/>
        <v>HOOD HAT, LLC, 15332 Antioch st., #211 Pacific Palisades, CA 90272, USA</v>
      </c>
      <c r="AT37" s="56" t="str">
        <f t="shared" ca="1" si="11"/>
        <v>Соединенные Штаты</v>
      </c>
      <c r="AU37" s="76">
        <f t="shared" si="4"/>
        <v>0.1</v>
      </c>
      <c r="AV37" s="43">
        <f t="shared" si="5"/>
        <v>0.15000000000000002</v>
      </c>
      <c r="AW37" s="43">
        <f t="shared" si="6"/>
        <v>2.7</v>
      </c>
      <c r="AX37" s="43">
        <f t="shared" si="7"/>
        <v>4.0500000000000007</v>
      </c>
      <c r="AY37" s="168">
        <v>2184</v>
      </c>
      <c r="AZ37" s="169">
        <f t="shared" si="8"/>
        <v>58968</v>
      </c>
      <c r="BA37" s="45">
        <f>IF(A37&lt;&gt;"",IF(_xlfn.XLOOKUP(A37,'1C'!A:A,'1C'!A:A,0,0)&gt;0,1,0),"")</f>
        <v>0</v>
      </c>
      <c r="BB37" s="146">
        <f>IF(C37&lt;&gt;"",IF(_xlfn.XLOOKUP(C37,'1C'!S:S,'1C'!S:S,0,0)&gt;0,0,1),"")</f>
        <v>0</v>
      </c>
      <c r="BC37" s="73">
        <f t="shared" si="9"/>
        <v>1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948</v>
      </c>
      <c r="J38" s="43" t="str">
        <f>'1C'!$AF$1</f>
        <v>HOOD</v>
      </c>
      <c r="K38" s="104" t="s">
        <v>942</v>
      </c>
      <c r="L38" s="58" t="s">
        <v>83</v>
      </c>
      <c r="M38" s="66" t="s">
        <v>83</v>
      </c>
      <c r="N38" s="141" t="s">
        <v>950</v>
      </c>
      <c r="O38" s="65"/>
      <c r="P38" s="63" t="s">
        <v>44</v>
      </c>
      <c r="Q38" s="58" t="s">
        <v>15</v>
      </c>
      <c r="R38" s="58" t="s">
        <v>382</v>
      </c>
      <c r="S38" s="58">
        <v>15</v>
      </c>
      <c r="V38" s="58"/>
      <c r="X38" s="58"/>
      <c r="Z38" s="58"/>
      <c r="AB38" s="58"/>
      <c r="AD38" s="58"/>
      <c r="AQ38" s="59">
        <f t="shared" si="1"/>
        <v>15</v>
      </c>
      <c r="AR38" s="66" t="s">
        <v>444</v>
      </c>
      <c r="AS38" s="56" t="str">
        <f t="shared" ca="1" si="10"/>
        <v>HOOD HAT, LLC, 15332 Antioch st., #211 Pacific Palisades, CA 90272, USA</v>
      </c>
      <c r="AT38" s="56" t="str">
        <f t="shared" ca="1" si="11"/>
        <v>Соединенные Штаты</v>
      </c>
      <c r="AU38" s="76">
        <f t="shared" si="4"/>
        <v>0.1</v>
      </c>
      <c r="AV38" s="43">
        <f t="shared" si="5"/>
        <v>0.15000000000000002</v>
      </c>
      <c r="AW38" s="43">
        <f t="shared" si="6"/>
        <v>1.5</v>
      </c>
      <c r="AX38" s="43">
        <f t="shared" si="7"/>
        <v>2.2500000000000004</v>
      </c>
      <c r="AY38" s="168">
        <v>2184</v>
      </c>
      <c r="AZ38" s="169">
        <f t="shared" si="8"/>
        <v>32760</v>
      </c>
      <c r="BA38" s="45">
        <f>IF(A38&lt;&gt;"",IF(_xlfn.XLOOKUP(A38,'1C'!A:A,'1C'!A:A,0,0)&gt;0,1,0),"")</f>
        <v>0</v>
      </c>
      <c r="BB38" s="146">
        <f>IF(C38&lt;&gt;"",IF(_xlfn.XLOOKUP(C38,'1C'!S:S,'1C'!S:S,0,0)&gt;0,0,1),"")</f>
        <v>0</v>
      </c>
      <c r="BC38" s="73">
        <f t="shared" si="9"/>
        <v>1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948</v>
      </c>
      <c r="J39" s="43" t="str">
        <f>'1C'!$AF$1</f>
        <v>HOOD</v>
      </c>
      <c r="K39" s="104" t="s">
        <v>936</v>
      </c>
      <c r="L39" s="59" t="str">
        <f>IF(K39&lt;&gt;"",IFERROR(VLOOKUP(A39,'1C'!A:T,8,0),IFERROR(VLOOKUP(K39,Colors!D:E,2,0),"")),"")</f>
        <v>черный</v>
      </c>
      <c r="M39" s="145" t="str">
        <f>IF(K39&lt;&gt;"",IFERROR(VLOOKUP(A39,'1C'!A:T,18,0),IFERROR(VLOOKUP(K39,Colors!D:E,2,0),"")),"")</f>
        <v>черный</v>
      </c>
      <c r="N39" s="141" t="s">
        <v>950</v>
      </c>
      <c r="O39" s="65"/>
      <c r="P39" s="63" t="s">
        <v>44</v>
      </c>
      <c r="Q39" s="58" t="s">
        <v>15</v>
      </c>
      <c r="R39" s="58" t="s">
        <v>382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4" t="s">
        <v>444</v>
      </c>
      <c r="AS39" s="56" t="str">
        <f t="shared" ca="1" si="10"/>
        <v>HOOD HAT, LLC, 15332 Antioch st., #211 Pacific Palisades, CA 90272, USA</v>
      </c>
      <c r="AT39" s="56" t="str">
        <f t="shared" ca="1" si="11"/>
        <v>Соединенные Штаты</v>
      </c>
      <c r="AU39" s="76">
        <f t="shared" si="4"/>
        <v>0.1</v>
      </c>
      <c r="AV39" s="43">
        <f t="shared" si="5"/>
        <v>0.15000000000000002</v>
      </c>
      <c r="AW39" s="43">
        <f t="shared" si="6"/>
        <v>1.2000000000000002</v>
      </c>
      <c r="AX39" s="43">
        <f t="shared" si="7"/>
        <v>1.8000000000000003</v>
      </c>
      <c r="AY39" s="168">
        <v>2184</v>
      </c>
      <c r="AZ39" s="169">
        <f t="shared" si="8"/>
        <v>26208</v>
      </c>
      <c r="BA39" s="45">
        <f>IF(A39&lt;&gt;"",IF(_xlfn.XLOOKUP(A39,'1C'!A:A,'1C'!A:A,0,0)&gt;0,1,0),"")</f>
        <v>0</v>
      </c>
      <c r="BB39" s="146">
        <f>IF(C39&lt;&gt;"",IF(_xlfn.XLOOKUP(C39,'1C'!S:S,'1C'!S:S,0,0)&gt;0,0,1),"")</f>
        <v>0</v>
      </c>
      <c r="BC39" s="73">
        <f t="shared" si="9"/>
        <v>1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948</v>
      </c>
      <c r="J40" s="43" t="str">
        <f>'1C'!$AF$1</f>
        <v>HOOD</v>
      </c>
      <c r="K40" s="104" t="s">
        <v>936</v>
      </c>
      <c r="L40" s="59" t="str">
        <f>IF(K40&lt;&gt;"",IFERROR(VLOOKUP(A40,'1C'!A:T,8,0),IFERROR(VLOOKUP(K40,Colors!D:E,2,0),"")),"")</f>
        <v>черный</v>
      </c>
      <c r="M40" s="145" t="str">
        <f>IF(K40&lt;&gt;"",IFERROR(VLOOKUP(A40,'1C'!A:T,18,0),IFERROR(VLOOKUP(K40,Colors!D:E,2,0),"")),"")</f>
        <v>черный</v>
      </c>
      <c r="N40" s="141" t="s">
        <v>950</v>
      </c>
      <c r="O40" s="65"/>
      <c r="P40" s="63" t="s">
        <v>44</v>
      </c>
      <c r="Q40" s="58" t="s">
        <v>15</v>
      </c>
      <c r="R40" s="58" t="s">
        <v>382</v>
      </c>
      <c r="S40" s="58">
        <v>18</v>
      </c>
      <c r="V40" s="58"/>
      <c r="X40" s="58"/>
      <c r="Z40" s="58"/>
      <c r="AB40" s="58"/>
      <c r="AD40" s="58"/>
      <c r="AQ40" s="59">
        <f t="shared" si="1"/>
        <v>18</v>
      </c>
      <c r="AR40" s="44" t="s">
        <v>444</v>
      </c>
      <c r="AS40" s="56" t="str">
        <f t="shared" ca="1" si="10"/>
        <v>HOOD HAT, LLC, 15332 Antioch st., #211 Pacific Palisades, CA 90272, USA</v>
      </c>
      <c r="AT40" s="56" t="str">
        <f t="shared" ca="1" si="11"/>
        <v>Соединенные Штаты</v>
      </c>
      <c r="AU40" s="76">
        <f t="shared" si="4"/>
        <v>0.1</v>
      </c>
      <c r="AV40" s="43">
        <f t="shared" si="5"/>
        <v>0.15000000000000002</v>
      </c>
      <c r="AW40" s="43">
        <f t="shared" si="6"/>
        <v>1.8</v>
      </c>
      <c r="AX40" s="43">
        <f t="shared" si="7"/>
        <v>2.7</v>
      </c>
      <c r="AY40" s="168">
        <v>2184</v>
      </c>
      <c r="AZ40" s="169">
        <f t="shared" si="8"/>
        <v>39312</v>
      </c>
      <c r="BA40" s="45">
        <f>IF(A40&lt;&gt;"",IF(_xlfn.XLOOKUP(A40,'1C'!A:A,'1C'!A:A,0,0)&gt;0,1,0),"")</f>
        <v>0</v>
      </c>
      <c r="BB40" s="146">
        <f>IF(C40&lt;&gt;"",IF(_xlfn.XLOOKUP(C40,'1C'!S:S,'1C'!S:S,0,0)&gt;0,0,1),"")</f>
        <v>0</v>
      </c>
      <c r="BC40" s="73">
        <f t="shared" si="9"/>
        <v>1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948</v>
      </c>
      <c r="J41" s="43" t="str">
        <f>'1C'!$AF$1</f>
        <v>HOOD</v>
      </c>
      <c r="K41" s="104" t="s">
        <v>941</v>
      </c>
      <c r="L41" s="63" t="s">
        <v>53</v>
      </c>
      <c r="M41" s="66" t="s">
        <v>53</v>
      </c>
      <c r="N41" s="141" t="s">
        <v>950</v>
      </c>
      <c r="O41" s="65"/>
      <c r="P41" s="63" t="s">
        <v>44</v>
      </c>
      <c r="Q41" s="58" t="s">
        <v>15</v>
      </c>
      <c r="R41" s="58" t="s">
        <v>382</v>
      </c>
      <c r="S41" s="58">
        <v>27</v>
      </c>
      <c r="V41" s="58"/>
      <c r="X41" s="58"/>
      <c r="Z41" s="58"/>
      <c r="AB41" s="58"/>
      <c r="AD41" s="58"/>
      <c r="AQ41" s="59">
        <f t="shared" si="1"/>
        <v>27</v>
      </c>
      <c r="AR41" s="44" t="s">
        <v>444</v>
      </c>
      <c r="AS41" s="56" t="str">
        <f t="shared" ca="1" si="10"/>
        <v>HOOD HAT, LLC, 15332 Antioch st., #211 Pacific Palisades, CA 90272, USA</v>
      </c>
      <c r="AT41" s="56" t="str">
        <f t="shared" ca="1" si="11"/>
        <v>Соединенные Штаты</v>
      </c>
      <c r="AU41" s="76">
        <f t="shared" si="4"/>
        <v>0.1</v>
      </c>
      <c r="AV41" s="43">
        <f t="shared" si="5"/>
        <v>0.15000000000000002</v>
      </c>
      <c r="AW41" s="43">
        <f t="shared" si="6"/>
        <v>2.7</v>
      </c>
      <c r="AX41" s="43">
        <f t="shared" si="7"/>
        <v>4.0500000000000007</v>
      </c>
      <c r="AY41" s="168">
        <v>2184</v>
      </c>
      <c r="AZ41" s="169">
        <f t="shared" si="8"/>
        <v>58968</v>
      </c>
      <c r="BA41" s="45">
        <f>IF(A41&lt;&gt;"",IF(_xlfn.XLOOKUP(A41,'1C'!A:A,'1C'!A:A,0,0)&gt;0,1,0),"")</f>
        <v>0</v>
      </c>
      <c r="BB41" s="146">
        <f>IF(C41&lt;&gt;"",IF(_xlfn.XLOOKUP(C41,'1C'!S:S,'1C'!S:S,0,0)&gt;0,0,1),"")</f>
        <v>0</v>
      </c>
      <c r="BC41" s="73">
        <f t="shared" si="9"/>
        <v>1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92-040-36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948</v>
      </c>
      <c r="J42" s="43" t="str">
        <f>'1C'!$AF$1</f>
        <v>HOOD</v>
      </c>
      <c r="K42" s="104" t="s">
        <v>943</v>
      </c>
      <c r="L42" s="58" t="s">
        <v>187</v>
      </c>
      <c r="M42" s="66" t="s">
        <v>187</v>
      </c>
      <c r="N42" s="141" t="s">
        <v>949</v>
      </c>
      <c r="O42" s="65"/>
      <c r="P42" s="63" t="s">
        <v>43</v>
      </c>
      <c r="Q42" s="58" t="s">
        <v>15</v>
      </c>
      <c r="R42" s="58" t="s">
        <v>382</v>
      </c>
      <c r="S42" s="58">
        <v>15</v>
      </c>
      <c r="V42" s="58"/>
      <c r="X42" s="58"/>
      <c r="Z42" s="58"/>
      <c r="AB42" s="58"/>
      <c r="AD42" s="58"/>
      <c r="AQ42" s="59">
        <f t="shared" si="1"/>
        <v>15</v>
      </c>
      <c r="AR42" s="44" t="s">
        <v>444</v>
      </c>
      <c r="AS42" s="56" t="str">
        <f t="shared" ca="1" si="10"/>
        <v>HOOD HAT, LLC, 15332 Antioch st., #211 Pacific Palisades, CA 90272, USA</v>
      </c>
      <c r="AT42" s="56" t="str">
        <f t="shared" ca="1" si="11"/>
        <v>Соединенные Штаты</v>
      </c>
      <c r="AU42" s="76">
        <f t="shared" si="4"/>
        <v>0.1</v>
      </c>
      <c r="AV42" s="43">
        <f t="shared" si="5"/>
        <v>0.15000000000000002</v>
      </c>
      <c r="AW42" s="43">
        <f t="shared" si="6"/>
        <v>1.5</v>
      </c>
      <c r="AX42" s="43">
        <f t="shared" si="7"/>
        <v>2.2500000000000004</v>
      </c>
      <c r="AY42" s="168">
        <v>2184</v>
      </c>
      <c r="AZ42" s="169">
        <f t="shared" si="8"/>
        <v>32760</v>
      </c>
      <c r="BA42" s="45">
        <f>IF(A42&lt;&gt;"",IF(_xlfn.XLOOKUP(A42,'1C'!A:A,'1C'!A:A,0,0)&gt;0,1,0),"")</f>
        <v>0</v>
      </c>
      <c r="BB42" s="146">
        <f>IF(C42&lt;&gt;"",IF(_xlfn.XLOOKUP(C42,'1C'!S:S,'1C'!S:S,0,0)&gt;0,0,1),"")</f>
        <v>0</v>
      </c>
      <c r="BC42" s="73">
        <f t="shared" si="9"/>
        <v>1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948</v>
      </c>
      <c r="J43" s="43" t="str">
        <f>'1C'!$AF$1</f>
        <v>HOOD</v>
      </c>
      <c r="K43" s="104" t="s">
        <v>943</v>
      </c>
      <c r="L43" s="58" t="s">
        <v>221</v>
      </c>
      <c r="M43" s="66" t="s">
        <v>63</v>
      </c>
      <c r="N43" s="141" t="s">
        <v>949</v>
      </c>
      <c r="O43" s="65"/>
      <c r="P43" s="63" t="s">
        <v>43</v>
      </c>
      <c r="Q43" s="58" t="s">
        <v>15</v>
      </c>
      <c r="R43" s="58" t="s">
        <v>382</v>
      </c>
      <c r="S43" s="58">
        <v>15</v>
      </c>
      <c r="V43" s="58"/>
      <c r="X43" s="58"/>
      <c r="Z43" s="58"/>
      <c r="AB43" s="58"/>
      <c r="AD43" s="58"/>
      <c r="AQ43" s="59">
        <f t="shared" si="1"/>
        <v>15</v>
      </c>
      <c r="AR43" s="44" t="s">
        <v>444</v>
      </c>
      <c r="AS43" s="56" t="str">
        <f t="shared" ca="1" si="10"/>
        <v>HOOD HAT, LLC, 15332 Antioch st., #211 Pacific Palisades, CA 90272, USA</v>
      </c>
      <c r="AT43" s="56" t="str">
        <f t="shared" ca="1" si="11"/>
        <v>Соединенные Штаты</v>
      </c>
      <c r="AU43" s="76">
        <f t="shared" si="4"/>
        <v>0.1</v>
      </c>
      <c r="AV43" s="43">
        <f t="shared" si="5"/>
        <v>0.15000000000000002</v>
      </c>
      <c r="AW43" s="43">
        <f t="shared" si="6"/>
        <v>1.5</v>
      </c>
      <c r="AX43" s="43">
        <f t="shared" si="7"/>
        <v>2.2500000000000004</v>
      </c>
      <c r="AY43" s="168">
        <v>2184</v>
      </c>
      <c r="AZ43" s="169">
        <f t="shared" si="8"/>
        <v>32760</v>
      </c>
      <c r="BA43" s="45">
        <f>IF(A43&lt;&gt;"",IF(_xlfn.XLOOKUP(A43,'1C'!A:A,'1C'!A:A,0,0)&gt;0,1,0),"")</f>
        <v>0</v>
      </c>
      <c r="BB43" s="146">
        <f>IF(C43&lt;&gt;"",IF(_xlfn.XLOOKUP(C43,'1C'!S:S,'1C'!S:S,0,0)&gt;0,0,1),"")</f>
        <v>0</v>
      </c>
      <c r="BC43" s="73">
        <f t="shared" si="9"/>
        <v>1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948</v>
      </c>
      <c r="J44" s="43" t="str">
        <f>'1C'!$AF$1</f>
        <v>HOOD</v>
      </c>
      <c r="K44" s="104" t="s">
        <v>82</v>
      </c>
      <c r="L44" s="56" t="str">
        <f>IF(K44&lt;&gt;"",IFERROR(VLOOKUP(A44,'1C'!A:T,8,0),IFERROR(VLOOKUP(K44,Colors!D:E,2,0),"")),"")</f>
        <v>серый</v>
      </c>
      <c r="M44" s="145" t="str">
        <f>IF(K44&lt;&gt;"",IFERROR(VLOOKUP(A44,'1C'!A:T,18,0),IFERROR(VLOOKUP(K44,Colors!D:E,2,0),"")),"")</f>
        <v>серый</v>
      </c>
      <c r="N44" s="141" t="s">
        <v>949</v>
      </c>
      <c r="O44" s="65"/>
      <c r="P44" s="63" t="s">
        <v>43</v>
      </c>
      <c r="Q44" s="58" t="s">
        <v>15</v>
      </c>
      <c r="R44" s="58" t="s">
        <v>382</v>
      </c>
      <c r="S44" s="58">
        <v>18</v>
      </c>
      <c r="V44" s="58"/>
      <c r="X44" s="58"/>
      <c r="Z44" s="58"/>
      <c r="AB44" s="58"/>
      <c r="AD44" s="58"/>
      <c r="AQ44" s="59">
        <f t="shared" si="1"/>
        <v>18</v>
      </c>
      <c r="AR44" s="44" t="s">
        <v>444</v>
      </c>
      <c r="AS44" s="56" t="str">
        <f t="shared" ca="1" si="10"/>
        <v>HOOD HAT, LLC, 15332 Antioch st., #211 Pacific Palisades, CA 90272, USA</v>
      </c>
      <c r="AT44" s="56" t="str">
        <f t="shared" ca="1" si="11"/>
        <v>Соединенные Штаты</v>
      </c>
      <c r="AU44" s="76">
        <f t="shared" si="4"/>
        <v>0.1</v>
      </c>
      <c r="AV44" s="43">
        <f t="shared" si="5"/>
        <v>0.15000000000000002</v>
      </c>
      <c r="AW44" s="43">
        <f t="shared" si="6"/>
        <v>1.8</v>
      </c>
      <c r="AX44" s="43">
        <f t="shared" si="7"/>
        <v>2.7</v>
      </c>
      <c r="AY44" s="168">
        <v>2184</v>
      </c>
      <c r="AZ44" s="169">
        <f t="shared" si="8"/>
        <v>39312</v>
      </c>
      <c r="BA44" s="45">
        <f>IF(A44&lt;&gt;"",IF(_xlfn.XLOOKUP(A44,'1C'!A:A,'1C'!A:A,0,0)&gt;0,1,0),"")</f>
        <v>0</v>
      </c>
      <c r="BB44" s="146">
        <f>IF(C44&lt;&gt;"",IF(_xlfn.XLOOKUP(C44,'1C'!S:S,'1C'!S:S,0,0)&gt;0,0,1),"")</f>
        <v>0</v>
      </c>
      <c r="BC44" s="73">
        <f t="shared" si="9"/>
        <v>1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92-043-15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948</v>
      </c>
      <c r="J45" s="43" t="str">
        <f>'1C'!$AF$1</f>
        <v>HOOD</v>
      </c>
      <c r="K45" s="104" t="s">
        <v>944</v>
      </c>
      <c r="L45" s="58" t="s">
        <v>226</v>
      </c>
      <c r="M45" s="66" t="s">
        <v>86</v>
      </c>
      <c r="N45" s="141" t="s">
        <v>949</v>
      </c>
      <c r="O45" s="65"/>
      <c r="P45" s="63" t="s">
        <v>43</v>
      </c>
      <c r="Q45" s="58" t="s">
        <v>15</v>
      </c>
      <c r="R45" s="58" t="s">
        <v>382</v>
      </c>
      <c r="S45" s="58">
        <v>27</v>
      </c>
      <c r="V45" s="58"/>
      <c r="X45" s="58"/>
      <c r="Z45" s="58"/>
      <c r="AB45" s="58"/>
      <c r="AD45" s="58"/>
      <c r="AQ45" s="59">
        <f t="shared" si="1"/>
        <v>27</v>
      </c>
      <c r="AR45" s="44" t="s">
        <v>444</v>
      </c>
      <c r="AS45" s="56" t="str">
        <f t="shared" ca="1" si="10"/>
        <v>HOOD HAT, LLC, 15332 Antioch st., #211 Pacific Palisades, CA 90272, USA</v>
      </c>
      <c r="AT45" s="56" t="str">
        <f t="shared" ca="1" si="11"/>
        <v>Соединенные Штаты</v>
      </c>
      <c r="AU45" s="76">
        <f t="shared" si="4"/>
        <v>0.1</v>
      </c>
      <c r="AV45" s="43">
        <f t="shared" si="5"/>
        <v>0.15000000000000002</v>
      </c>
      <c r="AW45" s="43">
        <f t="shared" si="6"/>
        <v>2.7</v>
      </c>
      <c r="AX45" s="43">
        <f t="shared" si="7"/>
        <v>4.0500000000000007</v>
      </c>
      <c r="AY45" s="168">
        <v>2184</v>
      </c>
      <c r="AZ45" s="169">
        <f t="shared" si="8"/>
        <v>58968</v>
      </c>
      <c r="BA45" s="45">
        <f>IF(A45&lt;&gt;"",IF(_xlfn.XLOOKUP(A45,'1C'!A:A,'1C'!A:A,0,0)&gt;0,1,0),"")</f>
        <v>0</v>
      </c>
      <c r="BB45" s="146">
        <f>IF(C45&lt;&gt;"",IF(_xlfn.XLOOKUP(C45,'1C'!S:S,'1C'!S:S,0,0)&gt;0,0,1),"")</f>
        <v>0</v>
      </c>
      <c r="BC45" s="73">
        <f t="shared" si="9"/>
        <v>1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92-044-83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948</v>
      </c>
      <c r="J46" s="43" t="str">
        <f>'1C'!$AF$1</f>
        <v>HOOD</v>
      </c>
      <c r="K46" s="104" t="s">
        <v>943</v>
      </c>
      <c r="L46" s="63" t="s">
        <v>221</v>
      </c>
      <c r="M46" s="66" t="s">
        <v>63</v>
      </c>
      <c r="N46" s="141" t="s">
        <v>949</v>
      </c>
      <c r="O46" s="65"/>
      <c r="P46" s="63" t="s">
        <v>43</v>
      </c>
      <c r="Q46" s="58" t="s">
        <v>15</v>
      </c>
      <c r="R46" s="58" t="s">
        <v>382</v>
      </c>
      <c r="S46" s="58">
        <v>15</v>
      </c>
      <c r="V46" s="58"/>
      <c r="X46" s="58"/>
      <c r="Z46" s="58"/>
      <c r="AB46" s="58"/>
      <c r="AD46" s="58"/>
      <c r="AQ46" s="59">
        <f t="shared" si="1"/>
        <v>15</v>
      </c>
      <c r="AR46" s="44" t="s">
        <v>444</v>
      </c>
      <c r="AS46" s="56" t="str">
        <f t="shared" ca="1" si="10"/>
        <v>HOOD HAT, LLC, 15332 Antioch st., #211 Pacific Palisades, CA 90272, USA</v>
      </c>
      <c r="AT46" s="56" t="str">
        <f t="shared" ca="1" si="11"/>
        <v>Соединенные Штаты</v>
      </c>
      <c r="AU46" s="76">
        <f t="shared" si="4"/>
        <v>0.1</v>
      </c>
      <c r="AV46" s="43">
        <f t="shared" si="5"/>
        <v>0.15000000000000002</v>
      </c>
      <c r="AW46" s="43">
        <f t="shared" si="6"/>
        <v>1.5</v>
      </c>
      <c r="AX46" s="43">
        <f t="shared" si="7"/>
        <v>2.2500000000000004</v>
      </c>
      <c r="AY46" s="168">
        <v>2184</v>
      </c>
      <c r="AZ46" s="169">
        <f t="shared" si="8"/>
        <v>32760</v>
      </c>
      <c r="BA46" s="45">
        <f>IF(A46&lt;&gt;"",IF(_xlfn.XLOOKUP(A46,'1C'!A:A,'1C'!A:A,0,0)&gt;0,1,0),"")</f>
        <v>0</v>
      </c>
      <c r="BB46" s="146">
        <f>IF(C46&lt;&gt;"",IF(_xlfn.XLOOKUP(C46,'1C'!S:S,'1C'!S:S,0,0)&gt;0,0,1),"")</f>
        <v>0</v>
      </c>
      <c r="BC46" s="73">
        <f t="shared" si="9"/>
        <v>1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92-045-09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948</v>
      </c>
      <c r="J47" s="43" t="str">
        <f>'1C'!$AF$1</f>
        <v>HOOD</v>
      </c>
      <c r="K47" s="104" t="s">
        <v>52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">
        <v>949</v>
      </c>
      <c r="O47" s="65"/>
      <c r="P47" s="63" t="s">
        <v>43</v>
      </c>
      <c r="Q47" s="58" t="s">
        <v>15</v>
      </c>
      <c r="R47" s="58" t="s">
        <v>382</v>
      </c>
      <c r="S47" s="58">
        <v>15</v>
      </c>
      <c r="V47" s="58"/>
      <c r="X47" s="58"/>
      <c r="Z47" s="58"/>
      <c r="AB47" s="58"/>
      <c r="AD47" s="58"/>
      <c r="AQ47" s="59">
        <f t="shared" si="1"/>
        <v>15</v>
      </c>
      <c r="AR47" s="44" t="s">
        <v>444</v>
      </c>
      <c r="AS47" s="56" t="str">
        <f t="shared" ca="1" si="10"/>
        <v>HOOD HAT, LLC, 15332 Antioch st., #211 Pacific Palisades, CA 90272, USA</v>
      </c>
      <c r="AT47" s="56" t="str">
        <f t="shared" ca="1" si="11"/>
        <v>Соединенные Штаты</v>
      </c>
      <c r="AU47" s="76">
        <f t="shared" si="4"/>
        <v>0.1</v>
      </c>
      <c r="AV47" s="43">
        <f t="shared" si="5"/>
        <v>0.15000000000000002</v>
      </c>
      <c r="AW47" s="43">
        <f t="shared" si="6"/>
        <v>1.5</v>
      </c>
      <c r="AX47" s="43">
        <f t="shared" si="7"/>
        <v>2.2500000000000004</v>
      </c>
      <c r="AY47" s="168">
        <v>2184</v>
      </c>
      <c r="AZ47" s="169">
        <f t="shared" si="8"/>
        <v>32760</v>
      </c>
      <c r="BA47" s="45">
        <f>IF(A47&lt;&gt;"",IF(_xlfn.XLOOKUP(A47,'1C'!A:A,'1C'!A:A,0,0)&gt;0,1,0),"")</f>
        <v>0</v>
      </c>
      <c r="BB47" s="146">
        <f>IF(C47&lt;&gt;"",IF(_xlfn.XLOOKUP(C47,'1C'!S:S,'1C'!S:S,0,0)&gt;0,0,1),"")</f>
        <v>0</v>
      </c>
      <c r="BC47" s="73">
        <f t="shared" si="9"/>
        <v>1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92-046-08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948</v>
      </c>
      <c r="J48" s="43" t="str">
        <f>'1C'!$AF$1</f>
        <v>HOOD</v>
      </c>
      <c r="K48" s="104" t="s">
        <v>82</v>
      </c>
      <c r="L48" s="56" t="str">
        <f>IF(K48&lt;&gt;"",IFERROR(VLOOKUP(A48,'1C'!A:T,8,0),IFERROR(VLOOKUP(K48,Colors!D:E,2,0),"")),"")</f>
        <v>серый</v>
      </c>
      <c r="M48" s="145" t="str">
        <f>IF(K48&lt;&gt;"",IFERROR(VLOOKUP(A48,'1C'!A:T,18,0),IFERROR(VLOOKUP(K48,Colors!D:E,2,0),"")),"")</f>
        <v>серый</v>
      </c>
      <c r="N48" s="141" t="s">
        <v>949</v>
      </c>
      <c r="O48" s="65"/>
      <c r="P48" s="63" t="s">
        <v>43</v>
      </c>
      <c r="Q48" s="58" t="s">
        <v>15</v>
      </c>
      <c r="R48" s="58" t="s">
        <v>382</v>
      </c>
      <c r="S48" s="58">
        <v>15</v>
      </c>
      <c r="V48" s="58"/>
      <c r="X48" s="58"/>
      <c r="Z48" s="58"/>
      <c r="AB48" s="58"/>
      <c r="AD48" s="58"/>
      <c r="AQ48" s="59">
        <f t="shared" si="1"/>
        <v>15</v>
      </c>
      <c r="AR48" s="44" t="s">
        <v>444</v>
      </c>
      <c r="AS48" s="56" t="str">
        <f t="shared" ca="1" si="10"/>
        <v>HOOD HAT, LLC, 15332 Antioch st., #211 Pacific Palisades, CA 90272, USA</v>
      </c>
      <c r="AT48" s="56" t="str">
        <f t="shared" ca="1" si="11"/>
        <v>Соединенные Штаты</v>
      </c>
      <c r="AU48" s="76">
        <f t="shared" si="4"/>
        <v>0.1</v>
      </c>
      <c r="AV48" s="43">
        <f t="shared" si="5"/>
        <v>0.15000000000000002</v>
      </c>
      <c r="AW48" s="43">
        <f t="shared" si="6"/>
        <v>1.5</v>
      </c>
      <c r="AX48" s="43">
        <f t="shared" si="7"/>
        <v>2.2500000000000004</v>
      </c>
      <c r="AY48" s="168">
        <v>2184</v>
      </c>
      <c r="AZ48" s="169">
        <f t="shared" si="8"/>
        <v>32760</v>
      </c>
      <c r="BA48" s="45">
        <f>IF(A48&lt;&gt;"",IF(_xlfn.XLOOKUP(A48,'1C'!A:A,'1C'!A:A,0,0)&gt;0,1,0),"")</f>
        <v>0</v>
      </c>
      <c r="BB48" s="146">
        <f>IF(C48&lt;&gt;"",IF(_xlfn.XLOOKUP(C48,'1C'!S:S,'1C'!S:S,0,0)&gt;0,0,1),"")</f>
        <v>0</v>
      </c>
      <c r="BC48" s="73">
        <f t="shared" si="9"/>
        <v>1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92-047-03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948</v>
      </c>
      <c r="J49" s="43" t="str">
        <f>'1C'!$AF$1</f>
        <v>HOOD</v>
      </c>
      <c r="K49" s="104" t="s">
        <v>945</v>
      </c>
      <c r="L49" s="63" t="s">
        <v>195</v>
      </c>
      <c r="M49" s="66" t="s">
        <v>195</v>
      </c>
      <c r="N49" s="141" t="s">
        <v>949</v>
      </c>
      <c r="O49" s="65"/>
      <c r="P49" s="63" t="s">
        <v>43</v>
      </c>
      <c r="Q49" s="58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44" t="s">
        <v>444</v>
      </c>
      <c r="AS49" s="56" t="str">
        <f t="shared" ca="1" si="10"/>
        <v>HOOD HAT, LLC, 15332 Antioch st., #211 Pacific Palisades, CA 90272, USA</v>
      </c>
      <c r="AT49" s="56" t="str">
        <f t="shared" ca="1" si="11"/>
        <v>Соединенные Штаты</v>
      </c>
      <c r="AU49" s="76">
        <f t="shared" si="4"/>
        <v>0.1</v>
      </c>
      <c r="AV49" s="43">
        <f t="shared" si="5"/>
        <v>0.15000000000000002</v>
      </c>
      <c r="AW49" s="43">
        <f t="shared" si="6"/>
        <v>1.8</v>
      </c>
      <c r="AX49" s="43">
        <f t="shared" si="7"/>
        <v>2.7</v>
      </c>
      <c r="AY49" s="168">
        <v>2184</v>
      </c>
      <c r="AZ49" s="169">
        <f t="shared" si="8"/>
        <v>39312</v>
      </c>
      <c r="BA49" s="45">
        <f>IF(A49&lt;&gt;"",IF(_xlfn.XLOOKUP(A49,'1C'!A:A,'1C'!A:A,0,0)&gt;0,1,0),"")</f>
        <v>0</v>
      </c>
      <c r="BB49" s="146">
        <f>IF(C49&lt;&gt;"",IF(_xlfn.XLOOKUP(C49,'1C'!S:S,'1C'!S:S,0,0)&gt;0,0,1),"")</f>
        <v>0</v>
      </c>
      <c r="BC49" s="73">
        <f t="shared" si="9"/>
        <v>1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948</v>
      </c>
      <c r="J50" s="43" t="str">
        <f>'1C'!$AF$1</f>
        <v>HOOD</v>
      </c>
      <c r="K50" s="104" t="s">
        <v>944</v>
      </c>
      <c r="L50" s="58" t="s">
        <v>226</v>
      </c>
      <c r="M50" s="66" t="s">
        <v>86</v>
      </c>
      <c r="N50" s="141" t="s">
        <v>949</v>
      </c>
      <c r="O50" s="65"/>
      <c r="P50" s="63" t="s">
        <v>43</v>
      </c>
      <c r="Q50" s="58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44" t="s">
        <v>444</v>
      </c>
      <c r="AS50" s="56" t="str">
        <f t="shared" ca="1" si="10"/>
        <v>HOOD HAT, LLC, 15332 Antioch st., #211 Pacific Palisades, CA 90272, USA</v>
      </c>
      <c r="AT50" s="56" t="str">
        <f t="shared" ca="1" si="11"/>
        <v>Соединенные Штаты</v>
      </c>
      <c r="AU50" s="76">
        <f t="shared" si="4"/>
        <v>0.1</v>
      </c>
      <c r="AV50" s="43">
        <f t="shared" si="5"/>
        <v>0.15000000000000002</v>
      </c>
      <c r="AW50" s="43">
        <f t="shared" si="6"/>
        <v>1.5</v>
      </c>
      <c r="AX50" s="43">
        <f t="shared" si="7"/>
        <v>2.2500000000000004</v>
      </c>
      <c r="AY50" s="168">
        <v>2184</v>
      </c>
      <c r="AZ50" s="169">
        <f t="shared" si="8"/>
        <v>32760</v>
      </c>
      <c r="BA50" s="45">
        <f>IF(A50&lt;&gt;"",IF(_xlfn.XLOOKUP(A50,'1C'!A:A,'1C'!A:A,0,0)&gt;0,1,0),"")</f>
        <v>0</v>
      </c>
      <c r="BB50" s="146">
        <f>IF(C50&lt;&gt;"",IF(_xlfn.XLOOKUP(C50,'1C'!S:S,'1C'!S:S,0,0)&gt;0,0,1),"")</f>
        <v>0</v>
      </c>
      <c r="BC50" s="73">
        <f t="shared" si="9"/>
        <v>1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92-049-09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948</v>
      </c>
      <c r="J51" s="43" t="str">
        <f>'1C'!$AF$1</f>
        <v>HOOD</v>
      </c>
      <c r="K51" s="104" t="s">
        <v>52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">
        <v>949</v>
      </c>
      <c r="O51" s="65"/>
      <c r="P51" s="63" t="s">
        <v>43</v>
      </c>
      <c r="Q51" s="58" t="s">
        <v>15</v>
      </c>
      <c r="R51" s="58" t="s">
        <v>382</v>
      </c>
      <c r="S51" s="58">
        <v>18</v>
      </c>
      <c r="V51" s="58"/>
      <c r="X51" s="58"/>
      <c r="Z51" s="58"/>
      <c r="AB51" s="58"/>
      <c r="AD51" s="58"/>
      <c r="AQ51" s="59">
        <f t="shared" si="1"/>
        <v>18</v>
      </c>
      <c r="AR51" s="44" t="s">
        <v>444</v>
      </c>
      <c r="AS51" s="56" t="str">
        <f t="shared" ca="1" si="10"/>
        <v>HOOD HAT, LLC, 15332 Antioch st., #211 Pacific Palisades, CA 90272, USA</v>
      </c>
      <c r="AT51" s="56" t="str">
        <f t="shared" ca="1" si="11"/>
        <v>Соединенные Штаты</v>
      </c>
      <c r="AU51" s="76">
        <f t="shared" si="4"/>
        <v>0.1</v>
      </c>
      <c r="AV51" s="43">
        <f t="shared" si="5"/>
        <v>0.15000000000000002</v>
      </c>
      <c r="AW51" s="43">
        <f t="shared" si="6"/>
        <v>1.8</v>
      </c>
      <c r="AX51" s="43">
        <f t="shared" si="7"/>
        <v>2.7</v>
      </c>
      <c r="AY51" s="168">
        <v>2184</v>
      </c>
      <c r="AZ51" s="169">
        <f t="shared" si="8"/>
        <v>39312</v>
      </c>
      <c r="BA51" s="45">
        <f>IF(A51&lt;&gt;"",IF(_xlfn.XLOOKUP(A51,'1C'!A:A,'1C'!A:A,0,0)&gt;0,1,0),"")</f>
        <v>0</v>
      </c>
      <c r="BB51" s="146">
        <f>IF(C51&lt;&gt;"",IF(_xlfn.XLOOKUP(C51,'1C'!S:S,'1C'!S:S,0,0)&gt;0,0,1),"")</f>
        <v>0</v>
      </c>
      <c r="BC51" s="73">
        <f t="shared" si="9"/>
        <v>1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92-050-14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948</v>
      </c>
      <c r="J52" s="43" t="str">
        <f>'1C'!$AF$1</f>
        <v>HOOD</v>
      </c>
      <c r="K52" s="104" t="s">
        <v>946</v>
      </c>
      <c r="L52" s="58" t="s">
        <v>86</v>
      </c>
      <c r="M52" s="66" t="s">
        <v>86</v>
      </c>
      <c r="N52" s="141" t="s">
        <v>949</v>
      </c>
      <c r="O52" s="65"/>
      <c r="P52" s="63" t="s">
        <v>43</v>
      </c>
      <c r="Q52" s="58" t="s">
        <v>15</v>
      </c>
      <c r="R52" s="58" t="s">
        <v>382</v>
      </c>
      <c r="S52" s="58">
        <v>3</v>
      </c>
      <c r="V52" s="58"/>
      <c r="X52" s="58"/>
      <c r="Z52" s="58"/>
      <c r="AB52" s="58"/>
      <c r="AD52" s="58"/>
      <c r="AQ52" s="59">
        <f t="shared" si="1"/>
        <v>3</v>
      </c>
      <c r="AR52" s="142" t="s">
        <v>444</v>
      </c>
      <c r="AS52" s="56" t="str">
        <f t="shared" ca="1" si="10"/>
        <v>HOOD HAT, LLC, 15332 Antioch st., #211 Pacific Palisades, CA 90272, USA</v>
      </c>
      <c r="AT52" s="56" t="str">
        <f t="shared" ca="1" si="11"/>
        <v>Соединенные Штаты</v>
      </c>
      <c r="AU52" s="76">
        <f t="shared" si="4"/>
        <v>0.1</v>
      </c>
      <c r="AV52" s="43">
        <f t="shared" si="5"/>
        <v>0.15000000000000002</v>
      </c>
      <c r="AW52" s="43">
        <f t="shared" si="6"/>
        <v>0.30000000000000004</v>
      </c>
      <c r="AX52" s="43">
        <f t="shared" si="7"/>
        <v>0.45000000000000007</v>
      </c>
      <c r="AY52" s="168">
        <v>2184</v>
      </c>
      <c r="AZ52" s="169">
        <f t="shared" si="8"/>
        <v>6552</v>
      </c>
      <c r="BA52" s="45">
        <f>IF(A52&lt;&gt;"",IF(_xlfn.XLOOKUP(A52,'1C'!A:A,'1C'!A:A,0,0)&gt;0,1,0),"")</f>
        <v>0</v>
      </c>
      <c r="BB52" s="146">
        <f>IF(C52&lt;&gt;"",IF(_xlfn.XLOOKUP(C52,'1C'!S:S,'1C'!S:S,0,0)&gt;0,0,1),"")</f>
        <v>0</v>
      </c>
      <c r="BC52" s="73">
        <f t="shared" si="9"/>
        <v>1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4" t="s">
        <v>466</v>
      </c>
      <c r="C5" s="154"/>
      <c r="D5" s="154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5"/>
      <c r="C6" s="156"/>
      <c r="D6" s="156"/>
      <c r="E6" s="157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1" t="s">
        <v>543</v>
      </c>
      <c r="C8" s="152"/>
      <c r="D8" s="152"/>
      <c r="E8" s="153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8" t="s">
        <v>573</v>
      </c>
      <c r="C9" s="159"/>
      <c r="D9" s="160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8"/>
      <c r="C17" s="149"/>
      <c r="D17" s="149"/>
      <c r="E17" s="150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951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817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814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815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807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808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topLeftCell="BE1" zoomScale="70" zoomScaleNormal="70" workbookViewId="0">
      <pane ySplit="1" topLeftCell="A2" activePane="bottomLeft" state="frozen"/>
      <selection pane="bottomLeft" activeCell="BU3" sqref="BU3:B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951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952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AC10" sqref="AC10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835</v>
      </c>
      <c r="X1" s="79" t="s">
        <v>557</v>
      </c>
      <c r="Y1" s="77">
        <f>MAX(Y2:Y6000)</f>
        <v>92</v>
      </c>
      <c r="Z1" s="77"/>
      <c r="AA1" s="77" t="str">
        <f>RIGHT(TEXT(MAX(AA2:AA6000),"###"),3)</f>
        <v>050</v>
      </c>
      <c r="AB1" s="78" t="str">
        <f>RIGHT("000"&amp;Y1,2)&amp;"-"&amp;RIGHT("000"&amp;AA1,3)</f>
        <v>92-050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92-051-</v>
      </c>
      <c r="AE1" s="80" t="s">
        <v>583</v>
      </c>
      <c r="AF1" s="110" t="str">
        <f>_xlfn.LET(_xlpm.START,FIND(" ",D2)+1,_xlpm.END,FIND(" ",D2,_xlpm.START+1),TRIM(MID(D2,_xlpm.START,_xlpm.END-_xlpm.START)))</f>
        <v>HOOD</v>
      </c>
      <c r="AG1" s="80" t="s">
        <v>813</v>
      </c>
      <c r="AH1" s="144">
        <v>1</v>
      </c>
    </row>
    <row r="2" spans="1:34">
      <c r="A2" s="83" t="str">
        <f>IF(G2&amp;Q2&lt;&gt;"",S2&amp;Q2,"")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1002</v>
      </c>
      <c r="G2" s="106" t="s">
        <v>836</v>
      </c>
      <c r="S2" s="83" t="str">
        <f>IF(G2&lt;&gt;"",IF(StyleSpaceSplit,IFERROR(IF(FIND(" ",G2)&gt;=1,MID(G2,1,FIND(" ",G2)-1),G2),G2),G2),"")</f>
        <v>100-CTW020-CA003-BK</v>
      </c>
      <c r="T2" s="83" t="str">
        <f>IF(A2&lt;&gt;"",IFERROR(IF(FIND(" ",G2)&gt;=1,MID(G2,FIND(" ",G2)+1,LEN(G2)),""),G2),"")</f>
        <v>100-CTW020-CA003-BK</v>
      </c>
      <c r="Y2" s="60">
        <f>IFERROR(VALUE(MID($C2,1,2)),0)</f>
        <v>92</v>
      </c>
      <c r="Z2" s="49">
        <f t="shared" ref="Z2:Z66" si="0">IFERROR(VALUE(MID($C2,4,3)),0)</f>
        <v>1</v>
      </c>
      <c r="AA2" s="60">
        <f>VALUE(RIGHT("00"&amp;Y2,2)&amp;RIGHT("000"&amp;Z2,3))</f>
        <v>92001</v>
      </c>
    </row>
    <row r="3" spans="1:34">
      <c r="A3" s="83" t="str">
        <f t="shared" ref="A3:A66" si="1">IF(G3&amp;Q3&lt;&gt;"",S3&amp;Q3,"")</f>
        <v>100-CTW020-CA010-BK</v>
      </c>
      <c r="B3" s="83" t="str">
        <f t="shared" ref="B3:B66" si="2">IF(C3&lt;&gt;"",LEFT(C3,9),"")</f>
        <v>92-002-</v>
      </c>
      <c r="C3" s="106" t="s">
        <v>953</v>
      </c>
      <c r="G3" s="106" t="s">
        <v>837</v>
      </c>
      <c r="S3" s="83" t="str">
        <f t="shared" ref="S3:S66" si="3">IF(G3&lt;&gt;"",IF(StyleSpaceSplit,IFERROR(IF(FIND(" ",G3)&gt;=1,MID(G3,1,FIND(" ",G3)-1),G3),G3),G3),"")</f>
        <v>100-CTW020-CA010-BK</v>
      </c>
      <c r="T3" s="83" t="str">
        <f t="shared" ref="T3:T66" si="4">IF(A3&lt;&gt;"",IFERROR(IF(FIND(" ",G3)&gt;=1,MID(G3,FIND(" ",G3)+1,LEN(G3)),""),G3),"")</f>
        <v>100-CTW020-CA010-BK</v>
      </c>
      <c r="Y3" s="60">
        <f t="shared" ref="Y3:Y66" si="5">IFERROR(VALUE(MID($C3,1,2)),0)</f>
        <v>92</v>
      </c>
      <c r="Z3" s="49">
        <f t="shared" si="0"/>
        <v>2</v>
      </c>
      <c r="AA3" s="60">
        <f t="shared" ref="AA3:AA66" si="6">VALUE(RIGHT("00"&amp;Y3,2)&amp;RIGHT("000"&amp;Z3,3))</f>
        <v>92002</v>
      </c>
    </row>
    <row r="4" spans="1:34">
      <c r="A4" s="83" t="str">
        <f t="shared" si="1"/>
        <v>100-CTW020-CA012-BK</v>
      </c>
      <c r="B4" s="83" t="str">
        <f t="shared" si="2"/>
        <v>92-003-</v>
      </c>
      <c r="C4" s="106" t="s">
        <v>954</v>
      </c>
      <c r="G4" s="106" t="s">
        <v>838</v>
      </c>
      <c r="S4" s="83" t="str">
        <f t="shared" si="3"/>
        <v>100-CTW020-CA012-BK</v>
      </c>
      <c r="T4" s="83" t="str">
        <f t="shared" si="4"/>
        <v>100-CTW020-CA012-BK</v>
      </c>
      <c r="Y4" s="60">
        <f t="shared" si="5"/>
        <v>92</v>
      </c>
      <c r="Z4" s="49">
        <f t="shared" si="0"/>
        <v>3</v>
      </c>
      <c r="AA4" s="60">
        <f t="shared" si="6"/>
        <v>92003</v>
      </c>
    </row>
    <row r="5" spans="1:34">
      <c r="A5" s="83" t="str">
        <f t="shared" si="1"/>
        <v>100-CTW020-CA013-BK</v>
      </c>
      <c r="B5" s="83" t="str">
        <f t="shared" si="2"/>
        <v>92-004-</v>
      </c>
      <c r="C5" s="106" t="s">
        <v>955</v>
      </c>
      <c r="G5" s="106" t="s">
        <v>839</v>
      </c>
      <c r="S5" s="83" t="str">
        <f t="shared" si="3"/>
        <v>100-CTW020-CA013-BK</v>
      </c>
      <c r="T5" s="83" t="str">
        <f t="shared" si="4"/>
        <v>100-CTW020-CA013-BK</v>
      </c>
      <c r="Y5" s="60">
        <f t="shared" si="5"/>
        <v>92</v>
      </c>
      <c r="Z5" s="49">
        <f t="shared" si="0"/>
        <v>4</v>
      </c>
      <c r="AA5" s="60">
        <f t="shared" si="6"/>
        <v>92004</v>
      </c>
    </row>
    <row r="6" spans="1:34">
      <c r="A6" s="83" t="str">
        <f t="shared" si="1"/>
        <v>100-CTW020-CA027-BK</v>
      </c>
      <c r="B6" s="83" t="str">
        <f t="shared" si="2"/>
        <v>92-005-</v>
      </c>
      <c r="C6" s="106" t="s">
        <v>956</v>
      </c>
      <c r="G6" s="106" t="s">
        <v>840</v>
      </c>
      <c r="S6" s="83" t="str">
        <f t="shared" si="3"/>
        <v>100-CTW020-CA027-BK</v>
      </c>
      <c r="T6" s="83" t="str">
        <f t="shared" si="4"/>
        <v>100-CTW020-CA027-BK</v>
      </c>
      <c r="Y6" s="60">
        <f t="shared" si="5"/>
        <v>92</v>
      </c>
      <c r="Z6" s="49">
        <f t="shared" si="0"/>
        <v>5</v>
      </c>
      <c r="AA6" s="60">
        <f t="shared" si="6"/>
        <v>92005</v>
      </c>
    </row>
    <row r="7" spans="1:34">
      <c r="A7" s="83" t="str">
        <f t="shared" si="1"/>
        <v>100-CTW020-CA030-BK</v>
      </c>
      <c r="B7" s="83" t="str">
        <f t="shared" si="2"/>
        <v>92-006-</v>
      </c>
      <c r="C7" s="106" t="s">
        <v>957</v>
      </c>
      <c r="G7" s="106" t="s">
        <v>841</v>
      </c>
      <c r="S7" s="83" t="str">
        <f t="shared" si="3"/>
        <v>100-CTW020-CA030-BK</v>
      </c>
      <c r="T7" s="83" t="str">
        <f t="shared" si="4"/>
        <v>100-CTW020-CA030-BK</v>
      </c>
      <c r="Y7" s="60">
        <f t="shared" si="5"/>
        <v>92</v>
      </c>
      <c r="Z7" s="49">
        <f t="shared" si="0"/>
        <v>6</v>
      </c>
      <c r="AA7" s="60">
        <f t="shared" si="6"/>
        <v>92006</v>
      </c>
    </row>
    <row r="8" spans="1:34">
      <c r="A8" s="83" t="str">
        <f t="shared" si="1"/>
        <v>100-CTW020-MI001-BK</v>
      </c>
      <c r="B8" s="83" t="str">
        <f t="shared" si="2"/>
        <v>92-007-</v>
      </c>
      <c r="C8" s="106" t="s">
        <v>958</v>
      </c>
      <c r="G8" s="106" t="s">
        <v>842</v>
      </c>
      <c r="S8" s="83" t="str">
        <f t="shared" si="3"/>
        <v>100-CTW020-MI001-BK</v>
      </c>
      <c r="T8" s="83" t="str">
        <f t="shared" si="4"/>
        <v>100-CTW020-MI001-BK</v>
      </c>
      <c r="Y8" s="60">
        <f t="shared" si="5"/>
        <v>92</v>
      </c>
      <c r="Z8" s="49">
        <f t="shared" si="0"/>
        <v>7</v>
      </c>
      <c r="AA8" s="60">
        <f t="shared" si="6"/>
        <v>92007</v>
      </c>
    </row>
    <row r="9" spans="1:34">
      <c r="A9" s="83" t="str">
        <f t="shared" si="1"/>
        <v>100-CTW020-NY003-BK</v>
      </c>
      <c r="B9" s="83" t="str">
        <f t="shared" si="2"/>
        <v>92-008-</v>
      </c>
      <c r="C9" s="106" t="s">
        <v>959</v>
      </c>
      <c r="G9" s="106" t="s">
        <v>843</v>
      </c>
      <c r="S9" s="83" t="str">
        <f t="shared" si="3"/>
        <v>100-CTW020-NY003-BK</v>
      </c>
      <c r="T9" s="83" t="str">
        <f t="shared" si="4"/>
        <v>100-CTW020-NY003-BK</v>
      </c>
      <c r="Y9" s="60">
        <f t="shared" si="5"/>
        <v>92</v>
      </c>
      <c r="Z9" s="49">
        <f t="shared" si="0"/>
        <v>8</v>
      </c>
      <c r="AA9" s="60">
        <f t="shared" si="6"/>
        <v>92008</v>
      </c>
    </row>
    <row r="10" spans="1:34">
      <c r="A10" s="83" t="str">
        <f t="shared" si="1"/>
        <v>100-CTW020-NY019-BK</v>
      </c>
      <c r="B10" s="83" t="str">
        <f t="shared" si="2"/>
        <v>92-009-</v>
      </c>
      <c r="C10" s="106" t="s">
        <v>960</v>
      </c>
      <c r="G10" s="106" t="s">
        <v>844</v>
      </c>
      <c r="S10" s="83" t="str">
        <f t="shared" si="3"/>
        <v>100-CTW020-NY019-BK</v>
      </c>
      <c r="T10" s="83" t="str">
        <f t="shared" si="4"/>
        <v>100-CTW020-NY019-BK</v>
      </c>
      <c r="Y10" s="60">
        <f t="shared" si="5"/>
        <v>92</v>
      </c>
      <c r="Z10" s="49">
        <f t="shared" si="0"/>
        <v>9</v>
      </c>
      <c r="AA10" s="60">
        <f t="shared" si="6"/>
        <v>92009</v>
      </c>
    </row>
    <row r="11" spans="1:34">
      <c r="A11" s="83" t="str">
        <f t="shared" si="1"/>
        <v>100-CTW020-NY022-BK</v>
      </c>
      <c r="B11" s="83" t="str">
        <f t="shared" si="2"/>
        <v>92-010-</v>
      </c>
      <c r="C11" s="106" t="s">
        <v>961</v>
      </c>
      <c r="G11" s="106" t="s">
        <v>845</v>
      </c>
      <c r="S11" s="83" t="str">
        <f t="shared" si="3"/>
        <v>100-CTW020-NY022-BK</v>
      </c>
      <c r="T11" s="83" t="str">
        <f t="shared" si="4"/>
        <v>100-CTW020-NY022-BK</v>
      </c>
      <c r="Y11" s="60">
        <f t="shared" si="5"/>
        <v>92</v>
      </c>
      <c r="Z11" s="49">
        <f t="shared" si="0"/>
        <v>10</v>
      </c>
      <c r="AA11" s="60">
        <f t="shared" si="6"/>
        <v>92010</v>
      </c>
    </row>
    <row r="12" spans="1:34">
      <c r="A12" s="83" t="str">
        <f t="shared" si="1"/>
        <v>100-CTW020-NY031-BK</v>
      </c>
      <c r="B12" s="83" t="str">
        <f t="shared" si="2"/>
        <v>92-011-</v>
      </c>
      <c r="C12" s="106" t="s">
        <v>962</v>
      </c>
      <c r="G12" s="106" t="s">
        <v>846</v>
      </c>
      <c r="S12" s="83" t="str">
        <f t="shared" si="3"/>
        <v>100-CTW020-NY031-BK</v>
      </c>
      <c r="T12" s="83" t="str">
        <f t="shared" si="4"/>
        <v>100-CTW020-NY031-BK</v>
      </c>
      <c r="Y12" s="60">
        <f t="shared" si="5"/>
        <v>92</v>
      </c>
      <c r="Z12" s="49">
        <f t="shared" si="0"/>
        <v>11</v>
      </c>
      <c r="AA12" s="60">
        <f t="shared" si="6"/>
        <v>92011</v>
      </c>
    </row>
    <row r="13" spans="1:34">
      <c r="A13" s="83" t="str">
        <f t="shared" si="1"/>
        <v>100-CTW020-NY068-BK</v>
      </c>
      <c r="B13" s="83" t="str">
        <f t="shared" si="2"/>
        <v>92-012-</v>
      </c>
      <c r="C13" s="106" t="s">
        <v>963</v>
      </c>
      <c r="G13" s="106" t="s">
        <v>847</v>
      </c>
      <c r="S13" s="83" t="str">
        <f t="shared" si="3"/>
        <v>100-CTW020-NY068-BK</v>
      </c>
      <c r="T13" s="83" t="str">
        <f t="shared" si="4"/>
        <v>100-CTW020-NY068-BK</v>
      </c>
      <c r="Y13" s="60">
        <f t="shared" si="5"/>
        <v>92</v>
      </c>
      <c r="Z13" s="49">
        <f t="shared" si="0"/>
        <v>12</v>
      </c>
      <c r="AA13" s="60">
        <f t="shared" si="6"/>
        <v>92012</v>
      </c>
    </row>
    <row r="14" spans="1:34">
      <c r="A14" s="83" t="str">
        <f t="shared" si="1"/>
        <v>100-CTW020-PA003-BK</v>
      </c>
      <c r="B14" s="83" t="str">
        <f t="shared" si="2"/>
        <v>92-013-</v>
      </c>
      <c r="C14" s="106" t="s">
        <v>964</v>
      </c>
      <c r="G14" s="106" t="s">
        <v>848</v>
      </c>
      <c r="S14" s="83" t="str">
        <f t="shared" si="3"/>
        <v>100-CTW020-PA003-BK</v>
      </c>
      <c r="T14" s="83" t="str">
        <f t="shared" si="4"/>
        <v>100-CTW020-PA003-BK</v>
      </c>
      <c r="Y14" s="60">
        <f t="shared" si="5"/>
        <v>92</v>
      </c>
      <c r="Z14" s="49">
        <f t="shared" si="0"/>
        <v>13</v>
      </c>
      <c r="AA14" s="60">
        <f t="shared" si="6"/>
        <v>92013</v>
      </c>
    </row>
    <row r="15" spans="1:34">
      <c r="A15" s="83" t="str">
        <f t="shared" si="1"/>
        <v>100-MWL001-CA005-BK</v>
      </c>
      <c r="B15" s="83" t="str">
        <f t="shared" si="2"/>
        <v>92-014-</v>
      </c>
      <c r="C15" s="106" t="s">
        <v>965</v>
      </c>
      <c r="G15" s="106" t="s">
        <v>849</v>
      </c>
      <c r="S15" s="83" t="str">
        <f t="shared" si="3"/>
        <v>100-MWL001-CA005-BK</v>
      </c>
      <c r="T15" s="83" t="str">
        <f t="shared" si="4"/>
        <v>100-MWL001-CA005-BK</v>
      </c>
      <c r="Y15" s="60">
        <f t="shared" si="5"/>
        <v>92</v>
      </c>
      <c r="Z15" s="49">
        <f t="shared" si="0"/>
        <v>14</v>
      </c>
      <c r="AA15" s="60">
        <f t="shared" si="6"/>
        <v>92014</v>
      </c>
    </row>
    <row r="16" spans="1:34">
      <c r="A16" s="83" t="str">
        <f t="shared" si="1"/>
        <v>100-MWL001-NY015-BK</v>
      </c>
      <c r="B16" s="83" t="str">
        <f t="shared" si="2"/>
        <v>92-015-</v>
      </c>
      <c r="C16" s="106" t="s">
        <v>966</v>
      </c>
      <c r="G16" s="106" t="s">
        <v>850</v>
      </c>
      <c r="S16" s="83" t="str">
        <f t="shared" si="3"/>
        <v>100-MWL001-NY015-BK</v>
      </c>
      <c r="T16" s="83" t="str">
        <f t="shared" si="4"/>
        <v>100-MWL001-NY015-BK</v>
      </c>
      <c r="Y16" s="60">
        <f t="shared" si="5"/>
        <v>92</v>
      </c>
      <c r="Z16" s="49">
        <f t="shared" si="0"/>
        <v>15</v>
      </c>
      <c r="AA16" s="60">
        <f t="shared" si="6"/>
        <v>92015</v>
      </c>
    </row>
    <row r="17" spans="1:27">
      <c r="A17" s="83" t="str">
        <f t="shared" si="1"/>
        <v>100-MWL001-NY022-BK</v>
      </c>
      <c r="B17" s="83" t="str">
        <f t="shared" si="2"/>
        <v>92-016-</v>
      </c>
      <c r="C17" s="106" t="s">
        <v>967</v>
      </c>
      <c r="G17" s="106" t="s">
        <v>851</v>
      </c>
      <c r="S17" s="83" t="str">
        <f t="shared" si="3"/>
        <v>100-MWL001-NY022-BK</v>
      </c>
      <c r="T17" s="83" t="str">
        <f t="shared" si="4"/>
        <v>100-MWL001-NY022-BK</v>
      </c>
      <c r="Y17" s="60">
        <f t="shared" si="5"/>
        <v>92</v>
      </c>
      <c r="Z17" s="49">
        <f t="shared" si="0"/>
        <v>16</v>
      </c>
      <c r="AA17" s="60">
        <f t="shared" si="6"/>
        <v>92016</v>
      </c>
    </row>
    <row r="18" spans="1:27">
      <c r="A18" s="83" t="str">
        <f t="shared" si="1"/>
        <v>100-MWL001-NY076-BK</v>
      </c>
      <c r="B18" s="83" t="str">
        <f t="shared" si="2"/>
        <v>92-017-</v>
      </c>
      <c r="C18" s="106" t="s">
        <v>968</v>
      </c>
      <c r="G18" s="106" t="s">
        <v>852</v>
      </c>
      <c r="S18" s="83" t="str">
        <f t="shared" si="3"/>
        <v>100-MWL001-NY076-BK</v>
      </c>
      <c r="T18" s="83" t="str">
        <f t="shared" si="4"/>
        <v>100-MWL001-NY076-BK</v>
      </c>
      <c r="Y18" s="60">
        <f t="shared" si="5"/>
        <v>92</v>
      </c>
      <c r="Z18" s="49">
        <f t="shared" si="0"/>
        <v>17</v>
      </c>
      <c r="AA18" s="60">
        <f t="shared" si="6"/>
        <v>92017</v>
      </c>
    </row>
    <row r="19" spans="1:27">
      <c r="A19" s="83" t="str">
        <f t="shared" si="1"/>
        <v>100-MWL003-PA013-NY</v>
      </c>
      <c r="B19" s="83" t="str">
        <f t="shared" si="2"/>
        <v>92-018-</v>
      </c>
      <c r="C19" s="106" t="s">
        <v>969</v>
      </c>
      <c r="G19" s="106" t="s">
        <v>853</v>
      </c>
      <c r="S19" s="83" t="str">
        <f t="shared" si="3"/>
        <v>100-MWL003-PA013-NY</v>
      </c>
      <c r="T19" s="83" t="str">
        <f t="shared" si="4"/>
        <v>100-MWL003-PA013-NY</v>
      </c>
      <c r="Y19" s="60">
        <f t="shared" si="5"/>
        <v>92</v>
      </c>
      <c r="Z19" s="49">
        <f t="shared" si="0"/>
        <v>18</v>
      </c>
      <c r="AA19" s="60">
        <f t="shared" si="6"/>
        <v>92018</v>
      </c>
    </row>
    <row r="20" spans="1:27">
      <c r="A20" s="83" t="str">
        <f t="shared" si="1"/>
        <v>100-MWL005-CA069-BK</v>
      </c>
      <c r="B20" s="83" t="str">
        <f t="shared" si="2"/>
        <v>92-019-</v>
      </c>
      <c r="C20" s="106" t="s">
        <v>970</v>
      </c>
      <c r="G20" s="106" t="s">
        <v>854</v>
      </c>
      <c r="S20" s="83" t="str">
        <f t="shared" si="3"/>
        <v>100-MWL005-CA069-BK</v>
      </c>
      <c r="T20" s="83" t="str">
        <f t="shared" si="4"/>
        <v>100-MWL005-CA069-BK</v>
      </c>
      <c r="Y20" s="60">
        <f t="shared" si="5"/>
        <v>92</v>
      </c>
      <c r="Z20" s="49">
        <f t="shared" si="0"/>
        <v>19</v>
      </c>
      <c r="AA20" s="60">
        <f t="shared" si="6"/>
        <v>92019</v>
      </c>
    </row>
    <row r="21" spans="1:27">
      <c r="A21" s="83" t="str">
        <f t="shared" si="1"/>
        <v>100-MWL005-CA069-BKA</v>
      </c>
      <c r="B21" s="83" t="str">
        <f t="shared" si="2"/>
        <v>92-020-</v>
      </c>
      <c r="C21" s="106" t="s">
        <v>971</v>
      </c>
      <c r="G21" s="106" t="s">
        <v>855</v>
      </c>
      <c r="S21" s="83" t="str">
        <f t="shared" si="3"/>
        <v>100-MWL005-CA069-BKA</v>
      </c>
      <c r="T21" s="83" t="str">
        <f t="shared" si="4"/>
        <v>100-MWL005-CA069-BKA</v>
      </c>
      <c r="Y21" s="60">
        <f t="shared" si="5"/>
        <v>92</v>
      </c>
      <c r="Z21" s="49">
        <f t="shared" si="0"/>
        <v>20</v>
      </c>
      <c r="AA21" s="60">
        <f t="shared" si="6"/>
        <v>92020</v>
      </c>
    </row>
    <row r="22" spans="1:27">
      <c r="A22" s="83" t="str">
        <f t="shared" si="1"/>
        <v>100-MWL005-CA087-BK</v>
      </c>
      <c r="B22" s="83" t="str">
        <f t="shared" si="2"/>
        <v>92-021-</v>
      </c>
      <c r="C22" s="106" t="s">
        <v>972</v>
      </c>
      <c r="G22" s="106" t="s">
        <v>856</v>
      </c>
      <c r="S22" s="83" t="str">
        <f t="shared" si="3"/>
        <v>100-MWL005-CA087-BK</v>
      </c>
      <c r="T22" s="83" t="str">
        <f t="shared" si="4"/>
        <v>100-MWL005-CA087-BK</v>
      </c>
      <c r="Y22" s="60">
        <f t="shared" si="5"/>
        <v>92</v>
      </c>
      <c r="Z22" s="49">
        <f t="shared" si="0"/>
        <v>21</v>
      </c>
      <c r="AA22" s="60">
        <f t="shared" si="6"/>
        <v>92021</v>
      </c>
    </row>
    <row r="23" spans="1:27">
      <c r="A23" s="83" t="str">
        <f t="shared" si="1"/>
        <v>100-MWL005-CO005-MN</v>
      </c>
      <c r="B23" s="83" t="str">
        <f t="shared" si="2"/>
        <v>92-022-</v>
      </c>
      <c r="C23" s="106" t="s">
        <v>973</v>
      </c>
      <c r="G23" s="106" t="s">
        <v>857</v>
      </c>
      <c r="S23" s="83" t="str">
        <f t="shared" si="3"/>
        <v>100-MWL005-CO005-MN</v>
      </c>
      <c r="T23" s="83" t="str">
        <f t="shared" si="4"/>
        <v>100-MWL005-CO005-MN</v>
      </c>
      <c r="Y23" s="60">
        <f t="shared" si="5"/>
        <v>92</v>
      </c>
      <c r="Z23" s="49">
        <f t="shared" si="0"/>
        <v>22</v>
      </c>
      <c r="AA23" s="60">
        <f t="shared" si="6"/>
        <v>92022</v>
      </c>
    </row>
    <row r="24" spans="1:27">
      <c r="A24" s="83" t="str">
        <f t="shared" si="1"/>
        <v>100-MWL005-GA003-HW</v>
      </c>
      <c r="B24" s="83" t="str">
        <f t="shared" si="2"/>
        <v>92-023-</v>
      </c>
      <c r="C24" s="106" t="s">
        <v>974</v>
      </c>
      <c r="G24" s="106" t="s">
        <v>858</v>
      </c>
      <c r="S24" s="83" t="str">
        <f t="shared" si="3"/>
        <v>100-MWL005-GA003-HW</v>
      </c>
      <c r="T24" s="83" t="str">
        <f t="shared" si="4"/>
        <v>100-MWL005-GA003-HW</v>
      </c>
      <c r="Y24" s="60">
        <f t="shared" si="5"/>
        <v>92</v>
      </c>
      <c r="Z24" s="49">
        <f t="shared" si="0"/>
        <v>23</v>
      </c>
      <c r="AA24" s="60">
        <f t="shared" si="6"/>
        <v>92023</v>
      </c>
    </row>
    <row r="25" spans="1:27">
      <c r="A25" s="83" t="str">
        <f t="shared" si="1"/>
        <v>100-MWL005-IL011-BK</v>
      </c>
      <c r="B25" s="83" t="str">
        <f t="shared" si="2"/>
        <v>92-024-</v>
      </c>
      <c r="C25" s="106" t="s">
        <v>975</v>
      </c>
      <c r="G25" s="106" t="s">
        <v>859</v>
      </c>
      <c r="S25" s="83" t="str">
        <f t="shared" si="3"/>
        <v>100-MWL005-IL011-BK</v>
      </c>
      <c r="T25" s="83" t="str">
        <f t="shared" si="4"/>
        <v>100-MWL005-IL011-BK</v>
      </c>
      <c r="Y25" s="60">
        <f t="shared" si="5"/>
        <v>92</v>
      </c>
      <c r="Z25" s="49">
        <f t="shared" si="0"/>
        <v>24</v>
      </c>
      <c r="AA25" s="60">
        <f t="shared" si="6"/>
        <v>92024</v>
      </c>
    </row>
    <row r="26" spans="1:27">
      <c r="A26" s="83" t="str">
        <f t="shared" si="1"/>
        <v>100-MWL005-IL011-BKA</v>
      </c>
      <c r="B26" s="83" t="str">
        <f t="shared" si="2"/>
        <v>92-025-</v>
      </c>
      <c r="C26" s="106" t="s">
        <v>976</v>
      </c>
      <c r="G26" s="106" t="s">
        <v>860</v>
      </c>
      <c r="S26" s="83" t="str">
        <f t="shared" si="3"/>
        <v>100-MWL005-IL011-BKA</v>
      </c>
      <c r="T26" s="83" t="str">
        <f t="shared" si="4"/>
        <v>100-MWL005-IL011-BKA</v>
      </c>
      <c r="Y26" s="60">
        <f t="shared" si="5"/>
        <v>92</v>
      </c>
      <c r="Z26" s="49">
        <f t="shared" si="0"/>
        <v>25</v>
      </c>
      <c r="AA26" s="60">
        <f t="shared" si="6"/>
        <v>92025</v>
      </c>
    </row>
    <row r="27" spans="1:27">
      <c r="A27" s="83" t="str">
        <f t="shared" si="1"/>
        <v>100-MWL005-MD007-BK</v>
      </c>
      <c r="B27" s="83" t="str">
        <f t="shared" si="2"/>
        <v>92-026-</v>
      </c>
      <c r="C27" s="106" t="s">
        <v>977</v>
      </c>
      <c r="G27" s="106" t="s">
        <v>861</v>
      </c>
      <c r="S27" s="83" t="str">
        <f t="shared" si="3"/>
        <v>100-MWL005-MD007-BK</v>
      </c>
      <c r="T27" s="83" t="str">
        <f t="shared" si="4"/>
        <v>100-MWL005-MD007-BK</v>
      </c>
      <c r="Y27" s="60">
        <f t="shared" si="5"/>
        <v>92</v>
      </c>
      <c r="Z27" s="49">
        <f t="shared" si="0"/>
        <v>26</v>
      </c>
      <c r="AA27" s="60">
        <f t="shared" si="6"/>
        <v>92026</v>
      </c>
    </row>
    <row r="28" spans="1:27">
      <c r="A28" s="83" t="str">
        <f t="shared" si="1"/>
        <v>100-MWL005-MI010-NY</v>
      </c>
      <c r="B28" s="83" t="str">
        <f t="shared" si="2"/>
        <v>92-027-</v>
      </c>
      <c r="C28" s="106" t="s">
        <v>978</v>
      </c>
      <c r="G28" s="106" t="s">
        <v>862</v>
      </c>
      <c r="S28" s="83" t="str">
        <f t="shared" si="3"/>
        <v>100-MWL005-MI010-NY</v>
      </c>
      <c r="T28" s="83" t="str">
        <f t="shared" si="4"/>
        <v>100-MWL005-MI010-NY</v>
      </c>
      <c r="Y28" s="60">
        <f t="shared" si="5"/>
        <v>92</v>
      </c>
      <c r="Z28" s="49">
        <f t="shared" si="0"/>
        <v>27</v>
      </c>
      <c r="AA28" s="60">
        <f t="shared" si="6"/>
        <v>92027</v>
      </c>
    </row>
    <row r="29" spans="1:27">
      <c r="A29" s="83" t="str">
        <f t="shared" si="1"/>
        <v>100-MWL005-NV001-BKA</v>
      </c>
      <c r="B29" s="83" t="str">
        <f t="shared" si="2"/>
        <v>92-028-</v>
      </c>
      <c r="C29" s="106" t="s">
        <v>979</v>
      </c>
      <c r="G29" s="106" t="s">
        <v>863</v>
      </c>
      <c r="S29" s="83" t="str">
        <f t="shared" si="3"/>
        <v>100-MWL005-NV001-BKA</v>
      </c>
      <c r="T29" s="83" t="str">
        <f t="shared" si="4"/>
        <v>100-MWL005-NV001-BKA</v>
      </c>
      <c r="Y29" s="60">
        <f t="shared" si="5"/>
        <v>92</v>
      </c>
      <c r="Z29" s="49">
        <f t="shared" si="0"/>
        <v>28</v>
      </c>
      <c r="AA29" s="60">
        <f t="shared" si="6"/>
        <v>92028</v>
      </c>
    </row>
    <row r="30" spans="1:27">
      <c r="A30" s="83" t="str">
        <f t="shared" si="1"/>
        <v>100-MWL005-NY020-HW</v>
      </c>
      <c r="B30" s="83" t="str">
        <f t="shared" si="2"/>
        <v>92-029-</v>
      </c>
      <c r="C30" s="106" t="s">
        <v>980</v>
      </c>
      <c r="G30" s="106" t="s">
        <v>864</v>
      </c>
      <c r="S30" s="83" t="str">
        <f t="shared" si="3"/>
        <v>100-MWL005-NY020-HW</v>
      </c>
      <c r="T30" s="83" t="str">
        <f t="shared" si="4"/>
        <v>100-MWL005-NY020-HW</v>
      </c>
      <c r="Y30" s="60">
        <f t="shared" si="5"/>
        <v>92</v>
      </c>
      <c r="Z30" s="49">
        <f t="shared" si="0"/>
        <v>29</v>
      </c>
      <c r="AA30" s="60">
        <f t="shared" si="6"/>
        <v>92029</v>
      </c>
    </row>
    <row r="31" spans="1:27">
      <c r="A31" s="83" t="str">
        <f t="shared" si="1"/>
        <v>100-MWL005-NY066-AT</v>
      </c>
      <c r="B31" s="83" t="str">
        <f t="shared" si="2"/>
        <v>92-030-</v>
      </c>
      <c r="C31" s="106" t="s">
        <v>981</v>
      </c>
      <c r="G31" s="106" t="s">
        <v>865</v>
      </c>
      <c r="S31" s="83" t="str">
        <f t="shared" si="3"/>
        <v>100-MWL005-NY066-AT</v>
      </c>
      <c r="T31" s="83" t="str">
        <f t="shared" si="4"/>
        <v>100-MWL005-NY066-AT</v>
      </c>
      <c r="Y31" s="60">
        <f t="shared" si="5"/>
        <v>92</v>
      </c>
      <c r="Z31" s="49">
        <f t="shared" si="0"/>
        <v>30</v>
      </c>
      <c r="AA31" s="60">
        <f t="shared" si="6"/>
        <v>92030</v>
      </c>
    </row>
    <row r="32" spans="1:27">
      <c r="A32" s="83" t="str">
        <f t="shared" si="1"/>
        <v>100-MWL005-NY066-NY</v>
      </c>
      <c r="B32" s="83" t="str">
        <f t="shared" si="2"/>
        <v>92-031-</v>
      </c>
      <c r="C32" s="106" t="s">
        <v>982</v>
      </c>
      <c r="G32" s="106" t="s">
        <v>866</v>
      </c>
      <c r="S32" s="83" t="str">
        <f t="shared" si="3"/>
        <v>100-MWL005-NY066-NY</v>
      </c>
      <c r="T32" s="83" t="str">
        <f t="shared" si="4"/>
        <v>100-MWL005-NY066-NY</v>
      </c>
      <c r="Y32" s="60">
        <f t="shared" si="5"/>
        <v>92</v>
      </c>
      <c r="Z32" s="49">
        <f t="shared" si="0"/>
        <v>31</v>
      </c>
      <c r="AA32" s="60">
        <f t="shared" si="6"/>
        <v>92031</v>
      </c>
    </row>
    <row r="33" spans="1:27">
      <c r="A33" s="83" t="str">
        <f t="shared" si="1"/>
        <v>100-MWL005-NY066-RL</v>
      </c>
      <c r="B33" s="83" t="str">
        <f t="shared" si="2"/>
        <v>92-032-</v>
      </c>
      <c r="C33" s="106" t="s">
        <v>983</v>
      </c>
      <c r="G33" s="106" t="s">
        <v>867</v>
      </c>
      <c r="S33" s="83" t="str">
        <f t="shared" si="3"/>
        <v>100-MWL005-NY066-RL</v>
      </c>
      <c r="T33" s="83" t="str">
        <f t="shared" si="4"/>
        <v>100-MWL005-NY066-RL</v>
      </c>
      <c r="Y33" s="60">
        <f t="shared" si="5"/>
        <v>92</v>
      </c>
      <c r="Z33" s="49">
        <f t="shared" si="0"/>
        <v>32</v>
      </c>
      <c r="AA33" s="60">
        <f t="shared" si="6"/>
        <v>92032</v>
      </c>
    </row>
    <row r="34" spans="1:27">
      <c r="A34" s="83" t="str">
        <f t="shared" si="1"/>
        <v>100-MWL005-TX005-HW</v>
      </c>
      <c r="B34" s="83" t="str">
        <f t="shared" si="2"/>
        <v>92-033-</v>
      </c>
      <c r="C34" s="106" t="s">
        <v>984</v>
      </c>
      <c r="G34" s="106" t="s">
        <v>868</v>
      </c>
      <c r="S34" s="83" t="str">
        <f t="shared" si="3"/>
        <v>100-MWL005-TX005-HW</v>
      </c>
      <c r="T34" s="83" t="str">
        <f t="shared" si="4"/>
        <v>100-MWL005-TX005-HW</v>
      </c>
      <c r="Y34" s="60">
        <f t="shared" si="5"/>
        <v>92</v>
      </c>
      <c r="Z34" s="49">
        <f t="shared" si="0"/>
        <v>33</v>
      </c>
      <c r="AA34" s="60">
        <f t="shared" si="6"/>
        <v>92033</v>
      </c>
    </row>
    <row r="35" spans="1:27">
      <c r="A35" s="83" t="str">
        <f t="shared" si="1"/>
        <v>100-MWL005-WA004-AT</v>
      </c>
      <c r="B35" s="83" t="str">
        <f t="shared" si="2"/>
        <v>92-034-</v>
      </c>
      <c r="C35" s="106" t="s">
        <v>985</v>
      </c>
      <c r="G35" s="106" t="s">
        <v>869</v>
      </c>
      <c r="S35" s="83" t="str">
        <f t="shared" si="3"/>
        <v>100-MWL005-WA004-AT</v>
      </c>
      <c r="T35" s="83" t="str">
        <f t="shared" si="4"/>
        <v>100-MWL005-WA004-AT</v>
      </c>
      <c r="Y35" s="60">
        <f t="shared" si="5"/>
        <v>92</v>
      </c>
      <c r="Z35" s="49">
        <f t="shared" si="0"/>
        <v>34</v>
      </c>
      <c r="AA35" s="60">
        <f t="shared" si="6"/>
        <v>92034</v>
      </c>
    </row>
    <row r="36" spans="1:27">
      <c r="A36" s="83" t="str">
        <f t="shared" si="1"/>
        <v>100-MWL025-CA006-FT</v>
      </c>
      <c r="B36" s="83" t="str">
        <f t="shared" si="2"/>
        <v>92-035-</v>
      </c>
      <c r="C36" s="106" t="s">
        <v>986</v>
      </c>
      <c r="G36" s="106" t="s">
        <v>870</v>
      </c>
      <c r="S36" s="83" t="str">
        <f t="shared" si="3"/>
        <v>100-MWL025-CA006-FT</v>
      </c>
      <c r="T36" s="83" t="str">
        <f t="shared" si="4"/>
        <v>100-MWL025-CA006-FT</v>
      </c>
      <c r="Y36" s="60">
        <f t="shared" si="5"/>
        <v>92</v>
      </c>
      <c r="Z36" s="49">
        <f t="shared" si="0"/>
        <v>35</v>
      </c>
      <c r="AA36" s="60">
        <f t="shared" si="6"/>
        <v>92035</v>
      </c>
    </row>
    <row r="37" spans="1:27">
      <c r="A37" s="83" t="str">
        <f t="shared" si="1"/>
        <v>100-MWL025-CA012-HW</v>
      </c>
      <c r="B37" s="83" t="str">
        <f t="shared" si="2"/>
        <v>92-036-</v>
      </c>
      <c r="C37" s="106" t="s">
        <v>987</v>
      </c>
      <c r="G37" s="106" t="s">
        <v>871</v>
      </c>
      <c r="S37" s="83" t="str">
        <f t="shared" si="3"/>
        <v>100-MWL025-CA012-HW</v>
      </c>
      <c r="T37" s="83" t="str">
        <f t="shared" si="4"/>
        <v>100-MWL025-CA012-HW</v>
      </c>
      <c r="Y37" s="60">
        <f t="shared" si="5"/>
        <v>92</v>
      </c>
      <c r="Z37" s="49">
        <f t="shared" si="0"/>
        <v>36</v>
      </c>
      <c r="AA37" s="60">
        <f t="shared" si="6"/>
        <v>92036</v>
      </c>
    </row>
    <row r="38" spans="1:27">
      <c r="A38" s="83" t="str">
        <f t="shared" si="1"/>
        <v>100-MWL025-CA016-BK</v>
      </c>
      <c r="B38" s="83" t="str">
        <f t="shared" si="2"/>
        <v>92-037-</v>
      </c>
      <c r="C38" s="106" t="s">
        <v>988</v>
      </c>
      <c r="G38" s="106" t="s">
        <v>872</v>
      </c>
      <c r="S38" s="83" t="str">
        <f t="shared" si="3"/>
        <v>100-MWL025-CA016-BK</v>
      </c>
      <c r="T38" s="83" t="str">
        <f t="shared" si="4"/>
        <v>100-MWL025-CA016-BK</v>
      </c>
      <c r="Y38" s="60">
        <f t="shared" si="5"/>
        <v>92</v>
      </c>
      <c r="Z38" s="49">
        <f t="shared" si="0"/>
        <v>37</v>
      </c>
      <c r="AA38" s="60">
        <f t="shared" si="6"/>
        <v>92037</v>
      </c>
    </row>
    <row r="39" spans="1:27">
      <c r="A39" s="83" t="str">
        <f t="shared" si="1"/>
        <v>100-MWL025-NY018-BK</v>
      </c>
      <c r="B39" s="83" t="str">
        <f t="shared" si="2"/>
        <v>92-038-</v>
      </c>
      <c r="C39" s="106" t="s">
        <v>989</v>
      </c>
      <c r="G39" s="106" t="s">
        <v>873</v>
      </c>
      <c r="S39" s="83" t="str">
        <f t="shared" si="3"/>
        <v>100-MWL025-NY018-BK</v>
      </c>
      <c r="T39" s="83" t="str">
        <f t="shared" si="4"/>
        <v>100-MWL025-NY018-BK</v>
      </c>
      <c r="Y39" s="60">
        <f t="shared" si="5"/>
        <v>92</v>
      </c>
      <c r="Z39" s="49">
        <f t="shared" si="0"/>
        <v>38</v>
      </c>
      <c r="AA39" s="60">
        <f t="shared" si="6"/>
        <v>92038</v>
      </c>
    </row>
    <row r="40" spans="1:27">
      <c r="A40" s="83" t="str">
        <f t="shared" si="1"/>
        <v>100-MWL025-NY027-FT</v>
      </c>
      <c r="B40" s="83" t="str">
        <f t="shared" si="2"/>
        <v>92-039-</v>
      </c>
      <c r="C40" s="106" t="s">
        <v>990</v>
      </c>
      <c r="G40" s="106" t="s">
        <v>874</v>
      </c>
      <c r="S40" s="83" t="str">
        <f t="shared" si="3"/>
        <v>100-MWL025-NY027-FT</v>
      </c>
      <c r="T40" s="83" t="str">
        <f t="shared" si="4"/>
        <v>100-MWL025-NY027-FT</v>
      </c>
      <c r="Y40" s="60">
        <f t="shared" si="5"/>
        <v>92</v>
      </c>
      <c r="Z40" s="49">
        <f t="shared" si="0"/>
        <v>39</v>
      </c>
      <c r="AA40" s="60">
        <f t="shared" si="6"/>
        <v>92039</v>
      </c>
    </row>
    <row r="41" spans="1:27">
      <c r="A41" s="83" t="str">
        <f t="shared" si="1"/>
        <v>103-SWC001-CA001-KH</v>
      </c>
      <c r="B41" s="83" t="str">
        <f t="shared" si="2"/>
        <v>92-040-</v>
      </c>
      <c r="C41" s="106" t="s">
        <v>991</v>
      </c>
      <c r="G41" s="106" t="s">
        <v>875</v>
      </c>
      <c r="S41" s="83" t="str">
        <f t="shared" si="3"/>
        <v>103-SWC001-CA001-KH</v>
      </c>
      <c r="T41" s="83" t="str">
        <f t="shared" si="4"/>
        <v>103-SWC001-CA001-KH</v>
      </c>
      <c r="Y41" s="60">
        <f t="shared" si="5"/>
        <v>92</v>
      </c>
      <c r="Z41" s="49">
        <f t="shared" si="0"/>
        <v>40</v>
      </c>
      <c r="AA41" s="60">
        <f t="shared" si="6"/>
        <v>92040</v>
      </c>
    </row>
    <row r="42" spans="1:27">
      <c r="A42" s="83" t="str">
        <f t="shared" si="1"/>
        <v>103-SWC001-CA002-KH</v>
      </c>
      <c r="B42" s="83" t="str">
        <f t="shared" si="2"/>
        <v>92-041-</v>
      </c>
      <c r="C42" s="106" t="s">
        <v>992</v>
      </c>
      <c r="G42" s="106" t="s">
        <v>876</v>
      </c>
      <c r="S42" s="83" t="str">
        <f t="shared" si="3"/>
        <v>103-SWC001-CA002-KH</v>
      </c>
      <c r="T42" s="83" t="str">
        <f t="shared" si="4"/>
        <v>103-SWC001-CA002-KH</v>
      </c>
      <c r="Y42" s="60">
        <f t="shared" si="5"/>
        <v>92</v>
      </c>
      <c r="Z42" s="49">
        <f t="shared" si="0"/>
        <v>41</v>
      </c>
      <c r="AA42" s="60">
        <f t="shared" si="6"/>
        <v>92041</v>
      </c>
    </row>
    <row r="43" spans="1:27">
      <c r="A43" s="83" t="str">
        <f t="shared" si="1"/>
        <v>103-SWC001-CA007-GY</v>
      </c>
      <c r="B43" s="83" t="str">
        <f t="shared" si="2"/>
        <v>92-042-</v>
      </c>
      <c r="C43" s="106" t="s">
        <v>993</v>
      </c>
      <c r="G43" s="106" t="s">
        <v>877</v>
      </c>
      <c r="S43" s="83" t="str">
        <f t="shared" si="3"/>
        <v>103-SWC001-CA007-GY</v>
      </c>
      <c r="T43" s="83" t="str">
        <f t="shared" si="4"/>
        <v>103-SWC001-CA007-GY</v>
      </c>
      <c r="Y43" s="60">
        <f t="shared" si="5"/>
        <v>92</v>
      </c>
      <c r="Z43" s="49">
        <f t="shared" si="0"/>
        <v>42</v>
      </c>
      <c r="AA43" s="60">
        <f t="shared" si="6"/>
        <v>92042</v>
      </c>
    </row>
    <row r="44" spans="1:27">
      <c r="A44" s="83" t="str">
        <f t="shared" si="1"/>
        <v>103-SWC001-CA008-MC</v>
      </c>
      <c r="B44" s="83" t="str">
        <f t="shared" si="2"/>
        <v>92-043-</v>
      </c>
      <c r="C44" s="106" t="s">
        <v>994</v>
      </c>
      <c r="G44" s="106" t="s">
        <v>878</v>
      </c>
      <c r="S44" s="83" t="str">
        <f t="shared" si="3"/>
        <v>103-SWC001-CA008-MC</v>
      </c>
      <c r="T44" s="83" t="str">
        <f t="shared" si="4"/>
        <v>103-SWC001-CA008-MC</v>
      </c>
      <c r="Y44" s="60">
        <f t="shared" si="5"/>
        <v>92</v>
      </c>
      <c r="Z44" s="49">
        <f t="shared" si="0"/>
        <v>43</v>
      </c>
      <c r="AA44" s="60">
        <f t="shared" si="6"/>
        <v>92043</v>
      </c>
    </row>
    <row r="45" spans="1:27">
      <c r="A45" s="83" t="str">
        <f t="shared" si="1"/>
        <v>103-SWC001-NY001-KH</v>
      </c>
      <c r="B45" s="83" t="str">
        <f t="shared" si="2"/>
        <v>92-044-</v>
      </c>
      <c r="C45" s="106" t="s">
        <v>995</v>
      </c>
      <c r="G45" s="106" t="s">
        <v>879</v>
      </c>
      <c r="S45" s="83" t="str">
        <f t="shared" si="3"/>
        <v>103-SWC001-NY001-KH</v>
      </c>
      <c r="T45" s="83" t="str">
        <f t="shared" si="4"/>
        <v>103-SWC001-NY001-KH</v>
      </c>
      <c r="Y45" s="60">
        <f t="shared" si="5"/>
        <v>92</v>
      </c>
      <c r="Z45" s="49">
        <f t="shared" si="0"/>
        <v>44</v>
      </c>
      <c r="AA45" s="60">
        <f t="shared" si="6"/>
        <v>92044</v>
      </c>
    </row>
    <row r="46" spans="1:27">
      <c r="A46" s="83" t="str">
        <f t="shared" si="1"/>
        <v>103-SWC001-NY015-BK</v>
      </c>
      <c r="B46" s="83" t="str">
        <f t="shared" si="2"/>
        <v>92-045-</v>
      </c>
      <c r="C46" s="106" t="s">
        <v>996</v>
      </c>
      <c r="G46" s="106" t="s">
        <v>880</v>
      </c>
      <c r="S46" s="83" t="str">
        <f t="shared" si="3"/>
        <v>103-SWC001-NY015-BK</v>
      </c>
      <c r="T46" s="83" t="str">
        <f t="shared" si="4"/>
        <v>103-SWC001-NY015-BK</v>
      </c>
      <c r="Y46" s="60">
        <f t="shared" si="5"/>
        <v>92</v>
      </c>
      <c r="Z46" s="49">
        <f t="shared" si="0"/>
        <v>45</v>
      </c>
      <c r="AA46" s="60">
        <f t="shared" si="6"/>
        <v>92045</v>
      </c>
    </row>
    <row r="47" spans="1:27">
      <c r="A47" s="83" t="str">
        <f t="shared" si="1"/>
        <v>103-SWC001-NY022-GY</v>
      </c>
      <c r="B47" s="83" t="str">
        <f t="shared" si="2"/>
        <v>92-046-</v>
      </c>
      <c r="C47" s="106" t="s">
        <v>997</v>
      </c>
      <c r="G47" s="106" t="s">
        <v>881</v>
      </c>
      <c r="S47" s="83" t="str">
        <f t="shared" si="3"/>
        <v>103-SWC001-NY022-GY</v>
      </c>
      <c r="T47" s="83" t="str">
        <f t="shared" si="4"/>
        <v>103-SWC001-NY022-GY</v>
      </c>
      <c r="Y47" s="60">
        <f t="shared" si="5"/>
        <v>92</v>
      </c>
      <c r="Z47" s="49">
        <f t="shared" si="0"/>
        <v>46</v>
      </c>
      <c r="AA47" s="60">
        <f t="shared" si="6"/>
        <v>92046</v>
      </c>
    </row>
    <row r="48" spans="1:27">
      <c r="A48" s="83" t="str">
        <f t="shared" si="1"/>
        <v>103-SWC001-NY037-BD</v>
      </c>
      <c r="B48" s="83" t="str">
        <f t="shared" si="2"/>
        <v>92-047-</v>
      </c>
      <c r="C48" s="106" t="s">
        <v>998</v>
      </c>
      <c r="G48" s="106" t="s">
        <v>882</v>
      </c>
      <c r="S48" s="83" t="str">
        <f t="shared" si="3"/>
        <v>103-SWC001-NY037-BD</v>
      </c>
      <c r="T48" s="83" t="str">
        <f t="shared" si="4"/>
        <v>103-SWC001-NY037-BD</v>
      </c>
      <c r="Y48" s="60">
        <f t="shared" si="5"/>
        <v>92</v>
      </c>
      <c r="Z48" s="49">
        <f t="shared" si="0"/>
        <v>47</v>
      </c>
      <c r="AA48" s="60">
        <f t="shared" si="6"/>
        <v>92047</v>
      </c>
    </row>
    <row r="49" spans="1:27">
      <c r="A49" s="83" t="str">
        <f t="shared" si="1"/>
        <v>103-SWC001-UT002-MC</v>
      </c>
      <c r="B49" s="83" t="str">
        <f t="shared" si="2"/>
        <v>92-048-</v>
      </c>
      <c r="C49" s="106" t="s">
        <v>999</v>
      </c>
      <c r="G49" s="106" t="s">
        <v>883</v>
      </c>
      <c r="S49" s="83" t="str">
        <f t="shared" si="3"/>
        <v>103-SWC001-UT002-MC</v>
      </c>
      <c r="T49" s="83" t="str">
        <f t="shared" si="4"/>
        <v>103-SWC001-UT002-MC</v>
      </c>
      <c r="Y49" s="60">
        <f t="shared" si="5"/>
        <v>92</v>
      </c>
      <c r="Z49" s="49">
        <f t="shared" si="0"/>
        <v>48</v>
      </c>
      <c r="AA49" s="60">
        <f t="shared" si="6"/>
        <v>92048</v>
      </c>
    </row>
    <row r="50" spans="1:27">
      <c r="A50" s="83" t="str">
        <f t="shared" si="1"/>
        <v>103-SWC002-NY020-BK</v>
      </c>
      <c r="B50" s="83" t="str">
        <f t="shared" si="2"/>
        <v>92-049-</v>
      </c>
      <c r="C50" s="106" t="s">
        <v>1000</v>
      </c>
      <c r="G50" s="106" t="s">
        <v>884</v>
      </c>
      <c r="S50" s="83" t="str">
        <f t="shared" si="3"/>
        <v>103-SWC002-NY020-BK</v>
      </c>
      <c r="T50" s="83" t="str">
        <f t="shared" si="4"/>
        <v>103-SWC002-NY020-BK</v>
      </c>
      <c r="Y50" s="60">
        <f t="shared" si="5"/>
        <v>92</v>
      </c>
      <c r="Z50" s="49">
        <f t="shared" si="0"/>
        <v>49</v>
      </c>
      <c r="AA50" s="60">
        <f t="shared" si="6"/>
        <v>92049</v>
      </c>
    </row>
    <row r="51" spans="1:27">
      <c r="A51" s="83" t="str">
        <f t="shared" si="1"/>
        <v>103-SWC003-CA047-ST</v>
      </c>
      <c r="B51" s="83" t="str">
        <f t="shared" si="2"/>
        <v>92-050-</v>
      </c>
      <c r="C51" s="106" t="s">
        <v>1001</v>
      </c>
      <c r="G51" s="106" t="s">
        <v>885</v>
      </c>
      <c r="S51" s="83" t="str">
        <f t="shared" si="3"/>
        <v>103-SWC003-CA047-ST</v>
      </c>
      <c r="T51" s="83" t="str">
        <f t="shared" si="4"/>
        <v>103-SWC003-CA047-ST</v>
      </c>
      <c r="Y51" s="60">
        <f t="shared" si="5"/>
        <v>92</v>
      </c>
      <c r="Z51" s="49">
        <f t="shared" si="0"/>
        <v>50</v>
      </c>
      <c r="AA51" s="60">
        <f t="shared" si="6"/>
        <v>92050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2022-02-25T11:19:38Z</dcterms:modified>
</cp:coreProperties>
</file>