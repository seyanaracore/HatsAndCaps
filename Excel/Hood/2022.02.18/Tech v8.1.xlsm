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CC27DA7E-1850-4FB2-93A1-0C04C98F9C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" i="8" l="1"/>
  <c r="AZ49" i="1" l="1"/>
  <c r="AZ48" i="1"/>
  <c r="AZ41" i="1"/>
  <c r="AZ40" i="1"/>
  <c r="AZ33" i="1"/>
  <c r="AZ32" i="1"/>
  <c r="AZ25" i="1"/>
  <c r="AZ24" i="1"/>
  <c r="AZ17" i="1"/>
  <c r="AZ16" i="1"/>
  <c r="AZ9" i="1"/>
  <c r="AZ8" i="1"/>
  <c r="AW52" i="1"/>
  <c r="AW47" i="1"/>
  <c r="AW46" i="1"/>
  <c r="AW45" i="1"/>
  <c r="AW44" i="1"/>
  <c r="AW39" i="1"/>
  <c r="AW38" i="1"/>
  <c r="AW37" i="1"/>
  <c r="AW36" i="1"/>
  <c r="AW31" i="1"/>
  <c r="AW30" i="1"/>
  <c r="AW29" i="1"/>
  <c r="AW28" i="1"/>
  <c r="AW23" i="1"/>
  <c r="AW22" i="1"/>
  <c r="AW21" i="1"/>
  <c r="AW20" i="1"/>
  <c r="AW15" i="1"/>
  <c r="AW14" i="1"/>
  <c r="AW13" i="1"/>
  <c r="AW12" i="1"/>
  <c r="AW7" i="1"/>
  <c r="AW6" i="1"/>
  <c r="AW5" i="1"/>
  <c r="AW4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52" i="1"/>
  <c r="AZ52" i="1" s="1"/>
  <c r="AQ51" i="1"/>
  <c r="AW51" i="1" s="1"/>
  <c r="AQ50" i="1"/>
  <c r="AW50" i="1" s="1"/>
  <c r="AQ49" i="1"/>
  <c r="AX49" i="1" s="1"/>
  <c r="AQ48" i="1"/>
  <c r="AX48" i="1" s="1"/>
  <c r="AQ47" i="1"/>
  <c r="AZ47" i="1" s="1"/>
  <c r="AQ46" i="1"/>
  <c r="AZ46" i="1" s="1"/>
  <c r="AQ45" i="1"/>
  <c r="AZ45" i="1" s="1"/>
  <c r="AQ44" i="1"/>
  <c r="AX44" i="1" s="1"/>
  <c r="AQ43" i="1"/>
  <c r="AW43" i="1" s="1"/>
  <c r="AQ42" i="1"/>
  <c r="AZ42" i="1" s="1"/>
  <c r="AQ41" i="1"/>
  <c r="AX41" i="1" s="1"/>
  <c r="AQ40" i="1"/>
  <c r="AX40" i="1" s="1"/>
  <c r="AQ39" i="1"/>
  <c r="AZ39" i="1" s="1"/>
  <c r="AQ38" i="1"/>
  <c r="AZ38" i="1" s="1"/>
  <c r="AQ37" i="1"/>
  <c r="AZ37" i="1" s="1"/>
  <c r="AQ36" i="1"/>
  <c r="AX36" i="1" s="1"/>
  <c r="AQ35" i="1"/>
  <c r="AW35" i="1" s="1"/>
  <c r="AQ34" i="1"/>
  <c r="AX34" i="1" s="1"/>
  <c r="AQ33" i="1"/>
  <c r="AX33" i="1" s="1"/>
  <c r="AQ32" i="1"/>
  <c r="AX32" i="1" s="1"/>
  <c r="AQ31" i="1"/>
  <c r="AZ31" i="1" s="1"/>
  <c r="AQ30" i="1"/>
  <c r="AZ30" i="1" s="1"/>
  <c r="AQ29" i="1"/>
  <c r="AZ29" i="1" s="1"/>
  <c r="AQ28" i="1"/>
  <c r="AX28" i="1" s="1"/>
  <c r="AQ27" i="1"/>
  <c r="AW27" i="1" s="1"/>
  <c r="AQ26" i="1"/>
  <c r="AZ26" i="1" s="1"/>
  <c r="AQ25" i="1"/>
  <c r="AX25" i="1" s="1"/>
  <c r="AQ24" i="1"/>
  <c r="AX24" i="1" s="1"/>
  <c r="AQ23" i="1"/>
  <c r="AZ23" i="1" s="1"/>
  <c r="AQ22" i="1"/>
  <c r="AZ22" i="1" s="1"/>
  <c r="AQ21" i="1"/>
  <c r="AZ21" i="1" s="1"/>
  <c r="AQ20" i="1"/>
  <c r="AZ20" i="1" s="1"/>
  <c r="AQ19" i="1"/>
  <c r="AW19" i="1" s="1"/>
  <c r="AQ18" i="1"/>
  <c r="AW18" i="1" s="1"/>
  <c r="AQ17" i="1"/>
  <c r="AX17" i="1" s="1"/>
  <c r="AQ16" i="1"/>
  <c r="AX16" i="1" s="1"/>
  <c r="AQ15" i="1"/>
  <c r="AZ15" i="1" s="1"/>
  <c r="AQ14" i="1"/>
  <c r="AZ14" i="1" s="1"/>
  <c r="AQ13" i="1"/>
  <c r="AZ13" i="1" s="1"/>
  <c r="AQ12" i="1"/>
  <c r="AX12" i="1" s="1"/>
  <c r="AQ11" i="1"/>
  <c r="AW11" i="1" s="1"/>
  <c r="AQ10" i="1"/>
  <c r="AZ10" i="1" s="1"/>
  <c r="AQ9" i="1"/>
  <c r="AX9" i="1" s="1"/>
  <c r="AQ8" i="1"/>
  <c r="AX8" i="1" s="1"/>
  <c r="AQ7" i="1"/>
  <c r="AZ7" i="1" s="1"/>
  <c r="AQ6" i="1"/>
  <c r="AZ6" i="1" s="1"/>
  <c r="AQ5" i="1"/>
  <c r="AX5" i="1" s="1"/>
  <c r="AQ4" i="1"/>
  <c r="AX4" i="1" s="1"/>
  <c r="AQ3" i="1"/>
  <c r="AW3" i="1" s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A2" i="1"/>
  <c r="AX10" i="1" l="1"/>
  <c r="AX13" i="1"/>
  <c r="AX37" i="1"/>
  <c r="AX45" i="1"/>
  <c r="AZ3" i="1"/>
  <c r="AZ11" i="1"/>
  <c r="AZ19" i="1"/>
  <c r="AZ27" i="1"/>
  <c r="AZ35" i="1"/>
  <c r="AZ43" i="1"/>
  <c r="AZ51" i="1"/>
  <c r="AX42" i="1"/>
  <c r="AX3" i="1"/>
  <c r="AX35" i="1"/>
  <c r="AX51" i="1"/>
  <c r="AX20" i="1"/>
  <c r="AX52" i="1"/>
  <c r="AZ18" i="1"/>
  <c r="AZ50" i="1"/>
  <c r="AX29" i="1"/>
  <c r="AW8" i="1"/>
  <c r="AW16" i="1"/>
  <c r="AW24" i="1"/>
  <c r="AW32" i="1"/>
  <c r="AW40" i="1"/>
  <c r="AW48" i="1"/>
  <c r="AX6" i="1"/>
  <c r="AX14" i="1"/>
  <c r="AX22" i="1"/>
  <c r="AX30" i="1"/>
  <c r="AX38" i="1"/>
  <c r="AX46" i="1"/>
  <c r="AZ4" i="1"/>
  <c r="AZ12" i="1"/>
  <c r="AZ28" i="1"/>
  <c r="AZ36" i="1"/>
  <c r="AZ44" i="1"/>
  <c r="AX26" i="1"/>
  <c r="AX19" i="1"/>
  <c r="AX21" i="1"/>
  <c r="AW9" i="1"/>
  <c r="AW17" i="1"/>
  <c r="AW25" i="1"/>
  <c r="AW33" i="1"/>
  <c r="AW41" i="1"/>
  <c r="AW49" i="1"/>
  <c r="AX7" i="1"/>
  <c r="AX15" i="1"/>
  <c r="AX23" i="1"/>
  <c r="AX31" i="1"/>
  <c r="AX39" i="1"/>
  <c r="AX47" i="1"/>
  <c r="AZ5" i="1"/>
  <c r="AX18" i="1"/>
  <c r="AX50" i="1"/>
  <c r="AX27" i="1"/>
  <c r="AZ34" i="1"/>
  <c r="AW10" i="1"/>
  <c r="AW26" i="1"/>
  <c r="AW34" i="1"/>
  <c r="AW42" i="1"/>
  <c r="AX11" i="1"/>
  <c r="AX43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J49" i="1" l="1"/>
  <c r="J41" i="1"/>
  <c r="J33" i="1"/>
  <c r="J25" i="1"/>
  <c r="J17" i="1"/>
  <c r="J9" i="1"/>
  <c r="J48" i="1"/>
  <c r="J40" i="1"/>
  <c r="J32" i="1"/>
  <c r="J24" i="1"/>
  <c r="J16" i="1"/>
  <c r="J8" i="1"/>
  <c r="J47" i="1"/>
  <c r="J39" i="1"/>
  <c r="J31" i="1"/>
  <c r="J23" i="1"/>
  <c r="J15" i="1"/>
  <c r="J7" i="1"/>
  <c r="J46" i="1"/>
  <c r="J38" i="1"/>
  <c r="J30" i="1"/>
  <c r="J22" i="1"/>
  <c r="J14" i="1"/>
  <c r="J6" i="1"/>
  <c r="J45" i="1"/>
  <c r="J37" i="1"/>
  <c r="J29" i="1"/>
  <c r="J21" i="1"/>
  <c r="J13" i="1"/>
  <c r="J5" i="1"/>
  <c r="J52" i="1"/>
  <c r="J44" i="1"/>
  <c r="J36" i="1"/>
  <c r="J28" i="1"/>
  <c r="J20" i="1"/>
  <c r="J12" i="1"/>
  <c r="J4" i="1"/>
  <c r="J51" i="1"/>
  <c r="J43" i="1"/>
  <c r="J35" i="1"/>
  <c r="J27" i="1"/>
  <c r="J19" i="1"/>
  <c r="J11" i="1"/>
  <c r="J3" i="1"/>
  <c r="J50" i="1"/>
  <c r="J42" i="1"/>
  <c r="J34" i="1"/>
  <c r="J26" i="1"/>
  <c r="J18" i="1"/>
  <c r="J10" i="1"/>
  <c r="S3" i="8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AS18" i="1"/>
  <c r="AT22" i="1"/>
  <c r="AS24" i="1"/>
  <c r="AS33" i="1"/>
  <c r="AT40" i="1"/>
  <c r="AT4" i="1"/>
  <c r="AT18" i="1"/>
  <c r="AS14" i="1"/>
  <c r="AS9" i="1"/>
  <c r="AT15" i="1"/>
  <c r="AT33" i="1"/>
  <c r="AT32" i="1"/>
  <c r="AT6" i="1"/>
  <c r="AS39" i="1"/>
  <c r="AT5" i="1"/>
  <c r="AT50" i="1"/>
  <c r="AT49" i="1"/>
  <c r="AS22" i="1"/>
  <c r="AT24" i="1"/>
  <c r="AT3" i="1"/>
  <c r="AS28" i="1"/>
  <c r="AT34" i="1"/>
  <c r="AS4" i="1"/>
  <c r="AS45" i="1"/>
  <c r="AT27" i="1"/>
  <c r="AT48" i="1"/>
  <c r="AS43" i="1"/>
  <c r="AS10" i="1"/>
  <c r="AS19" i="1"/>
  <c r="AS37" i="1"/>
  <c r="AT9" i="1"/>
  <c r="AS44" i="1"/>
  <c r="AS51" i="1"/>
  <c r="AT8" i="1"/>
  <c r="AS32" i="1"/>
  <c r="AS30" i="1"/>
  <c r="AT29" i="1"/>
  <c r="AS46" i="1"/>
  <c r="AT39" i="1"/>
  <c r="AS36" i="1"/>
  <c r="AT14" i="1"/>
  <c r="AS23" i="1"/>
  <c r="AS35" i="1"/>
  <c r="AS12" i="1"/>
  <c r="AT52" i="1"/>
  <c r="AS21" i="1"/>
  <c r="AS13" i="1"/>
  <c r="AT42" i="1"/>
  <c r="AT30" i="1"/>
  <c r="AT51" i="1"/>
  <c r="AS11" i="1"/>
  <c r="AS25" i="1"/>
  <c r="AS17" i="1"/>
  <c r="AS40" i="1"/>
  <c r="AS16" i="1"/>
  <c r="AT43" i="1"/>
  <c r="AT26" i="1"/>
  <c r="AT37" i="1"/>
  <c r="AS49" i="1"/>
  <c r="AT17" i="1"/>
  <c r="AS31" i="1"/>
  <c r="AT12" i="1"/>
  <c r="AS7" i="1"/>
  <c r="AS15" i="1"/>
  <c r="AT38" i="1"/>
  <c r="AT13" i="1"/>
  <c r="AT20" i="1"/>
  <c r="AT36" i="1"/>
  <c r="AS8" i="1"/>
  <c r="AT35" i="1"/>
  <c r="AT19" i="1"/>
  <c r="AT44" i="1"/>
  <c r="AS27" i="1"/>
  <c r="AS3" i="1"/>
  <c r="AS42" i="1"/>
  <c r="AT47" i="1"/>
  <c r="AT21" i="1"/>
  <c r="AT10" i="1"/>
  <c r="AT28" i="1"/>
  <c r="AS26" i="1"/>
  <c r="AS20" i="1"/>
  <c r="AS29" i="1"/>
  <c r="AT31" i="1"/>
  <c r="AS52" i="1"/>
  <c r="AT16" i="1"/>
  <c r="AT45" i="1"/>
  <c r="AS50" i="1"/>
  <c r="AS5" i="1"/>
  <c r="AT46" i="1"/>
  <c r="AT11" i="1"/>
  <c r="AT23" i="1"/>
  <c r="AS38" i="1"/>
  <c r="AT41" i="1"/>
  <c r="AT7" i="1"/>
  <c r="AT25" i="1"/>
  <c r="AS34" i="1"/>
  <c r="AS6" i="1"/>
  <c r="AS48" i="1"/>
  <c r="AS41" i="1"/>
  <c r="AS47" i="1"/>
  <c r="M47" i="1" l="1"/>
  <c r="M27" i="1"/>
  <c r="M17" i="1"/>
  <c r="M9" i="1"/>
  <c r="M44" i="1"/>
  <c r="M26" i="1"/>
  <c r="M16" i="1"/>
  <c r="M8" i="1"/>
  <c r="M40" i="1"/>
  <c r="M23" i="1"/>
  <c r="M15" i="1"/>
  <c r="M7" i="1"/>
  <c r="M14" i="1"/>
  <c r="M39" i="1"/>
  <c r="M22" i="1"/>
  <c r="M6" i="1"/>
  <c r="M21" i="1"/>
  <c r="M13" i="1"/>
  <c r="M5" i="1"/>
  <c r="M30" i="1"/>
  <c r="M12" i="1"/>
  <c r="M4" i="1"/>
  <c r="M51" i="1"/>
  <c r="M19" i="1"/>
  <c r="M11" i="1"/>
  <c r="M3" i="1"/>
  <c r="M48" i="1"/>
  <c r="M28" i="1"/>
  <c r="M18" i="1"/>
  <c r="M10" i="1"/>
  <c r="BA14" i="1"/>
  <c r="BA33" i="1"/>
  <c r="BA50" i="1"/>
  <c r="BA35" i="1"/>
  <c r="BA36" i="1"/>
  <c r="BA6" i="1"/>
  <c r="BA39" i="1"/>
  <c r="BA30" i="1"/>
  <c r="BA17" i="1"/>
  <c r="BA9" i="1"/>
  <c r="BA43" i="1"/>
  <c r="BA8" i="1"/>
  <c r="BA41" i="1"/>
  <c r="BA25" i="1"/>
  <c r="BA51" i="1"/>
  <c r="BA5" i="1"/>
  <c r="BA22" i="1"/>
  <c r="BA16" i="1"/>
  <c r="BA10" i="1"/>
  <c r="BA49" i="1"/>
  <c r="BA4" i="1"/>
  <c r="BA38" i="1"/>
  <c r="BA24" i="1"/>
  <c r="BA18" i="1"/>
  <c r="BA3" i="1"/>
  <c r="BA20" i="1"/>
  <c r="BA21" i="1"/>
  <c r="BA7" i="1"/>
  <c r="BA40" i="1"/>
  <c r="BA19" i="1"/>
  <c r="BA37" i="1"/>
  <c r="BA52" i="1"/>
  <c r="BA13" i="1"/>
  <c r="BA32" i="1"/>
  <c r="BA26" i="1"/>
  <c r="BA11" i="1"/>
  <c r="BA44" i="1"/>
  <c r="BA29" i="1"/>
  <c r="BA15" i="1"/>
  <c r="BA34" i="1"/>
  <c r="BA12" i="1"/>
  <c r="BA23" i="1"/>
  <c r="BA47" i="1"/>
  <c r="BA48" i="1"/>
  <c r="BA42" i="1"/>
  <c r="BA27" i="1"/>
  <c r="BA28" i="1"/>
  <c r="BA45" i="1"/>
  <c r="BA31" i="1"/>
  <c r="BA46" i="1"/>
  <c r="BB5" i="1"/>
  <c r="BB13" i="1"/>
  <c r="BB21" i="1"/>
  <c r="BB29" i="1"/>
  <c r="BB37" i="1"/>
  <c r="BB45" i="1"/>
  <c r="BB6" i="1"/>
  <c r="BB22" i="1"/>
  <c r="BC22" i="1" s="1"/>
  <c r="BB16" i="1"/>
  <c r="BB30" i="1"/>
  <c r="BC30" i="1" s="1"/>
  <c r="BB48" i="1"/>
  <c r="BC48" i="1" s="1"/>
  <c r="B48" i="1" s="1"/>
  <c r="BB7" i="1"/>
  <c r="BB15" i="1"/>
  <c r="BB23" i="1"/>
  <c r="BB31" i="1"/>
  <c r="BB39" i="1"/>
  <c r="BC39" i="1" s="1"/>
  <c r="B39" i="1" s="1"/>
  <c r="BB47" i="1"/>
  <c r="BB32" i="1"/>
  <c r="BB9" i="1"/>
  <c r="BC9" i="1" s="1"/>
  <c r="B9" i="1" s="1"/>
  <c r="BB17" i="1"/>
  <c r="BB25" i="1"/>
  <c r="BB33" i="1"/>
  <c r="BB41" i="1"/>
  <c r="BB49" i="1"/>
  <c r="BC49" i="1" s="1"/>
  <c r="B49" i="1" s="1"/>
  <c r="BB19" i="1"/>
  <c r="BB51" i="1"/>
  <c r="BC51" i="1" s="1"/>
  <c r="B51" i="1" s="1"/>
  <c r="BB8" i="1"/>
  <c r="BC8" i="1" s="1"/>
  <c r="B8" i="1" s="1"/>
  <c r="BB10" i="1"/>
  <c r="BB18" i="1"/>
  <c r="BB26" i="1"/>
  <c r="BB34" i="1"/>
  <c r="BB42" i="1"/>
  <c r="BB50" i="1"/>
  <c r="BB3" i="1"/>
  <c r="BB27" i="1"/>
  <c r="BB43" i="1"/>
  <c r="BB24" i="1"/>
  <c r="BB11" i="1"/>
  <c r="BC11" i="1" s="1"/>
  <c r="BB35" i="1"/>
  <c r="BC35" i="1" s="1"/>
  <c r="B35" i="1" s="1"/>
  <c r="BB38" i="1"/>
  <c r="BB40" i="1"/>
  <c r="B30" i="1"/>
  <c r="B22" i="1"/>
  <c r="BB4" i="1"/>
  <c r="BB12" i="1"/>
  <c r="BB20" i="1"/>
  <c r="BB28" i="1"/>
  <c r="BB36" i="1"/>
  <c r="BC36" i="1" s="1"/>
  <c r="B36" i="1" s="1"/>
  <c r="BB44" i="1"/>
  <c r="BB52" i="1"/>
  <c r="BB14" i="1"/>
  <c r="BC14" i="1" s="1"/>
  <c r="B14" i="1" s="1"/>
  <c r="BB46" i="1"/>
  <c r="T2" i="8"/>
  <c r="T3723" i="8"/>
  <c r="T4149" i="8"/>
  <c r="BC12" i="1" l="1"/>
  <c r="B12" i="1" s="1"/>
  <c r="BC18" i="1"/>
  <c r="B18" i="1" s="1"/>
  <c r="BC16" i="1"/>
  <c r="B16" i="1" s="1"/>
  <c r="BC20" i="1"/>
  <c r="B20" i="1" s="1"/>
  <c r="BC33" i="1"/>
  <c r="B33" i="1" s="1"/>
  <c r="BC45" i="1"/>
  <c r="B45" i="1" s="1"/>
  <c r="BC4" i="1"/>
  <c r="B4" i="1" s="1"/>
  <c r="BC17" i="1"/>
  <c r="B17" i="1" s="1"/>
  <c r="BC7" i="1"/>
  <c r="B7" i="1" s="1"/>
  <c r="BC3" i="1"/>
  <c r="B3" i="1" s="1"/>
  <c r="BC32" i="1"/>
  <c r="B32" i="1" s="1"/>
  <c r="BC13" i="1"/>
  <c r="B13" i="1" s="1"/>
  <c r="BC44" i="1"/>
  <c r="B44" i="1" s="1"/>
  <c r="BC40" i="1"/>
  <c r="B40" i="1" s="1"/>
  <c r="BC29" i="1"/>
  <c r="B29" i="1" s="1"/>
  <c r="BC52" i="1"/>
  <c r="B52" i="1" s="1"/>
  <c r="BC42" i="1"/>
  <c r="B42" i="1" s="1"/>
  <c r="BC5" i="1"/>
  <c r="B5" i="1" s="1"/>
  <c r="BC34" i="1"/>
  <c r="B34" i="1" s="1"/>
  <c r="BC41" i="1"/>
  <c r="B41" i="1" s="1"/>
  <c r="B11" i="1"/>
  <c r="BC50" i="1"/>
  <c r="B50" i="1" s="1"/>
  <c r="BC19" i="1"/>
  <c r="B19" i="1" s="1"/>
  <c r="BC21" i="1"/>
  <c r="B21" i="1" s="1"/>
  <c r="BC24" i="1"/>
  <c r="B24" i="1" s="1"/>
  <c r="BC26" i="1"/>
  <c r="B26" i="1" s="1"/>
  <c r="BC23" i="1"/>
  <c r="B23" i="1" s="1"/>
  <c r="BC6" i="1"/>
  <c r="B6" i="1" s="1"/>
  <c r="BC38" i="1"/>
  <c r="B38" i="1" s="1"/>
  <c r="BC37" i="1"/>
  <c r="B37" i="1" s="1"/>
  <c r="BC47" i="1"/>
  <c r="B47" i="1" s="1"/>
  <c r="BC28" i="1"/>
  <c r="B28" i="1" s="1"/>
  <c r="BC43" i="1"/>
  <c r="B43" i="1" s="1"/>
  <c r="BC46" i="1"/>
  <c r="B46" i="1" s="1"/>
  <c r="BC27" i="1"/>
  <c r="BC10" i="1"/>
  <c r="BC25" i="1"/>
  <c r="B25" i="1" s="1"/>
  <c r="BC15" i="1"/>
  <c r="B15" i="1" s="1"/>
  <c r="B27" i="1"/>
  <c r="B10" i="1"/>
  <c r="BC31" i="1"/>
  <c r="B31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AT2" i="1" l="1"/>
  <c r="AS2" i="1"/>
  <c r="O2" i="1"/>
  <c r="E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<sst xmlns="http://schemas.openxmlformats.org/spreadsheetml/2006/main" count="3059" uniqueCount="1007">
  <si>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</si>
  <si>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</si>
  <si>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</si>
  <si>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</si>
  <si>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</si>
  <si>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</si>
  <si>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</si>
  <si>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</si>
  <si>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</si>
  <si>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</si>
  <si>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</si>
  <si>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</si>
  <si>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</si>
  <si>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</si>
  <si>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</si>
  <si>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</si>
  <si>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</si>
  <si>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</si>
  <si>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</si>
  <si>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</si>
  <si>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</si>
  <si>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</si>
  <si>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</si>
  <si>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</si>
  <si>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</si>
  <si>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</si>
  <si>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</si>
  <si>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</si>
  <si>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</si>
  <si>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</si>
  <si>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</si>
  <si>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</si>
  <si>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</si>
  <si>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</si>
  <si>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</si>
  <si>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</si>
  <si>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</si>
  <si>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</si>
  <si>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</si>
  <si>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</si>
  <si>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</si>
  <si>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</si>
  <si>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</si>
  <si>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</si>
  <si>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</si>
  <si>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</si>
  <si>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</si>
  <si>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</si>
  <si>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</si>
  <si>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</si>
  <si>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</si>
  <si>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</si>
  <si>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</si>
  <si>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</si>
  <si>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</si>
  <si>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</si>
  <si>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</si>
  <si>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</si>
  <si>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</si>
  <si>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</si>
  <si>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</si>
  <si>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</si>
  <si>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</si>
  <si>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</si>
  <si>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</si>
  <si>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</si>
  <si>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</si>
  <si>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</si>
  <si>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</si>
  <si>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</si>
  <si>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</si>
  <si>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</si>
  <si>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</si>
  <si>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</si>
  <si>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</si>
  <si>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</si>
  <si>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</si>
  <si>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</si>
  <si>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</si>
  <si>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</si>
  <si>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</si>
  <si>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</si>
  <si>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</si>
  <si>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</si>
  <si>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</si>
  <si>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</si>
  <si>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</si>
  <si>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</si>
  <si>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</si>
  <si>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</si>
  <si>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</si>
  <si>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</si>
  <si>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</si>
  <si>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</si>
  <si>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</si>
  <si>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</si>
  <si>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</si>
  <si>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</si>
  <si>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</si>
  <si>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</si>
  <si>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</si>
  <si>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</si>
  <si>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</si>
  <si>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</si>
  <si>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</si>
  <si>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</si>
  <si>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</si>
  <si>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</si>
  <si>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</si>
  <si>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</si>
  <si>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</si>
  <si>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</si>
  <si>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</si>
  <si>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</si>
  <si>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</si>
  <si>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</si>
  <si>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</si>
  <si>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</si>
  <si>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</si>
  <si>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</si>
  <si>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</si>
  <si>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</si>
  <si>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</si>
  <si>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</si>
  <si>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</si>
  <si>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</si>
  <si>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</si>
  <si>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</si>
  <si>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</si>
  <si>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</si>
  <si>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</si>
  <si>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</si>
  <si>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</si>
  <si>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</si>
  <si>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</si>
  <si>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</si>
  <si>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</si>
  <si>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</si>
  <si>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</si>
  <si>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</si>
  <si>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</si>
  <si>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</si>
  <si>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</si>
  <si>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</si>
  <si>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</si>
  <si>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</si>
  <si>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</si>
  <si>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</si>
  <si>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</si>
  <si>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</si>
  <si>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</si>
  <si>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</si>
  <si>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</si>
  <si>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</si>
  <si>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</si>
  <si>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</si>
  <si>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</si>
  <si>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</si>
  <si>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</si>
  <si>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</si>
  <si>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</si>
  <si>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</si>
  <si>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</si>
  <si>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</si>
  <si>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</si>
  <si>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</si>
  <si>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</si>
  <si>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</si>
  <si>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</si>
  <si>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</si>
  <si>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</si>
  <si>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</si>
  <si>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</si>
  <si>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</si>
  <si>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</si>
  <si>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</si>
  <si>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</si>
  <si>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</si>
  <si>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</si>
  <si>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</si>
  <si>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</si>
  <si>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</si>
  <si>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</si>
  <si>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</si>
  <si>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</si>
  <si>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</si>
  <si>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</si>
  <si>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</si>
  <si>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</si>
  <si>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</si>
  <si>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</si>
  <si>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</si>
  <si>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</si>
  <si>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</si>
  <si>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</si>
  <si>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</si>
  <si>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</si>
  <si>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</si>
  <si>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</si>
  <si>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</si>
  <si>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</si>
  <si>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</si>
  <si>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</si>
  <si>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</si>
  <si>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</si>
  <si>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</si>
  <si>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</si>
  <si>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</si>
  <si>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</si>
  <si>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</si>
  <si>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</si>
  <si>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</si>
  <si>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</si>
  <si>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</si>
  <si>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</si>
  <si>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</si>
  <si>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</si>
  <si>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</si>
  <si>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</si>
  <si>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</si>
  <si>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</si>
  <si>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</si>
  <si>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</si>
  <si>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</si>
  <si>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</si>
  <si>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</si>
  <si>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</si>
  <si>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</si>
  <si>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</si>
  <si>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</si>
  <si>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</si>
  <si>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</si>
  <si>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</si>
  <si>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</si>
  <si>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</si>
  <si>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</si>
  <si>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</si>
  <si>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</si>
  <si>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</si>
  <si>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</si>
  <si>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</si>
  <si>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</si>
  <si>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</si>
  <si>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</si>
  <si>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</si>
  <si>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</si>
  <si>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</si>
  <si>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</si>
  <si>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</si>
  <si>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</si>
  <si>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</si>
  <si>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</si>
  <si>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</si>
  <si>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</si>
  <si>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</si>
  <si>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</si>
  <si>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</si>
  <si>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</si>
  <si>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</si>
  <si>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</si>
  <si>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</si>
  <si>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</si>
  <si>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</si>
  <si>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</si>
  <si>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</si>
  <si>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</si>
  <si>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</si>
  <si>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</si>
  <si>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</si>
  <si>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</si>
  <si>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</si>
  <si>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</si>
  <si>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</si>
  <si>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</si>
  <si>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</si>
  <si>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</si>
  <si>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</si>
  <si>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</si>
  <si>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</si>
  <si>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</si>
  <si>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</si>
  <si>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</si>
  <si>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</si>
  <si>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</si>
  <si>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</si>
  <si>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</si>
  <si>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</si>
  <si>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</si>
  <si>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</si>
  <si>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</si>
  <si>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</si>
  <si>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</si>
  <si>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</si>
  <si>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</si>
  <si>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</si>
  <si>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</si>
  <si>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</si>
  <si>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</si>
  <si>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</si>
  <si>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</si>
  <si>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</si>
  <si>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</si>
  <si>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</si>
  <si>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</si>
  <si>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</si>
  <si>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</si>
  <si>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</si>
  <si>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</si>
  <si>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</si>
  <si>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</si>
  <si>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</si>
  <si>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</si>
  <si>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</si>
  <si>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</si>
  <si>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</si>
  <si>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</si>
  <si>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</si>
  <si>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</si>
  <si>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</si>
  <si>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</si>
  <si>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</si>
  <si>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</si>
  <si>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</si>
  <si>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</si>
  <si>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</si>
  <si>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</si>
  <si>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</si>
  <si>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</si>
  <si>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</si>
  <si>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</si>
  <si>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</si>
  <si>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</si>
  <si>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</si>
  <si>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</si>
  <si>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</si>
  <si>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</si>
  <si>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</si>
  <si>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</si>
  <si>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</si>
  <si>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</si>
  <si>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</si>
  <si>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</si>
  <si>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</si>
  <si>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</si>
  <si>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</si>
  <si>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</si>
  <si>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</si>
  <si>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</si>
  <si>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</si>
  <si>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</si>
  <si>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</si>
  <si>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</si>
  <si>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</si>
  <si>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</si>
  <si>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</si>
  <si>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</si>
  <si>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</si>
  <si>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</si>
  <si>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</si>
  <si>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</si>
  <si>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</si>
  <si>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</si>
  <si>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</si>
  <si>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</si>
  <si>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</si>
  <si>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</si>
  <si>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</si>
  <si>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</si>
  <si>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</si>
  <si>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</si>
  <si>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</si>
  <si>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</si>
  <si>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</si>
  <si>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</si>
  <si>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</si>
  <si>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</si>
  <si>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</si>
  <si>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</si>
  <si>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</si>
  <si>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</si>
  <si>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</si>
  <si>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</si>
  <si>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</si>
  <si>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</si>
  <si>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</si>
  <si>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</si>
  <si>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</si>
  <si>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</si>
  <si>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</si>
  <si>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</si>
  <si>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</si>
  <si>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</si>
  <si>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</si>
  <si>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</si>
  <si>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</si>
  <si>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</si>
  <si>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</si>
  <si>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</si>
  <si>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</si>
  <si>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</si>
  <si>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</si>
  <si>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</si>
  <si>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</si>
  <si>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</si>
  <si>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</si>
  <si>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</si>
  <si>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</si>
  <si>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</si>
  <si>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</si>
  <si>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</si>
  <si>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</si>
  <si>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</si>
  <si>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</si>
  <si>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</si>
  <si>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</si>
  <si>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</si>
  <si>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</si>
  <si>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</si>
  <si>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</si>
  <si>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</si>
  <si>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</si>
  <si>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</si>
  <si>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</si>
  <si>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</si>
  <si>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</si>
  <si>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</si>
  <si>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</si>
  <si>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</si>
  <si>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</si>
  <si>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</si>
  <si>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</si>
  <si>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</si>
  <si>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</si>
  <si>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</si>
  <si>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</si>
  <si>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</si>
  <si>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</si>
  <si>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</si>
  <si>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</si>
  <si>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</si>
  <si>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</si>
  <si>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</si>
  <si>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</si>
  <si>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</si>
  <si>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</si>
  <si>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</si>
  <si>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</si>
  <si>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</si>
  <si>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</si>
  <si>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</si>
  <si>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</si>
  <si>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</si>
  <si>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</si>
  <si>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</si>
  <si>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</si>
  <si>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</si>
  <si>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</si>
  <si>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</si>
  <si>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</si>
  <si>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</si>
  <si>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</si>
  <si>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</si>
  <si>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</si>
  <si>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</si>
  <si>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</si>
  <si>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</si>
  <si>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</si>
  <si>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</si>
  <si>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</si>
  <si>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</si>
  <si>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</si>
  <si>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</si>
  <si>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</si>
  <si>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</si>
  <si>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</si>
  <si>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</si>
  <si>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</si>
  <si>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</si>
  <si>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</si>
  <si>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</si>
  <si>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</si>
  <si>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</si>
  <si>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</si>
  <si>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</si>
  <si>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</si>
  <si>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</si>
  <si>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</si>
  <si>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</si>
  <si>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</si>
  <si>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</si>
  <si>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</si>
  <si>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</si>
  <si>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</si>
  <si>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</si>
  <si>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</si>
  <si>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</si>
  <si>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</si>
  <si>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</si>
  <si>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</si>
  <si>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</si>
  <si>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</si>
  <si>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</si>
  <si>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</si>
  <si>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</si>
  <si>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</si>
  <si>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</si>
  <si>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</si>
  <si>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</si>
  <si>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</si>
  <si>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</si>
  <si>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</si>
  <si>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</si>
  <si>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</si>
  <si>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</si>
  <si>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</si>
  <si>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</si>
  <si>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</si>
  <si>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</si>
  <si>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</si>
  <si>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</si>
  <si>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</si>
  <si>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</si>
  <si>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</si>
  <si>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</si>
  <si>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</si>
  <si>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</si>
  <si>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</si>
  <si>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</si>
  <si>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</si>
  <si>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</si>
  <si>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</si>
  <si>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</si>
  <si>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</si>
  <si>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</si>
  <si>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</si>
  <si>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</si>
  <si>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</si>
  <si>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</si>
  <si>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</si>
  <si>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</si>
  <si>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</si>
  <si>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</si>
  <si>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</si>
  <si>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</si>
  <si>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</si>
  <si>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</si>
  <si>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</si>
  <si>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</si>
  <si>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</si>
  <si>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</si>
  <si>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</si>
  <si>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</si>
  <si>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</si>
  <si>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</si>
  <si>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</si>
  <si>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</si>
  <si>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</si>
  <si>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</si>
  <si>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</si>
  <si>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</si>
  <si>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</si>
  <si>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</si>
  <si>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</si>
  <si>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</si>
  <si>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</si>
  <si>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</si>
  <si>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</si>
  <si>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</si>
  <si>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</si>
  <si>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</si>
  <si>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</si>
  <si>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</si>
  <si>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</si>
  <si>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</si>
  <si>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</si>
  <si>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</si>
  <si>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</si>
  <si>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</si>
  <si>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</si>
  <si>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</si>
  <si>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</si>
  <si>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</si>
  <si>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</si>
  <si>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</si>
  <si>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</si>
  <si>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</si>
  <si>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</si>
  <si>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</si>
  <si>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</si>
  <si>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</si>
  <si>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</si>
  <si>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</si>
  <si>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</si>
  <si>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</si>
  <si>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</si>
  <si>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</si>
  <si>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</si>
  <si>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</si>
  <si>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</si>
  <si>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</si>
  <si>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</si>
  <si>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</si>
  <si>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</si>
  <si>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</si>
  <si>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</si>
  <si>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</si>
  <si>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</si>
  <si>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</si>
  <si>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</si>
  <si>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</si>
  <si>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</si>
  <si>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</si>
  <si>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</si>
  <si>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</si>
  <si>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</si>
  <si>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</si>
  <si>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</si>
  <si>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</si>
  <si>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</si>
  <si>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</si>
  <si>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</si>
  <si>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</si>
  <si>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</si>
  <si>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</si>
  <si>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</si>
  <si>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</si>
  <si>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</si>
  <si>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</si>
  <si>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</si>
  <si>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</si>
  <si>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</si>
  <si>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</si>
  <si>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</si>
  <si>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</si>
  <si>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</si>
  <si>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</si>
  <si>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</si>
  <si>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</si>
  <si>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</si>
  <si>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</si>
  <si>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</si>
  <si>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</si>
  <si>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</si>
  <si>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</si>
  <si>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</si>
  <si>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</si>
  <si>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</si>
  <si>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</si>
  <si>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</si>
  <si>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</si>
  <si>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</si>
  <si>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</si>
  <si>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</si>
  <si>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</si>
  <si>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</si>
  <si>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</si>
  <si>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</si>
  <si>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</si>
  <si>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</si>
  <si>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</si>
  <si>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</si>
  <si>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</si>
  <si>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</si>
  <si>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</si>
  <si>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</si>
  <si>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</si>
  <si>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</si>
  <si>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</si>
  <si>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</si>
  <si>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</si>
  <si>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</si>
  <si>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</si>
  <si>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</si>
  <si>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</si>
  <si>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</si>
  <si>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</si>
  <si>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</si>
  <si>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</si>
  <si>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</si>
  <si>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</si>
  <si>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</si>
  <si>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</si>
  <si>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</si>
  <si>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</si>
  <si>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</si>
  <si>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</si>
  <si>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</si>
  <si>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</si>
  <si>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</si>
  <si>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</si>
  <si>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</si>
  <si>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</si>
  <si>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</si>
  <si>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</si>
  <si>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</si>
  <si>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</si>
  <si>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</si>
  <si>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</si>
  <si>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</si>
  <si>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</si>
  <si>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</si>
  <si>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</si>
  <si>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</si>
  <si>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</si>
  <si>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</si>
  <si>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</si>
  <si>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</si>
  <si>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</si>
  <si>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</si>
  <si>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</si>
  <si>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</si>
  <si>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</si>
  <si>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</si>
  <si>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</si>
  <si>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</si>
  <si>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</si>
  <si>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</si>
  <si>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</si>
  <si>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</si>
  <si>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</si>
  <si>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</si>
  <si>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</si>
  <si>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</si>
  <si>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</si>
  <si>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</si>
  <si>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</si>
  <si>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</si>
  <si>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</si>
  <si>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</si>
  <si>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</si>
  <si>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</si>
  <si>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</si>
  <si>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</si>
  <si>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</si>
  <si>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</si>
  <si>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</si>
  <si>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</si>
  <si>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</si>
  <si>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</si>
  <si>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</si>
  <si>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</si>
  <si>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</si>
  <si>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</si>
  <si>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</si>
  <si>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</si>
  <si>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</si>
  <si>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</si>
  <si>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</si>
  <si>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</si>
  <si>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</si>
  <si>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</si>
  <si>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</si>
  <si>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</si>
  <si>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</si>
  <si>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</si>
  <si>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</si>
  <si>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</si>
  <si>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</si>
  <si>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</si>
  <si>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</si>
  <si>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</si>
  <si>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</si>
  <si>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</si>
  <si>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</si>
  <si>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</si>
  <si>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</si>
  <si>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</si>
  <si>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</si>
  <si>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</si>
  <si>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</si>
  <si>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</si>
  <si>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</si>
  <si>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</si>
  <si>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</si>
  <si>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</si>
  <si>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</si>
  <si>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</si>
  <si>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</si>
  <si>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</si>
  <si>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</si>
  <si>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</si>
  <si>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</si>
  <si>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</si>
  <si>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</si>
  <si>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</si>
  <si>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</si>
  <si>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</si>
  <si>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</si>
  <si>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</si>
  <si>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</si>
  <si>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</si>
  <si>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</si>
  <si>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</si>
  <si>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</si>
  <si>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</si>
  <si>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</si>
  <si>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</si>
  <si>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</si>
  <si>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</si>
  <si>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</si>
  <si>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</si>
  <si>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</si>
  <si>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</si>
  <si>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</si>
  <si>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</si>
  <si>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</si>
  <si>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</si>
  <si>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</si>
  <si>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</si>
  <si>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</si>
  <si>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</si>
  <si>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</si>
  <si>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</si>
  <si>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</si>
  <si>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</si>
  <si>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</si>
  <si>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</si>
  <si>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</si>
  <si>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</si>
  <si>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</si>
  <si>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</si>
  <si>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</si>
  <si>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</si>
  <si>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</si>
  <si>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</si>
  <si>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</si>
  <si>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</si>
  <si>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</si>
  <si>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</si>
  <si>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</si>
  <si>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</si>
  <si>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</si>
  <si>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</si>
  <si>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</si>
  <si>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</si>
  <si>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92-001-</t>
  </si>
  <si>
    <t>100-CTW020-CA003-BK</t>
  </si>
  <si>
    <t>100-CTW020-CA010-BK</t>
  </si>
  <si>
    <t>100-CTW020-CA012-BK</t>
  </si>
  <si>
    <t>100-CTW020-CA013-BK</t>
  </si>
  <si>
    <t>100-CTW020-CA027-BK</t>
  </si>
  <si>
    <t>100-CTW020-CA030-BK</t>
  </si>
  <si>
    <t>100-CTW020-MI001-BK</t>
  </si>
  <si>
    <t>100-CTW020-NY003-BK</t>
  </si>
  <si>
    <t>100-CTW020-NY019-BK</t>
  </si>
  <si>
    <t>100-CTW020-NY022-BK</t>
  </si>
  <si>
    <t>100-CTW020-NY031-BK</t>
  </si>
  <si>
    <t>100-CTW020-NY068-BK</t>
  </si>
  <si>
    <t>100-CTW020-PA003-BK</t>
  </si>
  <si>
    <t>100-MWL001-CA005-BK</t>
  </si>
  <si>
    <t>100-MWL001-NY015-BK</t>
  </si>
  <si>
    <t>100-MWL001-NY022-BK</t>
  </si>
  <si>
    <t>100-MWL001-NY076-BK</t>
  </si>
  <si>
    <t>100-MWL003-PA013-NY</t>
  </si>
  <si>
    <t>100-MWL005-CA069-BK</t>
  </si>
  <si>
    <t>100-MWL005-CA069-BKA</t>
  </si>
  <si>
    <t>100-MWL005-CA087-BK</t>
  </si>
  <si>
    <t>100-MWL005-CO005-MN</t>
  </si>
  <si>
    <t>100-MWL005-GA003-HW</t>
  </si>
  <si>
    <t>100-MWL005-IL011-BK</t>
  </si>
  <si>
    <t>100-MWL005-IL011-BKA</t>
  </si>
  <si>
    <t>100-MWL005-MD007-BK</t>
  </si>
  <si>
    <t>100-MWL005-MI010-NY</t>
  </si>
  <si>
    <t>100-MWL005-NV001-BKA</t>
  </si>
  <si>
    <t>100-MWL005-NY020-HW</t>
  </si>
  <si>
    <t>100-MWL005-NY066-AT</t>
  </si>
  <si>
    <t>100-MWL005-NY066-NY</t>
  </si>
  <si>
    <t>100-MWL005-NY066-RL</t>
  </si>
  <si>
    <t>100-MWL005-TX005-HW</t>
  </si>
  <si>
    <t>100-MWL005-WA004-AT</t>
  </si>
  <si>
    <t>100-MWL025-CA006-FT</t>
  </si>
  <si>
    <t>100-MWL025-CA012-HW</t>
  </si>
  <si>
    <t>100-MWL025-CA016-BK</t>
  </si>
  <si>
    <t>100-MWL025-NY018-BK</t>
  </si>
  <si>
    <t>100-MWL025-NY027-FT</t>
  </si>
  <si>
    <t>103-SWC001-CA001-KH</t>
  </si>
  <si>
    <t>103-SWC001-CA002-KH</t>
  </si>
  <si>
    <t>103-SWC001-CA007-GY</t>
  </si>
  <si>
    <t>103-SWC001-CA008-MC</t>
  </si>
  <si>
    <t>103-SWC001-NY001-KH</t>
  </si>
  <si>
    <t>103-SWC001-NY015-BK</t>
  </si>
  <si>
    <t>103-SWC001-NY022-GY</t>
  </si>
  <si>
    <t>103-SWC001-NY037-BD</t>
  </si>
  <si>
    <t>103-SWC001-UT002-MC</t>
  </si>
  <si>
    <t>103-SWC002-NY020-BK</t>
  </si>
  <si>
    <t>103-SWC003-CA047-ST</t>
  </si>
  <si>
    <t>BEVERLY HILLS TONAL INTERLOCK</t>
  </si>
  <si>
    <t>BEL AIR TONAL INTERLOCK</t>
  </si>
  <si>
    <t>COMPTON TONAL INTERLOCK</t>
  </si>
  <si>
    <t>SOUTH CENTRAL TONAL INTERLOCK</t>
  </si>
  <si>
    <t>CHAVEZ RAVINE TONAL INTERLOCK</t>
  </si>
  <si>
    <t>LONG BEACH TONAL INTERLOCK</t>
  </si>
  <si>
    <t>8 MILE TONAL INTERLOCK</t>
  </si>
  <si>
    <t>BED STUY TONAL INTERLOCK</t>
  </si>
  <si>
    <t>HARLEM TONAL INTERLOCK</t>
  </si>
  <si>
    <t>HELL'S KITCHEN TONAL INTERLOCK</t>
  </si>
  <si>
    <t>PARK HILL TONAL INTERLOCK</t>
  </si>
  <si>
    <t>CONEY ISLAND TONAL INTERLOCK</t>
  </si>
  <si>
    <t>LOVE PARK TONAL INTERLOCK</t>
  </si>
  <si>
    <t>Hidden Hills, CA</t>
  </si>
  <si>
    <t>Marcy, NY</t>
  </si>
  <si>
    <t>Hell's Kitchen II</t>
  </si>
  <si>
    <t>Kings County</t>
  </si>
  <si>
    <t>HAPPY VALLEY Zombie Nation</t>
  </si>
  <si>
    <t>Los Angeles VIII</t>
  </si>
  <si>
    <t>Los Angeles X</t>
  </si>
  <si>
    <t>San Francisco II</t>
  </si>
  <si>
    <t>Colorado II</t>
  </si>
  <si>
    <t>Atlanta III</t>
  </si>
  <si>
    <t>Chicago IV</t>
  </si>
  <si>
    <t>Chicago VII</t>
  </si>
  <si>
    <t>Baltimore</t>
  </si>
  <si>
    <t>Detroit III</t>
  </si>
  <si>
    <t>Las Vegas IV</t>
  </si>
  <si>
    <t>Brooklyn II</t>
  </si>
  <si>
    <t>New York IX</t>
  </si>
  <si>
    <t>New York VII</t>
  </si>
  <si>
    <t>New York III</t>
  </si>
  <si>
    <t>Dallas III</t>
  </si>
  <si>
    <t>Washington IV</t>
  </si>
  <si>
    <t>VENICE TONAL 3D</t>
  </si>
  <si>
    <t>COMPTON TONAL 3D</t>
  </si>
  <si>
    <t>KOREATOWN TONAL 3D</t>
  </si>
  <si>
    <t>BRONX TONAL 3D</t>
  </si>
  <si>
    <t>QUEENS TONAL 3D</t>
  </si>
  <si>
    <t>Brentwood Cord</t>
  </si>
  <si>
    <t>Westwood Cord</t>
  </si>
  <si>
    <t>Fairfax Cord</t>
  </si>
  <si>
    <t>Malibu Cord II</t>
  </si>
  <si>
    <t>Flatbush Cord</t>
  </si>
  <si>
    <t>Marcy Cord</t>
  </si>
  <si>
    <t>Hell's Kitchen Cord</t>
  </si>
  <si>
    <t>Queensbridge Cord</t>
  </si>
  <si>
    <t>Deer Valley Cord</t>
  </si>
  <si>
    <t>Brooklyn Cord</t>
  </si>
  <si>
    <t>Jack Murphy Cord</t>
  </si>
  <si>
    <t>BLACK</t>
  </si>
  <si>
    <t>Maroon</t>
  </si>
  <si>
    <t>Highway</t>
  </si>
  <si>
    <t>Royal</t>
  </si>
  <si>
    <t>Atlantic</t>
  </si>
  <si>
    <t>FRESH TAR</t>
  </si>
  <si>
    <t>HIGHWAY</t>
  </si>
  <si>
    <t>Khaki</t>
  </si>
  <si>
    <t>Mocha</t>
  </si>
  <si>
    <t>Bud</t>
  </si>
  <si>
    <t>Stout</t>
  </si>
  <si>
    <t>Hood</t>
  </si>
  <si>
    <t>100% хлопок</t>
  </si>
  <si>
    <t>100% шерсть мериноса</t>
  </si>
  <si>
    <t>HOOD</t>
  </si>
  <si>
    <t>HOOD HAT, LLC, 15332 Antioch st., #211 Pacific Palisades, CA 90272, USA</t>
  </si>
  <si>
    <t>92-002-</t>
  </si>
  <si>
    <t>92-003-</t>
  </si>
  <si>
    <t>92-004-</t>
  </si>
  <si>
    <t>92-005-</t>
  </si>
  <si>
    <t>92-006-</t>
  </si>
  <si>
    <t>92-007-</t>
  </si>
  <si>
    <t>92-008-</t>
  </si>
  <si>
    <t>92-009-</t>
  </si>
  <si>
    <t>92-010-</t>
  </si>
  <si>
    <t>92-011-</t>
  </si>
  <si>
    <t>92-012-</t>
  </si>
  <si>
    <t>92-013-</t>
  </si>
  <si>
    <t>92-014-</t>
  </si>
  <si>
    <t>92-015-</t>
  </si>
  <si>
    <t>92-016-</t>
  </si>
  <si>
    <t>92-017-</t>
  </si>
  <si>
    <t>92-018-</t>
  </si>
  <si>
    <t>92-019-</t>
  </si>
  <si>
    <t>92-020-</t>
  </si>
  <si>
    <t>92-021-</t>
  </si>
  <si>
    <t>92-022-</t>
  </si>
  <si>
    <t>92-023-</t>
  </si>
  <si>
    <t>92-024-</t>
  </si>
  <si>
    <t>92-025-</t>
  </si>
  <si>
    <t>92-026-</t>
  </si>
  <si>
    <t>92-027-</t>
  </si>
  <si>
    <t>92-028-</t>
  </si>
  <si>
    <t>92-029-</t>
  </si>
  <si>
    <t>92-030-</t>
  </si>
  <si>
    <t>92-031-</t>
  </si>
  <si>
    <t>92-032-</t>
  </si>
  <si>
    <t>92-033-</t>
  </si>
  <si>
    <t>92-034-</t>
  </si>
  <si>
    <t>92-035-</t>
  </si>
  <si>
    <t>92-036-</t>
  </si>
  <si>
    <t>92-037-</t>
  </si>
  <si>
    <t>92-038-</t>
  </si>
  <si>
    <t>92-039-</t>
  </si>
  <si>
    <t>92-040-</t>
  </si>
  <si>
    <t>92-041-</t>
  </si>
  <si>
    <t>92-042-</t>
  </si>
  <si>
    <t>92-043-</t>
  </si>
  <si>
    <t>92-044-</t>
  </si>
  <si>
    <t>92-045-</t>
  </si>
  <si>
    <t>92-046-</t>
  </si>
  <si>
    <t>92-047-</t>
  </si>
  <si>
    <t>92-048-</t>
  </si>
  <si>
    <t>92-049-</t>
  </si>
  <si>
    <t>92-050-</t>
  </si>
  <si>
    <t xml:space="preserve"> HOOD 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</si>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</sst>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58371</xdr:rowOff>
    </xdr:from>
    <xdr:to>
      <xdr:col>8</xdr:col>
      <xdr:colOff>1889125</xdr:colOff>
      <xdr:row>2</xdr:row>
      <xdr:rowOff>1179879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87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58371</xdr:rowOff>
    </xdr:from>
    <xdr:to>
      <xdr:col>8</xdr:col>
      <xdr:colOff>1889125</xdr:colOff>
      <xdr:row>3</xdr:row>
      <xdr:rowOff>1179879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5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58371</xdr:rowOff>
    </xdr:from>
    <xdr:to>
      <xdr:col>8</xdr:col>
      <xdr:colOff>1889125</xdr:colOff>
      <xdr:row>4</xdr:row>
      <xdr:rowOff>1179879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63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58371</xdr:rowOff>
    </xdr:from>
    <xdr:to>
      <xdr:col>8</xdr:col>
      <xdr:colOff>1889125</xdr:colOff>
      <xdr:row>5</xdr:row>
      <xdr:rowOff>1179879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01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58371</xdr:rowOff>
    </xdr:from>
    <xdr:to>
      <xdr:col>8</xdr:col>
      <xdr:colOff>1889125</xdr:colOff>
      <xdr:row>6</xdr:row>
      <xdr:rowOff>1179879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840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58371</xdr:rowOff>
    </xdr:from>
    <xdr:to>
      <xdr:col>8</xdr:col>
      <xdr:colOff>1889125</xdr:colOff>
      <xdr:row>7</xdr:row>
      <xdr:rowOff>1179879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78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58371</xdr:rowOff>
    </xdr:from>
    <xdr:to>
      <xdr:col>8</xdr:col>
      <xdr:colOff>1889125</xdr:colOff>
      <xdr:row>8</xdr:row>
      <xdr:rowOff>1179879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16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58371</xdr:rowOff>
    </xdr:from>
    <xdr:to>
      <xdr:col>8</xdr:col>
      <xdr:colOff>1889125</xdr:colOff>
      <xdr:row>9</xdr:row>
      <xdr:rowOff>1179879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54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58371</xdr:rowOff>
    </xdr:from>
    <xdr:to>
      <xdr:col>8</xdr:col>
      <xdr:colOff>1889125</xdr:colOff>
      <xdr:row>10</xdr:row>
      <xdr:rowOff>1179879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793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58371</xdr:rowOff>
    </xdr:from>
    <xdr:to>
      <xdr:col>8</xdr:col>
      <xdr:colOff>1889125</xdr:colOff>
      <xdr:row>11</xdr:row>
      <xdr:rowOff>1179879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31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58372</xdr:rowOff>
    </xdr:from>
    <xdr:to>
      <xdr:col>8</xdr:col>
      <xdr:colOff>1889125</xdr:colOff>
      <xdr:row>12</xdr:row>
      <xdr:rowOff>1179880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69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58372</xdr:rowOff>
    </xdr:from>
    <xdr:to>
      <xdr:col>8</xdr:col>
      <xdr:colOff>1889125</xdr:colOff>
      <xdr:row>13</xdr:row>
      <xdr:rowOff>1179880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7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58372</xdr:rowOff>
    </xdr:from>
    <xdr:to>
      <xdr:col>8</xdr:col>
      <xdr:colOff>1889125</xdr:colOff>
      <xdr:row>14</xdr:row>
      <xdr:rowOff>1179880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46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58372</xdr:rowOff>
    </xdr:from>
    <xdr:to>
      <xdr:col>8</xdr:col>
      <xdr:colOff>1889125</xdr:colOff>
      <xdr:row>15</xdr:row>
      <xdr:rowOff>1179880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84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58372</xdr:rowOff>
    </xdr:from>
    <xdr:to>
      <xdr:col>8</xdr:col>
      <xdr:colOff>1889125</xdr:colOff>
      <xdr:row>16</xdr:row>
      <xdr:rowOff>1179880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222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58372</xdr:rowOff>
    </xdr:from>
    <xdr:to>
      <xdr:col>8</xdr:col>
      <xdr:colOff>1889125</xdr:colOff>
      <xdr:row>17</xdr:row>
      <xdr:rowOff>1179880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460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58372</xdr:rowOff>
    </xdr:from>
    <xdr:to>
      <xdr:col>8</xdr:col>
      <xdr:colOff>1889125</xdr:colOff>
      <xdr:row>18</xdr:row>
      <xdr:rowOff>1179880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699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26459</xdr:rowOff>
    </xdr:from>
    <xdr:to>
      <xdr:col>8</xdr:col>
      <xdr:colOff>1889125</xdr:colOff>
      <xdr:row>19</xdr:row>
      <xdr:rowOff>1211792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0538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26459</xdr:rowOff>
    </xdr:from>
    <xdr:to>
      <xdr:col>8</xdr:col>
      <xdr:colOff>1889125</xdr:colOff>
      <xdr:row>20</xdr:row>
      <xdr:rowOff>1211792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1436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40570</xdr:rowOff>
    </xdr:from>
    <xdr:to>
      <xdr:col>8</xdr:col>
      <xdr:colOff>1889125</xdr:colOff>
      <xdr:row>21</xdr:row>
      <xdr:rowOff>1197681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4541801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26459</xdr:rowOff>
    </xdr:from>
    <xdr:to>
      <xdr:col>8</xdr:col>
      <xdr:colOff>1889125</xdr:colOff>
      <xdr:row>22</xdr:row>
      <xdr:rowOff>1211792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201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26457</xdr:rowOff>
    </xdr:from>
    <xdr:to>
      <xdr:col>8</xdr:col>
      <xdr:colOff>1889125</xdr:colOff>
      <xdr:row>23</xdr:row>
      <xdr:rowOff>1211790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701884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26457</xdr:rowOff>
    </xdr:from>
    <xdr:to>
      <xdr:col>8</xdr:col>
      <xdr:colOff>1889125</xdr:colOff>
      <xdr:row>24</xdr:row>
      <xdr:rowOff>1211790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8264419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26457</xdr:rowOff>
    </xdr:from>
    <xdr:to>
      <xdr:col>8</xdr:col>
      <xdr:colOff>1889125</xdr:colOff>
      <xdr:row>25</xdr:row>
      <xdr:rowOff>1211790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334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26457</xdr:rowOff>
    </xdr:from>
    <xdr:to>
      <xdr:col>8</xdr:col>
      <xdr:colOff>1889125</xdr:colOff>
      <xdr:row>26</xdr:row>
      <xdr:rowOff>1211790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0573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26457</xdr:rowOff>
    </xdr:from>
    <xdr:to>
      <xdr:col>8</xdr:col>
      <xdr:colOff>1889125</xdr:colOff>
      <xdr:row>27</xdr:row>
      <xdr:rowOff>1211790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811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26457</xdr:rowOff>
    </xdr:from>
    <xdr:to>
      <xdr:col>8</xdr:col>
      <xdr:colOff>1889125</xdr:colOff>
      <xdr:row>28</xdr:row>
      <xdr:rowOff>1211790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0496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26457</xdr:rowOff>
    </xdr:from>
    <xdr:to>
      <xdr:col>8</xdr:col>
      <xdr:colOff>1889125</xdr:colOff>
      <xdr:row>29</xdr:row>
      <xdr:rowOff>1211790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287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26457</xdr:rowOff>
    </xdr:from>
    <xdr:to>
      <xdr:col>8</xdr:col>
      <xdr:colOff>1889125</xdr:colOff>
      <xdr:row>30</xdr:row>
      <xdr:rowOff>1211790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526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26457</xdr:rowOff>
    </xdr:from>
    <xdr:to>
      <xdr:col>8</xdr:col>
      <xdr:colOff>1889125</xdr:colOff>
      <xdr:row>33</xdr:row>
      <xdr:rowOff>1211790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240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26457</xdr:rowOff>
    </xdr:from>
    <xdr:to>
      <xdr:col>8</xdr:col>
      <xdr:colOff>1889125</xdr:colOff>
      <xdr:row>34</xdr:row>
      <xdr:rowOff>1211790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479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26457</xdr:rowOff>
    </xdr:from>
    <xdr:to>
      <xdr:col>8</xdr:col>
      <xdr:colOff>1889125</xdr:colOff>
      <xdr:row>35</xdr:row>
      <xdr:rowOff>1211790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717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58372</xdr:rowOff>
    </xdr:from>
    <xdr:to>
      <xdr:col>8</xdr:col>
      <xdr:colOff>1889125</xdr:colOff>
      <xdr:row>36</xdr:row>
      <xdr:rowOff>1179880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432432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58372</xdr:rowOff>
    </xdr:from>
    <xdr:to>
      <xdr:col>8</xdr:col>
      <xdr:colOff>1889125</xdr:colOff>
      <xdr:row>37</xdr:row>
      <xdr:rowOff>1179880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4225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58372</xdr:rowOff>
    </xdr:from>
    <xdr:to>
      <xdr:col>8</xdr:col>
      <xdr:colOff>1889125</xdr:colOff>
      <xdr:row>38</xdr:row>
      <xdr:rowOff>1179880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464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58372</xdr:rowOff>
    </xdr:from>
    <xdr:to>
      <xdr:col>8</xdr:col>
      <xdr:colOff>1889125</xdr:colOff>
      <xdr:row>39</xdr:row>
      <xdr:rowOff>1179880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702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58372</xdr:rowOff>
    </xdr:from>
    <xdr:to>
      <xdr:col>8</xdr:col>
      <xdr:colOff>1889125</xdr:colOff>
      <xdr:row>40</xdr:row>
      <xdr:rowOff>1179880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7940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58372</xdr:rowOff>
    </xdr:from>
    <xdr:to>
      <xdr:col>8</xdr:col>
      <xdr:colOff>1889125</xdr:colOff>
      <xdr:row>41</xdr:row>
      <xdr:rowOff>1179880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178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58372</xdr:rowOff>
    </xdr:from>
    <xdr:to>
      <xdr:col>8</xdr:col>
      <xdr:colOff>1889125</xdr:colOff>
      <xdr:row>42</xdr:row>
      <xdr:rowOff>1179880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0716718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58372</xdr:rowOff>
    </xdr:from>
    <xdr:to>
      <xdr:col>8</xdr:col>
      <xdr:colOff>1889125</xdr:colOff>
      <xdr:row>43</xdr:row>
      <xdr:rowOff>1179880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655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58372</xdr:rowOff>
    </xdr:from>
    <xdr:to>
      <xdr:col>8</xdr:col>
      <xdr:colOff>1889125</xdr:colOff>
      <xdr:row>44</xdr:row>
      <xdr:rowOff>1179880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3207872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58372</xdr:rowOff>
    </xdr:from>
    <xdr:to>
      <xdr:col>8</xdr:col>
      <xdr:colOff>1889125</xdr:colOff>
      <xdr:row>45</xdr:row>
      <xdr:rowOff>1179880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4453449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58372</xdr:rowOff>
    </xdr:from>
    <xdr:to>
      <xdr:col>8</xdr:col>
      <xdr:colOff>1889125</xdr:colOff>
      <xdr:row>46</xdr:row>
      <xdr:rowOff>1179880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70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58372</xdr:rowOff>
    </xdr:from>
    <xdr:to>
      <xdr:col>8</xdr:col>
      <xdr:colOff>1889125</xdr:colOff>
      <xdr:row>47</xdr:row>
      <xdr:rowOff>1179880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608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58372</xdr:rowOff>
    </xdr:from>
    <xdr:to>
      <xdr:col>8</xdr:col>
      <xdr:colOff>1889125</xdr:colOff>
      <xdr:row>48</xdr:row>
      <xdr:rowOff>1179880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819018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58372</xdr:rowOff>
    </xdr:from>
    <xdr:to>
      <xdr:col>8</xdr:col>
      <xdr:colOff>1889125</xdr:colOff>
      <xdr:row>49</xdr:row>
      <xdr:rowOff>1179880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94357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58372</xdr:rowOff>
    </xdr:from>
    <xdr:to>
      <xdr:col>8</xdr:col>
      <xdr:colOff>1889125</xdr:colOff>
      <xdr:row>50</xdr:row>
      <xdr:rowOff>1179880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323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58372</xdr:rowOff>
    </xdr:from>
    <xdr:to>
      <xdr:col>8</xdr:col>
      <xdr:colOff>1889125</xdr:colOff>
      <xdr:row>51</xdr:row>
      <xdr:rowOff>1179880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6192691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26457</xdr:rowOff>
    </xdr:from>
    <xdr:to>
      <xdr:col>8</xdr:col>
      <xdr:colOff>1889125</xdr:colOff>
      <xdr:row>31</xdr:row>
      <xdr:rowOff>1211790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6764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26457</xdr:rowOff>
    </xdr:from>
    <xdr:to>
      <xdr:col>8</xdr:col>
      <xdr:colOff>1889125</xdr:colOff>
      <xdr:row>32</xdr:row>
      <xdr:rowOff>1211790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002632"/>
          <a:ext cx="1778000" cy="1185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65" zoomScaleNormal="65" workbookViewId="0">
      <pane ySplit="1" topLeftCell="A2" activePane="bottomLeft" state="frozen"/>
      <selection pane="bottomLeft" activeCell="N7" sqref="N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0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2" bestFit="1" customWidth="1"/>
    <col min="52" max="52" width="16.5703125" style="152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822</v>
      </c>
      <c r="AH1" s="143" t="s">
        <v>823</v>
      </c>
      <c r="AI1" s="143" t="s">
        <v>824</v>
      </c>
      <c r="AJ1" s="143" t="s">
        <v>825</v>
      </c>
      <c r="AK1" s="143" t="s">
        <v>826</v>
      </c>
      <c r="AL1" s="143" t="s">
        <v>827</v>
      </c>
      <c r="AM1" s="143" t="s">
        <v>828</v>
      </c>
      <c r="AN1" s="143" t="s">
        <v>829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8" t="s">
        <v>499</v>
      </c>
      <c r="AZ1" s="149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5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HOOD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5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 t="str">
        <f t="shared" ref="AS2:AS3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33" ca="1" si="3">IF(AR2&lt;&gt;"",VLOOKUP(AR2,INDIRECT(SUBSTITUTE($J2," ","")&amp;"Manufactures"),2,0),"Требуется код страны")</f>
        <v>Требуется код страны</v>
      </c>
      <c r="AU2" s="75">
        <f t="shared" ref="AU2:AU52" si="4">0.05+0.05</f>
        <v>0.1</v>
      </c>
      <c r="AV2" s="56">
        <f t="shared" ref="AV2:AV52" si="5">IF(AU2&lt;&gt;"",AU2*1.5,"Требуется нетто")</f>
        <v>0.15000000000000002</v>
      </c>
      <c r="AW2" s="56" t="str">
        <f t="shared" ref="AW2:AW52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52" si="7">IF(AV2&lt;&gt;"",IFERROR(AQ2*AV2,"Требуются кол-во и брутто"),"Требуются кол-во и брутто")</f>
        <v>Требуются кол-во и брутто</v>
      </c>
      <c r="AY2" s="150"/>
      <c r="AZ2" s="151" t="str">
        <f t="shared" ref="AZ2:AZ52" si="8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52" si="9">IFERROR(IF(BB2,"-",IFERROR(IF(BA2&gt;0,0,1),"")),"")</f>
        <v/>
      </c>
      <c r="BD2" s="91"/>
    </row>
    <row r="3" spans="1:56" ht="98.1" customHeight="1">
      <c r="A3" s="43" t="str">
        <f t="shared" si="0"/>
        <v>100-CTW020-CA003-BKBLACK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92-001-09</v>
      </c>
      <c r="C3" s="61" t="s">
        <v>836</v>
      </c>
      <c r="D3" s="43" t="s">
        <v>886</v>
      </c>
      <c r="E3" s="43" t="str">
        <f>IF(F3&lt;&gt;"",IFERROR(VLOOKUP(F3,Категории!A:B,2,0),""),"Требуется категория")</f>
        <v>Бейсболки</v>
      </c>
      <c r="F3" s="44" t="s">
        <v>784</v>
      </c>
      <c r="G3" s="63" t="s">
        <v>947</v>
      </c>
      <c r="H3" s="44" t="s">
        <v>388</v>
      </c>
      <c r="I3" s="147"/>
      <c r="J3" s="57" t="str">
        <f>'1C'!$AF$1</f>
        <v>HOOD</v>
      </c>
      <c r="K3" s="102" t="s">
        <v>936</v>
      </c>
      <c r="L3" s="145" t="s">
        <v>53</v>
      </c>
      <c r="M3" s="145" t="str">
        <f>IF(K3&lt;&gt;"",IFERROR(VLOOKUP(A3,'1C'!A:T,18,0),IFERROR(VLOOKUP(K3,Colors!D:E,2,0),"")),"")</f>
        <v>черный</v>
      </c>
      <c r="N3" s="141" t="s">
        <v>948</v>
      </c>
      <c r="O3" s="65"/>
      <c r="P3" s="63" t="s">
        <v>43</v>
      </c>
      <c r="Q3" s="58" t="s">
        <v>15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">
        <v>444</v>
      </c>
      <c r="AS3" s="56" t="str">
        <f t="shared" ca="1" si="2"/>
        <v>HOOD HAT, LLC, 15332 Antioch st., #211 Pacific Palisades, CA 90272, USA</v>
      </c>
      <c r="AT3" s="56" t="str">
        <f t="shared" ca="1" si="3"/>
        <v>Соединенные Штаты</v>
      </c>
      <c r="AU3" s="76">
        <f t="shared" si="4"/>
        <v>0.1</v>
      </c>
      <c r="AV3" s="43">
        <f t="shared" si="5"/>
        <v>0.15000000000000002</v>
      </c>
      <c r="AW3" s="43">
        <f t="shared" si="6"/>
        <v>0.60000000000000009</v>
      </c>
      <c r="AX3" s="43">
        <f t="shared" si="7"/>
        <v>0.90000000000000013</v>
      </c>
      <c r="AY3" s="152">
        <v>1820</v>
      </c>
      <c r="AZ3" s="153">
        <f t="shared" si="8"/>
        <v>10920</v>
      </c>
      <c r="BA3" s="45">
        <f>IF(A3&lt;&gt;"",IF(_xlfn.XLOOKUP(A3,'1C'!A:A,'1C'!A:A,0,0)&gt;0,1,0),"")</f>
        <v>0</v>
      </c>
      <c r="BB3" s="146">
        <f>IF(C3&lt;&gt;"",IF(_xlfn.XLOOKUP(C3,'1C'!S:S,'1C'!S:S,0,0)&gt;0,0,1),"")</f>
        <v>0</v>
      </c>
      <c r="BC3" s="73">
        <f t="shared" si="9"/>
        <v>1</v>
      </c>
    </row>
    <row r="4" spans="1:56" ht="98.1" customHeight="1">
      <c r="A4" s="43" t="str">
        <f t="shared" si="0"/>
        <v>100-CTW020-CA010-BKBLACK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92-002-09</v>
      </c>
      <c r="C4" s="61" t="s">
        <v>837</v>
      </c>
      <c r="D4" s="43" t="s">
        <v>887</v>
      </c>
      <c r="E4" s="43" t="str">
        <f>IF(F4&lt;&gt;"",IFERROR(VLOOKUP(F4,Категории!A:B,2,0),""),"Требуется категория")</f>
        <v>Бейсболки</v>
      </c>
      <c r="F4" s="44" t="s">
        <v>784</v>
      </c>
      <c r="G4" s="63" t="s">
        <v>947</v>
      </c>
      <c r="H4" s="44" t="s">
        <v>388</v>
      </c>
      <c r="J4" s="57" t="str">
        <f>'1C'!$AF$1</f>
        <v>HOOD</v>
      </c>
      <c r="K4" s="101" t="s">
        <v>936</v>
      </c>
      <c r="L4" s="59" t="s">
        <v>53</v>
      </c>
      <c r="M4" s="145" t="str">
        <f>IF(K4&lt;&gt;"",IFERROR(VLOOKUP(A4,'1C'!A:T,18,0),IFERROR(VLOOKUP(K4,Colors!D:E,2,0),"")),"")</f>
        <v>черный</v>
      </c>
      <c r="N4" s="141" t="s">
        <v>948</v>
      </c>
      <c r="O4" s="65"/>
      <c r="P4" s="63" t="s">
        <v>43</v>
      </c>
      <c r="Q4" s="58" t="s">
        <v>15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">
        <v>444</v>
      </c>
      <c r="AS4" s="56" t="str">
        <f t="shared" ca="1" si="2"/>
        <v>HOOD HAT, LLC, 15332 Antioch st., #211 Pacific Palisades, CA 90272, USA</v>
      </c>
      <c r="AT4" s="56" t="str">
        <f t="shared" ca="1" si="3"/>
        <v>Соединенные Штаты</v>
      </c>
      <c r="AU4" s="76">
        <f t="shared" si="4"/>
        <v>0.1</v>
      </c>
      <c r="AV4" s="43">
        <f t="shared" si="5"/>
        <v>0.15000000000000002</v>
      </c>
      <c r="AW4" s="43">
        <f t="shared" si="6"/>
        <v>0.60000000000000009</v>
      </c>
      <c r="AX4" s="43">
        <f t="shared" si="7"/>
        <v>0.90000000000000013</v>
      </c>
      <c r="AY4" s="152">
        <v>1820</v>
      </c>
      <c r="AZ4" s="153">
        <f t="shared" si="8"/>
        <v>10920</v>
      </c>
      <c r="BA4" s="45">
        <f>IF(A4&lt;&gt;"",IF(_xlfn.XLOOKUP(A4,'1C'!A:A,'1C'!A:A,0,0)&gt;0,1,0),"")</f>
        <v>0</v>
      </c>
      <c r="BB4" s="146">
        <f>IF(C4&lt;&gt;"",IF(_xlfn.XLOOKUP(C4,'1C'!S:S,'1C'!S:S,0,0)&gt;0,0,1),"")</f>
        <v>0</v>
      </c>
      <c r="BC4" s="73">
        <f t="shared" si="9"/>
        <v>1</v>
      </c>
    </row>
    <row r="5" spans="1:56" ht="98.1" customHeight="1">
      <c r="A5" s="43" t="str">
        <f t="shared" si="0"/>
        <v>100-CTW020-CA012-BKBLACK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92-003-09</v>
      </c>
      <c r="C5" s="61" t="s">
        <v>838</v>
      </c>
      <c r="D5" s="43" t="s">
        <v>888</v>
      </c>
      <c r="E5" s="43" t="str">
        <f>IF(F5&lt;&gt;"",IFERROR(VLOOKUP(F5,Категории!A:B,2,0),""),"Требуется категория")</f>
        <v>Бейсболки</v>
      </c>
      <c r="F5" s="44" t="s">
        <v>784</v>
      </c>
      <c r="G5" s="63" t="s">
        <v>947</v>
      </c>
      <c r="H5" s="44" t="s">
        <v>388</v>
      </c>
      <c r="J5" s="57" t="str">
        <f>'1C'!$AF$1</f>
        <v>HOOD</v>
      </c>
      <c r="K5" s="101" t="s">
        <v>936</v>
      </c>
      <c r="L5" s="59" t="s">
        <v>53</v>
      </c>
      <c r="M5" s="145" t="str">
        <f>IF(K5&lt;&gt;"",IFERROR(VLOOKUP(A5,'1C'!A:T,18,0),IFERROR(VLOOKUP(K5,Colors!D:E,2,0),"")),"")</f>
        <v>черный</v>
      </c>
      <c r="N5" s="141" t="s">
        <v>948</v>
      </c>
      <c r="O5" s="65"/>
      <c r="P5" s="63" t="s">
        <v>43</v>
      </c>
      <c r="Q5" s="58" t="s">
        <v>15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">
        <v>444</v>
      </c>
      <c r="AS5" s="56" t="str">
        <f t="shared" ca="1" si="2"/>
        <v>HOOD HAT, LLC, 15332 Antioch st., #211 Pacific Palisades, CA 90272, USA</v>
      </c>
      <c r="AT5" s="56" t="str">
        <f t="shared" ca="1" si="3"/>
        <v>Соединенные Штаты</v>
      </c>
      <c r="AU5" s="76">
        <f t="shared" si="4"/>
        <v>0.1</v>
      </c>
      <c r="AV5" s="43">
        <f t="shared" si="5"/>
        <v>0.15000000000000002</v>
      </c>
      <c r="AW5" s="43">
        <f t="shared" si="6"/>
        <v>0.60000000000000009</v>
      </c>
      <c r="AX5" s="43">
        <f t="shared" si="7"/>
        <v>0.90000000000000013</v>
      </c>
      <c r="AY5" s="152">
        <v>1820</v>
      </c>
      <c r="AZ5" s="153">
        <f t="shared" si="8"/>
        <v>10920</v>
      </c>
      <c r="BA5" s="45">
        <f>IF(A5&lt;&gt;"",IF(_xlfn.XLOOKUP(A5,'1C'!A:A,'1C'!A:A,0,0)&gt;0,1,0),"")</f>
        <v>0</v>
      </c>
      <c r="BB5" s="146">
        <f>IF(C5&lt;&gt;"",IF(_xlfn.XLOOKUP(C5,'1C'!S:S,'1C'!S:S,0,0)&gt;0,0,1),"")</f>
        <v>0</v>
      </c>
      <c r="BC5" s="73">
        <f t="shared" si="9"/>
        <v>1</v>
      </c>
    </row>
    <row r="6" spans="1:56" ht="98.1" customHeight="1">
      <c r="A6" s="43" t="str">
        <f t="shared" si="0"/>
        <v>100-CTW020-CA013-BKBLACK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92-004-09</v>
      </c>
      <c r="C6" s="44" t="s">
        <v>839</v>
      </c>
      <c r="D6" s="43" t="s">
        <v>889</v>
      </c>
      <c r="E6" s="43" t="str">
        <f>IF(F6&lt;&gt;"",IFERROR(VLOOKUP(F6,Категории!A:B,2,0),""),"Требуется категория")</f>
        <v>Бейсболки</v>
      </c>
      <c r="F6" s="44" t="s">
        <v>784</v>
      </c>
      <c r="G6" s="63" t="s">
        <v>947</v>
      </c>
      <c r="H6" s="44" t="s">
        <v>388</v>
      </c>
      <c r="J6" s="57" t="str">
        <f>'1C'!$AF$1</f>
        <v>HOOD</v>
      </c>
      <c r="K6" s="103" t="s">
        <v>936</v>
      </c>
      <c r="L6" s="59" t="s">
        <v>53</v>
      </c>
      <c r="M6" s="145" t="str">
        <f>IF(K6&lt;&gt;"",IFERROR(VLOOKUP(A6,'1C'!A:T,18,0),IFERROR(VLOOKUP(K6,Colors!D:E,2,0),"")),"")</f>
        <v>черный</v>
      </c>
      <c r="N6" s="141" t="s">
        <v>948</v>
      </c>
      <c r="O6" s="65"/>
      <c r="P6" s="63" t="s">
        <v>43</v>
      </c>
      <c r="Q6" s="58" t="s">
        <v>15</v>
      </c>
      <c r="R6" s="58" t="s">
        <v>382</v>
      </c>
      <c r="S6" s="58">
        <v>6</v>
      </c>
      <c r="V6" s="58"/>
      <c r="X6" s="58"/>
      <c r="Z6" s="58"/>
      <c r="AB6" s="58"/>
      <c r="AD6" s="58"/>
      <c r="AQ6" s="57">
        <f t="shared" si="1"/>
        <v>6</v>
      </c>
      <c r="AR6" s="66" t="s">
        <v>444</v>
      </c>
      <c r="AS6" s="56" t="str">
        <f t="shared" ca="1" si="2"/>
        <v>HOOD HAT, LLC, 15332 Antioch st., #211 Pacific Palisades, CA 90272, USA</v>
      </c>
      <c r="AT6" s="56" t="str">
        <f t="shared" ca="1" si="3"/>
        <v>Соединенные Штаты</v>
      </c>
      <c r="AU6" s="76">
        <f t="shared" si="4"/>
        <v>0.1</v>
      </c>
      <c r="AV6" s="43">
        <f t="shared" si="5"/>
        <v>0.15000000000000002</v>
      </c>
      <c r="AW6" s="43">
        <f t="shared" si="6"/>
        <v>0.60000000000000009</v>
      </c>
      <c r="AX6" s="43">
        <f t="shared" si="7"/>
        <v>0.90000000000000013</v>
      </c>
      <c r="AY6" s="152">
        <v>1820</v>
      </c>
      <c r="AZ6" s="153">
        <f t="shared" si="8"/>
        <v>10920</v>
      </c>
      <c r="BA6" s="45">
        <f>IF(A6&lt;&gt;"",IF(_xlfn.XLOOKUP(A6,'1C'!A:A,'1C'!A:A,0,0)&gt;0,1,0),"")</f>
        <v>0</v>
      </c>
      <c r="BB6" s="146">
        <f>IF(C6&lt;&gt;"",IF(_xlfn.XLOOKUP(C6,'1C'!S:S,'1C'!S:S,0,0)&gt;0,0,1),"")</f>
        <v>0</v>
      </c>
      <c r="BC6" s="73">
        <f t="shared" si="9"/>
        <v>1</v>
      </c>
    </row>
    <row r="7" spans="1:56" ht="98.1" customHeight="1">
      <c r="A7" s="43" t="str">
        <f t="shared" si="0"/>
        <v>100-CTW020-CA027-BKBLACK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92-005-09</v>
      </c>
      <c r="C7" s="44" t="s">
        <v>840</v>
      </c>
      <c r="D7" s="43" t="s">
        <v>890</v>
      </c>
      <c r="E7" s="43" t="str">
        <f>IF(F7&lt;&gt;"",IFERROR(VLOOKUP(F7,Категории!A:B,2,0),""),"Требуется категория")</f>
        <v>Бейсболки</v>
      </c>
      <c r="F7" s="44" t="s">
        <v>784</v>
      </c>
      <c r="G7" s="63" t="s">
        <v>947</v>
      </c>
      <c r="H7" s="44" t="s">
        <v>388</v>
      </c>
      <c r="J7" s="57" t="str">
        <f>'1C'!$AF$1</f>
        <v>HOOD</v>
      </c>
      <c r="K7" s="103" t="s">
        <v>936</v>
      </c>
      <c r="L7" s="59" t="s">
        <v>53</v>
      </c>
      <c r="M7" s="145" t="str">
        <f>IF(K7&lt;&gt;"",IFERROR(VLOOKUP(A7,'1C'!A:T,18,0),IFERROR(VLOOKUP(K7,Colors!D:E,2,0),"")),"")</f>
        <v>черный</v>
      </c>
      <c r="N7" s="141" t="s">
        <v>948</v>
      </c>
      <c r="O7" s="65"/>
      <c r="P7" s="63" t="s">
        <v>43</v>
      </c>
      <c r="Q7" s="58" t="s">
        <v>15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">
        <v>444</v>
      </c>
      <c r="AS7" s="56" t="str">
        <f t="shared" ca="1" si="2"/>
        <v>HOOD HAT, LLC, 15332 Antioch st., #211 Pacific Palisades, CA 90272, USA</v>
      </c>
      <c r="AT7" s="56" t="str">
        <f t="shared" ca="1" si="3"/>
        <v>Соединенные Штаты</v>
      </c>
      <c r="AU7" s="76">
        <f t="shared" si="4"/>
        <v>0.1</v>
      </c>
      <c r="AV7" s="43">
        <f t="shared" si="5"/>
        <v>0.15000000000000002</v>
      </c>
      <c r="AW7" s="43">
        <f t="shared" si="6"/>
        <v>0.60000000000000009</v>
      </c>
      <c r="AX7" s="43">
        <f t="shared" si="7"/>
        <v>0.90000000000000013</v>
      </c>
      <c r="AY7" s="152">
        <v>1820</v>
      </c>
      <c r="AZ7" s="153">
        <f t="shared" si="8"/>
        <v>10920</v>
      </c>
      <c r="BA7" s="45">
        <f>IF(A7&lt;&gt;"",IF(_xlfn.XLOOKUP(A7,'1C'!A:A,'1C'!A:A,0,0)&gt;0,1,0),"")</f>
        <v>0</v>
      </c>
      <c r="BB7" s="146">
        <f>IF(C7&lt;&gt;"",IF(_xlfn.XLOOKUP(C7,'1C'!S:S,'1C'!S:S,0,0)&gt;0,0,1),"")</f>
        <v>0</v>
      </c>
      <c r="BC7" s="73">
        <f t="shared" si="9"/>
        <v>1</v>
      </c>
    </row>
    <row r="8" spans="1:56" ht="98.1" customHeight="1">
      <c r="A8" s="43" t="str">
        <f t="shared" si="0"/>
        <v>100-CTW020-CA030-BKBLACK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92-006-09</v>
      </c>
      <c r="C8" s="44" t="s">
        <v>841</v>
      </c>
      <c r="D8" s="43" t="s">
        <v>891</v>
      </c>
      <c r="E8" s="43" t="str">
        <f>IF(F8&lt;&gt;"",IFERROR(VLOOKUP(F8,Категории!A:B,2,0),""),"Требуется категория")</f>
        <v>Бейсболки</v>
      </c>
      <c r="F8" s="44" t="s">
        <v>784</v>
      </c>
      <c r="G8" s="63" t="s">
        <v>947</v>
      </c>
      <c r="H8" s="44" t="s">
        <v>388</v>
      </c>
      <c r="J8" s="57" t="str">
        <f>'1C'!$AF$1</f>
        <v>HOOD</v>
      </c>
      <c r="K8" s="103" t="s">
        <v>936</v>
      </c>
      <c r="L8" s="59" t="s">
        <v>53</v>
      </c>
      <c r="M8" s="145" t="str">
        <f>IF(K8&lt;&gt;"",IFERROR(VLOOKUP(A8,'1C'!A:T,18,0),IFERROR(VLOOKUP(K8,Colors!D:E,2,0),"")),"")</f>
        <v>черный</v>
      </c>
      <c r="N8" s="141" t="s">
        <v>948</v>
      </c>
      <c r="O8" s="65"/>
      <c r="P8" s="63" t="s">
        <v>43</v>
      </c>
      <c r="Q8" s="58" t="s">
        <v>15</v>
      </c>
      <c r="R8" s="58" t="s">
        <v>382</v>
      </c>
      <c r="S8" s="58">
        <v>6</v>
      </c>
      <c r="V8" s="58"/>
      <c r="X8" s="58"/>
      <c r="Z8" s="58"/>
      <c r="AB8" s="58"/>
      <c r="AD8" s="58"/>
      <c r="AQ8" s="57">
        <f t="shared" si="1"/>
        <v>6</v>
      </c>
      <c r="AR8" s="66" t="s">
        <v>444</v>
      </c>
      <c r="AS8" s="56" t="str">
        <f t="shared" ca="1" si="2"/>
        <v>HOOD HAT, LLC, 15332 Antioch st., #211 Pacific Palisades, CA 90272, USA</v>
      </c>
      <c r="AT8" s="56" t="str">
        <f t="shared" ca="1" si="3"/>
        <v>Соединенные Штаты</v>
      </c>
      <c r="AU8" s="76">
        <f t="shared" si="4"/>
        <v>0.1</v>
      </c>
      <c r="AV8" s="43">
        <f t="shared" si="5"/>
        <v>0.15000000000000002</v>
      </c>
      <c r="AW8" s="43">
        <f t="shared" si="6"/>
        <v>0.60000000000000009</v>
      </c>
      <c r="AX8" s="43">
        <f t="shared" si="7"/>
        <v>0.90000000000000013</v>
      </c>
      <c r="AY8" s="152">
        <v>1820</v>
      </c>
      <c r="AZ8" s="153">
        <f t="shared" si="8"/>
        <v>10920</v>
      </c>
      <c r="BA8" s="45">
        <f>IF(A8&lt;&gt;"",IF(_xlfn.XLOOKUP(A8,'1C'!A:A,'1C'!A:A,0,0)&gt;0,1,0),"")</f>
        <v>0</v>
      </c>
      <c r="BB8" s="146">
        <f>IF(C8&lt;&gt;"",IF(_xlfn.XLOOKUP(C8,'1C'!S:S,'1C'!S:S,0,0)&gt;0,0,1),"")</f>
        <v>0</v>
      </c>
      <c r="BC8" s="73">
        <f t="shared" si="9"/>
        <v>1</v>
      </c>
    </row>
    <row r="9" spans="1:56" ht="98.1" customHeight="1">
      <c r="A9" s="43" t="str">
        <f t="shared" si="0"/>
        <v>100-CTW020-MI001-BKBLACK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92-007-09</v>
      </c>
      <c r="C9" s="44" t="s">
        <v>842</v>
      </c>
      <c r="D9" s="43" t="s">
        <v>892</v>
      </c>
      <c r="E9" s="43" t="str">
        <f>IF(F9&lt;&gt;"",IFERROR(VLOOKUP(F9,Категории!A:B,2,0),""),"Требуется категория")</f>
        <v>Бейсболки</v>
      </c>
      <c r="F9" s="44" t="s">
        <v>784</v>
      </c>
      <c r="G9" s="63" t="s">
        <v>947</v>
      </c>
      <c r="H9" s="44" t="s">
        <v>388</v>
      </c>
      <c r="J9" s="57" t="str">
        <f>'1C'!$AF$1</f>
        <v>HOOD</v>
      </c>
      <c r="K9" s="103" t="s">
        <v>936</v>
      </c>
      <c r="L9" s="59" t="s">
        <v>53</v>
      </c>
      <c r="M9" s="145" t="str">
        <f>IF(K9&lt;&gt;"",IFERROR(VLOOKUP(A9,'1C'!A:T,18,0),IFERROR(VLOOKUP(K9,Colors!D:E,2,0),"")),"")</f>
        <v>черный</v>
      </c>
      <c r="N9" s="141" t="s">
        <v>948</v>
      </c>
      <c r="O9" s="65"/>
      <c r="P9" s="63" t="s">
        <v>43</v>
      </c>
      <c r="Q9" s="58" t="s">
        <v>15</v>
      </c>
      <c r="R9" s="58" t="s">
        <v>382</v>
      </c>
      <c r="S9" s="58">
        <v>12</v>
      </c>
      <c r="V9" s="58"/>
      <c r="X9" s="58"/>
      <c r="Z9" s="58"/>
      <c r="AB9" s="58"/>
      <c r="AD9" s="58"/>
      <c r="AQ9" s="57">
        <f t="shared" si="1"/>
        <v>12</v>
      </c>
      <c r="AR9" s="66" t="s">
        <v>444</v>
      </c>
      <c r="AS9" s="56" t="str">
        <f t="shared" ca="1" si="2"/>
        <v>HOOD HAT, LLC, 15332 Antioch st., #211 Pacific Palisades, CA 90272, USA</v>
      </c>
      <c r="AT9" s="56" t="str">
        <f t="shared" ca="1" si="3"/>
        <v>Соединенные Штаты</v>
      </c>
      <c r="AU9" s="76">
        <f t="shared" si="4"/>
        <v>0.1</v>
      </c>
      <c r="AV9" s="43">
        <f t="shared" si="5"/>
        <v>0.15000000000000002</v>
      </c>
      <c r="AW9" s="43">
        <f t="shared" si="6"/>
        <v>1.2000000000000002</v>
      </c>
      <c r="AX9" s="43">
        <f t="shared" si="7"/>
        <v>1.8000000000000003</v>
      </c>
      <c r="AY9" s="152">
        <v>1820</v>
      </c>
      <c r="AZ9" s="153">
        <f t="shared" si="8"/>
        <v>21840</v>
      </c>
      <c r="BA9" s="45">
        <f>IF(A9&lt;&gt;"",IF(_xlfn.XLOOKUP(A9,'1C'!A:A,'1C'!A:A,0,0)&gt;0,1,0),"")</f>
        <v>0</v>
      </c>
      <c r="BB9" s="146">
        <f>IF(C9&lt;&gt;"",IF(_xlfn.XLOOKUP(C9,'1C'!S:S,'1C'!S:S,0,0)&gt;0,0,1),"")</f>
        <v>0</v>
      </c>
      <c r="BC9" s="73">
        <f t="shared" si="9"/>
        <v>1</v>
      </c>
    </row>
    <row r="10" spans="1:56" ht="98.1" customHeight="1">
      <c r="A10" s="43" t="str">
        <f t="shared" si="0"/>
        <v>100-CTW020-NY003-BKBLACK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92-008-09</v>
      </c>
      <c r="C10" s="44" t="s">
        <v>843</v>
      </c>
      <c r="D10" s="43" t="s">
        <v>893</v>
      </c>
      <c r="E10" s="43" t="str">
        <f>IF(F10&lt;&gt;"",IFERROR(VLOOKUP(F10,Категории!A:B,2,0),""),"Требуется категория")</f>
        <v>Бейсболки</v>
      </c>
      <c r="F10" s="44" t="s">
        <v>784</v>
      </c>
      <c r="G10" s="63" t="s">
        <v>947</v>
      </c>
      <c r="H10" s="44" t="s">
        <v>388</v>
      </c>
      <c r="J10" s="57" t="str">
        <f>'1C'!$AF$1</f>
        <v>HOOD</v>
      </c>
      <c r="K10" s="103" t="s">
        <v>936</v>
      </c>
      <c r="L10" s="59" t="s">
        <v>53</v>
      </c>
      <c r="M10" s="145" t="str">
        <f>IF(K10&lt;&gt;"",IFERROR(VLOOKUP(A10,'1C'!A:T,18,0),IFERROR(VLOOKUP(K10,Colors!D:E,2,0),"")),"")</f>
        <v>черный</v>
      </c>
      <c r="N10" s="141" t="s">
        <v>948</v>
      </c>
      <c r="O10" s="65"/>
      <c r="P10" s="63" t="s">
        <v>43</v>
      </c>
      <c r="Q10" s="58" t="s">
        <v>15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">
        <v>444</v>
      </c>
      <c r="AS10" s="56" t="str">
        <f t="shared" ca="1" si="2"/>
        <v>HOOD HAT, LLC, 15332 Antioch st., #211 Pacific Palisades, CA 90272, USA</v>
      </c>
      <c r="AT10" s="56" t="str">
        <f t="shared" ca="1" si="3"/>
        <v>Соединенные Штаты</v>
      </c>
      <c r="AU10" s="76">
        <f t="shared" si="4"/>
        <v>0.1</v>
      </c>
      <c r="AV10" s="43">
        <f t="shared" si="5"/>
        <v>0.15000000000000002</v>
      </c>
      <c r="AW10" s="43">
        <f t="shared" si="6"/>
        <v>1.2000000000000002</v>
      </c>
      <c r="AX10" s="43">
        <f t="shared" si="7"/>
        <v>1.8000000000000003</v>
      </c>
      <c r="AY10" s="152">
        <v>1820</v>
      </c>
      <c r="AZ10" s="153">
        <f t="shared" si="8"/>
        <v>21840</v>
      </c>
      <c r="BA10" s="45">
        <f>IF(A10&lt;&gt;"",IF(_xlfn.XLOOKUP(A10,'1C'!A:A,'1C'!A:A,0,0)&gt;0,1,0),"")</f>
        <v>0</v>
      </c>
      <c r="BB10" s="146">
        <f>IF(C10&lt;&gt;"",IF(_xlfn.XLOOKUP(C10,'1C'!S:S,'1C'!S:S,0,0)&gt;0,0,1),"")</f>
        <v>0</v>
      </c>
      <c r="BC10" s="73">
        <f t="shared" si="9"/>
        <v>1</v>
      </c>
    </row>
    <row r="11" spans="1:56" ht="98.1" customHeight="1">
      <c r="A11" s="43" t="str">
        <f t="shared" si="0"/>
        <v>100-CTW020-NY019-BKBLACK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92-009-09</v>
      </c>
      <c r="C11" s="44" t="s">
        <v>844</v>
      </c>
      <c r="D11" s="43" t="s">
        <v>894</v>
      </c>
      <c r="E11" s="43" t="str">
        <f>IF(F11&lt;&gt;"",IFERROR(VLOOKUP(F11,Категории!A:B,2,0),""),"Требуется категория")</f>
        <v>Бейсболки</v>
      </c>
      <c r="F11" s="44" t="s">
        <v>784</v>
      </c>
      <c r="G11" s="63" t="s">
        <v>947</v>
      </c>
      <c r="H11" s="44" t="s">
        <v>388</v>
      </c>
      <c r="J11" s="57" t="str">
        <f>'1C'!$AF$1</f>
        <v>HOOD</v>
      </c>
      <c r="K11" s="103" t="s">
        <v>936</v>
      </c>
      <c r="L11" s="59" t="s">
        <v>53</v>
      </c>
      <c r="M11" s="145" t="str">
        <f>IF(K11&lt;&gt;"",IFERROR(VLOOKUP(A11,'1C'!A:T,18,0),IFERROR(VLOOKUP(K11,Colors!D:E,2,0),"")),"")</f>
        <v>черный</v>
      </c>
      <c r="N11" s="141" t="s">
        <v>948</v>
      </c>
      <c r="O11" s="65"/>
      <c r="P11" s="63" t="s">
        <v>43</v>
      </c>
      <c r="Q11" s="58" t="s">
        <v>15</v>
      </c>
      <c r="R11" s="58" t="s">
        <v>382</v>
      </c>
      <c r="S11" s="58">
        <v>12</v>
      </c>
      <c r="V11" s="58"/>
      <c r="X11" s="58"/>
      <c r="Z11" s="58"/>
      <c r="AB11" s="58"/>
      <c r="AD11" s="58"/>
      <c r="AQ11" s="57">
        <f t="shared" si="1"/>
        <v>12</v>
      </c>
      <c r="AR11" s="66" t="s">
        <v>444</v>
      </c>
      <c r="AS11" s="56" t="str">
        <f t="shared" ca="1" si="2"/>
        <v>HOOD HAT, LLC, 15332 Antioch st., #211 Pacific Palisades, CA 90272, USA</v>
      </c>
      <c r="AT11" s="56" t="str">
        <f t="shared" ca="1" si="3"/>
        <v>Соединенные Штаты</v>
      </c>
      <c r="AU11" s="76">
        <f t="shared" si="4"/>
        <v>0.1</v>
      </c>
      <c r="AV11" s="43">
        <f t="shared" si="5"/>
        <v>0.15000000000000002</v>
      </c>
      <c r="AW11" s="43">
        <f t="shared" si="6"/>
        <v>1.2000000000000002</v>
      </c>
      <c r="AX11" s="43">
        <f t="shared" si="7"/>
        <v>1.8000000000000003</v>
      </c>
      <c r="AY11" s="152">
        <v>1820</v>
      </c>
      <c r="AZ11" s="153">
        <f t="shared" si="8"/>
        <v>21840</v>
      </c>
      <c r="BA11" s="45">
        <f>IF(A11&lt;&gt;"",IF(_xlfn.XLOOKUP(A11,'1C'!A:A,'1C'!A:A,0,0)&gt;0,1,0),"")</f>
        <v>0</v>
      </c>
      <c r="BB11" s="146">
        <f>IF(C11&lt;&gt;"",IF(_xlfn.XLOOKUP(C11,'1C'!S:S,'1C'!S:S,0,0)&gt;0,0,1),"")</f>
        <v>0</v>
      </c>
      <c r="BC11" s="73">
        <f t="shared" si="9"/>
        <v>1</v>
      </c>
    </row>
    <row r="12" spans="1:56" ht="98.1" customHeight="1">
      <c r="A12" s="43" t="str">
        <f t="shared" si="0"/>
        <v>100-CTW020-NY022-BKBLACK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92-010-09</v>
      </c>
      <c r="C12" s="44" t="s">
        <v>845</v>
      </c>
      <c r="D12" s="43" t="s">
        <v>895</v>
      </c>
      <c r="E12" s="43" t="str">
        <f>IF(F12&lt;&gt;"",IFERROR(VLOOKUP(F12,Категории!A:B,2,0),""),"Требуется категория")</f>
        <v>Бейсболки</v>
      </c>
      <c r="F12" s="44" t="s">
        <v>784</v>
      </c>
      <c r="G12" s="63" t="s">
        <v>947</v>
      </c>
      <c r="H12" s="44" t="s">
        <v>388</v>
      </c>
      <c r="J12" s="57" t="str">
        <f>'1C'!$AF$1</f>
        <v>HOOD</v>
      </c>
      <c r="K12" s="103" t="s">
        <v>936</v>
      </c>
      <c r="L12" s="59" t="s">
        <v>53</v>
      </c>
      <c r="M12" s="145" t="str">
        <f>IF(K12&lt;&gt;"",IFERROR(VLOOKUP(A12,'1C'!A:T,18,0),IFERROR(VLOOKUP(K12,Colors!D:E,2,0),"")),"")</f>
        <v>черный</v>
      </c>
      <c r="N12" s="141" t="s">
        <v>948</v>
      </c>
      <c r="O12" s="65"/>
      <c r="P12" s="63" t="s">
        <v>43</v>
      </c>
      <c r="Q12" s="58" t="s">
        <v>15</v>
      </c>
      <c r="R12" s="58" t="s">
        <v>382</v>
      </c>
      <c r="S12" s="58">
        <v>12</v>
      </c>
      <c r="V12" s="58"/>
      <c r="X12" s="58"/>
      <c r="Z12" s="58"/>
      <c r="AB12" s="58"/>
      <c r="AD12" s="58"/>
      <c r="AQ12" s="57">
        <f t="shared" si="1"/>
        <v>12</v>
      </c>
      <c r="AR12" s="66" t="s">
        <v>444</v>
      </c>
      <c r="AS12" s="56" t="str">
        <f t="shared" ca="1" si="2"/>
        <v>HOOD HAT, LLC, 15332 Antioch st., #211 Pacific Palisades, CA 90272, USA</v>
      </c>
      <c r="AT12" s="56" t="str">
        <f t="shared" ca="1" si="3"/>
        <v>Соединенные Штаты</v>
      </c>
      <c r="AU12" s="76">
        <f t="shared" si="4"/>
        <v>0.1</v>
      </c>
      <c r="AV12" s="43">
        <f t="shared" si="5"/>
        <v>0.15000000000000002</v>
      </c>
      <c r="AW12" s="43">
        <f t="shared" si="6"/>
        <v>1.2000000000000002</v>
      </c>
      <c r="AX12" s="43">
        <f t="shared" si="7"/>
        <v>1.8000000000000003</v>
      </c>
      <c r="AY12" s="152">
        <v>1820</v>
      </c>
      <c r="AZ12" s="153">
        <f t="shared" si="8"/>
        <v>21840</v>
      </c>
      <c r="BA12" s="45">
        <f>IF(A12&lt;&gt;"",IF(_xlfn.XLOOKUP(A12,'1C'!A:A,'1C'!A:A,0,0)&gt;0,1,0),"")</f>
        <v>0</v>
      </c>
      <c r="BB12" s="146">
        <f>IF(C12&lt;&gt;"",IF(_xlfn.XLOOKUP(C12,'1C'!S:S,'1C'!S:S,0,0)&gt;0,0,1),"")</f>
        <v>0</v>
      </c>
      <c r="BC12" s="73">
        <f t="shared" si="9"/>
        <v>1</v>
      </c>
    </row>
    <row r="13" spans="1:56" ht="98.1" customHeight="1">
      <c r="A13" s="43" t="str">
        <f t="shared" si="0"/>
        <v>100-CTW020-NY031-BKBLACK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92-011-09</v>
      </c>
      <c r="C13" s="44" t="s">
        <v>846</v>
      </c>
      <c r="D13" s="43" t="s">
        <v>896</v>
      </c>
      <c r="E13" s="43" t="str">
        <f>IF(F13&lt;&gt;"",IFERROR(VLOOKUP(F13,Категории!A:B,2,0),""),"Требуется категория")</f>
        <v>Бейсболки</v>
      </c>
      <c r="F13" s="44" t="s">
        <v>784</v>
      </c>
      <c r="G13" s="63" t="s">
        <v>947</v>
      </c>
      <c r="H13" s="44" t="s">
        <v>388</v>
      </c>
      <c r="J13" s="57" t="str">
        <f>'1C'!$AF$1</f>
        <v>HOOD</v>
      </c>
      <c r="K13" s="103" t="s">
        <v>936</v>
      </c>
      <c r="L13" s="59" t="s">
        <v>53</v>
      </c>
      <c r="M13" s="145" t="str">
        <f>IF(K13&lt;&gt;"",IFERROR(VLOOKUP(A13,'1C'!A:T,18,0),IFERROR(VLOOKUP(K13,Colors!D:E,2,0),"")),"")</f>
        <v>черный</v>
      </c>
      <c r="N13" s="141" t="s">
        <v>948</v>
      </c>
      <c r="O13" s="65"/>
      <c r="P13" s="63" t="s">
        <v>43</v>
      </c>
      <c r="Q13" s="58" t="s">
        <v>15</v>
      </c>
      <c r="R13" s="58" t="s">
        <v>382</v>
      </c>
      <c r="S13" s="58">
        <v>12</v>
      </c>
      <c r="V13" s="58"/>
      <c r="X13" s="58"/>
      <c r="Z13" s="58"/>
      <c r="AB13" s="58"/>
      <c r="AD13" s="58"/>
      <c r="AQ13" s="57">
        <f t="shared" si="1"/>
        <v>12</v>
      </c>
      <c r="AR13" s="66" t="s">
        <v>444</v>
      </c>
      <c r="AS13" s="56" t="str">
        <f t="shared" ca="1" si="2"/>
        <v>HOOD HAT, LLC, 15332 Antioch st., #211 Pacific Palisades, CA 90272, USA</v>
      </c>
      <c r="AT13" s="56" t="str">
        <f t="shared" ca="1" si="3"/>
        <v>Соединенные Штаты</v>
      </c>
      <c r="AU13" s="76">
        <f t="shared" si="4"/>
        <v>0.1</v>
      </c>
      <c r="AV13" s="43">
        <f t="shared" si="5"/>
        <v>0.15000000000000002</v>
      </c>
      <c r="AW13" s="43">
        <f t="shared" si="6"/>
        <v>1.2000000000000002</v>
      </c>
      <c r="AX13" s="43">
        <f t="shared" si="7"/>
        <v>1.8000000000000003</v>
      </c>
      <c r="AY13" s="152">
        <v>1820</v>
      </c>
      <c r="AZ13" s="153">
        <f t="shared" si="8"/>
        <v>21840</v>
      </c>
      <c r="BA13" s="45">
        <f>IF(A13&lt;&gt;"",IF(_xlfn.XLOOKUP(A13,'1C'!A:A,'1C'!A:A,0,0)&gt;0,1,0),"")</f>
        <v>0</v>
      </c>
      <c r="BB13" s="146">
        <f>IF(C13&lt;&gt;"",IF(_xlfn.XLOOKUP(C13,'1C'!S:S,'1C'!S:S,0,0)&gt;0,0,1),"")</f>
        <v>0</v>
      </c>
      <c r="BC13" s="73">
        <f t="shared" si="9"/>
        <v>1</v>
      </c>
    </row>
    <row r="14" spans="1:56" ht="98.1" customHeight="1">
      <c r="A14" s="43" t="str">
        <f t="shared" si="0"/>
        <v>100-CTW020-NY068-BKBLACK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92-012-09</v>
      </c>
      <c r="C14" s="44" t="s">
        <v>847</v>
      </c>
      <c r="D14" s="43" t="s">
        <v>897</v>
      </c>
      <c r="E14" s="43" t="str">
        <f>IF(F14&lt;&gt;"",IFERROR(VLOOKUP(F14,Категории!A:B,2,0),""),"Требуется категория")</f>
        <v>Бейсболки</v>
      </c>
      <c r="F14" s="44" t="s">
        <v>784</v>
      </c>
      <c r="G14" s="63" t="s">
        <v>947</v>
      </c>
      <c r="H14" s="44" t="s">
        <v>388</v>
      </c>
      <c r="J14" s="57" t="str">
        <f>'1C'!$AF$1</f>
        <v>HOOD</v>
      </c>
      <c r="K14" s="103" t="s">
        <v>936</v>
      </c>
      <c r="L14" s="59" t="s">
        <v>53</v>
      </c>
      <c r="M14" s="145" t="str">
        <f>IF(K14&lt;&gt;"",IFERROR(VLOOKUP(A14,'1C'!A:T,18,0),IFERROR(VLOOKUP(K14,Colors!D:E,2,0),"")),"")</f>
        <v>черный</v>
      </c>
      <c r="N14" s="141" t="s">
        <v>948</v>
      </c>
      <c r="O14" s="65"/>
      <c r="P14" s="63" t="s">
        <v>43</v>
      </c>
      <c r="Q14" s="58" t="s">
        <v>15</v>
      </c>
      <c r="R14" s="58" t="s">
        <v>382</v>
      </c>
      <c r="S14" s="58">
        <v>12</v>
      </c>
      <c r="V14" s="58"/>
      <c r="X14" s="58"/>
      <c r="Z14" s="58"/>
      <c r="AB14" s="58"/>
      <c r="AD14" s="58"/>
      <c r="AQ14" s="57">
        <f t="shared" si="1"/>
        <v>12</v>
      </c>
      <c r="AR14" s="66" t="s">
        <v>444</v>
      </c>
      <c r="AS14" s="56" t="str">
        <f t="shared" ca="1" si="2"/>
        <v>HOOD HAT, LLC, 15332 Antioch st., #211 Pacific Palisades, CA 90272, USA</v>
      </c>
      <c r="AT14" s="56" t="str">
        <f t="shared" ca="1" si="3"/>
        <v>Соединенные Штаты</v>
      </c>
      <c r="AU14" s="76">
        <f t="shared" si="4"/>
        <v>0.1</v>
      </c>
      <c r="AV14" s="43">
        <f t="shared" si="5"/>
        <v>0.15000000000000002</v>
      </c>
      <c r="AW14" s="43">
        <f t="shared" si="6"/>
        <v>1.2000000000000002</v>
      </c>
      <c r="AX14" s="43">
        <f t="shared" si="7"/>
        <v>1.8000000000000003</v>
      </c>
      <c r="AY14" s="152">
        <v>1820</v>
      </c>
      <c r="AZ14" s="153">
        <f t="shared" si="8"/>
        <v>21840</v>
      </c>
      <c r="BA14" s="45">
        <f>IF(A14&lt;&gt;"",IF(_xlfn.XLOOKUP(A14,'1C'!A:A,'1C'!A:A,0,0)&gt;0,1,0),"")</f>
        <v>0</v>
      </c>
      <c r="BB14" s="146">
        <f>IF(C14&lt;&gt;"",IF(_xlfn.XLOOKUP(C14,'1C'!S:S,'1C'!S:S,0,0)&gt;0,0,1),"")</f>
        <v>0</v>
      </c>
      <c r="BC14" s="73">
        <f t="shared" si="9"/>
        <v>1</v>
      </c>
    </row>
    <row r="15" spans="1:56" ht="98.1" customHeight="1">
      <c r="A15" s="43" t="str">
        <f t="shared" si="0"/>
        <v>100-CTW020-PA003-BKBLACK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92-013-09</v>
      </c>
      <c r="C15" s="44" t="s">
        <v>848</v>
      </c>
      <c r="D15" s="43" t="s">
        <v>898</v>
      </c>
      <c r="E15" s="43" t="str">
        <f>IF(F15&lt;&gt;"",IFERROR(VLOOKUP(F15,Категории!A:B,2,0),""),"Требуется категория")</f>
        <v>Бейсболки</v>
      </c>
      <c r="F15" s="44" t="s">
        <v>784</v>
      </c>
      <c r="G15" s="63" t="s">
        <v>947</v>
      </c>
      <c r="H15" s="44" t="s">
        <v>388</v>
      </c>
      <c r="J15" s="57" t="str">
        <f>'1C'!$AF$1</f>
        <v>HOOD</v>
      </c>
      <c r="K15" s="103" t="s">
        <v>936</v>
      </c>
      <c r="L15" s="59" t="s">
        <v>53</v>
      </c>
      <c r="M15" s="145" t="str">
        <f>IF(K15&lt;&gt;"",IFERROR(VLOOKUP(A15,'1C'!A:T,18,0),IFERROR(VLOOKUP(K15,Colors!D:E,2,0),"")),"")</f>
        <v>черный</v>
      </c>
      <c r="N15" s="141" t="s">
        <v>948</v>
      </c>
      <c r="O15" s="65"/>
      <c r="P15" s="63" t="s">
        <v>43</v>
      </c>
      <c r="Q15" s="58" t="s">
        <v>15</v>
      </c>
      <c r="R15" s="58" t="s">
        <v>382</v>
      </c>
      <c r="S15" s="58">
        <v>12</v>
      </c>
      <c r="V15" s="58"/>
      <c r="X15" s="58"/>
      <c r="Z15" s="58"/>
      <c r="AB15" s="58"/>
      <c r="AD15" s="58"/>
      <c r="AQ15" s="57">
        <f t="shared" si="1"/>
        <v>12</v>
      </c>
      <c r="AR15" s="66" t="s">
        <v>444</v>
      </c>
      <c r="AS15" s="56" t="str">
        <f t="shared" ca="1" si="2"/>
        <v>HOOD HAT, LLC, 15332 Antioch st., #211 Pacific Palisades, CA 90272, USA</v>
      </c>
      <c r="AT15" s="56" t="str">
        <f t="shared" ca="1" si="3"/>
        <v>Соединенные Штаты</v>
      </c>
      <c r="AU15" s="76">
        <f t="shared" si="4"/>
        <v>0.1</v>
      </c>
      <c r="AV15" s="43">
        <f t="shared" si="5"/>
        <v>0.15000000000000002</v>
      </c>
      <c r="AW15" s="43">
        <f t="shared" si="6"/>
        <v>1.2000000000000002</v>
      </c>
      <c r="AX15" s="43">
        <f t="shared" si="7"/>
        <v>1.8000000000000003</v>
      </c>
      <c r="AY15" s="152">
        <v>1820</v>
      </c>
      <c r="AZ15" s="153">
        <f t="shared" si="8"/>
        <v>21840</v>
      </c>
      <c r="BA15" s="45">
        <f>IF(A15&lt;&gt;"",IF(_xlfn.XLOOKUP(A15,'1C'!A:A,'1C'!A:A,0,0)&gt;0,1,0),"")</f>
        <v>0</v>
      </c>
      <c r="BB15" s="146">
        <f>IF(C15&lt;&gt;"",IF(_xlfn.XLOOKUP(C15,'1C'!S:S,'1C'!S:S,0,0)&gt;0,0,1),"")</f>
        <v>0</v>
      </c>
      <c r="BC15" s="73">
        <f t="shared" si="9"/>
        <v>1</v>
      </c>
    </row>
    <row r="16" spans="1:56" ht="98.1" customHeight="1">
      <c r="A16" s="43" t="str">
        <f t="shared" si="0"/>
        <v>100-MWL001-CA005-BKBlack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92-014-72</v>
      </c>
      <c r="C16" s="44" t="s">
        <v>849</v>
      </c>
      <c r="D16" s="43" t="s">
        <v>899</v>
      </c>
      <c r="E16" s="43" t="str">
        <f>IF(F16&lt;&gt;"",IFERROR(VLOOKUP(F16,Категории!A:B,2,0),""),"Требуется категория")</f>
        <v>Бейсболки</v>
      </c>
      <c r="F16" s="44" t="s">
        <v>784</v>
      </c>
      <c r="G16" s="63" t="s">
        <v>947</v>
      </c>
      <c r="H16" s="44" t="s">
        <v>388</v>
      </c>
      <c r="J16" s="57" t="str">
        <f>'1C'!$AF$1</f>
        <v>HOOD</v>
      </c>
      <c r="K16" s="103" t="s">
        <v>52</v>
      </c>
      <c r="L16" s="59" t="s">
        <v>293</v>
      </c>
      <c r="M16" s="145" t="str">
        <f>IF(K16&lt;&gt;"",IFERROR(VLOOKUP(A16,'1C'!A:T,18,0),IFERROR(VLOOKUP(K16,Colors!D:E,2,0),"")),"")</f>
        <v>черный</v>
      </c>
      <c r="N16" s="141" t="s">
        <v>949</v>
      </c>
      <c r="O16" s="65"/>
      <c r="P16" s="63" t="s">
        <v>44</v>
      </c>
      <c r="Q16" s="58" t="s">
        <v>15</v>
      </c>
      <c r="R16" s="58" t="s">
        <v>382</v>
      </c>
      <c r="S16" s="58">
        <v>3</v>
      </c>
      <c r="V16" s="58"/>
      <c r="X16" s="58"/>
      <c r="Z16" s="58"/>
      <c r="AB16" s="58"/>
      <c r="AD16" s="58"/>
      <c r="AQ16" s="57">
        <f t="shared" si="1"/>
        <v>3</v>
      </c>
      <c r="AR16" s="66" t="s">
        <v>444</v>
      </c>
      <c r="AS16" s="56" t="str">
        <f t="shared" ca="1" si="2"/>
        <v>HOOD HAT, LLC, 15332 Antioch st., #211 Pacific Palisades, CA 90272, USA</v>
      </c>
      <c r="AT16" s="56" t="str">
        <f t="shared" ca="1" si="3"/>
        <v>Соединенные Штаты</v>
      </c>
      <c r="AU16" s="76">
        <f t="shared" si="4"/>
        <v>0.1</v>
      </c>
      <c r="AV16" s="43">
        <f t="shared" si="5"/>
        <v>0.15000000000000002</v>
      </c>
      <c r="AW16" s="43">
        <f t="shared" si="6"/>
        <v>0.30000000000000004</v>
      </c>
      <c r="AX16" s="43">
        <f t="shared" si="7"/>
        <v>0.45000000000000007</v>
      </c>
      <c r="AY16" s="152">
        <v>2184</v>
      </c>
      <c r="AZ16" s="153">
        <f t="shared" si="8"/>
        <v>6552</v>
      </c>
      <c r="BA16" s="45">
        <f>IF(A16&lt;&gt;"",IF(_xlfn.XLOOKUP(A16,'1C'!A:A,'1C'!A:A,0,0)&gt;0,1,0),"")</f>
        <v>0</v>
      </c>
      <c r="BB16" s="146">
        <f>IF(C16&lt;&gt;"",IF(_xlfn.XLOOKUP(C16,'1C'!S:S,'1C'!S:S,0,0)&gt;0,0,1),"")</f>
        <v>0</v>
      </c>
      <c r="BC16" s="73">
        <f t="shared" si="9"/>
        <v>1</v>
      </c>
    </row>
    <row r="17" spans="1:55" ht="98.1" customHeight="1">
      <c r="A17" s="43" t="str">
        <f t="shared" si="0"/>
        <v>100-MWL001-NY015-BKBlack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92-015-09</v>
      </c>
      <c r="C17" s="44" t="s">
        <v>850</v>
      </c>
      <c r="D17" s="43" t="s">
        <v>900</v>
      </c>
      <c r="E17" s="43" t="str">
        <f>IF(F17&lt;&gt;"",IFERROR(VLOOKUP(F17,Категории!A:B,2,0),""),"Требуется категория")</f>
        <v>Бейсболки</v>
      </c>
      <c r="F17" s="44" t="s">
        <v>784</v>
      </c>
      <c r="G17" s="63" t="s">
        <v>947</v>
      </c>
      <c r="H17" s="44" t="s">
        <v>388</v>
      </c>
      <c r="J17" s="57" t="str">
        <f>'1C'!$AF$1</f>
        <v>HOOD</v>
      </c>
      <c r="K17" s="103" t="s">
        <v>52</v>
      </c>
      <c r="L17" s="59" t="s">
        <v>53</v>
      </c>
      <c r="M17" s="145" t="str">
        <f>IF(K17&lt;&gt;"",IFERROR(VLOOKUP(A17,'1C'!A:T,18,0),IFERROR(VLOOKUP(K17,Colors!D:E,2,0),"")),"")</f>
        <v>черный</v>
      </c>
      <c r="N17" s="141" t="s">
        <v>949</v>
      </c>
      <c r="O17" s="65"/>
      <c r="P17" s="63" t="s">
        <v>44</v>
      </c>
      <c r="Q17" s="58" t="s">
        <v>15</v>
      </c>
      <c r="R17" s="58" t="s">
        <v>382</v>
      </c>
      <c r="S17" s="58">
        <v>3</v>
      </c>
      <c r="V17" s="58"/>
      <c r="X17" s="58"/>
      <c r="Z17" s="58"/>
      <c r="AB17" s="58"/>
      <c r="AD17" s="58"/>
      <c r="AQ17" s="57">
        <f t="shared" si="1"/>
        <v>3</v>
      </c>
      <c r="AR17" s="66" t="s">
        <v>444</v>
      </c>
      <c r="AS17" s="56" t="str">
        <f t="shared" ca="1" si="2"/>
        <v>HOOD HAT, LLC, 15332 Antioch st., #211 Pacific Palisades, CA 90272, USA</v>
      </c>
      <c r="AT17" s="56" t="str">
        <f t="shared" ca="1" si="3"/>
        <v>Соединенные Штаты</v>
      </c>
      <c r="AU17" s="76">
        <f t="shared" si="4"/>
        <v>0.1</v>
      </c>
      <c r="AV17" s="43">
        <f t="shared" si="5"/>
        <v>0.15000000000000002</v>
      </c>
      <c r="AW17" s="43">
        <f t="shared" si="6"/>
        <v>0.30000000000000004</v>
      </c>
      <c r="AX17" s="43">
        <f t="shared" si="7"/>
        <v>0.45000000000000007</v>
      </c>
      <c r="AY17" s="152">
        <v>2184</v>
      </c>
      <c r="AZ17" s="153">
        <f t="shared" si="8"/>
        <v>6552</v>
      </c>
      <c r="BA17" s="45">
        <f>IF(A17&lt;&gt;"",IF(_xlfn.XLOOKUP(A17,'1C'!A:A,'1C'!A:A,0,0)&gt;0,1,0),"")</f>
        <v>0</v>
      </c>
      <c r="BB17" s="146">
        <f>IF(C17&lt;&gt;"",IF(_xlfn.XLOOKUP(C17,'1C'!S:S,'1C'!S:S,0,0)&gt;0,0,1),"")</f>
        <v>0</v>
      </c>
      <c r="BC17" s="73">
        <f t="shared" si="9"/>
        <v>1</v>
      </c>
    </row>
    <row r="18" spans="1:55" ht="98.1" customHeight="1">
      <c r="A18" s="43" t="str">
        <f t="shared" si="0"/>
        <v>100-MWL001-NY022-BKBlack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92-016-72</v>
      </c>
      <c r="C18" s="44" t="s">
        <v>851</v>
      </c>
      <c r="D18" s="43" t="s">
        <v>901</v>
      </c>
      <c r="E18" s="43" t="str">
        <f>IF(F18&lt;&gt;"",IFERROR(VLOOKUP(F18,Категории!A:B,2,0),""),"Требуется категория")</f>
        <v>Бейсболки</v>
      </c>
      <c r="F18" s="44" t="s">
        <v>784</v>
      </c>
      <c r="G18" s="63" t="s">
        <v>947</v>
      </c>
      <c r="H18" s="44" t="s">
        <v>388</v>
      </c>
      <c r="J18" s="57" t="str">
        <f>'1C'!$AF$1</f>
        <v>HOOD</v>
      </c>
      <c r="K18" s="103" t="s">
        <v>52</v>
      </c>
      <c r="L18" s="59" t="s">
        <v>293</v>
      </c>
      <c r="M18" s="145" t="str">
        <f>IF(K18&lt;&gt;"",IFERROR(VLOOKUP(A18,'1C'!A:T,18,0),IFERROR(VLOOKUP(K18,Colors!D:E,2,0),"")),"")</f>
        <v>черный</v>
      </c>
      <c r="N18" s="141" t="s">
        <v>949</v>
      </c>
      <c r="O18" s="65"/>
      <c r="P18" s="63" t="s">
        <v>44</v>
      </c>
      <c r="Q18" s="58" t="s">
        <v>15</v>
      </c>
      <c r="R18" s="58" t="s">
        <v>382</v>
      </c>
      <c r="S18" s="58">
        <v>3</v>
      </c>
      <c r="V18" s="58"/>
      <c r="X18" s="58"/>
      <c r="Z18" s="58"/>
      <c r="AB18" s="58"/>
      <c r="AD18" s="58"/>
      <c r="AQ18" s="57">
        <f t="shared" si="1"/>
        <v>3</v>
      </c>
      <c r="AR18" s="66" t="s">
        <v>444</v>
      </c>
      <c r="AS18" s="56" t="str">
        <f t="shared" ca="1" si="2"/>
        <v>HOOD HAT, LLC, 15332 Antioch st., #211 Pacific Palisades, CA 90272, USA</v>
      </c>
      <c r="AT18" s="56" t="str">
        <f t="shared" ca="1" si="3"/>
        <v>Соединенные Штаты</v>
      </c>
      <c r="AU18" s="76">
        <f t="shared" si="4"/>
        <v>0.1</v>
      </c>
      <c r="AV18" s="43">
        <f t="shared" si="5"/>
        <v>0.15000000000000002</v>
      </c>
      <c r="AW18" s="43">
        <f t="shared" si="6"/>
        <v>0.30000000000000004</v>
      </c>
      <c r="AX18" s="43">
        <f t="shared" si="7"/>
        <v>0.45000000000000007</v>
      </c>
      <c r="AY18" s="152">
        <v>2184</v>
      </c>
      <c r="AZ18" s="153">
        <f t="shared" si="8"/>
        <v>6552</v>
      </c>
      <c r="BA18" s="45">
        <f>IF(A18&lt;&gt;"",IF(_xlfn.XLOOKUP(A18,'1C'!A:A,'1C'!A:A,0,0)&gt;0,1,0),"")</f>
        <v>0</v>
      </c>
      <c r="BB18" s="146">
        <f>IF(C18&lt;&gt;"",IF(_xlfn.XLOOKUP(C18,'1C'!S:S,'1C'!S:S,0,0)&gt;0,0,1),"")</f>
        <v>0</v>
      </c>
      <c r="BC18" s="73">
        <f t="shared" si="9"/>
        <v>1</v>
      </c>
    </row>
    <row r="19" spans="1:55" ht="98.1" customHeight="1">
      <c r="A19" s="43" t="str">
        <f t="shared" si="0"/>
        <v>100-MWL001-NY076-BKBlack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92-017-72</v>
      </c>
      <c r="C19" s="44" t="s">
        <v>852</v>
      </c>
      <c r="D19" s="43" t="s">
        <v>902</v>
      </c>
      <c r="E19" s="43" t="str">
        <f>IF(F19&lt;&gt;"",IFERROR(VLOOKUP(F19,Категории!A:B,2,0),""),"Требуется категория")</f>
        <v>Бейсболки</v>
      </c>
      <c r="F19" s="44" t="s">
        <v>784</v>
      </c>
      <c r="G19" s="63" t="s">
        <v>947</v>
      </c>
      <c r="H19" s="44" t="s">
        <v>388</v>
      </c>
      <c r="J19" s="57" t="str">
        <f>'1C'!$AF$1</f>
        <v>HOOD</v>
      </c>
      <c r="K19" s="103" t="s">
        <v>52</v>
      </c>
      <c r="L19" s="59" t="s">
        <v>293</v>
      </c>
      <c r="M19" s="145" t="str">
        <f>IF(K19&lt;&gt;"",IFERROR(VLOOKUP(A19,'1C'!A:T,18,0),IFERROR(VLOOKUP(K19,Colors!D:E,2,0),"")),"")</f>
        <v>черный</v>
      </c>
      <c r="N19" s="141" t="s">
        <v>949</v>
      </c>
      <c r="O19" s="65"/>
      <c r="P19" s="63" t="s">
        <v>44</v>
      </c>
      <c r="Q19" s="58" t="s">
        <v>15</v>
      </c>
      <c r="R19" s="58" t="s">
        <v>382</v>
      </c>
      <c r="S19" s="58">
        <v>3</v>
      </c>
      <c r="V19" s="58"/>
      <c r="X19" s="58"/>
      <c r="Z19" s="58"/>
      <c r="AB19" s="58"/>
      <c r="AD19" s="58"/>
      <c r="AQ19" s="57">
        <f t="shared" si="1"/>
        <v>3</v>
      </c>
      <c r="AR19" s="66" t="s">
        <v>444</v>
      </c>
      <c r="AS19" s="56" t="str">
        <f t="shared" ca="1" si="2"/>
        <v>HOOD HAT, LLC, 15332 Antioch st., #211 Pacific Palisades, CA 90272, USA</v>
      </c>
      <c r="AT19" s="56" t="str">
        <f t="shared" ca="1" si="3"/>
        <v>Соединенные Штаты</v>
      </c>
      <c r="AU19" s="76">
        <f t="shared" si="4"/>
        <v>0.1</v>
      </c>
      <c r="AV19" s="43">
        <f t="shared" si="5"/>
        <v>0.15000000000000002</v>
      </c>
      <c r="AW19" s="43">
        <f t="shared" si="6"/>
        <v>0.30000000000000004</v>
      </c>
      <c r="AX19" s="43">
        <f t="shared" si="7"/>
        <v>0.45000000000000007</v>
      </c>
      <c r="AY19" s="152">
        <v>2184</v>
      </c>
      <c r="AZ19" s="153">
        <f t="shared" si="8"/>
        <v>6552</v>
      </c>
      <c r="BA19" s="45">
        <f>IF(A19&lt;&gt;"",IF(_xlfn.XLOOKUP(A19,'1C'!A:A,'1C'!A:A,0,0)&gt;0,1,0),"")</f>
        <v>0</v>
      </c>
      <c r="BB19" s="146">
        <f>IF(C19&lt;&gt;"",IF(_xlfn.XLOOKUP(C19,'1C'!S:S,'1C'!S:S,0,0)&gt;0,0,1),"")</f>
        <v>0</v>
      </c>
      <c r="BC19" s="73">
        <f t="shared" si="9"/>
        <v>1</v>
      </c>
    </row>
    <row r="20" spans="1:55" ht="98.1" customHeight="1">
      <c r="A20" s="43" t="str">
        <f t="shared" si="0"/>
        <v>100-MWL003-PA013-NYNavy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92-018-65</v>
      </c>
      <c r="C20" s="44" t="s">
        <v>853</v>
      </c>
      <c r="D20" s="43" t="s">
        <v>903</v>
      </c>
      <c r="E20" s="43" t="str">
        <f>IF(F20&lt;&gt;"",IFERROR(VLOOKUP(F20,Категории!A:B,2,0),""),"Требуется категория")</f>
        <v>Бейсболки</v>
      </c>
      <c r="F20" s="44" t="s">
        <v>784</v>
      </c>
      <c r="G20" s="63" t="s">
        <v>947</v>
      </c>
      <c r="H20" s="44" t="s">
        <v>388</v>
      </c>
      <c r="J20" s="57" t="str">
        <f>'1C'!$AF$1</f>
        <v>HOOD</v>
      </c>
      <c r="K20" s="103" t="s">
        <v>54</v>
      </c>
      <c r="L20" s="59" t="s">
        <v>679</v>
      </c>
      <c r="M20" s="145" t="s">
        <v>71</v>
      </c>
      <c r="N20" s="141" t="s">
        <v>949</v>
      </c>
      <c r="O20" s="65"/>
      <c r="P20" s="63" t="s">
        <v>44</v>
      </c>
      <c r="Q20" s="58" t="s">
        <v>15</v>
      </c>
      <c r="R20" s="58" t="s">
        <v>382</v>
      </c>
      <c r="S20" s="58">
        <v>3</v>
      </c>
      <c r="V20" s="58"/>
      <c r="X20" s="58"/>
      <c r="Z20" s="58"/>
      <c r="AB20" s="58"/>
      <c r="AD20" s="58"/>
      <c r="AQ20" s="57">
        <f t="shared" si="1"/>
        <v>3</v>
      </c>
      <c r="AR20" s="66" t="s">
        <v>444</v>
      </c>
      <c r="AS20" s="56" t="str">
        <f t="shared" ca="1" si="2"/>
        <v>HOOD HAT, LLC, 15332 Antioch st., #211 Pacific Palisades, CA 90272, USA</v>
      </c>
      <c r="AT20" s="56" t="str">
        <f t="shared" ca="1" si="3"/>
        <v>Соединенные Штаты</v>
      </c>
      <c r="AU20" s="76">
        <f t="shared" si="4"/>
        <v>0.1</v>
      </c>
      <c r="AV20" s="43">
        <f t="shared" si="5"/>
        <v>0.15000000000000002</v>
      </c>
      <c r="AW20" s="43">
        <f t="shared" si="6"/>
        <v>0.30000000000000004</v>
      </c>
      <c r="AX20" s="43">
        <f t="shared" si="7"/>
        <v>0.45000000000000007</v>
      </c>
      <c r="AY20" s="152">
        <v>2184</v>
      </c>
      <c r="AZ20" s="153">
        <f t="shared" si="8"/>
        <v>6552</v>
      </c>
      <c r="BA20" s="45">
        <f>IF(A20&lt;&gt;"",IF(_xlfn.XLOOKUP(A20,'1C'!A:A,'1C'!A:A,0,0)&gt;0,1,0),"")</f>
        <v>0</v>
      </c>
      <c r="BB20" s="146">
        <f>IF(C20&lt;&gt;"",IF(_xlfn.XLOOKUP(C20,'1C'!S:S,'1C'!S:S,0,0)&gt;0,0,1),"")</f>
        <v>0</v>
      </c>
      <c r="BC20" s="73">
        <f t="shared" si="9"/>
        <v>1</v>
      </c>
    </row>
    <row r="21" spans="1:55" ht="98.1" customHeight="1">
      <c r="A21" s="43" t="str">
        <f t="shared" si="0"/>
        <v>100-MWL005-CA069-BKBlack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92-019-72</v>
      </c>
      <c r="C21" s="44" t="s">
        <v>854</v>
      </c>
      <c r="D21" s="43" t="s">
        <v>904</v>
      </c>
      <c r="E21" s="43" t="str">
        <f>IF(F21&lt;&gt;"",IFERROR(VLOOKUP(F21,Категории!A:B,2,0),""),"Требуется категория")</f>
        <v>Бейсболки</v>
      </c>
      <c r="F21" s="44" t="s">
        <v>784</v>
      </c>
      <c r="G21" s="63" t="s">
        <v>947</v>
      </c>
      <c r="H21" s="44" t="s">
        <v>388</v>
      </c>
      <c r="J21" s="57" t="str">
        <f>'1C'!$AF$1</f>
        <v>HOOD</v>
      </c>
      <c r="K21" s="103" t="s">
        <v>52</v>
      </c>
      <c r="L21" s="59" t="s">
        <v>293</v>
      </c>
      <c r="M21" s="145" t="str">
        <f>IF(K21&lt;&gt;"",IFERROR(VLOOKUP(A21,'1C'!A:T,18,0),IFERROR(VLOOKUP(K21,Colors!D:E,2,0),"")),"")</f>
        <v>черный</v>
      </c>
      <c r="N21" s="141" t="s">
        <v>949</v>
      </c>
      <c r="O21" s="65"/>
      <c r="P21" s="63" t="s">
        <v>44</v>
      </c>
      <c r="Q21" s="58" t="s">
        <v>15</v>
      </c>
      <c r="R21" s="58" t="s">
        <v>382</v>
      </c>
      <c r="S21" s="58">
        <v>6</v>
      </c>
      <c r="V21" s="58"/>
      <c r="X21" s="58"/>
      <c r="Z21" s="58"/>
      <c r="AB21" s="58"/>
      <c r="AD21" s="58"/>
      <c r="AQ21" s="57">
        <f t="shared" si="1"/>
        <v>6</v>
      </c>
      <c r="AR21" s="66" t="s">
        <v>444</v>
      </c>
      <c r="AS21" s="56" t="str">
        <f t="shared" ca="1" si="2"/>
        <v>HOOD HAT, LLC, 15332 Antioch st., #211 Pacific Palisades, CA 90272, USA</v>
      </c>
      <c r="AT21" s="56" t="str">
        <f t="shared" ca="1" si="3"/>
        <v>Соединенные Штаты</v>
      </c>
      <c r="AU21" s="76">
        <f t="shared" si="4"/>
        <v>0.1</v>
      </c>
      <c r="AV21" s="43">
        <f t="shared" si="5"/>
        <v>0.15000000000000002</v>
      </c>
      <c r="AW21" s="43">
        <f t="shared" si="6"/>
        <v>0.60000000000000009</v>
      </c>
      <c r="AX21" s="43">
        <f t="shared" si="7"/>
        <v>0.90000000000000013</v>
      </c>
      <c r="AY21" s="152">
        <v>2184</v>
      </c>
      <c r="AZ21" s="153">
        <f t="shared" si="8"/>
        <v>13104</v>
      </c>
      <c r="BA21" s="45">
        <f>IF(A21&lt;&gt;"",IF(_xlfn.XLOOKUP(A21,'1C'!A:A,'1C'!A:A,0,0)&gt;0,1,0),"")</f>
        <v>0</v>
      </c>
      <c r="BB21" s="146">
        <f>IF(C21&lt;&gt;"",IF(_xlfn.XLOOKUP(C21,'1C'!S:S,'1C'!S:S,0,0)&gt;0,0,1),"")</f>
        <v>0</v>
      </c>
      <c r="BC21" s="73">
        <f t="shared" si="9"/>
        <v>1</v>
      </c>
    </row>
    <row r="22" spans="1:55" ht="98.1" customHeight="1">
      <c r="A22" s="43" t="str">
        <f t="shared" si="0"/>
        <v>100-MWL005-CA069-BKABlack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92-020-09</v>
      </c>
      <c r="C22" s="44" t="s">
        <v>855</v>
      </c>
      <c r="D22" s="43" t="s">
        <v>905</v>
      </c>
      <c r="E22" s="43" t="str">
        <f>IF(F22&lt;&gt;"",IFERROR(VLOOKUP(F22,Категории!A:B,2,0),""),"Требуется категория")</f>
        <v>Бейсболки</v>
      </c>
      <c r="F22" s="44" t="s">
        <v>784</v>
      </c>
      <c r="G22" s="63" t="s">
        <v>947</v>
      </c>
      <c r="H22" s="44" t="s">
        <v>388</v>
      </c>
      <c r="J22" s="57" t="str">
        <f>'1C'!$AF$1</f>
        <v>HOOD</v>
      </c>
      <c r="K22" s="103" t="s">
        <v>52</v>
      </c>
      <c r="L22" s="59" t="s">
        <v>306</v>
      </c>
      <c r="M22" s="145" t="str">
        <f>IF(K22&lt;&gt;"",IFERROR(VLOOKUP(A22,'1C'!A:T,18,0),IFERROR(VLOOKUP(K22,Colors!D:E,2,0),"")),"")</f>
        <v>черный</v>
      </c>
      <c r="N22" s="141" t="s">
        <v>949</v>
      </c>
      <c r="O22" s="65"/>
      <c r="P22" s="63" t="s">
        <v>44</v>
      </c>
      <c r="Q22" s="58" t="s">
        <v>15</v>
      </c>
      <c r="R22" s="58" t="s">
        <v>382</v>
      </c>
      <c r="S22" s="58">
        <v>3</v>
      </c>
      <c r="V22" s="58"/>
      <c r="X22" s="58"/>
      <c r="Z22" s="58"/>
      <c r="AB22" s="58"/>
      <c r="AD22" s="58"/>
      <c r="AQ22" s="57">
        <f t="shared" si="1"/>
        <v>3</v>
      </c>
      <c r="AR22" s="66" t="s">
        <v>444</v>
      </c>
      <c r="AS22" s="56" t="str">
        <f t="shared" ca="1" si="2"/>
        <v>HOOD HAT, LLC, 15332 Antioch st., #211 Pacific Palisades, CA 90272, USA</v>
      </c>
      <c r="AT22" s="56" t="str">
        <f t="shared" ca="1" si="3"/>
        <v>Соединенные Штаты</v>
      </c>
      <c r="AU22" s="76">
        <f t="shared" si="4"/>
        <v>0.1</v>
      </c>
      <c r="AV22" s="43">
        <f t="shared" si="5"/>
        <v>0.15000000000000002</v>
      </c>
      <c r="AW22" s="43">
        <f t="shared" si="6"/>
        <v>0.30000000000000004</v>
      </c>
      <c r="AX22" s="43">
        <f t="shared" si="7"/>
        <v>0.45000000000000007</v>
      </c>
      <c r="AY22" s="152">
        <v>2184</v>
      </c>
      <c r="AZ22" s="153">
        <f t="shared" si="8"/>
        <v>6552</v>
      </c>
      <c r="BA22" s="45">
        <f>IF(A22&lt;&gt;"",IF(_xlfn.XLOOKUP(A22,'1C'!A:A,'1C'!A:A,0,0)&gt;0,1,0),"")</f>
        <v>0</v>
      </c>
      <c r="BB22" s="146">
        <f>IF(C22&lt;&gt;"",IF(_xlfn.XLOOKUP(C22,'1C'!S:S,'1C'!S:S,0,0)&gt;0,0,1),"")</f>
        <v>0</v>
      </c>
      <c r="BC22" s="73">
        <f t="shared" si="9"/>
        <v>1</v>
      </c>
    </row>
    <row r="23" spans="1:55" ht="98.1" customHeight="1">
      <c r="A23" s="43" t="str">
        <f t="shared" si="0"/>
        <v>100-MWL005-CA087-BKBlack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92-021-72</v>
      </c>
      <c r="C23" s="44" t="s">
        <v>856</v>
      </c>
      <c r="D23" s="43" t="s">
        <v>906</v>
      </c>
      <c r="E23" s="43" t="str">
        <f>IF(F23&lt;&gt;"",IFERROR(VLOOKUP(F23,Категории!A:B,2,0),""),"Требуется категория")</f>
        <v>Бейсболки</v>
      </c>
      <c r="F23" s="44" t="s">
        <v>784</v>
      </c>
      <c r="G23" s="63" t="s">
        <v>947</v>
      </c>
      <c r="H23" s="44" t="s">
        <v>388</v>
      </c>
      <c r="J23" s="57" t="str">
        <f>'1C'!$AF$1</f>
        <v>HOOD</v>
      </c>
      <c r="K23" s="103" t="s">
        <v>52</v>
      </c>
      <c r="L23" s="59" t="s">
        <v>302</v>
      </c>
      <c r="M23" s="145" t="str">
        <f>IF(K23&lt;&gt;"",IFERROR(VLOOKUP(A23,'1C'!A:T,18,0),IFERROR(VLOOKUP(K23,Colors!D:E,2,0),"")),"")</f>
        <v>черный</v>
      </c>
      <c r="N23" s="141" t="s">
        <v>949</v>
      </c>
      <c r="O23" s="65"/>
      <c r="P23" s="63" t="s">
        <v>44</v>
      </c>
      <c r="Q23" s="58" t="s">
        <v>15</v>
      </c>
      <c r="R23" s="58" t="s">
        <v>382</v>
      </c>
      <c r="S23" s="58">
        <v>3</v>
      </c>
      <c r="V23" s="58"/>
      <c r="X23" s="58"/>
      <c r="Z23" s="58"/>
      <c r="AB23" s="58"/>
      <c r="AD23" s="58"/>
      <c r="AQ23" s="57">
        <f t="shared" si="1"/>
        <v>3</v>
      </c>
      <c r="AR23" s="66" t="s">
        <v>444</v>
      </c>
      <c r="AS23" s="56" t="str">
        <f t="shared" ca="1" si="2"/>
        <v>HOOD HAT, LLC, 15332 Antioch st., #211 Pacific Palisades, CA 90272, USA</v>
      </c>
      <c r="AT23" s="56" t="str">
        <f t="shared" ca="1" si="3"/>
        <v>Соединенные Штаты</v>
      </c>
      <c r="AU23" s="76">
        <f t="shared" si="4"/>
        <v>0.1</v>
      </c>
      <c r="AV23" s="43">
        <f t="shared" si="5"/>
        <v>0.15000000000000002</v>
      </c>
      <c r="AW23" s="43">
        <f t="shared" si="6"/>
        <v>0.30000000000000004</v>
      </c>
      <c r="AX23" s="43">
        <f t="shared" si="7"/>
        <v>0.45000000000000007</v>
      </c>
      <c r="AY23" s="152">
        <v>2184</v>
      </c>
      <c r="AZ23" s="153">
        <f t="shared" si="8"/>
        <v>6552</v>
      </c>
      <c r="BA23" s="45">
        <f>IF(A23&lt;&gt;"",IF(_xlfn.XLOOKUP(A23,'1C'!A:A,'1C'!A:A,0,0)&gt;0,1,0),"")</f>
        <v>0</v>
      </c>
      <c r="BB23" s="146">
        <f>IF(C23&lt;&gt;"",IF(_xlfn.XLOOKUP(C23,'1C'!S:S,'1C'!S:S,0,0)&gt;0,0,1),"")</f>
        <v>0</v>
      </c>
      <c r="BC23" s="73">
        <f t="shared" si="9"/>
        <v>1</v>
      </c>
    </row>
    <row r="24" spans="1:55" ht="98.1" customHeight="1">
      <c r="A24" s="43" t="str">
        <f t="shared" si="0"/>
        <v>100-MWL005-CO005-MNMaroon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92-022-65</v>
      </c>
      <c r="C24" s="44" t="s">
        <v>857</v>
      </c>
      <c r="D24" s="43" t="s">
        <v>907</v>
      </c>
      <c r="E24" s="43" t="str">
        <f>IF(F24&lt;&gt;"",IFERROR(VLOOKUP(F24,Категории!A:B,2,0),""),"Требуется категория")</f>
        <v>Бейсболки</v>
      </c>
      <c r="F24" s="44" t="s">
        <v>784</v>
      </c>
      <c r="G24" s="63" t="s">
        <v>947</v>
      </c>
      <c r="H24" s="44" t="s">
        <v>388</v>
      </c>
      <c r="J24" s="57" t="str">
        <f>'1C'!$AF$1</f>
        <v>HOOD</v>
      </c>
      <c r="K24" s="103" t="s">
        <v>937</v>
      </c>
      <c r="L24" s="58" t="s">
        <v>123</v>
      </c>
      <c r="M24" s="66" t="s">
        <v>121</v>
      </c>
      <c r="N24" s="141" t="s">
        <v>949</v>
      </c>
      <c r="O24" s="65"/>
      <c r="P24" s="63" t="s">
        <v>44</v>
      </c>
      <c r="Q24" s="58" t="s">
        <v>15</v>
      </c>
      <c r="R24" s="58" t="s">
        <v>382</v>
      </c>
      <c r="S24" s="58">
        <v>3</v>
      </c>
      <c r="V24" s="58"/>
      <c r="X24" s="58"/>
      <c r="Z24" s="58"/>
      <c r="AB24" s="58"/>
      <c r="AD24" s="58"/>
      <c r="AQ24" s="57">
        <f t="shared" si="1"/>
        <v>3</v>
      </c>
      <c r="AR24" s="66" t="s">
        <v>444</v>
      </c>
      <c r="AS24" s="56" t="str">
        <f t="shared" ca="1" si="2"/>
        <v>HOOD HAT, LLC, 15332 Antioch st., #211 Pacific Palisades, CA 90272, USA</v>
      </c>
      <c r="AT24" s="56" t="str">
        <f t="shared" ca="1" si="3"/>
        <v>Соединенные Штаты</v>
      </c>
      <c r="AU24" s="76">
        <f t="shared" si="4"/>
        <v>0.1</v>
      </c>
      <c r="AV24" s="43">
        <f t="shared" si="5"/>
        <v>0.15000000000000002</v>
      </c>
      <c r="AW24" s="43">
        <f t="shared" si="6"/>
        <v>0.30000000000000004</v>
      </c>
      <c r="AX24" s="43">
        <f t="shared" si="7"/>
        <v>0.45000000000000007</v>
      </c>
      <c r="AY24" s="152">
        <v>2184</v>
      </c>
      <c r="AZ24" s="153">
        <f t="shared" si="8"/>
        <v>6552</v>
      </c>
      <c r="BA24" s="45">
        <f>IF(A24&lt;&gt;"",IF(_xlfn.XLOOKUP(A24,'1C'!A:A,'1C'!A:A,0,0)&gt;0,1,0),"")</f>
        <v>0</v>
      </c>
      <c r="BB24" s="146">
        <f>IF(C24&lt;&gt;"",IF(_xlfn.XLOOKUP(C24,'1C'!S:S,'1C'!S:S,0,0)&gt;0,0,1),"")</f>
        <v>0</v>
      </c>
      <c r="BC24" s="73">
        <f t="shared" si="9"/>
        <v>1</v>
      </c>
    </row>
    <row r="25" spans="1:55" ht="98.1" customHeight="1">
      <c r="A25" s="43" t="str">
        <f t="shared" si="0"/>
        <v>100-MWL005-GA003-HWHighway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92-023-08</v>
      </c>
      <c r="C25" s="44" t="s">
        <v>858</v>
      </c>
      <c r="D25" s="43" t="s">
        <v>908</v>
      </c>
      <c r="E25" s="43" t="str">
        <f>IF(F25&lt;&gt;"",IFERROR(VLOOKUP(F25,Категории!A:B,2,0),""),"Требуется категория")</f>
        <v>Бейсболки</v>
      </c>
      <c r="F25" s="44" t="s">
        <v>784</v>
      </c>
      <c r="G25" s="63" t="s">
        <v>947</v>
      </c>
      <c r="H25" s="44" t="s">
        <v>388</v>
      </c>
      <c r="J25" s="57" t="str">
        <f>'1C'!$AF$1</f>
        <v>HOOD</v>
      </c>
      <c r="K25" s="103" t="s">
        <v>938</v>
      </c>
      <c r="L25" s="58" t="s">
        <v>241</v>
      </c>
      <c r="M25" s="66" t="s">
        <v>121</v>
      </c>
      <c r="N25" s="141" t="s">
        <v>949</v>
      </c>
      <c r="O25" s="65"/>
      <c r="P25" s="63" t="s">
        <v>44</v>
      </c>
      <c r="Q25" s="58" t="s">
        <v>15</v>
      </c>
      <c r="R25" s="58" t="s">
        <v>382</v>
      </c>
      <c r="S25" s="58">
        <v>3</v>
      </c>
      <c r="V25" s="58"/>
      <c r="X25" s="58"/>
      <c r="Z25" s="58"/>
      <c r="AB25" s="58"/>
      <c r="AD25" s="58"/>
      <c r="AQ25" s="57">
        <f t="shared" si="1"/>
        <v>3</v>
      </c>
      <c r="AR25" s="66" t="s">
        <v>444</v>
      </c>
      <c r="AS25" s="56" t="str">
        <f t="shared" ca="1" si="2"/>
        <v>HOOD HAT, LLC, 15332 Antioch st., #211 Pacific Palisades, CA 90272, USA</v>
      </c>
      <c r="AT25" s="56" t="str">
        <f t="shared" ca="1" si="3"/>
        <v>Соединенные Штаты</v>
      </c>
      <c r="AU25" s="76">
        <f t="shared" si="4"/>
        <v>0.1</v>
      </c>
      <c r="AV25" s="43">
        <f t="shared" si="5"/>
        <v>0.15000000000000002</v>
      </c>
      <c r="AW25" s="43">
        <f t="shared" si="6"/>
        <v>0.30000000000000004</v>
      </c>
      <c r="AX25" s="43">
        <f t="shared" si="7"/>
        <v>0.45000000000000007</v>
      </c>
      <c r="AY25" s="152">
        <v>2184</v>
      </c>
      <c r="AZ25" s="153">
        <f t="shared" si="8"/>
        <v>6552</v>
      </c>
      <c r="BA25" s="45">
        <f>IF(A25&lt;&gt;"",IF(_xlfn.XLOOKUP(A25,'1C'!A:A,'1C'!A:A,0,0)&gt;0,1,0),"")</f>
        <v>0</v>
      </c>
      <c r="BB25" s="146">
        <f>IF(C25&lt;&gt;"",IF(_xlfn.XLOOKUP(C25,'1C'!S:S,'1C'!S:S,0,0)&gt;0,0,1),"")</f>
        <v>0</v>
      </c>
      <c r="BC25" s="73">
        <f t="shared" si="9"/>
        <v>1</v>
      </c>
    </row>
    <row r="26" spans="1:55" ht="98.1" customHeight="1">
      <c r="A26" s="43" t="str">
        <f t="shared" si="0"/>
        <v>100-MWL005-IL011-BKBlack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92-024-72</v>
      </c>
      <c r="C26" s="44" t="s">
        <v>859</v>
      </c>
      <c r="D26" s="43" t="s">
        <v>909</v>
      </c>
      <c r="E26" s="43" t="str">
        <f>IF(F26&lt;&gt;"",IFERROR(VLOOKUP(F26,Категории!A:B,2,0),""),"Требуется категория")</f>
        <v>Бейсболки</v>
      </c>
      <c r="F26" s="44" t="s">
        <v>784</v>
      </c>
      <c r="G26" s="63" t="s">
        <v>947</v>
      </c>
      <c r="H26" s="44" t="s">
        <v>388</v>
      </c>
      <c r="J26" s="57" t="str">
        <f>'1C'!$AF$1</f>
        <v>HOOD</v>
      </c>
      <c r="K26" s="103" t="s">
        <v>52</v>
      </c>
      <c r="L26" s="59" t="s">
        <v>293</v>
      </c>
      <c r="M26" s="145" t="str">
        <f>IF(K26&lt;&gt;"",IFERROR(VLOOKUP(A26,'1C'!A:T,18,0),IFERROR(VLOOKUP(K26,Colors!D:E,2,0),"")),"")</f>
        <v>черный</v>
      </c>
      <c r="N26" s="141" t="s">
        <v>949</v>
      </c>
      <c r="O26" s="65"/>
      <c r="P26" s="63" t="s">
        <v>44</v>
      </c>
      <c r="Q26" s="58" t="s">
        <v>15</v>
      </c>
      <c r="R26" s="58" t="s">
        <v>382</v>
      </c>
      <c r="S26" s="58">
        <v>3</v>
      </c>
      <c r="V26" s="58"/>
      <c r="X26" s="58"/>
      <c r="Z26" s="58"/>
      <c r="AB26" s="58"/>
      <c r="AD26" s="58"/>
      <c r="AQ26" s="57">
        <f t="shared" si="1"/>
        <v>3</v>
      </c>
      <c r="AR26" s="66" t="s">
        <v>444</v>
      </c>
      <c r="AS26" s="56" t="str">
        <f t="shared" ca="1" si="2"/>
        <v>HOOD HAT, LLC, 15332 Antioch st., #211 Pacific Palisades, CA 90272, USA</v>
      </c>
      <c r="AT26" s="56" t="str">
        <f t="shared" ca="1" si="3"/>
        <v>Соединенные Штаты</v>
      </c>
      <c r="AU26" s="76">
        <f t="shared" si="4"/>
        <v>0.1</v>
      </c>
      <c r="AV26" s="43">
        <f t="shared" si="5"/>
        <v>0.15000000000000002</v>
      </c>
      <c r="AW26" s="43">
        <f t="shared" si="6"/>
        <v>0.30000000000000004</v>
      </c>
      <c r="AX26" s="43">
        <f t="shared" si="7"/>
        <v>0.45000000000000007</v>
      </c>
      <c r="AY26" s="152">
        <v>2184</v>
      </c>
      <c r="AZ26" s="153">
        <f t="shared" si="8"/>
        <v>6552</v>
      </c>
      <c r="BA26" s="45">
        <f>IF(A26&lt;&gt;"",IF(_xlfn.XLOOKUP(A26,'1C'!A:A,'1C'!A:A,0,0)&gt;0,1,0),"")</f>
        <v>0</v>
      </c>
      <c r="BB26" s="146">
        <f>IF(C26&lt;&gt;"",IF(_xlfn.XLOOKUP(C26,'1C'!S:S,'1C'!S:S,0,0)&gt;0,0,1),"")</f>
        <v>0</v>
      </c>
      <c r="BC26" s="73">
        <f t="shared" si="9"/>
        <v>1</v>
      </c>
    </row>
    <row r="27" spans="1:55" ht="98.1" customHeight="1">
      <c r="A27" s="43" t="str">
        <f t="shared" si="0"/>
        <v>100-MWL005-IL011-BKABlack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92-025-72</v>
      </c>
      <c r="C27" s="44" t="s">
        <v>860</v>
      </c>
      <c r="D27" s="43" t="s">
        <v>910</v>
      </c>
      <c r="E27" s="43" t="str">
        <f>IF(F27&lt;&gt;"",IFERROR(VLOOKUP(F27,Категории!A:B,2,0),""),"Требуется категория")</f>
        <v>Бейсболки</v>
      </c>
      <c r="F27" s="44" t="s">
        <v>784</v>
      </c>
      <c r="G27" s="63" t="s">
        <v>947</v>
      </c>
      <c r="H27" s="44" t="s">
        <v>388</v>
      </c>
      <c r="J27" s="57" t="str">
        <f>'1C'!$AF$1</f>
        <v>HOOD</v>
      </c>
      <c r="K27" s="103" t="s">
        <v>52</v>
      </c>
      <c r="L27" s="59" t="s">
        <v>302</v>
      </c>
      <c r="M27" s="145" t="str">
        <f>IF(K27&lt;&gt;"",IFERROR(VLOOKUP(A27,'1C'!A:T,18,0),IFERROR(VLOOKUP(K27,Colors!D:E,2,0),"")),"")</f>
        <v>черный</v>
      </c>
      <c r="N27" s="141" t="s">
        <v>949</v>
      </c>
      <c r="O27" s="65"/>
      <c r="P27" s="63" t="s">
        <v>44</v>
      </c>
      <c r="Q27" s="58" t="s">
        <v>15</v>
      </c>
      <c r="R27" s="58" t="s">
        <v>382</v>
      </c>
      <c r="S27" s="58">
        <v>3</v>
      </c>
      <c r="V27" s="58"/>
      <c r="X27" s="58"/>
      <c r="Z27" s="58"/>
      <c r="AB27" s="58"/>
      <c r="AD27" s="58"/>
      <c r="AQ27" s="57">
        <f t="shared" si="1"/>
        <v>3</v>
      </c>
      <c r="AR27" s="66" t="s">
        <v>444</v>
      </c>
      <c r="AS27" s="56" t="str">
        <f t="shared" ca="1" si="2"/>
        <v>HOOD HAT, LLC, 15332 Antioch st., #211 Pacific Palisades, CA 90272, USA</v>
      </c>
      <c r="AT27" s="56" t="str">
        <f t="shared" ca="1" si="3"/>
        <v>Соединенные Штаты</v>
      </c>
      <c r="AU27" s="76">
        <f t="shared" si="4"/>
        <v>0.1</v>
      </c>
      <c r="AV27" s="43">
        <f t="shared" si="5"/>
        <v>0.15000000000000002</v>
      </c>
      <c r="AW27" s="43">
        <f t="shared" si="6"/>
        <v>0.30000000000000004</v>
      </c>
      <c r="AX27" s="43">
        <f t="shared" si="7"/>
        <v>0.45000000000000007</v>
      </c>
      <c r="AY27" s="152">
        <v>2184</v>
      </c>
      <c r="AZ27" s="153">
        <f t="shared" si="8"/>
        <v>6552</v>
      </c>
      <c r="BA27" s="45">
        <f>IF(A27&lt;&gt;"",IF(_xlfn.XLOOKUP(A27,'1C'!A:A,'1C'!A:A,0,0)&gt;0,1,0),"")</f>
        <v>0</v>
      </c>
      <c r="BB27" s="146">
        <f>IF(C27&lt;&gt;"",IF(_xlfn.XLOOKUP(C27,'1C'!S:S,'1C'!S:S,0,0)&gt;0,0,1),"")</f>
        <v>0</v>
      </c>
      <c r="BC27" s="73">
        <f t="shared" si="9"/>
        <v>1</v>
      </c>
    </row>
    <row r="28" spans="1:55" ht="98.1" customHeight="1">
      <c r="A28" s="43" t="str">
        <f t="shared" si="0"/>
        <v>100-MWL005-MD007-BKBlack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92-026-09</v>
      </c>
      <c r="C28" s="44" t="s">
        <v>861</v>
      </c>
      <c r="D28" s="43" t="s">
        <v>911</v>
      </c>
      <c r="E28" s="43" t="str">
        <f>IF(F28&lt;&gt;"",IFERROR(VLOOKUP(F28,Категории!A:B,2,0),""),"Требуется категория")</f>
        <v>Бейсболки</v>
      </c>
      <c r="F28" s="44" t="s">
        <v>784</v>
      </c>
      <c r="G28" s="63" t="s">
        <v>947</v>
      </c>
      <c r="H28" s="44" t="s">
        <v>388</v>
      </c>
      <c r="J28" s="57" t="str">
        <f>'1C'!$AF$1</f>
        <v>HOOD</v>
      </c>
      <c r="K28" s="103" t="s">
        <v>52</v>
      </c>
      <c r="L28" s="59" t="s">
        <v>596</v>
      </c>
      <c r="M28" s="145" t="str">
        <f>IF(K28&lt;&gt;"",IFERROR(VLOOKUP(A28,'1C'!A:T,18,0),IFERROR(VLOOKUP(K28,Colors!D:E,2,0),"")),"")</f>
        <v>черный</v>
      </c>
      <c r="N28" s="141" t="s">
        <v>949</v>
      </c>
      <c r="O28" s="65"/>
      <c r="P28" s="63" t="s">
        <v>44</v>
      </c>
      <c r="Q28" s="58" t="s">
        <v>15</v>
      </c>
      <c r="R28" s="58" t="s">
        <v>382</v>
      </c>
      <c r="S28" s="58">
        <v>3</v>
      </c>
      <c r="V28" s="58"/>
      <c r="X28" s="58"/>
      <c r="Z28" s="58"/>
      <c r="AB28" s="58"/>
      <c r="AD28" s="58"/>
      <c r="AQ28" s="57">
        <f t="shared" si="1"/>
        <v>3</v>
      </c>
      <c r="AR28" s="66" t="s">
        <v>444</v>
      </c>
      <c r="AS28" s="56" t="str">
        <f t="shared" ca="1" si="2"/>
        <v>HOOD HAT, LLC, 15332 Antioch st., #211 Pacific Palisades, CA 90272, USA</v>
      </c>
      <c r="AT28" s="56" t="str">
        <f t="shared" ca="1" si="3"/>
        <v>Соединенные Штаты</v>
      </c>
      <c r="AU28" s="76">
        <f t="shared" si="4"/>
        <v>0.1</v>
      </c>
      <c r="AV28" s="43">
        <f t="shared" si="5"/>
        <v>0.15000000000000002</v>
      </c>
      <c r="AW28" s="43">
        <f t="shared" si="6"/>
        <v>0.30000000000000004</v>
      </c>
      <c r="AX28" s="43">
        <f t="shared" si="7"/>
        <v>0.45000000000000007</v>
      </c>
      <c r="AY28" s="152">
        <v>2184</v>
      </c>
      <c r="AZ28" s="153">
        <f t="shared" si="8"/>
        <v>6552</v>
      </c>
      <c r="BA28" s="45">
        <f>IF(A28&lt;&gt;"",IF(_xlfn.XLOOKUP(A28,'1C'!A:A,'1C'!A:A,0,0)&gt;0,1,0),"")</f>
        <v>0</v>
      </c>
      <c r="BB28" s="146">
        <f>IF(C28&lt;&gt;"",IF(_xlfn.XLOOKUP(C28,'1C'!S:S,'1C'!S:S,0,0)&gt;0,0,1),"")</f>
        <v>0</v>
      </c>
      <c r="BC28" s="73">
        <f t="shared" si="9"/>
        <v>1</v>
      </c>
    </row>
    <row r="29" spans="1:55" ht="98.1" customHeight="1">
      <c r="A29" s="43" t="str">
        <f t="shared" si="0"/>
        <v>100-MWL005-MI010-NYNavy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92-027-32</v>
      </c>
      <c r="C29" s="44" t="s">
        <v>862</v>
      </c>
      <c r="D29" s="43" t="s">
        <v>912</v>
      </c>
      <c r="E29" s="43" t="str">
        <f>IF(F29&lt;&gt;"",IFERROR(VLOOKUP(F29,Категории!A:B,2,0),""),"Требуется категория")</f>
        <v>Бейсболки</v>
      </c>
      <c r="F29" s="44" t="s">
        <v>784</v>
      </c>
      <c r="G29" s="63" t="s">
        <v>947</v>
      </c>
      <c r="H29" s="44" t="s">
        <v>388</v>
      </c>
      <c r="J29" s="57" t="str">
        <f>'1C'!$AF$1</f>
        <v>HOOD</v>
      </c>
      <c r="K29" s="103" t="s">
        <v>54</v>
      </c>
      <c r="L29" s="59" t="s">
        <v>280</v>
      </c>
      <c r="M29" s="145" t="s">
        <v>71</v>
      </c>
      <c r="N29" s="141" t="s">
        <v>949</v>
      </c>
      <c r="O29" s="65"/>
      <c r="P29" s="63" t="s">
        <v>44</v>
      </c>
      <c r="Q29" s="58" t="s">
        <v>15</v>
      </c>
      <c r="R29" s="58" t="s">
        <v>382</v>
      </c>
      <c r="S29" s="58">
        <v>3</v>
      </c>
      <c r="V29" s="58"/>
      <c r="X29" s="58"/>
      <c r="Z29" s="58"/>
      <c r="AB29" s="58"/>
      <c r="AD29" s="58"/>
      <c r="AQ29" s="57">
        <f t="shared" si="1"/>
        <v>3</v>
      </c>
      <c r="AR29" s="66" t="s">
        <v>444</v>
      </c>
      <c r="AS29" s="56" t="str">
        <f t="shared" ca="1" si="2"/>
        <v>HOOD HAT, LLC, 15332 Antioch st., #211 Pacific Palisades, CA 90272, USA</v>
      </c>
      <c r="AT29" s="56" t="str">
        <f t="shared" ca="1" si="3"/>
        <v>Соединенные Штаты</v>
      </c>
      <c r="AU29" s="76">
        <f t="shared" si="4"/>
        <v>0.1</v>
      </c>
      <c r="AV29" s="43">
        <f t="shared" si="5"/>
        <v>0.15000000000000002</v>
      </c>
      <c r="AW29" s="43">
        <f t="shared" si="6"/>
        <v>0.30000000000000004</v>
      </c>
      <c r="AX29" s="43">
        <f t="shared" si="7"/>
        <v>0.45000000000000007</v>
      </c>
      <c r="AY29" s="152">
        <v>2184</v>
      </c>
      <c r="AZ29" s="153">
        <f t="shared" si="8"/>
        <v>6552</v>
      </c>
      <c r="BA29" s="45">
        <f>IF(A29&lt;&gt;"",IF(_xlfn.XLOOKUP(A29,'1C'!A:A,'1C'!A:A,0,0)&gt;0,1,0),"")</f>
        <v>0</v>
      </c>
      <c r="BB29" s="146">
        <f>IF(C29&lt;&gt;"",IF(_xlfn.XLOOKUP(C29,'1C'!S:S,'1C'!S:S,0,0)&gt;0,0,1),"")</f>
        <v>0</v>
      </c>
      <c r="BC29" s="73">
        <f t="shared" si="9"/>
        <v>1</v>
      </c>
    </row>
    <row r="30" spans="1:55" ht="98.1" customHeight="1">
      <c r="A30" s="43" t="str">
        <f t="shared" si="0"/>
        <v>100-MWL005-NV001-BKABlack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92-028-09</v>
      </c>
      <c r="C30" s="44" t="s">
        <v>863</v>
      </c>
      <c r="D30" s="43" t="s">
        <v>913</v>
      </c>
      <c r="E30" s="43" t="str">
        <f>IF(F30&lt;&gt;"",IFERROR(VLOOKUP(F30,Категории!A:B,2,0),""),"Требуется категория")</f>
        <v>Бейсболки</v>
      </c>
      <c r="F30" s="44" t="s">
        <v>784</v>
      </c>
      <c r="G30" s="63" t="s">
        <v>947</v>
      </c>
      <c r="H30" s="44" t="s">
        <v>388</v>
      </c>
      <c r="J30" s="59" t="str">
        <f>'1C'!$AF$1</f>
        <v>HOOD</v>
      </c>
      <c r="K30" s="103" t="s">
        <v>52</v>
      </c>
      <c r="L30" s="59" t="s">
        <v>53</v>
      </c>
      <c r="M30" s="145" t="str">
        <f>IF(K30&lt;&gt;"",IFERROR(VLOOKUP(A30,'1C'!A:T,18,0),IFERROR(VLOOKUP(K30,Colors!D:E,2,0),"")),"")</f>
        <v>черный</v>
      </c>
      <c r="N30" s="141" t="s">
        <v>949</v>
      </c>
      <c r="O30" s="65"/>
      <c r="P30" s="63" t="s">
        <v>44</v>
      </c>
      <c r="Q30" s="58" t="s">
        <v>15</v>
      </c>
      <c r="R30" s="58" t="s">
        <v>382</v>
      </c>
      <c r="S30" s="58">
        <v>3</v>
      </c>
      <c r="V30" s="58"/>
      <c r="X30" s="58"/>
      <c r="Z30" s="58"/>
      <c r="AB30" s="58"/>
      <c r="AD30" s="58"/>
      <c r="AQ30" s="57">
        <f t="shared" si="1"/>
        <v>3</v>
      </c>
      <c r="AR30" s="66" t="s">
        <v>444</v>
      </c>
      <c r="AS30" s="56" t="str">
        <f t="shared" ca="1" si="2"/>
        <v>HOOD HAT, LLC, 15332 Antioch st., #211 Pacific Palisades, CA 90272, USA</v>
      </c>
      <c r="AT30" s="56" t="str">
        <f t="shared" ca="1" si="3"/>
        <v>Соединенные Штаты</v>
      </c>
      <c r="AU30" s="76">
        <f t="shared" si="4"/>
        <v>0.1</v>
      </c>
      <c r="AV30" s="43">
        <f t="shared" si="5"/>
        <v>0.15000000000000002</v>
      </c>
      <c r="AW30" s="43">
        <f t="shared" si="6"/>
        <v>0.30000000000000004</v>
      </c>
      <c r="AX30" s="43">
        <f t="shared" si="7"/>
        <v>0.45000000000000007</v>
      </c>
      <c r="AY30" s="152">
        <v>2184</v>
      </c>
      <c r="AZ30" s="153">
        <f t="shared" si="8"/>
        <v>6552</v>
      </c>
      <c r="BA30" s="45">
        <f>IF(A30&lt;&gt;"",IF(_xlfn.XLOOKUP(A30,'1C'!A:A,'1C'!A:A,0,0)&gt;0,1,0),"")</f>
        <v>0</v>
      </c>
      <c r="BB30" s="146">
        <f>IF(C30&lt;&gt;"",IF(_xlfn.XLOOKUP(C30,'1C'!S:S,'1C'!S:S,0,0)&gt;0,0,1),"")</f>
        <v>0</v>
      </c>
      <c r="BC30" s="73">
        <f t="shared" si="9"/>
        <v>1</v>
      </c>
    </row>
    <row r="31" spans="1:55" ht="98.1" customHeight="1">
      <c r="A31" s="43" t="str">
        <f t="shared" si="0"/>
        <v>100-MWL005-NY020-HWHighway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92-029-10</v>
      </c>
      <c r="C31" s="44" t="s">
        <v>864</v>
      </c>
      <c r="D31" s="43" t="s">
        <v>914</v>
      </c>
      <c r="E31" s="43" t="str">
        <f>IF(F31&lt;&gt;"",IFERROR(VLOOKUP(F31,Категории!A:B,2,0),""),"Требуется категория")</f>
        <v>Бейсболки</v>
      </c>
      <c r="F31" s="44" t="s">
        <v>784</v>
      </c>
      <c r="G31" s="63" t="s">
        <v>947</v>
      </c>
      <c r="H31" s="44" t="s">
        <v>388</v>
      </c>
      <c r="J31" s="59" t="str">
        <f>'1C'!$AF$1</f>
        <v>HOOD</v>
      </c>
      <c r="K31" s="103" t="s">
        <v>938</v>
      </c>
      <c r="L31" s="58" t="s">
        <v>246</v>
      </c>
      <c r="M31" s="66" t="s">
        <v>83</v>
      </c>
      <c r="N31" s="141" t="s">
        <v>949</v>
      </c>
      <c r="O31" s="65"/>
      <c r="P31" s="63" t="s">
        <v>44</v>
      </c>
      <c r="Q31" s="58" t="s">
        <v>15</v>
      </c>
      <c r="R31" s="58" t="s">
        <v>382</v>
      </c>
      <c r="S31" s="58">
        <v>3</v>
      </c>
      <c r="V31" s="58"/>
      <c r="X31" s="58"/>
      <c r="Z31" s="58"/>
      <c r="AB31" s="58"/>
      <c r="AD31" s="58"/>
      <c r="AQ31" s="57">
        <f t="shared" si="1"/>
        <v>3</v>
      </c>
      <c r="AR31" s="66" t="s">
        <v>444</v>
      </c>
      <c r="AS31" s="56" t="str">
        <f t="shared" ca="1" si="2"/>
        <v>HOOD HAT, LLC, 15332 Antioch st., #211 Pacific Palisades, CA 90272, USA</v>
      </c>
      <c r="AT31" s="56" t="str">
        <f t="shared" ca="1" si="3"/>
        <v>Соединенные Штаты</v>
      </c>
      <c r="AU31" s="76">
        <f t="shared" si="4"/>
        <v>0.1</v>
      </c>
      <c r="AV31" s="43">
        <f t="shared" si="5"/>
        <v>0.15000000000000002</v>
      </c>
      <c r="AW31" s="43">
        <f t="shared" si="6"/>
        <v>0.30000000000000004</v>
      </c>
      <c r="AX31" s="43">
        <f t="shared" si="7"/>
        <v>0.45000000000000007</v>
      </c>
      <c r="AY31" s="152">
        <v>2184</v>
      </c>
      <c r="AZ31" s="153">
        <f t="shared" si="8"/>
        <v>6552</v>
      </c>
      <c r="BA31" s="45">
        <f>IF(A31&lt;&gt;"",IF(_xlfn.XLOOKUP(A31,'1C'!A:A,'1C'!A:A,0,0)&gt;0,1,0),"")</f>
        <v>0</v>
      </c>
      <c r="BB31" s="146">
        <f>IF(C31&lt;&gt;"",IF(_xlfn.XLOOKUP(C31,'1C'!S:S,'1C'!S:S,0,0)&gt;0,0,1),"")</f>
        <v>0</v>
      </c>
      <c r="BC31" s="73">
        <f t="shared" si="9"/>
        <v>1</v>
      </c>
    </row>
    <row r="32" spans="1:55" ht="98.1" customHeight="1">
      <c r="A32" s="43" t="str">
        <f t="shared" si="0"/>
        <v>100-MWL005-NY066-ATAtlantic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92-030-41</v>
      </c>
      <c r="C32" s="44" t="s">
        <v>865</v>
      </c>
      <c r="D32" s="43" t="s">
        <v>915</v>
      </c>
      <c r="E32" s="43" t="str">
        <f>IF(F32&lt;&gt;"",IFERROR(VLOOKUP(F32,Категории!A:B,2,0),""),"Требуется категория")</f>
        <v>Бейсболки</v>
      </c>
      <c r="F32" s="44" t="s">
        <v>784</v>
      </c>
      <c r="G32" s="63" t="s">
        <v>947</v>
      </c>
      <c r="H32" s="44" t="s">
        <v>388</v>
      </c>
      <c r="J32" s="59" t="str">
        <f>'1C'!$AF$1</f>
        <v>HOOD</v>
      </c>
      <c r="K32" s="103" t="s">
        <v>940</v>
      </c>
      <c r="L32" s="58" t="s">
        <v>1002</v>
      </c>
      <c r="M32" s="66" t="s">
        <v>286</v>
      </c>
      <c r="N32" s="141" t="s">
        <v>949</v>
      </c>
      <c r="O32" s="65"/>
      <c r="P32" s="63" t="s">
        <v>44</v>
      </c>
      <c r="Q32" s="58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">
        <v>444</v>
      </c>
      <c r="AS32" s="56" t="str">
        <f t="shared" ca="1" si="2"/>
        <v>HOOD HAT, LLC, 15332 Antioch st., #211 Pacific Palisades, CA 90272, USA</v>
      </c>
      <c r="AT32" s="56" t="str">
        <f t="shared" ca="1" si="3"/>
        <v>Соединенные Штаты</v>
      </c>
      <c r="AU32" s="76">
        <f t="shared" si="4"/>
        <v>0.1</v>
      </c>
      <c r="AV32" s="43">
        <f t="shared" si="5"/>
        <v>0.15000000000000002</v>
      </c>
      <c r="AW32" s="43">
        <f t="shared" si="6"/>
        <v>0.60000000000000009</v>
      </c>
      <c r="AX32" s="43">
        <f t="shared" si="7"/>
        <v>0.90000000000000013</v>
      </c>
      <c r="AY32" s="152">
        <v>2184</v>
      </c>
      <c r="AZ32" s="153">
        <f t="shared" si="8"/>
        <v>13104</v>
      </c>
      <c r="BA32" s="45">
        <f>IF(A32&lt;&gt;"",IF(_xlfn.XLOOKUP(A32,'1C'!A:A,'1C'!A:A,0,0)&gt;0,1,0),"")</f>
        <v>0</v>
      </c>
      <c r="BB32" s="146">
        <f>IF(C32&lt;&gt;"",IF(_xlfn.XLOOKUP(C32,'1C'!S:S,'1C'!S:S,0,0)&gt;0,0,1),"")</f>
        <v>0</v>
      </c>
      <c r="BC32" s="73">
        <f t="shared" si="9"/>
        <v>1</v>
      </c>
    </row>
    <row r="33" spans="1:55" ht="98.1" customHeight="1">
      <c r="A33" s="43" t="str">
        <f t="shared" si="0"/>
        <v>100-MWL005-NY066-NYNavy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92-031-65</v>
      </c>
      <c r="C33" s="44" t="s">
        <v>866</v>
      </c>
      <c r="D33" s="43" t="s">
        <v>916</v>
      </c>
      <c r="E33" s="43" t="str">
        <f>IF(F33&lt;&gt;"",IFERROR(VLOOKUP(F33,Категории!A:B,2,0),""),"Требуется категория")</f>
        <v>Бейсболки</v>
      </c>
      <c r="F33" s="44" t="s">
        <v>784</v>
      </c>
      <c r="G33" s="63" t="s">
        <v>947</v>
      </c>
      <c r="H33" s="44" t="s">
        <v>388</v>
      </c>
      <c r="J33" s="59" t="str">
        <f>'1C'!$AF$1</f>
        <v>HOOD</v>
      </c>
      <c r="K33" s="103" t="s">
        <v>54</v>
      </c>
      <c r="L33" s="59" t="s">
        <v>679</v>
      </c>
      <c r="M33" s="145" t="s">
        <v>71</v>
      </c>
      <c r="N33" s="141" t="s">
        <v>949</v>
      </c>
      <c r="O33" s="65"/>
      <c r="P33" s="63" t="s">
        <v>44</v>
      </c>
      <c r="Q33" s="58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">
        <v>444</v>
      </c>
      <c r="AS33" s="56" t="str">
        <f t="shared" ca="1" si="2"/>
        <v>HOOD HAT, LLC, 15332 Antioch st., #211 Pacific Palisades, CA 90272, USA</v>
      </c>
      <c r="AT33" s="56" t="str">
        <f t="shared" ca="1" si="3"/>
        <v>Соединенные Штаты</v>
      </c>
      <c r="AU33" s="76">
        <f t="shared" si="4"/>
        <v>0.1</v>
      </c>
      <c r="AV33" s="43">
        <f t="shared" si="5"/>
        <v>0.15000000000000002</v>
      </c>
      <c r="AW33" s="43">
        <f t="shared" si="6"/>
        <v>1.2000000000000002</v>
      </c>
      <c r="AX33" s="43">
        <f t="shared" si="7"/>
        <v>1.8000000000000003</v>
      </c>
      <c r="AY33" s="152">
        <v>2184</v>
      </c>
      <c r="AZ33" s="153">
        <f t="shared" si="8"/>
        <v>26208</v>
      </c>
      <c r="BA33" s="45">
        <f>IF(A33&lt;&gt;"",IF(_xlfn.XLOOKUP(A33,'1C'!A:A,'1C'!A:A,0,0)&gt;0,1,0),"")</f>
        <v>0</v>
      </c>
      <c r="BB33" s="146">
        <f>IF(C33&lt;&gt;"",IF(_xlfn.XLOOKUP(C33,'1C'!S:S,'1C'!S:S,0,0)&gt;0,0,1),"")</f>
        <v>0</v>
      </c>
      <c r="BC33" s="73">
        <f t="shared" si="9"/>
        <v>1</v>
      </c>
    </row>
    <row r="34" spans="1:55" ht="98.1" customHeight="1">
      <c r="A34" s="43" t="str">
        <f t="shared" si="0"/>
        <v>100-MWL005-NY066-RLRoyal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92-032-21</v>
      </c>
      <c r="C34" s="44" t="s">
        <v>867</v>
      </c>
      <c r="D34" s="43" t="s">
        <v>917</v>
      </c>
      <c r="E34" s="43" t="str">
        <f>IF(F34&lt;&gt;"",IFERROR(VLOOKUP(F34,Категории!A:B,2,0),""),"Требуется категория")</f>
        <v>Бейсболки</v>
      </c>
      <c r="F34" s="44" t="s">
        <v>784</v>
      </c>
      <c r="G34" s="63" t="s">
        <v>947</v>
      </c>
      <c r="H34" s="44" t="s">
        <v>388</v>
      </c>
      <c r="J34" s="59" t="str">
        <f>'1C'!$AF$1</f>
        <v>HOOD</v>
      </c>
      <c r="K34" s="103" t="s">
        <v>939</v>
      </c>
      <c r="L34" s="58" t="s">
        <v>252</v>
      </c>
      <c r="M34" s="66" t="s">
        <v>71</v>
      </c>
      <c r="N34" s="141" t="s">
        <v>949</v>
      </c>
      <c r="O34" s="65"/>
      <c r="P34" s="63" t="s">
        <v>44</v>
      </c>
      <c r="Q34" s="58" t="s">
        <v>15</v>
      </c>
      <c r="R34" s="58" t="s">
        <v>382</v>
      </c>
      <c r="S34" s="58">
        <v>3</v>
      </c>
      <c r="V34" s="58"/>
      <c r="X34" s="58"/>
      <c r="Z34" s="58"/>
      <c r="AB34" s="58"/>
      <c r="AD34" s="58"/>
      <c r="AQ34" s="57">
        <f t="shared" si="1"/>
        <v>3</v>
      </c>
      <c r="AR34" s="66" t="s">
        <v>444</v>
      </c>
      <c r="AS34" s="56" t="str">
        <f t="shared" ref="AS34:AS52" ca="1" si="10">IF(AR34&lt;&gt;"",VLOOKUP(AR34,INDIRECT(SUBSTITUTE($J34," ","")&amp;"Manufactures"),3,0),"Требуется код страны")</f>
        <v>HOOD HAT, LLC, 15332 Antioch st., #211 Pacific Palisades, CA 90272, USA</v>
      </c>
      <c r="AT34" s="56" t="str">
        <f t="shared" ref="AT34:AT52" ca="1" si="11">IF(AR34&lt;&gt;"",VLOOKUP(AR34,INDIRECT(SUBSTITUTE($J34," ","")&amp;"Manufactures"),2,0),"Требуется код страны")</f>
        <v>Соединенные Штаты</v>
      </c>
      <c r="AU34" s="76">
        <f t="shared" si="4"/>
        <v>0.1</v>
      </c>
      <c r="AV34" s="43">
        <f t="shared" si="5"/>
        <v>0.15000000000000002</v>
      </c>
      <c r="AW34" s="43">
        <f t="shared" si="6"/>
        <v>0.30000000000000004</v>
      </c>
      <c r="AX34" s="43">
        <f t="shared" si="7"/>
        <v>0.45000000000000007</v>
      </c>
      <c r="AY34" s="152">
        <v>2184</v>
      </c>
      <c r="AZ34" s="153">
        <f t="shared" si="8"/>
        <v>6552</v>
      </c>
      <c r="BA34" s="45">
        <f>IF(A34&lt;&gt;"",IF(_xlfn.XLOOKUP(A34,'1C'!A:A,'1C'!A:A,0,0)&gt;0,1,0),"")</f>
        <v>0</v>
      </c>
      <c r="BB34" s="146">
        <f>IF(C34&lt;&gt;"",IF(_xlfn.XLOOKUP(C34,'1C'!S:S,'1C'!S:S,0,0)&gt;0,0,1),"")</f>
        <v>0</v>
      </c>
      <c r="BC34" s="73">
        <f t="shared" si="9"/>
        <v>1</v>
      </c>
    </row>
    <row r="35" spans="1:55" ht="98.1" customHeight="1">
      <c r="A35" s="43" t="str">
        <f t="shared" si="0"/>
        <v>100-MWL005-TX005-HWHighway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92-033-26</v>
      </c>
      <c r="C35" s="44" t="s">
        <v>868</v>
      </c>
      <c r="D35" s="43" t="s">
        <v>918</v>
      </c>
      <c r="E35" s="43" t="str">
        <f>IF(F35&lt;&gt;"",IFERROR(VLOOKUP(F35,Категории!A:B,2,0),""),"Требуется категория")</f>
        <v>Бейсболки</v>
      </c>
      <c r="F35" s="44" t="s">
        <v>784</v>
      </c>
      <c r="G35" s="63" t="s">
        <v>947</v>
      </c>
      <c r="H35" s="44" t="s">
        <v>388</v>
      </c>
      <c r="J35" s="59" t="str">
        <f>'1C'!$AF$1</f>
        <v>HOOD</v>
      </c>
      <c r="K35" s="103" t="s">
        <v>938</v>
      </c>
      <c r="L35" s="58" t="s">
        <v>245</v>
      </c>
      <c r="M35" s="66" t="s">
        <v>83</v>
      </c>
      <c r="N35" s="141" t="s">
        <v>949</v>
      </c>
      <c r="O35" s="65"/>
      <c r="P35" s="63" t="s">
        <v>44</v>
      </c>
      <c r="Q35" s="58" t="s">
        <v>15</v>
      </c>
      <c r="R35" s="58" t="s">
        <v>382</v>
      </c>
      <c r="S35" s="58">
        <v>3</v>
      </c>
      <c r="V35" s="58"/>
      <c r="X35" s="58"/>
      <c r="Z35" s="58"/>
      <c r="AB35" s="58"/>
      <c r="AD35" s="58"/>
      <c r="AQ35" s="57">
        <f t="shared" si="1"/>
        <v>3</v>
      </c>
      <c r="AR35" s="66" t="s">
        <v>444</v>
      </c>
      <c r="AS35" s="56" t="str">
        <f t="shared" ca="1" si="10"/>
        <v>HOOD HAT, LLC, 15332 Antioch st., #211 Pacific Palisades, CA 90272, USA</v>
      </c>
      <c r="AT35" s="56" t="str">
        <f t="shared" ca="1" si="11"/>
        <v>Соединенные Штаты</v>
      </c>
      <c r="AU35" s="76">
        <f t="shared" si="4"/>
        <v>0.1</v>
      </c>
      <c r="AV35" s="43">
        <f t="shared" si="5"/>
        <v>0.15000000000000002</v>
      </c>
      <c r="AW35" s="43">
        <f t="shared" si="6"/>
        <v>0.30000000000000004</v>
      </c>
      <c r="AX35" s="43">
        <f t="shared" si="7"/>
        <v>0.45000000000000007</v>
      </c>
      <c r="AY35" s="152">
        <v>2184</v>
      </c>
      <c r="AZ35" s="153">
        <f t="shared" si="8"/>
        <v>6552</v>
      </c>
      <c r="BA35" s="45">
        <f>IF(A35&lt;&gt;"",IF(_xlfn.XLOOKUP(A35,'1C'!A:A,'1C'!A:A,0,0)&gt;0,1,0),"")</f>
        <v>0</v>
      </c>
      <c r="BB35" s="146">
        <f>IF(C35&lt;&gt;"",IF(_xlfn.XLOOKUP(C35,'1C'!S:S,'1C'!S:S,0,0)&gt;0,0,1),"")</f>
        <v>0</v>
      </c>
      <c r="BC35" s="73">
        <f t="shared" si="9"/>
        <v>1</v>
      </c>
    </row>
    <row r="36" spans="1:55" ht="98.1" customHeight="1">
      <c r="A36" s="43" t="str">
        <f t="shared" si="0"/>
        <v>100-MWL005-WA004-ATAtlantic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92-034-41</v>
      </c>
      <c r="C36" s="44" t="s">
        <v>869</v>
      </c>
      <c r="D36" s="43" t="s">
        <v>919</v>
      </c>
      <c r="E36" s="43" t="str">
        <f>IF(F36&lt;&gt;"",IFERROR(VLOOKUP(F36,Категории!A:B,2,0),""),"Требуется категория")</f>
        <v>Бейсболки</v>
      </c>
      <c r="F36" s="44" t="s">
        <v>784</v>
      </c>
      <c r="G36" s="63" t="s">
        <v>947</v>
      </c>
      <c r="H36" s="44" t="s">
        <v>388</v>
      </c>
      <c r="J36" s="59" t="str">
        <f>'1C'!$AF$1</f>
        <v>HOOD</v>
      </c>
      <c r="K36" s="103" t="s">
        <v>940</v>
      </c>
      <c r="L36" s="58" t="s">
        <v>752</v>
      </c>
      <c r="M36" s="66" t="s">
        <v>286</v>
      </c>
      <c r="N36" s="141" t="s">
        <v>949</v>
      </c>
      <c r="O36" s="65"/>
      <c r="P36" s="63" t="s">
        <v>44</v>
      </c>
      <c r="Q36" s="58" t="s">
        <v>15</v>
      </c>
      <c r="R36" s="58" t="s">
        <v>382</v>
      </c>
      <c r="S36" s="58">
        <v>3</v>
      </c>
      <c r="V36" s="58"/>
      <c r="X36" s="58"/>
      <c r="Z36" s="58"/>
      <c r="AB36" s="58"/>
      <c r="AD36" s="58"/>
      <c r="AQ36" s="59">
        <f t="shared" si="1"/>
        <v>3</v>
      </c>
      <c r="AR36" s="66" t="s">
        <v>444</v>
      </c>
      <c r="AS36" s="56" t="str">
        <f t="shared" ca="1" si="10"/>
        <v>HOOD HAT, LLC, 15332 Antioch st., #211 Pacific Palisades, CA 90272, USA</v>
      </c>
      <c r="AT36" s="56" t="str">
        <f t="shared" ca="1" si="11"/>
        <v>Соединенные Штаты</v>
      </c>
      <c r="AU36" s="76">
        <f t="shared" si="4"/>
        <v>0.1</v>
      </c>
      <c r="AV36" s="43">
        <f t="shared" si="5"/>
        <v>0.15000000000000002</v>
      </c>
      <c r="AW36" s="43">
        <f t="shared" si="6"/>
        <v>0.30000000000000004</v>
      </c>
      <c r="AX36" s="43">
        <f t="shared" si="7"/>
        <v>0.45000000000000007</v>
      </c>
      <c r="AY36" s="152">
        <v>2184</v>
      </c>
      <c r="AZ36" s="153">
        <f t="shared" si="8"/>
        <v>6552</v>
      </c>
      <c r="BA36" s="45">
        <f>IF(A36&lt;&gt;"",IF(_xlfn.XLOOKUP(A36,'1C'!A:A,'1C'!A:A,0,0)&gt;0,1,0),"")</f>
        <v>0</v>
      </c>
      <c r="BB36" s="146">
        <f>IF(C36&lt;&gt;"",IF(_xlfn.XLOOKUP(C36,'1C'!S:S,'1C'!S:S,0,0)&gt;0,0,1),"")</f>
        <v>0</v>
      </c>
      <c r="BC36" s="73">
        <f t="shared" si="9"/>
        <v>1</v>
      </c>
    </row>
    <row r="37" spans="1:55" ht="98.1" customHeight="1">
      <c r="A37" s="43" t="str">
        <f t="shared" si="0"/>
        <v>100-MWL025-CA006-FTFRESH TAR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92-035-09</v>
      </c>
      <c r="C37" s="44" t="s">
        <v>870</v>
      </c>
      <c r="D37" s="43" t="s">
        <v>920</v>
      </c>
      <c r="E37" s="43" t="str">
        <f>IF(F37&lt;&gt;"",IFERROR(VLOOKUP(F37,Категории!A:B,2,0),""),"Требуется категория")</f>
        <v>Бейсболки</v>
      </c>
      <c r="F37" s="44" t="s">
        <v>784</v>
      </c>
      <c r="G37" s="63" t="s">
        <v>947</v>
      </c>
      <c r="H37" s="44" t="s">
        <v>388</v>
      </c>
      <c r="J37" s="43" t="str">
        <f>'1C'!$AF$1</f>
        <v>HOOD</v>
      </c>
      <c r="K37" s="104" t="s">
        <v>941</v>
      </c>
      <c r="L37" s="58" t="s">
        <v>53</v>
      </c>
      <c r="M37" s="66" t="s">
        <v>53</v>
      </c>
      <c r="N37" s="141" t="s">
        <v>949</v>
      </c>
      <c r="O37" s="65"/>
      <c r="P37" s="63" t="s">
        <v>44</v>
      </c>
      <c r="Q37" s="58" t="s">
        <v>15</v>
      </c>
      <c r="R37" s="58" t="s">
        <v>382</v>
      </c>
      <c r="S37" s="58">
        <v>27</v>
      </c>
      <c r="V37" s="58"/>
      <c r="X37" s="58"/>
      <c r="Z37" s="58"/>
      <c r="AB37" s="58"/>
      <c r="AD37" s="58"/>
      <c r="AQ37" s="59">
        <f t="shared" si="1"/>
        <v>27</v>
      </c>
      <c r="AR37" s="66" t="s">
        <v>444</v>
      </c>
      <c r="AS37" s="56" t="str">
        <f t="shared" ca="1" si="10"/>
        <v>HOOD HAT, LLC, 15332 Antioch st., #211 Pacific Palisades, CA 90272, USA</v>
      </c>
      <c r="AT37" s="56" t="str">
        <f t="shared" ca="1" si="11"/>
        <v>Соединенные Штаты</v>
      </c>
      <c r="AU37" s="76">
        <f t="shared" si="4"/>
        <v>0.1</v>
      </c>
      <c r="AV37" s="43">
        <f t="shared" si="5"/>
        <v>0.15000000000000002</v>
      </c>
      <c r="AW37" s="43">
        <f t="shared" si="6"/>
        <v>2.7</v>
      </c>
      <c r="AX37" s="43">
        <f t="shared" si="7"/>
        <v>4.0500000000000007</v>
      </c>
      <c r="AY37" s="152">
        <v>2184</v>
      </c>
      <c r="AZ37" s="153">
        <f t="shared" si="8"/>
        <v>58968</v>
      </c>
      <c r="BA37" s="45">
        <f>IF(A37&lt;&gt;"",IF(_xlfn.XLOOKUP(A37,'1C'!A:A,'1C'!A:A,0,0)&gt;0,1,0),"")</f>
        <v>0</v>
      </c>
      <c r="BB37" s="146">
        <f>IF(C37&lt;&gt;"",IF(_xlfn.XLOOKUP(C37,'1C'!S:S,'1C'!S:S,0,0)&gt;0,0,1),"")</f>
        <v>0</v>
      </c>
      <c r="BC37" s="73">
        <f t="shared" si="9"/>
        <v>1</v>
      </c>
    </row>
    <row r="38" spans="1:55" ht="98.1" customHeight="1">
      <c r="A38" s="43" t="str">
        <f t="shared" si="0"/>
        <v>100-MWL025-CA012-HWHIGHWAY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92-036-08</v>
      </c>
      <c r="C38" s="44" t="s">
        <v>871</v>
      </c>
      <c r="D38" s="43" t="s">
        <v>921</v>
      </c>
      <c r="E38" s="43" t="str">
        <f>IF(F38&lt;&gt;"",IFERROR(VLOOKUP(F38,Категории!A:B,2,0),""),"Требуется категория")</f>
        <v>Бейсболки</v>
      </c>
      <c r="F38" s="44" t="s">
        <v>784</v>
      </c>
      <c r="G38" s="63" t="s">
        <v>947</v>
      </c>
      <c r="H38" s="44" t="s">
        <v>388</v>
      </c>
      <c r="J38" s="43" t="str">
        <f>'1C'!$AF$1</f>
        <v>HOOD</v>
      </c>
      <c r="K38" s="104" t="s">
        <v>942</v>
      </c>
      <c r="L38" s="58" t="s">
        <v>83</v>
      </c>
      <c r="M38" s="66" t="s">
        <v>83</v>
      </c>
      <c r="N38" s="141" t="s">
        <v>949</v>
      </c>
      <c r="O38" s="65"/>
      <c r="P38" s="63" t="s">
        <v>44</v>
      </c>
      <c r="Q38" s="58" t="s">
        <v>15</v>
      </c>
      <c r="R38" s="58" t="s">
        <v>382</v>
      </c>
      <c r="S38" s="58">
        <v>15</v>
      </c>
      <c r="V38" s="58"/>
      <c r="X38" s="58"/>
      <c r="Z38" s="58"/>
      <c r="AB38" s="58"/>
      <c r="AD38" s="58"/>
      <c r="AQ38" s="59">
        <f t="shared" si="1"/>
        <v>15</v>
      </c>
      <c r="AR38" s="66" t="s">
        <v>444</v>
      </c>
      <c r="AS38" s="56" t="str">
        <f t="shared" ca="1" si="10"/>
        <v>HOOD HAT, LLC, 15332 Antioch st., #211 Pacific Palisades, CA 90272, USA</v>
      </c>
      <c r="AT38" s="56" t="str">
        <f t="shared" ca="1" si="11"/>
        <v>Соединенные Штаты</v>
      </c>
      <c r="AU38" s="76">
        <f t="shared" si="4"/>
        <v>0.1</v>
      </c>
      <c r="AV38" s="43">
        <f t="shared" si="5"/>
        <v>0.15000000000000002</v>
      </c>
      <c r="AW38" s="43">
        <f t="shared" si="6"/>
        <v>1.5</v>
      </c>
      <c r="AX38" s="43">
        <f t="shared" si="7"/>
        <v>2.2500000000000004</v>
      </c>
      <c r="AY38" s="152">
        <v>2184</v>
      </c>
      <c r="AZ38" s="153">
        <f t="shared" si="8"/>
        <v>32760</v>
      </c>
      <c r="BA38" s="45">
        <f>IF(A38&lt;&gt;"",IF(_xlfn.XLOOKUP(A38,'1C'!A:A,'1C'!A:A,0,0)&gt;0,1,0),"")</f>
        <v>0</v>
      </c>
      <c r="BB38" s="146">
        <f>IF(C38&lt;&gt;"",IF(_xlfn.XLOOKUP(C38,'1C'!S:S,'1C'!S:S,0,0)&gt;0,0,1),"")</f>
        <v>0</v>
      </c>
      <c r="BC38" s="73">
        <f t="shared" si="9"/>
        <v>1</v>
      </c>
    </row>
    <row r="39" spans="1:55" ht="98.1" customHeight="1">
      <c r="A39" s="43" t="str">
        <f t="shared" si="0"/>
        <v>100-MWL025-CA016-BKBLACK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92-037-09</v>
      </c>
      <c r="C39" s="44" t="s">
        <v>872</v>
      </c>
      <c r="D39" s="43" t="s">
        <v>922</v>
      </c>
      <c r="E39" s="43" t="str">
        <f>IF(F39&lt;&gt;"",IFERROR(VLOOKUP(F39,Категории!A:B,2,0),""),"Требуется категория")</f>
        <v>Бейсболки</v>
      </c>
      <c r="F39" s="44" t="s">
        <v>784</v>
      </c>
      <c r="G39" s="63" t="s">
        <v>947</v>
      </c>
      <c r="H39" s="44" t="s">
        <v>388</v>
      </c>
      <c r="J39" s="43" t="str">
        <f>'1C'!$AF$1</f>
        <v>HOOD</v>
      </c>
      <c r="K39" s="104" t="s">
        <v>936</v>
      </c>
      <c r="L39" s="59" t="s">
        <v>53</v>
      </c>
      <c r="M39" s="145" t="str">
        <f>IF(K39&lt;&gt;"",IFERROR(VLOOKUP(A39,'1C'!A:T,18,0),IFERROR(VLOOKUP(K39,Colors!D:E,2,0),"")),"")</f>
        <v>черный</v>
      </c>
      <c r="N39" s="141" t="s">
        <v>949</v>
      </c>
      <c r="O39" s="65"/>
      <c r="P39" s="63" t="s">
        <v>44</v>
      </c>
      <c r="Q39" s="58" t="s">
        <v>15</v>
      </c>
      <c r="R39" s="58" t="s">
        <v>382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4" t="s">
        <v>444</v>
      </c>
      <c r="AS39" s="56" t="str">
        <f t="shared" ca="1" si="10"/>
        <v>HOOD HAT, LLC, 15332 Antioch st., #211 Pacific Palisades, CA 90272, USA</v>
      </c>
      <c r="AT39" s="56" t="str">
        <f t="shared" ca="1" si="11"/>
        <v>Соединенные Штаты</v>
      </c>
      <c r="AU39" s="76">
        <f t="shared" si="4"/>
        <v>0.1</v>
      </c>
      <c r="AV39" s="43">
        <f t="shared" si="5"/>
        <v>0.15000000000000002</v>
      </c>
      <c r="AW39" s="43">
        <f t="shared" si="6"/>
        <v>1.2000000000000002</v>
      </c>
      <c r="AX39" s="43">
        <f t="shared" si="7"/>
        <v>1.8000000000000003</v>
      </c>
      <c r="AY39" s="152">
        <v>2184</v>
      </c>
      <c r="AZ39" s="153">
        <f t="shared" si="8"/>
        <v>26208</v>
      </c>
      <c r="BA39" s="45">
        <f>IF(A39&lt;&gt;"",IF(_xlfn.XLOOKUP(A39,'1C'!A:A,'1C'!A:A,0,0)&gt;0,1,0),"")</f>
        <v>0</v>
      </c>
      <c r="BB39" s="146">
        <f>IF(C39&lt;&gt;"",IF(_xlfn.XLOOKUP(C39,'1C'!S:S,'1C'!S:S,0,0)&gt;0,0,1),"")</f>
        <v>0</v>
      </c>
      <c r="BC39" s="73">
        <f t="shared" si="9"/>
        <v>1</v>
      </c>
    </row>
    <row r="40" spans="1:55" ht="98.1" customHeight="1">
      <c r="A40" s="43" t="str">
        <f t="shared" si="0"/>
        <v>100-MWL025-NY018-BKBLACK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92-038-09</v>
      </c>
      <c r="C40" s="44" t="s">
        <v>873</v>
      </c>
      <c r="D40" s="43" t="s">
        <v>923</v>
      </c>
      <c r="E40" s="43" t="str">
        <f>IF(F40&lt;&gt;"",IFERROR(VLOOKUP(F40,Категории!A:B,2,0),""),"Требуется категория")</f>
        <v>Бейсболки</v>
      </c>
      <c r="F40" s="44" t="s">
        <v>784</v>
      </c>
      <c r="G40" s="63" t="s">
        <v>947</v>
      </c>
      <c r="H40" s="44" t="s">
        <v>388</v>
      </c>
      <c r="J40" s="43" t="str">
        <f>'1C'!$AF$1</f>
        <v>HOOD</v>
      </c>
      <c r="K40" s="104" t="s">
        <v>936</v>
      </c>
      <c r="L40" s="59" t="s">
        <v>53</v>
      </c>
      <c r="M40" s="145" t="str">
        <f>IF(K40&lt;&gt;"",IFERROR(VLOOKUP(A40,'1C'!A:T,18,0),IFERROR(VLOOKUP(K40,Colors!D:E,2,0),"")),"")</f>
        <v>черный</v>
      </c>
      <c r="N40" s="141" t="s">
        <v>949</v>
      </c>
      <c r="O40" s="65"/>
      <c r="P40" s="63" t="s">
        <v>44</v>
      </c>
      <c r="Q40" s="58" t="s">
        <v>15</v>
      </c>
      <c r="R40" s="58" t="s">
        <v>382</v>
      </c>
      <c r="S40" s="58">
        <v>18</v>
      </c>
      <c r="V40" s="58"/>
      <c r="X40" s="58"/>
      <c r="Z40" s="58"/>
      <c r="AB40" s="58"/>
      <c r="AD40" s="58"/>
      <c r="AQ40" s="59">
        <f t="shared" si="1"/>
        <v>18</v>
      </c>
      <c r="AR40" s="44" t="s">
        <v>444</v>
      </c>
      <c r="AS40" s="56" t="str">
        <f t="shared" ca="1" si="10"/>
        <v>HOOD HAT, LLC, 15332 Antioch st., #211 Pacific Palisades, CA 90272, USA</v>
      </c>
      <c r="AT40" s="56" t="str">
        <f t="shared" ca="1" si="11"/>
        <v>Соединенные Штаты</v>
      </c>
      <c r="AU40" s="76">
        <f t="shared" si="4"/>
        <v>0.1</v>
      </c>
      <c r="AV40" s="43">
        <f t="shared" si="5"/>
        <v>0.15000000000000002</v>
      </c>
      <c r="AW40" s="43">
        <f t="shared" si="6"/>
        <v>1.8</v>
      </c>
      <c r="AX40" s="43">
        <f t="shared" si="7"/>
        <v>2.7</v>
      </c>
      <c r="AY40" s="152">
        <v>2184</v>
      </c>
      <c r="AZ40" s="153">
        <f t="shared" si="8"/>
        <v>39312</v>
      </c>
      <c r="BA40" s="45">
        <f>IF(A40&lt;&gt;"",IF(_xlfn.XLOOKUP(A40,'1C'!A:A,'1C'!A:A,0,0)&gt;0,1,0),"")</f>
        <v>0</v>
      </c>
      <c r="BB40" s="146">
        <f>IF(C40&lt;&gt;"",IF(_xlfn.XLOOKUP(C40,'1C'!S:S,'1C'!S:S,0,0)&gt;0,0,1),"")</f>
        <v>0</v>
      </c>
      <c r="BC40" s="73">
        <f t="shared" si="9"/>
        <v>1</v>
      </c>
    </row>
    <row r="41" spans="1:55" ht="98.1" customHeight="1">
      <c r="A41" s="43" t="str">
        <f t="shared" si="0"/>
        <v>100-MWL025-NY027-FTFRESH TAR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92-039-09</v>
      </c>
      <c r="C41" s="44" t="s">
        <v>874</v>
      </c>
      <c r="D41" s="43" t="s">
        <v>924</v>
      </c>
      <c r="E41" s="43" t="str">
        <f>IF(F41&lt;&gt;"",IFERROR(VLOOKUP(F41,Категории!A:B,2,0),""),"Требуется категория")</f>
        <v>Бейсболки</v>
      </c>
      <c r="F41" s="44" t="s">
        <v>784</v>
      </c>
      <c r="G41" s="63" t="s">
        <v>947</v>
      </c>
      <c r="H41" s="44" t="s">
        <v>388</v>
      </c>
      <c r="J41" s="43" t="str">
        <f>'1C'!$AF$1</f>
        <v>HOOD</v>
      </c>
      <c r="K41" s="104" t="s">
        <v>941</v>
      </c>
      <c r="L41" s="63" t="s">
        <v>53</v>
      </c>
      <c r="M41" s="66" t="s">
        <v>53</v>
      </c>
      <c r="N41" s="141" t="s">
        <v>949</v>
      </c>
      <c r="O41" s="65"/>
      <c r="P41" s="63" t="s">
        <v>44</v>
      </c>
      <c r="Q41" s="58" t="s">
        <v>15</v>
      </c>
      <c r="R41" s="58" t="s">
        <v>382</v>
      </c>
      <c r="S41" s="58">
        <v>27</v>
      </c>
      <c r="V41" s="58"/>
      <c r="X41" s="58"/>
      <c r="Z41" s="58"/>
      <c r="AB41" s="58"/>
      <c r="AD41" s="58"/>
      <c r="AQ41" s="59">
        <f t="shared" si="1"/>
        <v>27</v>
      </c>
      <c r="AR41" s="44" t="s">
        <v>444</v>
      </c>
      <c r="AS41" s="56" t="str">
        <f t="shared" ca="1" si="10"/>
        <v>HOOD HAT, LLC, 15332 Antioch st., #211 Pacific Palisades, CA 90272, USA</v>
      </c>
      <c r="AT41" s="56" t="str">
        <f t="shared" ca="1" si="11"/>
        <v>Соединенные Штаты</v>
      </c>
      <c r="AU41" s="76">
        <f t="shared" si="4"/>
        <v>0.1</v>
      </c>
      <c r="AV41" s="43">
        <f t="shared" si="5"/>
        <v>0.15000000000000002</v>
      </c>
      <c r="AW41" s="43">
        <f t="shared" si="6"/>
        <v>2.7</v>
      </c>
      <c r="AX41" s="43">
        <f t="shared" si="7"/>
        <v>4.0500000000000007</v>
      </c>
      <c r="AY41" s="152">
        <v>2184</v>
      </c>
      <c r="AZ41" s="153">
        <f t="shared" si="8"/>
        <v>58968</v>
      </c>
      <c r="BA41" s="45">
        <f>IF(A41&lt;&gt;"",IF(_xlfn.XLOOKUP(A41,'1C'!A:A,'1C'!A:A,0,0)&gt;0,1,0),"")</f>
        <v>0</v>
      </c>
      <c r="BB41" s="146">
        <f>IF(C41&lt;&gt;"",IF(_xlfn.XLOOKUP(C41,'1C'!S:S,'1C'!S:S,0,0)&gt;0,0,1),"")</f>
        <v>0</v>
      </c>
      <c r="BC41" s="73">
        <f t="shared" si="9"/>
        <v>1</v>
      </c>
    </row>
    <row r="42" spans="1:55" ht="98.1" customHeight="1">
      <c r="A42" s="43" t="str">
        <f t="shared" si="0"/>
        <v>103-SWC001-CA001-KHKhaki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92-040-73</v>
      </c>
      <c r="C42" s="44" t="s">
        <v>875</v>
      </c>
      <c r="D42" s="43" t="s">
        <v>925</v>
      </c>
      <c r="E42" s="43" t="str">
        <f>IF(F42&lt;&gt;"",IFERROR(VLOOKUP(F42,Категории!A:B,2,0),""),"Требуется категория")</f>
        <v>Бейсболки</v>
      </c>
      <c r="F42" s="44" t="s">
        <v>784</v>
      </c>
      <c r="G42" s="63" t="s">
        <v>947</v>
      </c>
      <c r="H42" s="44" t="s">
        <v>388</v>
      </c>
      <c r="J42" s="43" t="str">
        <f>'1C'!$AF$1</f>
        <v>HOOD</v>
      </c>
      <c r="K42" s="104" t="s">
        <v>943</v>
      </c>
      <c r="L42" s="58" t="s">
        <v>81</v>
      </c>
      <c r="M42" s="66" t="s">
        <v>187</v>
      </c>
      <c r="N42" s="141" t="s">
        <v>948</v>
      </c>
      <c r="O42" s="65"/>
      <c r="P42" s="63" t="s">
        <v>43</v>
      </c>
      <c r="Q42" s="58" t="s">
        <v>15</v>
      </c>
      <c r="R42" s="58" t="s">
        <v>382</v>
      </c>
      <c r="S42" s="58">
        <v>15</v>
      </c>
      <c r="V42" s="58"/>
      <c r="X42" s="58"/>
      <c r="Z42" s="58"/>
      <c r="AB42" s="58"/>
      <c r="AD42" s="58"/>
      <c r="AQ42" s="59">
        <f t="shared" si="1"/>
        <v>15</v>
      </c>
      <c r="AR42" s="44" t="s">
        <v>444</v>
      </c>
      <c r="AS42" s="56" t="str">
        <f t="shared" ca="1" si="10"/>
        <v>HOOD HAT, LLC, 15332 Antioch st., #211 Pacific Palisades, CA 90272, USA</v>
      </c>
      <c r="AT42" s="56" t="str">
        <f t="shared" ca="1" si="11"/>
        <v>Соединенные Штаты</v>
      </c>
      <c r="AU42" s="76">
        <f t="shared" si="4"/>
        <v>0.1</v>
      </c>
      <c r="AV42" s="43">
        <f t="shared" si="5"/>
        <v>0.15000000000000002</v>
      </c>
      <c r="AW42" s="43">
        <f t="shared" si="6"/>
        <v>1.5</v>
      </c>
      <c r="AX42" s="43">
        <f t="shared" si="7"/>
        <v>2.2500000000000004</v>
      </c>
      <c r="AY42" s="152">
        <v>2184</v>
      </c>
      <c r="AZ42" s="153">
        <f t="shared" si="8"/>
        <v>32760</v>
      </c>
      <c r="BA42" s="45">
        <f>IF(A42&lt;&gt;"",IF(_xlfn.XLOOKUP(A42,'1C'!A:A,'1C'!A:A,0,0)&gt;0,1,0),"")</f>
        <v>0</v>
      </c>
      <c r="BB42" s="146">
        <f>IF(C42&lt;&gt;"",IF(_xlfn.XLOOKUP(C42,'1C'!S:S,'1C'!S:S,0,0)&gt;0,0,1),"")</f>
        <v>0</v>
      </c>
      <c r="BC42" s="73">
        <f t="shared" si="9"/>
        <v>1</v>
      </c>
    </row>
    <row r="43" spans="1:55" ht="98.1" customHeight="1">
      <c r="A43" s="43" t="str">
        <f t="shared" si="0"/>
        <v>103-SWC001-CA002-KHKhaki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92-041-83</v>
      </c>
      <c r="C43" s="44" t="s">
        <v>876</v>
      </c>
      <c r="D43" s="43" t="s">
        <v>926</v>
      </c>
      <c r="E43" s="43" t="str">
        <f>IF(F43&lt;&gt;"",IFERROR(VLOOKUP(F43,Категории!A:B,2,0),""),"Требуется категория")</f>
        <v>Бейсболки</v>
      </c>
      <c r="F43" s="44" t="s">
        <v>784</v>
      </c>
      <c r="G43" s="63" t="s">
        <v>947</v>
      </c>
      <c r="H43" s="44" t="s">
        <v>388</v>
      </c>
      <c r="J43" s="43" t="str">
        <f>'1C'!$AF$1</f>
        <v>HOOD</v>
      </c>
      <c r="K43" s="104" t="s">
        <v>943</v>
      </c>
      <c r="L43" s="58" t="s">
        <v>1003</v>
      </c>
      <c r="M43" s="66" t="s">
        <v>63</v>
      </c>
      <c r="N43" s="141" t="s">
        <v>948</v>
      </c>
      <c r="O43" s="65"/>
      <c r="P43" s="63" t="s">
        <v>43</v>
      </c>
      <c r="Q43" s="58" t="s">
        <v>15</v>
      </c>
      <c r="R43" s="58" t="s">
        <v>382</v>
      </c>
      <c r="S43" s="58">
        <v>15</v>
      </c>
      <c r="V43" s="58"/>
      <c r="X43" s="58"/>
      <c r="Z43" s="58"/>
      <c r="AB43" s="58"/>
      <c r="AD43" s="58"/>
      <c r="AQ43" s="59">
        <f t="shared" si="1"/>
        <v>15</v>
      </c>
      <c r="AR43" s="44" t="s">
        <v>444</v>
      </c>
      <c r="AS43" s="56" t="str">
        <f t="shared" ca="1" si="10"/>
        <v>HOOD HAT, LLC, 15332 Antioch st., #211 Pacific Palisades, CA 90272, USA</v>
      </c>
      <c r="AT43" s="56" t="str">
        <f t="shared" ca="1" si="11"/>
        <v>Соединенные Штаты</v>
      </c>
      <c r="AU43" s="76">
        <f t="shared" si="4"/>
        <v>0.1</v>
      </c>
      <c r="AV43" s="43">
        <f t="shared" si="5"/>
        <v>0.15000000000000002</v>
      </c>
      <c r="AW43" s="43">
        <f t="shared" si="6"/>
        <v>1.5</v>
      </c>
      <c r="AX43" s="43">
        <f t="shared" si="7"/>
        <v>2.2500000000000004</v>
      </c>
      <c r="AY43" s="152">
        <v>2184</v>
      </c>
      <c r="AZ43" s="153">
        <f t="shared" si="8"/>
        <v>32760</v>
      </c>
      <c r="BA43" s="45">
        <f>IF(A43&lt;&gt;"",IF(_xlfn.XLOOKUP(A43,'1C'!A:A,'1C'!A:A,0,0)&gt;0,1,0),"")</f>
        <v>0</v>
      </c>
      <c r="BB43" s="146">
        <f>IF(C43&lt;&gt;"",IF(_xlfn.XLOOKUP(C43,'1C'!S:S,'1C'!S:S,0,0)&gt;0,0,1),"")</f>
        <v>0</v>
      </c>
      <c r="BC43" s="73">
        <f t="shared" si="9"/>
        <v>1</v>
      </c>
    </row>
    <row r="44" spans="1:55" ht="98.1" customHeight="1">
      <c r="A44" s="43" t="str">
        <f t="shared" si="0"/>
        <v>103-SWC001-CA007-GYGrey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92-042-08</v>
      </c>
      <c r="C44" s="44" t="s">
        <v>877</v>
      </c>
      <c r="D44" s="43" t="s">
        <v>927</v>
      </c>
      <c r="E44" s="43" t="str">
        <f>IF(F44&lt;&gt;"",IFERROR(VLOOKUP(F44,Категории!A:B,2,0),""),"Требуется категория")</f>
        <v>Бейсболки</v>
      </c>
      <c r="F44" s="44" t="s">
        <v>784</v>
      </c>
      <c r="G44" s="63" t="s">
        <v>947</v>
      </c>
      <c r="H44" s="44" t="s">
        <v>388</v>
      </c>
      <c r="J44" s="43" t="str">
        <f>'1C'!$AF$1</f>
        <v>HOOD</v>
      </c>
      <c r="K44" s="104" t="s">
        <v>82</v>
      </c>
      <c r="L44" s="56" t="s">
        <v>241</v>
      </c>
      <c r="M44" s="145" t="str">
        <f>IF(K44&lt;&gt;"",IFERROR(VLOOKUP(A44,'1C'!A:T,18,0),IFERROR(VLOOKUP(K44,Colors!D:E,2,0),"")),"")</f>
        <v>серый</v>
      </c>
      <c r="N44" s="141" t="s">
        <v>948</v>
      </c>
      <c r="O44" s="65"/>
      <c r="P44" s="63" t="s">
        <v>43</v>
      </c>
      <c r="Q44" s="58" t="s">
        <v>15</v>
      </c>
      <c r="R44" s="58" t="s">
        <v>382</v>
      </c>
      <c r="S44" s="58">
        <v>18</v>
      </c>
      <c r="V44" s="58"/>
      <c r="X44" s="58"/>
      <c r="Z44" s="58"/>
      <c r="AB44" s="58"/>
      <c r="AD44" s="58"/>
      <c r="AQ44" s="59">
        <f t="shared" si="1"/>
        <v>18</v>
      </c>
      <c r="AR44" s="44" t="s">
        <v>444</v>
      </c>
      <c r="AS44" s="56" t="str">
        <f t="shared" ca="1" si="10"/>
        <v>HOOD HAT, LLC, 15332 Antioch st., #211 Pacific Palisades, CA 90272, USA</v>
      </c>
      <c r="AT44" s="56" t="str">
        <f t="shared" ca="1" si="11"/>
        <v>Соединенные Штаты</v>
      </c>
      <c r="AU44" s="76">
        <f t="shared" si="4"/>
        <v>0.1</v>
      </c>
      <c r="AV44" s="43">
        <f t="shared" si="5"/>
        <v>0.15000000000000002</v>
      </c>
      <c r="AW44" s="43">
        <f t="shared" si="6"/>
        <v>1.8</v>
      </c>
      <c r="AX44" s="43">
        <f t="shared" si="7"/>
        <v>2.7</v>
      </c>
      <c r="AY44" s="152">
        <v>2184</v>
      </c>
      <c r="AZ44" s="153">
        <f t="shared" si="8"/>
        <v>39312</v>
      </c>
      <c r="BA44" s="45">
        <f>IF(A44&lt;&gt;"",IF(_xlfn.XLOOKUP(A44,'1C'!A:A,'1C'!A:A,0,0)&gt;0,1,0),"")</f>
        <v>0</v>
      </c>
      <c r="BB44" s="146">
        <f>IF(C44&lt;&gt;"",IF(_xlfn.XLOOKUP(C44,'1C'!S:S,'1C'!S:S,0,0)&gt;0,0,1),"")</f>
        <v>0</v>
      </c>
      <c r="BC44" s="73">
        <f t="shared" si="9"/>
        <v>1</v>
      </c>
    </row>
    <row r="45" spans="1:55" ht="98.1" customHeight="1">
      <c r="A45" s="43" t="str">
        <f t="shared" si="0"/>
        <v>103-SWC001-CA008-MCMocha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92-043-83</v>
      </c>
      <c r="C45" s="44" t="s">
        <v>878</v>
      </c>
      <c r="D45" s="43" t="s">
        <v>928</v>
      </c>
      <c r="E45" s="43" t="str">
        <f>IF(F45&lt;&gt;"",IFERROR(VLOOKUP(F45,Категории!A:B,2,0),""),"Требуется категория")</f>
        <v>Бейсболки</v>
      </c>
      <c r="F45" s="44" t="s">
        <v>784</v>
      </c>
      <c r="G45" s="63" t="s">
        <v>947</v>
      </c>
      <c r="H45" s="44" t="s">
        <v>388</v>
      </c>
      <c r="J45" s="43" t="str">
        <f>'1C'!$AF$1</f>
        <v>HOOD</v>
      </c>
      <c r="K45" s="104" t="s">
        <v>944</v>
      </c>
      <c r="L45" s="58" t="s">
        <v>1004</v>
      </c>
      <c r="M45" s="66" t="s">
        <v>86</v>
      </c>
      <c r="N45" s="141" t="s">
        <v>948</v>
      </c>
      <c r="O45" s="65"/>
      <c r="P45" s="63" t="s">
        <v>43</v>
      </c>
      <c r="Q45" s="58" t="s">
        <v>15</v>
      </c>
      <c r="R45" s="58" t="s">
        <v>382</v>
      </c>
      <c r="S45" s="58">
        <v>27</v>
      </c>
      <c r="V45" s="58"/>
      <c r="X45" s="58"/>
      <c r="Z45" s="58"/>
      <c r="AB45" s="58"/>
      <c r="AD45" s="58"/>
      <c r="AQ45" s="59">
        <f t="shared" si="1"/>
        <v>27</v>
      </c>
      <c r="AR45" s="44" t="s">
        <v>444</v>
      </c>
      <c r="AS45" s="56" t="str">
        <f t="shared" ca="1" si="10"/>
        <v>HOOD HAT, LLC, 15332 Antioch st., #211 Pacific Palisades, CA 90272, USA</v>
      </c>
      <c r="AT45" s="56" t="str">
        <f t="shared" ca="1" si="11"/>
        <v>Соединенные Штаты</v>
      </c>
      <c r="AU45" s="76">
        <f t="shared" si="4"/>
        <v>0.1</v>
      </c>
      <c r="AV45" s="43">
        <f t="shared" si="5"/>
        <v>0.15000000000000002</v>
      </c>
      <c r="AW45" s="43">
        <f t="shared" si="6"/>
        <v>2.7</v>
      </c>
      <c r="AX45" s="43">
        <f t="shared" si="7"/>
        <v>4.0500000000000007</v>
      </c>
      <c r="AY45" s="152">
        <v>2184</v>
      </c>
      <c r="AZ45" s="153">
        <f t="shared" si="8"/>
        <v>58968</v>
      </c>
      <c r="BA45" s="45">
        <f>IF(A45&lt;&gt;"",IF(_xlfn.XLOOKUP(A45,'1C'!A:A,'1C'!A:A,0,0)&gt;0,1,0),"")</f>
        <v>0</v>
      </c>
      <c r="BB45" s="146">
        <f>IF(C45&lt;&gt;"",IF(_xlfn.XLOOKUP(C45,'1C'!S:S,'1C'!S:S,0,0)&gt;0,0,1),"")</f>
        <v>0</v>
      </c>
      <c r="BC45" s="73">
        <f t="shared" si="9"/>
        <v>1</v>
      </c>
    </row>
    <row r="46" spans="1:55" ht="98.1" customHeight="1">
      <c r="A46" s="43" t="str">
        <f t="shared" si="0"/>
        <v>103-SWC001-NY001-KHKhaki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92-044-04</v>
      </c>
      <c r="C46" s="44" t="s">
        <v>879</v>
      </c>
      <c r="D46" s="43" t="s">
        <v>929</v>
      </c>
      <c r="E46" s="43" t="str">
        <f>IF(F46&lt;&gt;"",IFERROR(VLOOKUP(F46,Категории!A:B,2,0),""),"Требуется категория")</f>
        <v>Бейсболки</v>
      </c>
      <c r="F46" s="44" t="s">
        <v>784</v>
      </c>
      <c r="G46" s="63" t="s">
        <v>947</v>
      </c>
      <c r="H46" s="44" t="s">
        <v>388</v>
      </c>
      <c r="J46" s="43" t="str">
        <f>'1C'!$AF$1</f>
        <v>HOOD</v>
      </c>
      <c r="K46" s="104" t="s">
        <v>943</v>
      </c>
      <c r="L46" s="63" t="s">
        <v>1005</v>
      </c>
      <c r="M46" s="66" t="s">
        <v>63</v>
      </c>
      <c r="N46" s="141" t="s">
        <v>948</v>
      </c>
      <c r="O46" s="65"/>
      <c r="P46" s="63" t="s">
        <v>43</v>
      </c>
      <c r="Q46" s="58" t="s">
        <v>15</v>
      </c>
      <c r="R46" s="58" t="s">
        <v>382</v>
      </c>
      <c r="S46" s="58">
        <v>15</v>
      </c>
      <c r="V46" s="58"/>
      <c r="X46" s="58"/>
      <c r="Z46" s="58"/>
      <c r="AB46" s="58"/>
      <c r="AD46" s="58"/>
      <c r="AQ46" s="59">
        <f t="shared" si="1"/>
        <v>15</v>
      </c>
      <c r="AR46" s="44" t="s">
        <v>444</v>
      </c>
      <c r="AS46" s="56" t="str">
        <f t="shared" ca="1" si="10"/>
        <v>HOOD HAT, LLC, 15332 Antioch st., #211 Pacific Palisades, CA 90272, USA</v>
      </c>
      <c r="AT46" s="56" t="str">
        <f t="shared" ca="1" si="11"/>
        <v>Соединенные Штаты</v>
      </c>
      <c r="AU46" s="76">
        <f t="shared" si="4"/>
        <v>0.1</v>
      </c>
      <c r="AV46" s="43">
        <f t="shared" si="5"/>
        <v>0.15000000000000002</v>
      </c>
      <c r="AW46" s="43">
        <f t="shared" si="6"/>
        <v>1.5</v>
      </c>
      <c r="AX46" s="43">
        <f t="shared" si="7"/>
        <v>2.2500000000000004</v>
      </c>
      <c r="AY46" s="152">
        <v>2184</v>
      </c>
      <c r="AZ46" s="153">
        <f t="shared" si="8"/>
        <v>32760</v>
      </c>
      <c r="BA46" s="45">
        <f>IF(A46&lt;&gt;"",IF(_xlfn.XLOOKUP(A46,'1C'!A:A,'1C'!A:A,0,0)&gt;0,1,0),"")</f>
        <v>0</v>
      </c>
      <c r="BB46" s="146">
        <f>IF(C46&lt;&gt;"",IF(_xlfn.XLOOKUP(C46,'1C'!S:S,'1C'!S:S,0,0)&gt;0,0,1),"")</f>
        <v>0</v>
      </c>
      <c r="BC46" s="73">
        <f t="shared" si="9"/>
        <v>1</v>
      </c>
    </row>
    <row r="47" spans="1:55" ht="98.1" customHeight="1">
      <c r="A47" s="43" t="str">
        <f t="shared" si="0"/>
        <v>103-SWC001-NY015-BKBlack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92-045-72</v>
      </c>
      <c r="C47" s="44" t="s">
        <v>880</v>
      </c>
      <c r="D47" s="43" t="s">
        <v>930</v>
      </c>
      <c r="E47" s="43" t="str">
        <f>IF(F47&lt;&gt;"",IFERROR(VLOOKUP(F47,Категории!A:B,2,0),""),"Требуется категория")</f>
        <v>Бейсболки</v>
      </c>
      <c r="F47" s="44" t="s">
        <v>784</v>
      </c>
      <c r="G47" s="63" t="s">
        <v>947</v>
      </c>
      <c r="H47" s="44" t="s">
        <v>388</v>
      </c>
      <c r="J47" s="43" t="str">
        <f>'1C'!$AF$1</f>
        <v>HOOD</v>
      </c>
      <c r="K47" s="104" t="s">
        <v>52</v>
      </c>
      <c r="L47" s="56" t="s">
        <v>293</v>
      </c>
      <c r="M47" s="145" t="str">
        <f>IF(K47&lt;&gt;"",IFERROR(VLOOKUP(A47,'1C'!A:T,18,0),IFERROR(VLOOKUP(K47,Colors!D:E,2,0),"")),"")</f>
        <v>черный</v>
      </c>
      <c r="N47" s="141" t="s">
        <v>948</v>
      </c>
      <c r="O47" s="65"/>
      <c r="P47" s="63" t="s">
        <v>43</v>
      </c>
      <c r="Q47" s="58" t="s">
        <v>15</v>
      </c>
      <c r="R47" s="58" t="s">
        <v>382</v>
      </c>
      <c r="S47" s="58">
        <v>15</v>
      </c>
      <c r="V47" s="58"/>
      <c r="X47" s="58"/>
      <c r="Z47" s="58"/>
      <c r="AB47" s="58"/>
      <c r="AD47" s="58"/>
      <c r="AQ47" s="59">
        <f t="shared" si="1"/>
        <v>15</v>
      </c>
      <c r="AR47" s="44" t="s">
        <v>444</v>
      </c>
      <c r="AS47" s="56" t="str">
        <f t="shared" ca="1" si="10"/>
        <v>HOOD HAT, LLC, 15332 Antioch st., #211 Pacific Palisades, CA 90272, USA</v>
      </c>
      <c r="AT47" s="56" t="str">
        <f t="shared" ca="1" si="11"/>
        <v>Соединенные Штаты</v>
      </c>
      <c r="AU47" s="76">
        <f t="shared" si="4"/>
        <v>0.1</v>
      </c>
      <c r="AV47" s="43">
        <f t="shared" si="5"/>
        <v>0.15000000000000002</v>
      </c>
      <c r="AW47" s="43">
        <f t="shared" si="6"/>
        <v>1.5</v>
      </c>
      <c r="AX47" s="43">
        <f t="shared" si="7"/>
        <v>2.2500000000000004</v>
      </c>
      <c r="AY47" s="152">
        <v>2184</v>
      </c>
      <c r="AZ47" s="153">
        <f t="shared" si="8"/>
        <v>32760</v>
      </c>
      <c r="BA47" s="45">
        <f>IF(A47&lt;&gt;"",IF(_xlfn.XLOOKUP(A47,'1C'!A:A,'1C'!A:A,0,0)&gt;0,1,0),"")</f>
        <v>0</v>
      </c>
      <c r="BB47" s="146">
        <f>IF(C47&lt;&gt;"",IF(_xlfn.XLOOKUP(C47,'1C'!S:S,'1C'!S:S,0,0)&gt;0,0,1),"")</f>
        <v>0</v>
      </c>
      <c r="BC47" s="73">
        <f t="shared" si="9"/>
        <v>1</v>
      </c>
    </row>
    <row r="48" spans="1:55" ht="98.1" customHeight="1">
      <c r="A48" s="43" t="str">
        <f t="shared" si="0"/>
        <v>103-SWC001-NY022-GYGrey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92-046-10</v>
      </c>
      <c r="C48" s="44" t="s">
        <v>881</v>
      </c>
      <c r="D48" s="43" t="s">
        <v>931</v>
      </c>
      <c r="E48" s="43" t="str">
        <f>IF(F48&lt;&gt;"",IFERROR(VLOOKUP(F48,Категории!A:B,2,0),""),"Требуется категория")</f>
        <v>Бейсболки</v>
      </c>
      <c r="F48" s="44" t="s">
        <v>784</v>
      </c>
      <c r="G48" s="63" t="s">
        <v>947</v>
      </c>
      <c r="H48" s="44" t="s">
        <v>388</v>
      </c>
      <c r="J48" s="43" t="str">
        <f>'1C'!$AF$1</f>
        <v>HOOD</v>
      </c>
      <c r="K48" s="104" t="s">
        <v>82</v>
      </c>
      <c r="L48" s="56" t="s">
        <v>246</v>
      </c>
      <c r="M48" s="145" t="str">
        <f>IF(K48&lt;&gt;"",IFERROR(VLOOKUP(A48,'1C'!A:T,18,0),IFERROR(VLOOKUP(K48,Colors!D:E,2,0),"")),"")</f>
        <v>серый</v>
      </c>
      <c r="N48" s="141" t="s">
        <v>948</v>
      </c>
      <c r="O48" s="65"/>
      <c r="P48" s="63" t="s">
        <v>43</v>
      </c>
      <c r="Q48" s="58" t="s">
        <v>15</v>
      </c>
      <c r="R48" s="58" t="s">
        <v>382</v>
      </c>
      <c r="S48" s="58">
        <v>15</v>
      </c>
      <c r="V48" s="58"/>
      <c r="X48" s="58"/>
      <c r="Z48" s="58"/>
      <c r="AB48" s="58"/>
      <c r="AD48" s="58"/>
      <c r="AQ48" s="59">
        <f t="shared" si="1"/>
        <v>15</v>
      </c>
      <c r="AR48" s="44" t="s">
        <v>444</v>
      </c>
      <c r="AS48" s="56" t="str">
        <f t="shared" ca="1" si="10"/>
        <v>HOOD HAT, LLC, 15332 Antioch st., #211 Pacific Palisades, CA 90272, USA</v>
      </c>
      <c r="AT48" s="56" t="str">
        <f t="shared" ca="1" si="11"/>
        <v>Соединенные Штаты</v>
      </c>
      <c r="AU48" s="76">
        <f t="shared" si="4"/>
        <v>0.1</v>
      </c>
      <c r="AV48" s="43">
        <f t="shared" si="5"/>
        <v>0.15000000000000002</v>
      </c>
      <c r="AW48" s="43">
        <f t="shared" si="6"/>
        <v>1.5</v>
      </c>
      <c r="AX48" s="43">
        <f t="shared" si="7"/>
        <v>2.2500000000000004</v>
      </c>
      <c r="AY48" s="152">
        <v>2184</v>
      </c>
      <c r="AZ48" s="153">
        <f t="shared" si="8"/>
        <v>32760</v>
      </c>
      <c r="BA48" s="45">
        <f>IF(A48&lt;&gt;"",IF(_xlfn.XLOOKUP(A48,'1C'!A:A,'1C'!A:A,0,0)&gt;0,1,0),"")</f>
        <v>0</v>
      </c>
      <c r="BB48" s="146">
        <f>IF(C48&lt;&gt;"",IF(_xlfn.XLOOKUP(C48,'1C'!S:S,'1C'!S:S,0,0)&gt;0,0,1),"")</f>
        <v>0</v>
      </c>
      <c r="BC48" s="73">
        <f t="shared" si="9"/>
        <v>1</v>
      </c>
    </row>
    <row r="49" spans="1:55" ht="98.1" customHeight="1">
      <c r="A49" s="43" t="str">
        <f t="shared" si="0"/>
        <v>103-SWC001-NY037-BDBud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92-047-11</v>
      </c>
      <c r="C49" s="44" t="s">
        <v>882</v>
      </c>
      <c r="D49" s="43" t="s">
        <v>932</v>
      </c>
      <c r="E49" s="43" t="str">
        <f>IF(F49&lt;&gt;"",IFERROR(VLOOKUP(F49,Категории!A:B,2,0),""),"Требуется категория")</f>
        <v>Бейсболки</v>
      </c>
      <c r="F49" s="44" t="s">
        <v>784</v>
      </c>
      <c r="G49" s="63" t="s">
        <v>947</v>
      </c>
      <c r="H49" s="44" t="s">
        <v>388</v>
      </c>
      <c r="J49" s="43" t="str">
        <f>'1C'!$AF$1</f>
        <v>HOOD</v>
      </c>
      <c r="K49" s="104" t="s">
        <v>945</v>
      </c>
      <c r="L49" s="63" t="s">
        <v>1006</v>
      </c>
      <c r="M49" s="66" t="s">
        <v>195</v>
      </c>
      <c r="N49" s="141" t="s">
        <v>948</v>
      </c>
      <c r="O49" s="65"/>
      <c r="P49" s="63" t="s">
        <v>43</v>
      </c>
      <c r="Q49" s="58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44" t="s">
        <v>444</v>
      </c>
      <c r="AS49" s="56" t="str">
        <f t="shared" ca="1" si="10"/>
        <v>HOOD HAT, LLC, 15332 Antioch st., #211 Pacific Palisades, CA 90272, USA</v>
      </c>
      <c r="AT49" s="56" t="str">
        <f t="shared" ca="1" si="11"/>
        <v>Соединенные Штаты</v>
      </c>
      <c r="AU49" s="76">
        <f t="shared" si="4"/>
        <v>0.1</v>
      </c>
      <c r="AV49" s="43">
        <f t="shared" si="5"/>
        <v>0.15000000000000002</v>
      </c>
      <c r="AW49" s="43">
        <f t="shared" si="6"/>
        <v>1.8</v>
      </c>
      <c r="AX49" s="43">
        <f t="shared" si="7"/>
        <v>2.7</v>
      </c>
      <c r="AY49" s="152">
        <v>2184</v>
      </c>
      <c r="AZ49" s="153">
        <f t="shared" si="8"/>
        <v>39312</v>
      </c>
      <c r="BA49" s="45">
        <f>IF(A49&lt;&gt;"",IF(_xlfn.XLOOKUP(A49,'1C'!A:A,'1C'!A:A,0,0)&gt;0,1,0),"")</f>
        <v>0</v>
      </c>
      <c r="BB49" s="146">
        <f>IF(C49&lt;&gt;"",IF(_xlfn.XLOOKUP(C49,'1C'!S:S,'1C'!S:S,0,0)&gt;0,0,1),"")</f>
        <v>0</v>
      </c>
      <c r="BC49" s="73">
        <f t="shared" si="9"/>
        <v>1</v>
      </c>
    </row>
    <row r="50" spans="1:55" ht="98.1" customHeight="1">
      <c r="A50" s="43" t="str">
        <f t="shared" si="0"/>
        <v>103-SWC001-UT002-MCMocha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92-048-15</v>
      </c>
      <c r="C50" s="44" t="s">
        <v>883</v>
      </c>
      <c r="D50" s="43" t="s">
        <v>933</v>
      </c>
      <c r="E50" s="43" t="str">
        <f>IF(F50&lt;&gt;"",IFERROR(VLOOKUP(F50,Категории!A:B,2,0),""),"Требуется категория")</f>
        <v>Бейсболки</v>
      </c>
      <c r="F50" s="44" t="s">
        <v>784</v>
      </c>
      <c r="G50" s="63" t="s">
        <v>947</v>
      </c>
      <c r="H50" s="44" t="s">
        <v>388</v>
      </c>
      <c r="J50" s="43" t="str">
        <f>'1C'!$AF$1</f>
        <v>HOOD</v>
      </c>
      <c r="K50" s="104" t="s">
        <v>944</v>
      </c>
      <c r="L50" s="58" t="s">
        <v>226</v>
      </c>
      <c r="M50" s="66" t="s">
        <v>86</v>
      </c>
      <c r="N50" s="141" t="s">
        <v>948</v>
      </c>
      <c r="O50" s="65"/>
      <c r="P50" s="63" t="s">
        <v>43</v>
      </c>
      <c r="Q50" s="58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44" t="s">
        <v>444</v>
      </c>
      <c r="AS50" s="56" t="str">
        <f t="shared" ca="1" si="10"/>
        <v>HOOD HAT, LLC, 15332 Antioch st., #211 Pacific Palisades, CA 90272, USA</v>
      </c>
      <c r="AT50" s="56" t="str">
        <f t="shared" ca="1" si="11"/>
        <v>Соединенные Штаты</v>
      </c>
      <c r="AU50" s="76">
        <f t="shared" si="4"/>
        <v>0.1</v>
      </c>
      <c r="AV50" s="43">
        <f t="shared" si="5"/>
        <v>0.15000000000000002</v>
      </c>
      <c r="AW50" s="43">
        <f t="shared" si="6"/>
        <v>1.5</v>
      </c>
      <c r="AX50" s="43">
        <f t="shared" si="7"/>
        <v>2.2500000000000004</v>
      </c>
      <c r="AY50" s="152">
        <v>2184</v>
      </c>
      <c r="AZ50" s="153">
        <f t="shared" si="8"/>
        <v>32760</v>
      </c>
      <c r="BA50" s="45">
        <f>IF(A50&lt;&gt;"",IF(_xlfn.XLOOKUP(A50,'1C'!A:A,'1C'!A:A,0,0)&gt;0,1,0),"")</f>
        <v>0</v>
      </c>
      <c r="BB50" s="146">
        <f>IF(C50&lt;&gt;"",IF(_xlfn.XLOOKUP(C50,'1C'!S:S,'1C'!S:S,0,0)&gt;0,0,1),"")</f>
        <v>0</v>
      </c>
      <c r="BC50" s="73">
        <f t="shared" si="9"/>
        <v>1</v>
      </c>
    </row>
    <row r="51" spans="1:55" ht="98.1" customHeight="1">
      <c r="A51" s="43" t="str">
        <f t="shared" si="0"/>
        <v>103-SWC002-NY020-BKBlack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92-049-72</v>
      </c>
      <c r="C51" s="44" t="s">
        <v>884</v>
      </c>
      <c r="D51" s="43" t="s">
        <v>934</v>
      </c>
      <c r="E51" s="43" t="str">
        <f>IF(F51&lt;&gt;"",IFERROR(VLOOKUP(F51,Категории!A:B,2,0),""),"Требуется категория")</f>
        <v>Бейсболки</v>
      </c>
      <c r="F51" s="44" t="s">
        <v>784</v>
      </c>
      <c r="G51" s="63" t="s">
        <v>947</v>
      </c>
      <c r="H51" s="44" t="s">
        <v>388</v>
      </c>
      <c r="J51" s="43" t="str">
        <f>'1C'!$AF$1</f>
        <v>HOOD</v>
      </c>
      <c r="K51" s="104" t="s">
        <v>52</v>
      </c>
      <c r="L51" s="59" t="s">
        <v>293</v>
      </c>
      <c r="M51" s="145" t="str">
        <f>IF(K51&lt;&gt;"",IFERROR(VLOOKUP(A51,'1C'!A:T,18,0),IFERROR(VLOOKUP(K51,Colors!D:E,2,0),"")),"")</f>
        <v>черный</v>
      </c>
      <c r="N51" s="141" t="s">
        <v>948</v>
      </c>
      <c r="O51" s="65"/>
      <c r="P51" s="63" t="s">
        <v>43</v>
      </c>
      <c r="Q51" s="58" t="s">
        <v>15</v>
      </c>
      <c r="R51" s="58" t="s">
        <v>382</v>
      </c>
      <c r="S51" s="58">
        <v>18</v>
      </c>
      <c r="V51" s="58"/>
      <c r="X51" s="58"/>
      <c r="Z51" s="58"/>
      <c r="AB51" s="58"/>
      <c r="AD51" s="58"/>
      <c r="AQ51" s="59">
        <f t="shared" si="1"/>
        <v>18</v>
      </c>
      <c r="AR51" s="44" t="s">
        <v>444</v>
      </c>
      <c r="AS51" s="56" t="str">
        <f t="shared" ca="1" si="10"/>
        <v>HOOD HAT, LLC, 15332 Antioch st., #211 Pacific Palisades, CA 90272, USA</v>
      </c>
      <c r="AT51" s="56" t="str">
        <f t="shared" ca="1" si="11"/>
        <v>Соединенные Штаты</v>
      </c>
      <c r="AU51" s="76">
        <f t="shared" si="4"/>
        <v>0.1</v>
      </c>
      <c r="AV51" s="43">
        <f t="shared" si="5"/>
        <v>0.15000000000000002</v>
      </c>
      <c r="AW51" s="43">
        <f t="shared" si="6"/>
        <v>1.8</v>
      </c>
      <c r="AX51" s="43">
        <f t="shared" si="7"/>
        <v>2.7</v>
      </c>
      <c r="AY51" s="152">
        <v>2184</v>
      </c>
      <c r="AZ51" s="153">
        <f t="shared" si="8"/>
        <v>39312</v>
      </c>
      <c r="BA51" s="45">
        <f>IF(A51&lt;&gt;"",IF(_xlfn.XLOOKUP(A51,'1C'!A:A,'1C'!A:A,0,0)&gt;0,1,0),"")</f>
        <v>0</v>
      </c>
      <c r="BB51" s="146">
        <f>IF(C51&lt;&gt;"",IF(_xlfn.XLOOKUP(C51,'1C'!S:S,'1C'!S:S,0,0)&gt;0,0,1),"")</f>
        <v>0</v>
      </c>
      <c r="BC51" s="73">
        <f t="shared" si="9"/>
        <v>1</v>
      </c>
    </row>
    <row r="52" spans="1:55" ht="98.1" customHeight="1">
      <c r="A52" s="43" t="str">
        <f t="shared" si="0"/>
        <v>103-SWC003-CA047-STStout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92-050-72</v>
      </c>
      <c r="C52" s="44" t="s">
        <v>885</v>
      </c>
      <c r="D52" s="43" t="s">
        <v>935</v>
      </c>
      <c r="E52" s="43" t="str">
        <f>IF(F52&lt;&gt;"",IFERROR(VLOOKUP(F52,Категории!A:B,2,0),""),"Требуется категория")</f>
        <v>Бейсболки</v>
      </c>
      <c r="F52" s="44" t="s">
        <v>784</v>
      </c>
      <c r="G52" s="63" t="s">
        <v>947</v>
      </c>
      <c r="H52" s="44" t="s">
        <v>388</v>
      </c>
      <c r="J52" s="43" t="str">
        <f>'1C'!$AF$1</f>
        <v>HOOD</v>
      </c>
      <c r="K52" s="104" t="s">
        <v>946</v>
      </c>
      <c r="L52" s="58" t="s">
        <v>170</v>
      </c>
      <c r="M52" s="66" t="s">
        <v>86</v>
      </c>
      <c r="N52" s="141" t="s">
        <v>948</v>
      </c>
      <c r="O52" s="65"/>
      <c r="P52" s="63" t="s">
        <v>43</v>
      </c>
      <c r="Q52" s="58" t="s">
        <v>15</v>
      </c>
      <c r="R52" s="58" t="s">
        <v>382</v>
      </c>
      <c r="S52" s="58">
        <v>3</v>
      </c>
      <c r="V52" s="58"/>
      <c r="X52" s="58"/>
      <c r="Z52" s="58"/>
      <c r="AB52" s="58"/>
      <c r="AD52" s="58"/>
      <c r="AQ52" s="59">
        <f t="shared" si="1"/>
        <v>3</v>
      </c>
      <c r="AR52" s="142" t="s">
        <v>444</v>
      </c>
      <c r="AS52" s="56" t="str">
        <f t="shared" ca="1" si="10"/>
        <v>HOOD HAT, LLC, 15332 Antioch st., #211 Pacific Palisades, CA 90272, USA</v>
      </c>
      <c r="AT52" s="56" t="str">
        <f t="shared" ca="1" si="11"/>
        <v>Соединенные Штаты</v>
      </c>
      <c r="AU52" s="76">
        <f t="shared" si="4"/>
        <v>0.1</v>
      </c>
      <c r="AV52" s="43">
        <f t="shared" si="5"/>
        <v>0.15000000000000002</v>
      </c>
      <c r="AW52" s="43">
        <f t="shared" si="6"/>
        <v>0.30000000000000004</v>
      </c>
      <c r="AX52" s="43">
        <f t="shared" si="7"/>
        <v>0.45000000000000007</v>
      </c>
      <c r="AY52" s="152">
        <v>2184</v>
      </c>
      <c r="AZ52" s="153">
        <f t="shared" si="8"/>
        <v>6552</v>
      </c>
      <c r="BA52" s="45">
        <f>IF(A52&lt;&gt;"",IF(_xlfn.XLOOKUP(A52,'1C'!A:A,'1C'!A:A,0,0)&gt;0,1,0),"")</f>
        <v>0</v>
      </c>
      <c r="BB52" s="146">
        <f>IF(C52&lt;&gt;"",IF(_xlfn.XLOOKUP(C52,'1C'!S:S,'1C'!S:S,0,0)&gt;0,0,1),"")</f>
        <v>0</v>
      </c>
      <c r="BC52" s="73">
        <f t="shared" si="9"/>
        <v>1</v>
      </c>
    </row>
    <row r="53" spans="1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1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1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1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1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1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1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1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1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1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1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1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L19" sqref="L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950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7" t="s">
        <v>788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789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804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topLeftCell="A791" workbookViewId="0">
      <selection activeCell="A2" sqref="A2:B818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832</v>
      </c>
      <c r="E20" s="117" t="s">
        <v>83</v>
      </c>
    </row>
    <row r="21" spans="1:5" ht="15.75" customHeight="1">
      <c r="A21" s="117" t="s">
        <v>231</v>
      </c>
      <c r="B21" s="118" t="s">
        <v>664</v>
      </c>
      <c r="D21" s="119" t="s">
        <v>816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830</v>
      </c>
      <c r="E22" s="117" t="s">
        <v>86</v>
      </c>
    </row>
    <row r="23" spans="1:5">
      <c r="A23" s="117" t="s">
        <v>710</v>
      </c>
      <c r="B23" s="118" t="s">
        <v>624</v>
      </c>
      <c r="D23" s="119" t="s">
        <v>817</v>
      </c>
      <c r="E23" s="117" t="s">
        <v>161</v>
      </c>
    </row>
    <row r="24" spans="1:5">
      <c r="A24" s="117" t="s">
        <v>296</v>
      </c>
      <c r="B24" s="118" t="s">
        <v>639</v>
      </c>
      <c r="D24" s="119" t="s">
        <v>814</v>
      </c>
      <c r="E24" s="117" t="s">
        <v>57</v>
      </c>
    </row>
    <row r="25" spans="1:5">
      <c r="A25" s="117" t="s">
        <v>252</v>
      </c>
      <c r="B25" s="118" t="s">
        <v>670</v>
      </c>
      <c r="D25" s="119" t="s">
        <v>815</v>
      </c>
      <c r="E25" s="117" t="s">
        <v>71</v>
      </c>
    </row>
    <row r="26" spans="1:5">
      <c r="A26" s="117" t="s">
        <v>681</v>
      </c>
      <c r="B26" s="118" t="s">
        <v>639</v>
      </c>
      <c r="D26" s="117" t="s">
        <v>634</v>
      </c>
      <c r="E26" s="117" t="s">
        <v>195</v>
      </c>
    </row>
    <row r="27" spans="1:5">
      <c r="A27" s="117" t="s">
        <v>304</v>
      </c>
      <c r="B27" s="118" t="s">
        <v>608</v>
      </c>
      <c r="D27" s="14"/>
      <c r="E27" s="14"/>
    </row>
    <row r="28" spans="1:5">
      <c r="A28" s="117" t="s">
        <v>249</v>
      </c>
      <c r="B28" s="118" t="s">
        <v>629</v>
      </c>
      <c r="D28" s="14"/>
      <c r="E28" s="14"/>
    </row>
    <row r="29" spans="1:5">
      <c r="A29" s="117" t="s">
        <v>179</v>
      </c>
      <c r="B29" s="118" t="s">
        <v>619</v>
      </c>
      <c r="D29" s="14"/>
      <c r="E29" s="14"/>
    </row>
    <row r="30" spans="1:5">
      <c r="A30" s="117" t="s">
        <v>274</v>
      </c>
      <c r="B30" s="118" t="s">
        <v>619</v>
      </c>
      <c r="D30" s="14"/>
      <c r="E30" s="14"/>
    </row>
    <row r="31" spans="1:5">
      <c r="A31" s="117" t="s">
        <v>302</v>
      </c>
      <c r="B31" s="118" t="s">
        <v>598</v>
      </c>
      <c r="D31" s="14"/>
      <c r="E31" s="14"/>
    </row>
    <row r="32" spans="1:5">
      <c r="A32" s="117" t="s">
        <v>180</v>
      </c>
      <c r="B32" s="118" t="s">
        <v>650</v>
      </c>
      <c r="D32" s="14"/>
      <c r="E32" s="14"/>
    </row>
    <row r="33" spans="1:5">
      <c r="A33" s="117" t="s">
        <v>596</v>
      </c>
      <c r="B33" s="118" t="s">
        <v>626</v>
      </c>
      <c r="D33" s="14"/>
      <c r="E33" s="14"/>
    </row>
    <row r="34" spans="1:5">
      <c r="A34" s="117" t="s">
        <v>60</v>
      </c>
      <c r="B34" s="118" t="s">
        <v>625</v>
      </c>
      <c r="D34" s="14"/>
      <c r="E34" s="14"/>
    </row>
    <row r="35" spans="1:5">
      <c r="A35" s="117" t="s">
        <v>241</v>
      </c>
      <c r="B35" s="118" t="s">
        <v>627</v>
      </c>
      <c r="D35" s="14"/>
      <c r="E35" s="14"/>
    </row>
    <row r="36" spans="1:5">
      <c r="A36" s="117" t="s">
        <v>308</v>
      </c>
      <c r="B36" s="118" t="s">
        <v>550</v>
      </c>
      <c r="D36" s="14"/>
      <c r="E36" s="14"/>
    </row>
    <row r="37" spans="1:5">
      <c r="A37" s="117" t="s">
        <v>294</v>
      </c>
      <c r="B37" s="118" t="s">
        <v>626</v>
      </c>
      <c r="D37" s="14"/>
      <c r="E37" s="14"/>
    </row>
    <row r="38" spans="1:5">
      <c r="A38" s="117" t="s">
        <v>306</v>
      </c>
      <c r="B38" s="118" t="s">
        <v>626</v>
      </c>
      <c r="D38" s="14"/>
      <c r="E38" s="14"/>
    </row>
    <row r="39" spans="1:5">
      <c r="A39" s="117" t="s">
        <v>185</v>
      </c>
      <c r="B39" s="118" t="s">
        <v>619</v>
      </c>
      <c r="D39" s="14"/>
      <c r="E39" s="14"/>
    </row>
    <row r="40" spans="1:5">
      <c r="A40" s="117" t="s">
        <v>186</v>
      </c>
      <c r="B40" s="118" t="s">
        <v>598</v>
      </c>
      <c r="D40" s="14"/>
      <c r="E40" s="14"/>
    </row>
    <row r="41" spans="1:5">
      <c r="A41" s="117" t="s">
        <v>135</v>
      </c>
      <c r="B41" s="118" t="s">
        <v>618</v>
      </c>
      <c r="D41" s="14"/>
      <c r="E41" s="14"/>
    </row>
    <row r="42" spans="1:5">
      <c r="A42" s="117" t="s">
        <v>217</v>
      </c>
      <c r="B42" s="118" t="s">
        <v>623</v>
      </c>
      <c r="D42" s="14"/>
      <c r="E42" s="14"/>
    </row>
    <row r="43" spans="1:5">
      <c r="A43" s="117" t="s">
        <v>682</v>
      </c>
      <c r="B43" s="118" t="s">
        <v>638</v>
      </c>
      <c r="D43" s="14"/>
      <c r="E43" s="14"/>
    </row>
    <row r="44" spans="1:5">
      <c r="A44" s="117" t="s">
        <v>300</v>
      </c>
      <c r="B44" s="118" t="s">
        <v>599</v>
      </c>
      <c r="D44" s="14"/>
      <c r="E44" s="14"/>
    </row>
    <row r="45" spans="1:5">
      <c r="A45" s="117" t="s">
        <v>683</v>
      </c>
      <c r="B45" s="118" t="s">
        <v>680</v>
      </c>
      <c r="D45" s="14"/>
      <c r="E45" s="14"/>
    </row>
    <row r="46" spans="1:5">
      <c r="A46" s="117" t="s">
        <v>593</v>
      </c>
      <c r="B46" s="118" t="s">
        <v>676</v>
      </c>
      <c r="D46" s="14"/>
      <c r="E46" s="14"/>
    </row>
    <row r="47" spans="1:5">
      <c r="A47" s="117" t="s">
        <v>230</v>
      </c>
      <c r="B47" s="118" t="s">
        <v>644</v>
      </c>
      <c r="D47" s="14"/>
      <c r="E47" s="14"/>
    </row>
    <row r="48" spans="1:5">
      <c r="A48" s="117" t="s">
        <v>120</v>
      </c>
      <c r="B48" s="118" t="s">
        <v>664</v>
      </c>
      <c r="D48" s="14"/>
      <c r="E48" s="14"/>
    </row>
    <row r="49" spans="1:5">
      <c r="A49" s="117" t="s">
        <v>83</v>
      </c>
      <c r="B49" s="118" t="s">
        <v>627</v>
      </c>
      <c r="D49" s="14"/>
      <c r="E49" s="14"/>
    </row>
    <row r="50" spans="1:5">
      <c r="A50" s="117" t="s">
        <v>246</v>
      </c>
      <c r="B50" s="118" t="s">
        <v>550</v>
      </c>
      <c r="D50" s="14"/>
      <c r="E50" s="14"/>
    </row>
    <row r="51" spans="1:5">
      <c r="A51" s="117" t="s">
        <v>241</v>
      </c>
      <c r="B51" s="118" t="s">
        <v>684</v>
      </c>
      <c r="D51" s="14"/>
      <c r="E51" s="14"/>
    </row>
    <row r="52" spans="1:5">
      <c r="A52" s="117" t="s">
        <v>245</v>
      </c>
      <c r="B52" s="118" t="s">
        <v>615</v>
      </c>
      <c r="D52" s="14"/>
      <c r="E52" s="14"/>
    </row>
    <row r="53" spans="1:5">
      <c r="A53" s="117" t="s">
        <v>160</v>
      </c>
      <c r="B53" s="118" t="s">
        <v>623</v>
      </c>
      <c r="D53" s="14"/>
      <c r="E53" s="14"/>
    </row>
    <row r="54" spans="1:5">
      <c r="A54" s="117" t="s">
        <v>65</v>
      </c>
      <c r="B54" s="118" t="s">
        <v>648</v>
      </c>
      <c r="D54" s="14"/>
      <c r="E54" s="14"/>
    </row>
    <row r="55" spans="1:5">
      <c r="A55" s="117" t="s">
        <v>807</v>
      </c>
      <c r="B55" s="118" t="s">
        <v>648</v>
      </c>
      <c r="D55" s="14"/>
      <c r="E55" s="14"/>
    </row>
    <row r="56" spans="1:5">
      <c r="A56" s="117" t="s">
        <v>685</v>
      </c>
      <c r="B56" s="118" t="s">
        <v>613</v>
      </c>
      <c r="D56" s="14"/>
      <c r="E56" s="14"/>
    </row>
    <row r="57" spans="1:5">
      <c r="A57" s="117" t="s">
        <v>254</v>
      </c>
      <c r="B57" s="118" t="s">
        <v>680</v>
      </c>
      <c r="D57" s="14"/>
      <c r="E57" s="14"/>
    </row>
    <row r="58" spans="1:5">
      <c r="A58" s="117" t="s">
        <v>686</v>
      </c>
      <c r="B58" s="118" t="s">
        <v>687</v>
      </c>
      <c r="D58" s="14"/>
      <c r="E58" s="14"/>
    </row>
    <row r="59" spans="1:5">
      <c r="A59" s="117" t="s">
        <v>688</v>
      </c>
      <c r="B59" s="118" t="s">
        <v>646</v>
      </c>
      <c r="D59" s="14"/>
      <c r="E59" s="14"/>
    </row>
    <row r="60" spans="1:5">
      <c r="A60" s="117" t="s">
        <v>280</v>
      </c>
      <c r="B60" s="118" t="s">
        <v>635</v>
      </c>
      <c r="D60" s="14"/>
      <c r="E60" s="14"/>
    </row>
    <row r="61" spans="1:5">
      <c r="A61" s="117" t="s">
        <v>51</v>
      </c>
      <c r="B61" s="118" t="s">
        <v>689</v>
      </c>
      <c r="D61" s="14"/>
      <c r="E61" s="14"/>
    </row>
    <row r="62" spans="1:5">
      <c r="A62" s="117" t="s">
        <v>97</v>
      </c>
      <c r="B62" s="118" t="s">
        <v>642</v>
      </c>
      <c r="D62" s="14"/>
      <c r="E62" s="14"/>
    </row>
    <row r="63" spans="1:5">
      <c r="A63" s="117" t="s">
        <v>51</v>
      </c>
      <c r="B63" s="118" t="s">
        <v>613</v>
      </c>
      <c r="D63" s="14"/>
      <c r="E63" s="14"/>
    </row>
    <row r="64" spans="1:5">
      <c r="A64" s="117" t="s">
        <v>185</v>
      </c>
      <c r="B64" s="118" t="s">
        <v>598</v>
      </c>
      <c r="D64" s="14"/>
      <c r="E64" s="14"/>
    </row>
    <row r="65" spans="1:5">
      <c r="A65" s="117" t="s">
        <v>111</v>
      </c>
      <c r="B65" s="118" t="s">
        <v>690</v>
      </c>
      <c r="D65" s="14"/>
      <c r="E65" s="14"/>
    </row>
    <row r="66" spans="1:5">
      <c r="A66" s="117" t="s">
        <v>184</v>
      </c>
      <c r="B66" s="118" t="s">
        <v>669</v>
      </c>
      <c r="D66" s="14"/>
      <c r="E66" s="14"/>
    </row>
    <row r="67" spans="1:5">
      <c r="A67" s="117" t="s">
        <v>256</v>
      </c>
      <c r="B67" s="118" t="s">
        <v>680</v>
      </c>
      <c r="D67" s="14"/>
      <c r="E67" s="14"/>
    </row>
    <row r="68" spans="1:5">
      <c r="A68" s="117" t="s">
        <v>202</v>
      </c>
      <c r="B68" s="118" t="s">
        <v>659</v>
      </c>
      <c r="D68" s="14"/>
      <c r="E68" s="14"/>
    </row>
    <row r="69" spans="1:5">
      <c r="A69" s="117" t="s">
        <v>691</v>
      </c>
      <c r="B69" s="118" t="s">
        <v>684</v>
      </c>
      <c r="D69" s="14"/>
      <c r="E69" s="14"/>
    </row>
    <row r="70" spans="1:5">
      <c r="A70" s="117" t="s">
        <v>692</v>
      </c>
      <c r="B70" s="118" t="s">
        <v>613</v>
      </c>
      <c r="D70" s="14"/>
      <c r="E70" s="14"/>
    </row>
    <row r="71" spans="1:5">
      <c r="A71" s="117" t="s">
        <v>299</v>
      </c>
      <c r="B71" s="118" t="s">
        <v>674</v>
      </c>
      <c r="D71" s="14"/>
      <c r="E71" s="14"/>
    </row>
    <row r="72" spans="1:5">
      <c r="A72" s="117" t="s">
        <v>693</v>
      </c>
      <c r="B72" s="118" t="s">
        <v>648</v>
      </c>
      <c r="D72" s="14"/>
      <c r="E72" s="14"/>
    </row>
    <row r="73" spans="1:5">
      <c r="A73" s="117" t="s">
        <v>290</v>
      </c>
      <c r="B73" s="118" t="s">
        <v>605</v>
      </c>
      <c r="D73" s="14"/>
      <c r="E73" s="14"/>
    </row>
    <row r="74" spans="1:5">
      <c r="A74" s="117" t="s">
        <v>308</v>
      </c>
      <c r="B74" s="118" t="s">
        <v>694</v>
      </c>
      <c r="D74" s="14"/>
      <c r="E74" s="14"/>
    </row>
    <row r="75" spans="1:5">
      <c r="A75" s="117" t="s">
        <v>695</v>
      </c>
      <c r="B75" s="118" t="s">
        <v>601</v>
      </c>
      <c r="D75" s="14"/>
      <c r="E75" s="14"/>
    </row>
    <row r="76" spans="1:5">
      <c r="A76" s="117" t="s">
        <v>259</v>
      </c>
      <c r="B76" s="118" t="s">
        <v>597</v>
      </c>
      <c r="D76" s="14"/>
      <c r="E76" s="14"/>
    </row>
    <row r="77" spans="1:5">
      <c r="A77" s="117" t="s">
        <v>695</v>
      </c>
      <c r="B77" s="118" t="s">
        <v>666</v>
      </c>
      <c r="D77" s="14"/>
      <c r="E77" s="14"/>
    </row>
    <row r="78" spans="1:5">
      <c r="A78" s="117" t="s">
        <v>696</v>
      </c>
      <c r="B78" s="118" t="s">
        <v>606</v>
      </c>
      <c r="D78" s="14"/>
      <c r="E78" s="14"/>
    </row>
    <row r="79" spans="1:5">
      <c r="A79" s="117" t="s">
        <v>282</v>
      </c>
      <c r="B79" s="118" t="s">
        <v>672</v>
      </c>
      <c r="D79" s="14"/>
      <c r="E79" s="14"/>
    </row>
    <row r="80" spans="1:5">
      <c r="A80" s="117" t="s">
        <v>296</v>
      </c>
      <c r="B80" s="118" t="s">
        <v>599</v>
      </c>
      <c r="D80" s="14"/>
      <c r="E80" s="14"/>
    </row>
    <row r="81" spans="1:5">
      <c r="A81" s="117" t="s">
        <v>307</v>
      </c>
      <c r="B81" s="118" t="s">
        <v>675</v>
      </c>
      <c r="D81" s="14"/>
      <c r="E81" s="14"/>
    </row>
    <row r="82" spans="1:5">
      <c r="A82" s="117" t="s">
        <v>697</v>
      </c>
      <c r="B82" s="118" t="s">
        <v>698</v>
      </c>
      <c r="D82" s="14"/>
      <c r="E82" s="14"/>
    </row>
    <row r="83" spans="1:5">
      <c r="A83" s="117" t="s">
        <v>63</v>
      </c>
      <c r="B83" s="118" t="s">
        <v>632</v>
      </c>
      <c r="D83" s="14"/>
      <c r="E83" s="14"/>
    </row>
    <row r="84" spans="1:5">
      <c r="A84" s="117" t="s">
        <v>107</v>
      </c>
      <c r="B84" s="118" t="s">
        <v>637</v>
      </c>
      <c r="D84" s="14"/>
      <c r="E84" s="14"/>
    </row>
    <row r="85" spans="1:5">
      <c r="A85" s="117" t="s">
        <v>244</v>
      </c>
      <c r="B85" s="118" t="s">
        <v>662</v>
      </c>
      <c r="D85" s="14"/>
      <c r="E85" s="14"/>
    </row>
    <row r="86" spans="1:5">
      <c r="A86" s="117" t="s">
        <v>60</v>
      </c>
      <c r="B86" s="118" t="s">
        <v>629</v>
      </c>
      <c r="D86" s="14"/>
      <c r="E86" s="14"/>
    </row>
    <row r="87" spans="1:5">
      <c r="A87" s="117" t="s">
        <v>83</v>
      </c>
      <c r="B87" s="118" t="s">
        <v>660</v>
      </c>
      <c r="D87" s="14"/>
      <c r="E87" s="14"/>
    </row>
    <row r="88" spans="1:5">
      <c r="A88" s="117" t="s">
        <v>209</v>
      </c>
      <c r="B88" s="118" t="s">
        <v>660</v>
      </c>
      <c r="D88" s="14"/>
      <c r="E88" s="14"/>
    </row>
    <row r="89" spans="1:5">
      <c r="A89" s="117" t="s">
        <v>86</v>
      </c>
      <c r="B89" s="118" t="s">
        <v>622</v>
      </c>
      <c r="D89" s="14"/>
      <c r="E89" s="14"/>
    </row>
    <row r="90" spans="1:5">
      <c r="A90" s="117" t="s">
        <v>199</v>
      </c>
      <c r="B90" s="118" t="s">
        <v>623</v>
      </c>
      <c r="D90" s="14"/>
      <c r="E90" s="14"/>
    </row>
    <row r="91" spans="1:5">
      <c r="A91" s="117" t="s">
        <v>306</v>
      </c>
      <c r="B91" s="118" t="s">
        <v>633</v>
      </c>
      <c r="D91" s="14"/>
      <c r="E91" s="14"/>
    </row>
    <row r="92" spans="1:5">
      <c r="A92" s="117" t="s">
        <v>293</v>
      </c>
      <c r="B92" s="118" t="s">
        <v>598</v>
      </c>
      <c r="D92" s="14"/>
      <c r="E92" s="14"/>
    </row>
    <row r="93" spans="1:5">
      <c r="A93" s="117" t="s">
        <v>194</v>
      </c>
      <c r="B93" s="118" t="s">
        <v>627</v>
      </c>
      <c r="D93" s="14"/>
      <c r="E93" s="14"/>
    </row>
    <row r="94" spans="1:5">
      <c r="A94" s="117" t="s">
        <v>309</v>
      </c>
      <c r="B94" s="118" t="s">
        <v>597</v>
      </c>
      <c r="D94" s="14"/>
      <c r="E94" s="14"/>
    </row>
    <row r="95" spans="1:5">
      <c r="A95" s="117" t="s">
        <v>299</v>
      </c>
      <c r="B95" s="118" t="s">
        <v>628</v>
      </c>
      <c r="D95" s="14"/>
      <c r="E95" s="14"/>
    </row>
    <row r="96" spans="1:5">
      <c r="A96" s="117" t="s">
        <v>298</v>
      </c>
      <c r="B96" s="118" t="s">
        <v>626</v>
      </c>
      <c r="D96" s="14"/>
      <c r="E96" s="14"/>
    </row>
    <row r="97" spans="1:5">
      <c r="A97" s="117" t="s">
        <v>592</v>
      </c>
      <c r="B97" s="118" t="s">
        <v>626</v>
      </c>
      <c r="D97" s="14"/>
      <c r="E97" s="14"/>
    </row>
    <row r="98" spans="1:5">
      <c r="A98" s="117" t="s">
        <v>699</v>
      </c>
      <c r="B98" s="118" t="s">
        <v>629</v>
      </c>
      <c r="D98" s="14"/>
      <c r="E98" s="14"/>
    </row>
    <row r="99" spans="1:5">
      <c r="A99" s="117" t="s">
        <v>700</v>
      </c>
      <c r="B99" s="118" t="s">
        <v>621</v>
      </c>
      <c r="D99" s="14"/>
      <c r="E99" s="14"/>
    </row>
    <row r="100" spans="1:5">
      <c r="A100" s="117" t="s">
        <v>106</v>
      </c>
      <c r="B100" s="118" t="s">
        <v>620</v>
      </c>
      <c r="D100" s="14"/>
      <c r="E100" s="14"/>
    </row>
    <row r="101" spans="1:5">
      <c r="A101" s="117" t="s">
        <v>595</v>
      </c>
      <c r="B101" s="118" t="s">
        <v>621</v>
      </c>
      <c r="D101" s="14"/>
      <c r="E101" s="14"/>
    </row>
    <row r="102" spans="1:5">
      <c r="A102" s="117" t="s">
        <v>235</v>
      </c>
      <c r="B102" s="118" t="s">
        <v>615</v>
      </c>
      <c r="D102" s="14"/>
      <c r="E102" s="14"/>
    </row>
    <row r="103" spans="1:5">
      <c r="A103" s="117" t="s">
        <v>307</v>
      </c>
      <c r="B103" s="118" t="s">
        <v>662</v>
      </c>
      <c r="D103" s="14"/>
      <c r="E103" s="14"/>
    </row>
    <row r="104" spans="1:5">
      <c r="A104" s="117" t="s">
        <v>306</v>
      </c>
      <c r="B104" s="118" t="s">
        <v>627</v>
      </c>
      <c r="D104" s="14"/>
      <c r="E104" s="14"/>
    </row>
    <row r="105" spans="1:5">
      <c r="A105" s="117" t="s">
        <v>305</v>
      </c>
      <c r="B105" s="118" t="s">
        <v>627</v>
      </c>
      <c r="D105" s="14"/>
      <c r="E105" s="14"/>
    </row>
    <row r="106" spans="1:5">
      <c r="A106" s="117" t="s">
        <v>242</v>
      </c>
      <c r="B106" s="118" t="s">
        <v>652</v>
      </c>
      <c r="D106" s="14"/>
      <c r="E106" s="14"/>
    </row>
    <row r="107" spans="1:5">
      <c r="A107" s="117" t="s">
        <v>53</v>
      </c>
      <c r="B107" s="118" t="s">
        <v>621</v>
      </c>
      <c r="D107" s="14"/>
      <c r="E107" s="14"/>
    </row>
    <row r="108" spans="1:5">
      <c r="A108" s="117" t="s">
        <v>251</v>
      </c>
      <c r="B108" s="118" t="s">
        <v>629</v>
      </c>
      <c r="D108" s="14"/>
      <c r="E108" s="14"/>
    </row>
    <row r="109" spans="1:5">
      <c r="A109" s="117" t="s">
        <v>111</v>
      </c>
      <c r="B109" s="118" t="s">
        <v>620</v>
      </c>
      <c r="D109" s="14"/>
      <c r="E109" s="14"/>
    </row>
    <row r="110" spans="1:5">
      <c r="A110" s="117" t="s">
        <v>203</v>
      </c>
      <c r="B110" s="118" t="s">
        <v>623</v>
      </c>
      <c r="D110" s="14"/>
      <c r="E110" s="14"/>
    </row>
    <row r="111" spans="1:5">
      <c r="A111" s="117" t="s">
        <v>170</v>
      </c>
      <c r="B111" s="118" t="s">
        <v>598</v>
      </c>
      <c r="D111" s="14"/>
      <c r="E111" s="14"/>
    </row>
    <row r="112" spans="1:5">
      <c r="A112" s="117" t="s">
        <v>701</v>
      </c>
      <c r="B112" s="118" t="s">
        <v>631</v>
      </c>
      <c r="D112" s="14"/>
      <c r="E112" s="14"/>
    </row>
    <row r="113" spans="1:5">
      <c r="A113" s="117" t="s">
        <v>195</v>
      </c>
      <c r="B113" s="118" t="s">
        <v>622</v>
      </c>
      <c r="D113" s="14"/>
      <c r="E113" s="14"/>
    </row>
    <row r="114" spans="1:5">
      <c r="A114" s="117" t="s">
        <v>753</v>
      </c>
      <c r="B114" s="118" t="s">
        <v>622</v>
      </c>
      <c r="D114" s="14"/>
      <c r="E114" s="14"/>
    </row>
    <row r="115" spans="1:5">
      <c r="A115" s="117" t="s">
        <v>195</v>
      </c>
      <c r="B115" s="118" t="s">
        <v>627</v>
      </c>
      <c r="D115" s="14"/>
      <c r="E115" s="14"/>
    </row>
    <row r="116" spans="1:5">
      <c r="A116" s="117" t="s">
        <v>594</v>
      </c>
      <c r="B116" s="118" t="s">
        <v>672</v>
      </c>
      <c r="D116" s="14"/>
      <c r="E116" s="14"/>
    </row>
    <row r="117" spans="1:5">
      <c r="A117" s="117" t="s">
        <v>309</v>
      </c>
      <c r="B117" s="118" t="s">
        <v>629</v>
      </c>
      <c r="D117" s="14"/>
      <c r="E117" s="14"/>
    </row>
    <row r="118" spans="1:5">
      <c r="A118" s="117" t="s">
        <v>86</v>
      </c>
      <c r="B118" s="118" t="s">
        <v>630</v>
      </c>
      <c r="D118" s="14"/>
      <c r="E118" s="14"/>
    </row>
    <row r="119" spans="1:5">
      <c r="A119" s="117" t="s">
        <v>269</v>
      </c>
      <c r="B119" s="118" t="s">
        <v>622</v>
      </c>
      <c r="D119" s="14"/>
      <c r="E119" s="14"/>
    </row>
    <row r="120" spans="1:5">
      <c r="A120" s="117" t="s">
        <v>293</v>
      </c>
      <c r="B120" s="118" t="s">
        <v>610</v>
      </c>
      <c r="D120" s="14"/>
      <c r="E120" s="14"/>
    </row>
    <row r="121" spans="1:5">
      <c r="A121" s="117" t="s">
        <v>51</v>
      </c>
      <c r="B121" s="118" t="s">
        <v>627</v>
      </c>
      <c r="D121" s="14"/>
      <c r="E121" s="14"/>
    </row>
    <row r="122" spans="1:5">
      <c r="A122" s="117" t="s">
        <v>253</v>
      </c>
      <c r="B122" s="118" t="s">
        <v>599</v>
      </c>
      <c r="D122" s="14"/>
      <c r="E122" s="14"/>
    </row>
    <row r="123" spans="1:5">
      <c r="A123" s="117" t="s">
        <v>259</v>
      </c>
      <c r="B123" s="118" t="s">
        <v>626</v>
      </c>
      <c r="D123" s="14"/>
      <c r="E123" s="14"/>
    </row>
    <row r="124" spans="1:5">
      <c r="A124" s="117" t="s">
        <v>301</v>
      </c>
      <c r="B124" s="118" t="s">
        <v>657</v>
      </c>
      <c r="D124" s="14"/>
      <c r="E124" s="14"/>
    </row>
    <row r="125" spans="1:5">
      <c r="A125" s="117" t="s">
        <v>702</v>
      </c>
      <c r="B125" s="118" t="s">
        <v>615</v>
      </c>
      <c r="D125" s="14"/>
      <c r="E125" s="14"/>
    </row>
    <row r="126" spans="1:5">
      <c r="A126" s="117" t="s">
        <v>118</v>
      </c>
      <c r="B126" s="118" t="s">
        <v>656</v>
      </c>
      <c r="D126" s="14"/>
      <c r="E126" s="14"/>
    </row>
    <row r="127" spans="1:5">
      <c r="A127" s="117" t="s">
        <v>286</v>
      </c>
      <c r="B127" s="118" t="s">
        <v>612</v>
      </c>
      <c r="D127" s="14"/>
      <c r="E127" s="14"/>
    </row>
    <row r="128" spans="1:5">
      <c r="A128" s="117" t="s">
        <v>1002</v>
      </c>
      <c r="B128" s="118" t="s">
        <v>612</v>
      </c>
      <c r="D128" s="14"/>
      <c r="E128" s="14"/>
    </row>
    <row r="129" spans="1:5">
      <c r="A129" s="117" t="s">
        <v>306</v>
      </c>
      <c r="B129" s="118" t="s">
        <v>622</v>
      </c>
      <c r="D129" s="14"/>
      <c r="E129" s="14"/>
    </row>
    <row r="130" spans="1:5">
      <c r="A130" s="117" t="s">
        <v>226</v>
      </c>
      <c r="B130" s="118" t="s">
        <v>667</v>
      </c>
      <c r="D130" s="14"/>
      <c r="E130" s="14"/>
    </row>
    <row r="131" spans="1:5">
      <c r="A131" s="117" t="s">
        <v>53</v>
      </c>
      <c r="B131" s="118" t="s">
        <v>630</v>
      </c>
      <c r="D131" s="14"/>
      <c r="E131" s="14"/>
    </row>
    <row r="132" spans="1:5">
      <c r="A132" s="117" t="s">
        <v>250</v>
      </c>
      <c r="B132" s="118" t="s">
        <v>684</v>
      </c>
      <c r="D132" s="14"/>
      <c r="E132" s="14"/>
    </row>
    <row r="133" spans="1:5">
      <c r="A133" s="117" t="s">
        <v>703</v>
      </c>
      <c r="B133" s="118" t="s">
        <v>665</v>
      </c>
      <c r="D133" s="14"/>
      <c r="E133" s="14"/>
    </row>
    <row r="134" spans="1:5">
      <c r="A134" s="117" t="s">
        <v>205</v>
      </c>
      <c r="B134" s="118" t="s">
        <v>632</v>
      </c>
      <c r="D134" s="14"/>
      <c r="E134" s="14"/>
    </row>
    <row r="135" spans="1:5">
      <c r="A135" s="117" t="s">
        <v>101</v>
      </c>
      <c r="B135" s="118" t="s">
        <v>608</v>
      </c>
      <c r="D135" s="14"/>
      <c r="E135" s="14"/>
    </row>
    <row r="136" spans="1:5">
      <c r="A136" s="117" t="s">
        <v>704</v>
      </c>
      <c r="B136" s="118" t="s">
        <v>626</v>
      </c>
      <c r="D136" s="14"/>
      <c r="E136" s="14"/>
    </row>
    <row r="137" spans="1:5">
      <c r="A137" s="117" t="s">
        <v>246</v>
      </c>
      <c r="B137" s="118" t="s">
        <v>626</v>
      </c>
      <c r="D137" s="14"/>
      <c r="E137" s="14"/>
    </row>
    <row r="138" spans="1:5">
      <c r="A138" s="117" t="s">
        <v>133</v>
      </c>
      <c r="B138" s="118" t="s">
        <v>618</v>
      </c>
      <c r="D138" s="14"/>
      <c r="E138" s="14"/>
    </row>
    <row r="139" spans="1:5">
      <c r="A139" s="117" t="s">
        <v>705</v>
      </c>
      <c r="B139" s="118" t="s">
        <v>661</v>
      </c>
      <c r="D139" s="14"/>
      <c r="E139" s="14"/>
    </row>
    <row r="140" spans="1:5">
      <c r="A140" s="117" t="s">
        <v>109</v>
      </c>
      <c r="B140" s="118" t="s">
        <v>625</v>
      </c>
      <c r="D140" s="14"/>
      <c r="E140" s="14"/>
    </row>
    <row r="141" spans="1:5">
      <c r="A141" s="117" t="s">
        <v>83</v>
      </c>
      <c r="B141" s="118" t="s">
        <v>622</v>
      </c>
      <c r="D141" s="14"/>
      <c r="E141" s="14"/>
    </row>
    <row r="142" spans="1:5">
      <c r="A142" s="117" t="s">
        <v>141</v>
      </c>
      <c r="B142" s="118" t="s">
        <v>626</v>
      </c>
      <c r="D142" s="14"/>
      <c r="E142" s="14"/>
    </row>
    <row r="143" spans="1:5">
      <c r="A143" s="117" t="s">
        <v>183</v>
      </c>
      <c r="B143" s="118" t="s">
        <v>633</v>
      </c>
      <c r="D143" s="14"/>
      <c r="E143" s="14"/>
    </row>
    <row r="144" spans="1:5">
      <c r="A144" s="117" t="s">
        <v>185</v>
      </c>
      <c r="B144" s="118" t="s">
        <v>633</v>
      </c>
      <c r="D144" s="14"/>
      <c r="E144" s="14"/>
    </row>
    <row r="145" spans="1:5">
      <c r="A145" s="117" t="s">
        <v>57</v>
      </c>
      <c r="B145" s="118" t="s">
        <v>621</v>
      </c>
      <c r="D145" s="14"/>
      <c r="E145" s="14"/>
    </row>
    <row r="146" spans="1:5">
      <c r="A146" s="117" t="s">
        <v>86</v>
      </c>
      <c r="B146" s="118" t="s">
        <v>623</v>
      </c>
      <c r="D146" s="14"/>
      <c r="E146" s="14"/>
    </row>
    <row r="147" spans="1:5">
      <c r="A147" s="117" t="s">
        <v>296</v>
      </c>
      <c r="B147" s="118" t="s">
        <v>626</v>
      </c>
      <c r="D147" s="14"/>
      <c r="E147" s="14"/>
    </row>
    <row r="148" spans="1:5">
      <c r="A148" s="117" t="s">
        <v>706</v>
      </c>
      <c r="B148" s="118" t="s">
        <v>623</v>
      </c>
      <c r="D148" s="14"/>
      <c r="E148" s="14"/>
    </row>
    <row r="149" spans="1:5">
      <c r="A149" s="117" t="s">
        <v>133</v>
      </c>
      <c r="B149" s="118" t="s">
        <v>597</v>
      </c>
      <c r="D149" s="14"/>
      <c r="E149" s="14"/>
    </row>
    <row r="150" spans="1:5">
      <c r="A150" s="117" t="s">
        <v>175</v>
      </c>
      <c r="B150" s="118" t="s">
        <v>622</v>
      </c>
      <c r="D150" s="14"/>
      <c r="E150" s="14"/>
    </row>
    <row r="151" spans="1:5">
      <c r="A151" s="117" t="s">
        <v>158</v>
      </c>
      <c r="B151" s="118" t="s">
        <v>633</v>
      </c>
      <c r="D151" s="14"/>
      <c r="E151" s="14"/>
    </row>
    <row r="152" spans="1:5">
      <c r="A152" s="117" t="s">
        <v>86</v>
      </c>
      <c r="B152" s="118" t="s">
        <v>667</v>
      </c>
      <c r="D152" s="14"/>
      <c r="E152" s="14"/>
    </row>
    <row r="153" spans="1:5">
      <c r="A153" s="117" t="s">
        <v>68</v>
      </c>
      <c r="B153" s="118" t="s">
        <v>623</v>
      </c>
      <c r="D153" s="14"/>
      <c r="E153" s="14"/>
    </row>
    <row r="154" spans="1:5">
      <c r="A154" s="117" t="s">
        <v>187</v>
      </c>
      <c r="B154" s="118" t="s">
        <v>620</v>
      </c>
      <c r="D154" s="14"/>
      <c r="E154" s="14"/>
    </row>
    <row r="155" spans="1:5">
      <c r="A155" s="117" t="s">
        <v>191</v>
      </c>
      <c r="B155" s="118" t="s">
        <v>612</v>
      </c>
      <c r="D155" s="14"/>
      <c r="E155" s="14"/>
    </row>
    <row r="156" spans="1:5">
      <c r="A156" s="117" t="s">
        <v>144</v>
      </c>
      <c r="B156" s="118" t="s">
        <v>649</v>
      </c>
      <c r="D156" s="14"/>
      <c r="E156" s="14"/>
    </row>
    <row r="157" spans="1:5">
      <c r="A157" s="117" t="s">
        <v>71</v>
      </c>
      <c r="B157" s="118" t="s">
        <v>621</v>
      </c>
      <c r="D157" s="14"/>
      <c r="E157" s="14"/>
    </row>
    <row r="158" spans="1:5">
      <c r="A158" s="117" t="s">
        <v>180</v>
      </c>
      <c r="B158" s="118" t="s">
        <v>622</v>
      </c>
      <c r="D158" s="14"/>
      <c r="E158" s="14"/>
    </row>
    <row r="159" spans="1:5">
      <c r="A159" s="117" t="s">
        <v>241</v>
      </c>
      <c r="B159" s="118" t="s">
        <v>619</v>
      </c>
      <c r="D159" s="14"/>
      <c r="E159" s="14"/>
    </row>
    <row r="160" spans="1:5">
      <c r="A160" s="117" t="s">
        <v>194</v>
      </c>
      <c r="B160" s="118" t="s">
        <v>620</v>
      </c>
      <c r="D160" s="14"/>
      <c r="E160" s="14"/>
    </row>
    <row r="161" spans="1:5">
      <c r="A161" s="117" t="s">
        <v>707</v>
      </c>
      <c r="B161" s="118" t="s">
        <v>627</v>
      </c>
      <c r="D161" s="14"/>
      <c r="E161" s="14"/>
    </row>
    <row r="162" spans="1:5">
      <c r="A162" s="117" t="s">
        <v>236</v>
      </c>
      <c r="B162" s="118" t="s">
        <v>633</v>
      </c>
      <c r="D162" s="14"/>
      <c r="E162" s="14"/>
    </row>
    <row r="163" spans="1:5">
      <c r="A163" s="117" t="s">
        <v>277</v>
      </c>
      <c r="B163" s="118" t="s">
        <v>610</v>
      </c>
      <c r="D163" s="14"/>
      <c r="E163" s="14"/>
    </row>
    <row r="164" spans="1:5">
      <c r="A164" s="117" t="s">
        <v>119</v>
      </c>
      <c r="B164" s="118" t="s">
        <v>626</v>
      </c>
      <c r="D164" s="14"/>
      <c r="E164" s="14"/>
    </row>
    <row r="165" spans="1:5">
      <c r="A165" s="117" t="s">
        <v>271</v>
      </c>
      <c r="B165" s="118" t="s">
        <v>672</v>
      </c>
      <c r="D165" s="14"/>
      <c r="E165" s="14"/>
    </row>
    <row r="166" spans="1:5">
      <c r="A166" s="117" t="s">
        <v>699</v>
      </c>
      <c r="B166" s="118" t="s">
        <v>621</v>
      </c>
      <c r="D166" s="14"/>
      <c r="E166" s="14"/>
    </row>
    <row r="167" spans="1:5">
      <c r="A167" s="117" t="s">
        <v>219</v>
      </c>
      <c r="B167" s="118" t="s">
        <v>631</v>
      </c>
      <c r="D167" s="14"/>
      <c r="E167" s="14"/>
    </row>
    <row r="168" spans="1:5">
      <c r="A168" s="117" t="s">
        <v>186</v>
      </c>
      <c r="B168" s="118" t="s">
        <v>619</v>
      </c>
      <c r="D168" s="14"/>
      <c r="E168" s="14"/>
    </row>
    <row r="169" spans="1:5">
      <c r="A169" s="117" t="s">
        <v>120</v>
      </c>
      <c r="B169" s="118" t="s">
        <v>616</v>
      </c>
      <c r="D169" s="14"/>
      <c r="E169" s="14"/>
    </row>
    <row r="170" spans="1:5">
      <c r="A170" s="117" t="s">
        <v>143</v>
      </c>
      <c r="B170" s="118" t="s">
        <v>633</v>
      </c>
      <c r="D170" s="14"/>
      <c r="E170" s="14"/>
    </row>
    <row r="171" spans="1:5">
      <c r="A171" s="117" t="s">
        <v>157</v>
      </c>
      <c r="B171" s="118" t="s">
        <v>633</v>
      </c>
      <c r="D171" s="14"/>
      <c r="E171" s="14"/>
    </row>
    <row r="172" spans="1:5">
      <c r="A172" s="117" t="s">
        <v>168</v>
      </c>
      <c r="B172" s="118" t="s">
        <v>653</v>
      </c>
      <c r="D172" s="14"/>
      <c r="E172" s="14"/>
    </row>
    <row r="173" spans="1:5">
      <c r="A173" s="117" t="s">
        <v>152</v>
      </c>
      <c r="B173" s="118" t="s">
        <v>653</v>
      </c>
      <c r="D173" s="14"/>
      <c r="E173" s="14"/>
    </row>
    <row r="174" spans="1:5">
      <c r="A174" s="117" t="s">
        <v>139</v>
      </c>
      <c r="B174" s="118" t="s">
        <v>646</v>
      </c>
      <c r="D174" s="14"/>
      <c r="E174" s="14"/>
    </row>
    <row r="175" spans="1:5">
      <c r="A175" s="117" t="s">
        <v>708</v>
      </c>
      <c r="B175" s="118" t="s">
        <v>620</v>
      </c>
      <c r="D175" s="14"/>
      <c r="E175" s="14"/>
    </row>
    <row r="176" spans="1:5">
      <c r="A176" s="117" t="s">
        <v>278</v>
      </c>
      <c r="B176" s="118" t="s">
        <v>615</v>
      </c>
      <c r="D176" s="14"/>
      <c r="E176" s="14"/>
    </row>
    <row r="177" spans="1:5">
      <c r="A177" s="117" t="s">
        <v>279</v>
      </c>
      <c r="B177" s="118" t="s">
        <v>635</v>
      </c>
      <c r="D177" s="14"/>
      <c r="E177" s="14"/>
    </row>
    <row r="178" spans="1:5">
      <c r="A178" s="117" t="s">
        <v>169</v>
      </c>
      <c r="B178" s="118" t="s">
        <v>633</v>
      </c>
      <c r="D178" s="14"/>
      <c r="E178" s="14"/>
    </row>
    <row r="179" spans="1:5">
      <c r="A179" s="117" t="s">
        <v>167</v>
      </c>
      <c r="B179" s="118" t="s">
        <v>622</v>
      </c>
      <c r="D179" s="14"/>
      <c r="E179" s="14"/>
    </row>
    <row r="180" spans="1:5">
      <c r="A180" s="117" t="s">
        <v>122</v>
      </c>
      <c r="B180" s="118" t="s">
        <v>607</v>
      </c>
      <c r="D180" s="14"/>
      <c r="E180" s="14"/>
    </row>
    <row r="181" spans="1:5">
      <c r="A181" s="117" t="s">
        <v>164</v>
      </c>
      <c r="B181" s="118" t="s">
        <v>622</v>
      </c>
      <c r="D181" s="14"/>
      <c r="E181" s="14"/>
    </row>
    <row r="182" spans="1:5">
      <c r="A182" s="117" t="s">
        <v>293</v>
      </c>
      <c r="B182" s="118" t="s">
        <v>626</v>
      </c>
      <c r="D182" s="14"/>
      <c r="E182" s="14"/>
    </row>
    <row r="183" spans="1:5">
      <c r="A183" s="117" t="s">
        <v>228</v>
      </c>
      <c r="B183" s="118" t="s">
        <v>709</v>
      </c>
      <c r="D183" s="14"/>
      <c r="E183" s="14"/>
    </row>
    <row r="184" spans="1:5">
      <c r="A184" s="117" t="s">
        <v>220</v>
      </c>
      <c r="B184" s="118" t="s">
        <v>664</v>
      </c>
      <c r="D184" s="14"/>
      <c r="E184" s="14"/>
    </row>
    <row r="185" spans="1:5">
      <c r="A185" s="117" t="s">
        <v>83</v>
      </c>
      <c r="B185" s="118" t="s">
        <v>620</v>
      </c>
      <c r="D185" s="14"/>
      <c r="E185" s="14"/>
    </row>
    <row r="186" spans="1:5">
      <c r="A186" s="117" t="s">
        <v>109</v>
      </c>
      <c r="B186" s="118" t="s">
        <v>638</v>
      </c>
      <c r="D186" s="14"/>
      <c r="E186" s="14"/>
    </row>
    <row r="187" spans="1:5">
      <c r="A187" s="117" t="s">
        <v>296</v>
      </c>
      <c r="B187" s="118" t="s">
        <v>631</v>
      </c>
      <c r="D187" s="14"/>
      <c r="E187" s="14"/>
    </row>
    <row r="188" spans="1:5">
      <c r="A188" s="117" t="s">
        <v>158</v>
      </c>
      <c r="B188" s="118" t="s">
        <v>631</v>
      </c>
      <c r="D188" s="14"/>
      <c r="E188" s="14"/>
    </row>
    <row r="189" spans="1:5">
      <c r="A189" s="117" t="s">
        <v>192</v>
      </c>
      <c r="B189" s="118" t="s">
        <v>644</v>
      </c>
      <c r="D189" s="14"/>
      <c r="E189" s="14"/>
    </row>
    <row r="190" spans="1:5">
      <c r="A190" s="117" t="s">
        <v>808</v>
      </c>
      <c r="B190" s="118" t="s">
        <v>644</v>
      </c>
      <c r="D190" s="14"/>
      <c r="E190" s="14"/>
    </row>
    <row r="191" spans="1:5">
      <c r="A191" s="117" t="s">
        <v>156</v>
      </c>
      <c r="B191" s="118" t="s">
        <v>648</v>
      </c>
      <c r="D191" s="14"/>
      <c r="E191" s="14"/>
    </row>
    <row r="192" spans="1:5">
      <c r="A192" s="117" t="s">
        <v>79</v>
      </c>
      <c r="B192" s="118" t="s">
        <v>636</v>
      </c>
      <c r="D192" s="14"/>
      <c r="E192" s="14"/>
    </row>
    <row r="193" spans="1:5">
      <c r="A193" s="117" t="s">
        <v>71</v>
      </c>
      <c r="B193" s="118" t="s">
        <v>618</v>
      </c>
      <c r="D193" s="14"/>
      <c r="E193" s="14"/>
    </row>
    <row r="194" spans="1:5">
      <c r="A194" s="117" t="s">
        <v>245</v>
      </c>
      <c r="B194" s="118" t="s">
        <v>709</v>
      </c>
      <c r="D194" s="14"/>
      <c r="E194" s="14"/>
    </row>
    <row r="195" spans="1:5">
      <c r="A195" s="117" t="s">
        <v>71</v>
      </c>
      <c r="B195" s="118" t="s">
        <v>620</v>
      </c>
      <c r="D195" s="14"/>
      <c r="E195" s="14"/>
    </row>
    <row r="196" spans="1:5">
      <c r="A196" s="117" t="s">
        <v>55</v>
      </c>
      <c r="B196" s="118" t="s">
        <v>629</v>
      </c>
      <c r="D196" s="14"/>
      <c r="E196" s="14"/>
    </row>
    <row r="197" spans="1:5">
      <c r="A197" s="117" t="s">
        <v>313</v>
      </c>
      <c r="B197" s="118" t="s">
        <v>618</v>
      </c>
      <c r="D197" s="14"/>
      <c r="E197" s="14"/>
    </row>
    <row r="198" spans="1:5">
      <c r="A198" s="117" t="s">
        <v>300</v>
      </c>
      <c r="B198" s="118" t="s">
        <v>648</v>
      </c>
      <c r="D198" s="14"/>
      <c r="E198" s="14"/>
    </row>
    <row r="199" spans="1:5">
      <c r="A199" s="117" t="s">
        <v>60</v>
      </c>
      <c r="B199" s="118" t="s">
        <v>618</v>
      </c>
      <c r="D199" s="14"/>
      <c r="E199" s="14"/>
    </row>
    <row r="200" spans="1:5">
      <c r="A200" s="117" t="s">
        <v>216</v>
      </c>
      <c r="B200" s="118" t="s">
        <v>663</v>
      </c>
      <c r="D200" s="14"/>
      <c r="E200" s="14"/>
    </row>
    <row r="201" spans="1:5">
      <c r="A201" s="117" t="s">
        <v>63</v>
      </c>
      <c r="B201" s="118" t="s">
        <v>622</v>
      </c>
      <c r="D201" s="14"/>
      <c r="E201" s="14"/>
    </row>
    <row r="202" spans="1:5">
      <c r="A202" s="117" t="s">
        <v>261</v>
      </c>
      <c r="B202" s="118" t="s">
        <v>614</v>
      </c>
      <c r="D202" s="14"/>
      <c r="E202" s="14"/>
    </row>
    <row r="203" spans="1:5">
      <c r="A203" s="117" t="s">
        <v>87</v>
      </c>
      <c r="B203" s="118" t="s">
        <v>607</v>
      </c>
      <c r="D203" s="14"/>
      <c r="E203" s="14"/>
    </row>
    <row r="204" spans="1:5">
      <c r="A204" s="117" t="s">
        <v>110</v>
      </c>
      <c r="B204" s="118" t="s">
        <v>648</v>
      </c>
      <c r="D204" s="14"/>
      <c r="E204" s="14"/>
    </row>
    <row r="205" spans="1:5">
      <c r="A205" s="117" t="s">
        <v>250</v>
      </c>
      <c r="B205" s="118" t="s">
        <v>629</v>
      </c>
      <c r="D205" s="14"/>
      <c r="E205" s="14"/>
    </row>
    <row r="206" spans="1:5">
      <c r="A206" s="117" t="s">
        <v>149</v>
      </c>
      <c r="B206" s="118" t="s">
        <v>625</v>
      </c>
      <c r="D206" s="14"/>
      <c r="E206" s="14"/>
    </row>
    <row r="207" spans="1:5">
      <c r="A207" s="117" t="s">
        <v>252</v>
      </c>
      <c r="B207" s="118" t="s">
        <v>629</v>
      </c>
      <c r="D207" s="14"/>
      <c r="E207" s="14"/>
    </row>
    <row r="208" spans="1:5">
      <c r="A208" s="117" t="s">
        <v>142</v>
      </c>
      <c r="B208" s="118" t="s">
        <v>648</v>
      </c>
      <c r="D208" s="14"/>
      <c r="E208" s="14"/>
    </row>
    <row r="209" spans="1:5">
      <c r="A209" s="117" t="s">
        <v>81</v>
      </c>
      <c r="B209" s="118" t="s">
        <v>636</v>
      </c>
      <c r="D209" s="14"/>
      <c r="E209" s="14"/>
    </row>
    <row r="210" spans="1:5">
      <c r="A210" s="117" t="s">
        <v>141</v>
      </c>
      <c r="B210" s="118" t="s">
        <v>599</v>
      </c>
      <c r="D210" s="14"/>
      <c r="E210" s="14"/>
    </row>
    <row r="211" spans="1:5">
      <c r="A211" s="117" t="s">
        <v>238</v>
      </c>
      <c r="B211" s="118" t="s">
        <v>646</v>
      </c>
      <c r="D211" s="14"/>
      <c r="E211" s="14"/>
    </row>
    <row r="212" spans="1:5">
      <c r="A212" s="117" t="s">
        <v>84</v>
      </c>
      <c r="B212" s="118" t="s">
        <v>607</v>
      </c>
      <c r="D212" s="14"/>
      <c r="E212" s="14"/>
    </row>
    <row r="213" spans="1:5">
      <c r="A213" s="117" t="s">
        <v>171</v>
      </c>
      <c r="B213" s="118" t="s">
        <v>636</v>
      </c>
      <c r="D213" s="14"/>
      <c r="E213" s="14"/>
    </row>
    <row r="214" spans="1:5">
      <c r="A214" s="117" t="s">
        <v>311</v>
      </c>
      <c r="B214" s="118" t="s">
        <v>618</v>
      </c>
      <c r="D214" s="14"/>
      <c r="E214" s="14"/>
    </row>
    <row r="215" spans="1:5">
      <c r="A215" s="117" t="s">
        <v>182</v>
      </c>
      <c r="B215" s="118" t="s">
        <v>655</v>
      </c>
      <c r="D215" s="14"/>
      <c r="E215" s="14"/>
    </row>
    <row r="216" spans="1:5">
      <c r="A216" s="117" t="s">
        <v>271</v>
      </c>
      <c r="B216" s="118" t="s">
        <v>667</v>
      </c>
      <c r="D216" s="14"/>
      <c r="E216" s="14"/>
    </row>
    <row r="217" spans="1:5">
      <c r="A217" s="117" t="s">
        <v>60</v>
      </c>
      <c r="B217" s="118" t="s">
        <v>628</v>
      </c>
      <c r="D217" s="14"/>
      <c r="E217" s="14"/>
    </row>
    <row r="218" spans="1:5">
      <c r="A218" s="117" t="s">
        <v>290</v>
      </c>
      <c r="B218" s="118" t="s">
        <v>633</v>
      </c>
      <c r="D218" s="14"/>
      <c r="E218" s="14"/>
    </row>
    <row r="219" spans="1:5">
      <c r="A219" s="117" t="s">
        <v>221</v>
      </c>
      <c r="B219" s="118" t="s">
        <v>665</v>
      </c>
      <c r="D219" s="14"/>
      <c r="E219" s="14"/>
    </row>
    <row r="220" spans="1:5">
      <c r="A220" s="117" t="s">
        <v>1003</v>
      </c>
      <c r="B220" s="118" t="s">
        <v>665</v>
      </c>
      <c r="D220" s="14"/>
      <c r="E220" s="14"/>
    </row>
    <row r="221" spans="1:5">
      <c r="A221" s="117" t="s">
        <v>299</v>
      </c>
      <c r="B221" s="118" t="s">
        <v>626</v>
      </c>
      <c r="D221" s="14"/>
      <c r="E221" s="14"/>
    </row>
    <row r="222" spans="1:5">
      <c r="A222" s="117" t="s">
        <v>205</v>
      </c>
      <c r="B222" s="118" t="s">
        <v>671</v>
      </c>
      <c r="D222" s="14"/>
      <c r="E222" s="14"/>
    </row>
    <row r="223" spans="1:5">
      <c r="A223" s="117" t="s">
        <v>86</v>
      </c>
      <c r="B223" s="118" t="s">
        <v>631</v>
      </c>
      <c r="D223" s="14"/>
      <c r="E223" s="14"/>
    </row>
    <row r="224" spans="1:5">
      <c r="A224" s="117" t="s">
        <v>247</v>
      </c>
      <c r="B224" s="118" t="s">
        <v>669</v>
      </c>
      <c r="D224" s="14"/>
      <c r="E224" s="14"/>
    </row>
    <row r="225" spans="1:5">
      <c r="A225" s="117" t="s">
        <v>174</v>
      </c>
      <c r="B225" s="118" t="s">
        <v>601</v>
      </c>
      <c r="D225" s="14"/>
      <c r="E225" s="14"/>
    </row>
    <row r="226" spans="1:5">
      <c r="A226" s="117" t="s">
        <v>71</v>
      </c>
      <c r="B226" s="118" t="s">
        <v>597</v>
      </c>
      <c r="D226" s="14"/>
      <c r="E226" s="14"/>
    </row>
    <row r="227" spans="1:5">
      <c r="A227" s="117" t="s">
        <v>256</v>
      </c>
      <c r="B227" s="118" t="s">
        <v>607</v>
      </c>
      <c r="D227" s="14"/>
      <c r="E227" s="14"/>
    </row>
    <row r="228" spans="1:5">
      <c r="A228" s="117" t="s">
        <v>313</v>
      </c>
      <c r="B228" s="118" t="s">
        <v>633</v>
      </c>
      <c r="D228" s="14"/>
      <c r="E228" s="14"/>
    </row>
    <row r="229" spans="1:5">
      <c r="A229" s="117" t="s">
        <v>183</v>
      </c>
      <c r="B229" s="118" t="s">
        <v>619</v>
      </c>
      <c r="D229" s="14"/>
      <c r="E229" s="14"/>
    </row>
    <row r="230" spans="1:5">
      <c r="A230" s="117" t="s">
        <v>253</v>
      </c>
      <c r="B230" s="118" t="s">
        <v>629</v>
      </c>
      <c r="D230" s="14"/>
      <c r="E230" s="14"/>
    </row>
    <row r="231" spans="1:5">
      <c r="A231" s="117" t="s">
        <v>710</v>
      </c>
      <c r="B231" s="118" t="s">
        <v>624</v>
      </c>
      <c r="D231" s="14"/>
      <c r="E231" s="14"/>
    </row>
    <row r="232" spans="1:5">
      <c r="A232" s="117" t="s">
        <v>711</v>
      </c>
      <c r="B232" s="118" t="s">
        <v>620</v>
      </c>
      <c r="D232" s="14"/>
      <c r="E232" s="14"/>
    </row>
    <row r="233" spans="1:5">
      <c r="A233" s="117" t="s">
        <v>111</v>
      </c>
      <c r="B233" s="118" t="s">
        <v>633</v>
      </c>
      <c r="D233" s="14"/>
      <c r="E233" s="14"/>
    </row>
    <row r="234" spans="1:5">
      <c r="A234" s="117" t="s">
        <v>108</v>
      </c>
      <c r="B234" s="118" t="s">
        <v>633</v>
      </c>
      <c r="D234" s="14"/>
      <c r="E234" s="14"/>
    </row>
    <row r="235" spans="1:5">
      <c r="A235" s="117" t="s">
        <v>166</v>
      </c>
      <c r="B235" s="118" t="s">
        <v>645</v>
      </c>
      <c r="D235" s="14"/>
      <c r="E235" s="14"/>
    </row>
    <row r="236" spans="1:5">
      <c r="A236" s="117" t="s">
        <v>712</v>
      </c>
      <c r="B236" s="118" t="s">
        <v>621</v>
      </c>
      <c r="D236" s="14"/>
      <c r="E236" s="14"/>
    </row>
    <row r="237" spans="1:5">
      <c r="A237" s="117" t="s">
        <v>713</v>
      </c>
      <c r="B237" s="118" t="s">
        <v>619</v>
      </c>
      <c r="D237" s="14"/>
      <c r="E237" s="14"/>
    </row>
    <row r="238" spans="1:5">
      <c r="A238" s="117" t="s">
        <v>256</v>
      </c>
      <c r="B238" s="118" t="s">
        <v>633</v>
      </c>
      <c r="D238" s="14"/>
      <c r="E238" s="14"/>
    </row>
    <row r="239" spans="1:5">
      <c r="A239" s="117" t="s">
        <v>286</v>
      </c>
      <c r="B239" s="118" t="s">
        <v>623</v>
      </c>
      <c r="D239" s="14"/>
      <c r="E239" s="14"/>
    </row>
    <row r="240" spans="1:5">
      <c r="A240" s="117" t="s">
        <v>714</v>
      </c>
      <c r="B240" s="118" t="s">
        <v>622</v>
      </c>
      <c r="D240" s="14"/>
      <c r="E240" s="14"/>
    </row>
    <row r="241" spans="1:5">
      <c r="A241" s="117" t="s">
        <v>715</v>
      </c>
      <c r="B241" s="118" t="s">
        <v>631</v>
      </c>
      <c r="D241" s="14"/>
      <c r="E241" s="14"/>
    </row>
    <row r="242" spans="1:5">
      <c r="A242" s="117" t="s">
        <v>241</v>
      </c>
      <c r="B242" s="118" t="s">
        <v>620</v>
      </c>
      <c r="D242" s="14"/>
      <c r="E242" s="14"/>
    </row>
    <row r="243" spans="1:5">
      <c r="A243" s="117" t="s">
        <v>704</v>
      </c>
      <c r="B243" s="118" t="s">
        <v>648</v>
      </c>
      <c r="D243" s="14"/>
      <c r="E243" s="14"/>
    </row>
    <row r="244" spans="1:5">
      <c r="A244" s="117" t="s">
        <v>165</v>
      </c>
      <c r="B244" s="118" t="s">
        <v>622</v>
      </c>
      <c r="D244" s="14"/>
      <c r="E244" s="14"/>
    </row>
    <row r="245" spans="1:5">
      <c r="A245" s="117" t="s">
        <v>96</v>
      </c>
      <c r="B245" s="118" t="s">
        <v>607</v>
      </c>
      <c r="D245" s="14"/>
      <c r="E245" s="14"/>
    </row>
    <row r="246" spans="1:5">
      <c r="A246" s="117" t="s">
        <v>302</v>
      </c>
      <c r="B246" s="118" t="s">
        <v>619</v>
      </c>
      <c r="D246" s="14"/>
      <c r="E246" s="14"/>
    </row>
    <row r="247" spans="1:5">
      <c r="A247" s="117" t="s">
        <v>308</v>
      </c>
      <c r="B247" s="118" t="s">
        <v>620</v>
      </c>
      <c r="D247" s="14"/>
      <c r="E247" s="14"/>
    </row>
    <row r="248" spans="1:5">
      <c r="A248" s="117" t="s">
        <v>716</v>
      </c>
      <c r="B248" s="118" t="s">
        <v>623</v>
      </c>
      <c r="D248" s="14"/>
      <c r="E248" s="14"/>
    </row>
    <row r="249" spans="1:5">
      <c r="A249" s="117" t="s">
        <v>175</v>
      </c>
      <c r="B249" s="118" t="s">
        <v>656</v>
      </c>
      <c r="D249" s="14"/>
      <c r="E249" s="14"/>
    </row>
    <row r="250" spans="1:5">
      <c r="A250" s="117" t="s">
        <v>160</v>
      </c>
      <c r="B250" s="118" t="s">
        <v>622</v>
      </c>
      <c r="D250" s="14"/>
      <c r="E250" s="14"/>
    </row>
    <row r="251" spans="1:5">
      <c r="A251" s="117" t="s">
        <v>717</v>
      </c>
      <c r="B251" s="118" t="s">
        <v>676</v>
      </c>
      <c r="D251" s="14"/>
      <c r="E251" s="14"/>
    </row>
    <row r="252" spans="1:5">
      <c r="A252" s="117" t="s">
        <v>101</v>
      </c>
      <c r="B252" s="118" t="s">
        <v>632</v>
      </c>
      <c r="D252" s="14"/>
      <c r="E252" s="14"/>
    </row>
    <row r="253" spans="1:5">
      <c r="A253" s="117" t="s">
        <v>53</v>
      </c>
      <c r="B253" s="118" t="s">
        <v>609</v>
      </c>
      <c r="D253" s="14"/>
      <c r="E253" s="14"/>
    </row>
    <row r="254" spans="1:5">
      <c r="A254" s="117" t="s">
        <v>261</v>
      </c>
      <c r="B254" s="118" t="s">
        <v>612</v>
      </c>
      <c r="D254" s="14"/>
      <c r="E254" s="14"/>
    </row>
    <row r="255" spans="1:5">
      <c r="A255" s="117" t="s">
        <v>718</v>
      </c>
      <c r="B255" s="118" t="s">
        <v>709</v>
      </c>
      <c r="D255" s="14"/>
      <c r="E255" s="14"/>
    </row>
    <row r="256" spans="1:5">
      <c r="A256" s="117" t="s">
        <v>142</v>
      </c>
      <c r="B256" s="118" t="s">
        <v>647</v>
      </c>
      <c r="D256" s="14"/>
      <c r="E256" s="14"/>
    </row>
    <row r="257" spans="1:5">
      <c r="A257" s="117" t="s">
        <v>194</v>
      </c>
      <c r="B257" s="118" t="s">
        <v>611</v>
      </c>
      <c r="D257" s="14"/>
      <c r="E257" s="14"/>
    </row>
    <row r="258" spans="1:5">
      <c r="A258" s="117" t="s">
        <v>233</v>
      </c>
      <c r="B258" s="118" t="s">
        <v>618</v>
      </c>
      <c r="D258" s="14"/>
      <c r="E258" s="14"/>
    </row>
    <row r="259" spans="1:5">
      <c r="A259" s="117" t="s">
        <v>276</v>
      </c>
      <c r="B259" s="118" t="s">
        <v>661</v>
      </c>
      <c r="D259" s="14"/>
      <c r="E259" s="14"/>
    </row>
    <row r="260" spans="1:5">
      <c r="A260" s="117" t="s">
        <v>719</v>
      </c>
      <c r="B260" s="118" t="s">
        <v>694</v>
      </c>
      <c r="D260" s="14"/>
      <c r="E260" s="14"/>
    </row>
    <row r="261" spans="1:5">
      <c r="A261" s="117" t="s">
        <v>720</v>
      </c>
      <c r="B261" s="118" t="s">
        <v>607</v>
      </c>
      <c r="D261" s="14"/>
      <c r="E261" s="14"/>
    </row>
    <row r="262" spans="1:5">
      <c r="A262" s="117" t="s">
        <v>721</v>
      </c>
      <c r="B262" s="118" t="s">
        <v>672</v>
      </c>
      <c r="D262" s="14"/>
      <c r="E262" s="14"/>
    </row>
    <row r="263" spans="1:5">
      <c r="A263" s="117" t="s">
        <v>722</v>
      </c>
      <c r="B263" s="118" t="s">
        <v>667</v>
      </c>
      <c r="D263" s="14"/>
      <c r="E263" s="14"/>
    </row>
    <row r="264" spans="1:5">
      <c r="A264" s="117" t="s">
        <v>204</v>
      </c>
      <c r="B264" s="118" t="s">
        <v>690</v>
      </c>
      <c r="D264" s="14"/>
      <c r="E264" s="14"/>
    </row>
    <row r="265" spans="1:5">
      <c r="A265" s="117" t="s">
        <v>204</v>
      </c>
      <c r="B265" s="118" t="s">
        <v>633</v>
      </c>
      <c r="D265" s="14"/>
      <c r="E265" s="14"/>
    </row>
    <row r="266" spans="1:5">
      <c r="A266" s="117" t="s">
        <v>226</v>
      </c>
      <c r="B266" s="118" t="s">
        <v>665</v>
      </c>
      <c r="D266" s="14"/>
      <c r="E266" s="14"/>
    </row>
    <row r="267" spans="1:5">
      <c r="A267" s="117" t="s">
        <v>1004</v>
      </c>
      <c r="B267" s="118" t="s">
        <v>665</v>
      </c>
      <c r="D267" s="14"/>
      <c r="E267" s="14"/>
    </row>
    <row r="268" spans="1:5">
      <c r="A268" s="117" t="s">
        <v>723</v>
      </c>
      <c r="B268" s="118" t="s">
        <v>641</v>
      </c>
      <c r="D268" s="14"/>
      <c r="E268" s="14"/>
    </row>
    <row r="269" spans="1:5">
      <c r="A269" s="117" t="s">
        <v>724</v>
      </c>
      <c r="B269" s="118" t="s">
        <v>636</v>
      </c>
      <c r="D269" s="14"/>
      <c r="E269" s="14"/>
    </row>
    <row r="270" spans="1:5">
      <c r="A270" s="117" t="s">
        <v>266</v>
      </c>
      <c r="B270" s="118" t="s">
        <v>644</v>
      </c>
      <c r="D270" s="14"/>
      <c r="E270" s="14"/>
    </row>
    <row r="271" spans="1:5">
      <c r="A271" s="117" t="s">
        <v>725</v>
      </c>
      <c r="B271" s="118" t="s">
        <v>671</v>
      </c>
      <c r="D271" s="14"/>
      <c r="E271" s="14"/>
    </row>
    <row r="272" spans="1:5">
      <c r="A272" s="117" t="s">
        <v>313</v>
      </c>
      <c r="B272" s="118" t="s">
        <v>645</v>
      </c>
      <c r="D272" s="14"/>
      <c r="E272" s="14"/>
    </row>
    <row r="273" spans="1:5">
      <c r="A273" s="117" t="s">
        <v>204</v>
      </c>
      <c r="B273" s="118" t="s">
        <v>661</v>
      </c>
      <c r="D273" s="14"/>
      <c r="E273" s="14"/>
    </row>
    <row r="274" spans="1:5">
      <c r="A274" s="117" t="s">
        <v>81</v>
      </c>
      <c r="B274" s="118" t="s">
        <v>632</v>
      </c>
      <c r="D274" s="14"/>
      <c r="E274" s="14"/>
    </row>
    <row r="275" spans="1:5">
      <c r="A275" s="117" t="s">
        <v>726</v>
      </c>
      <c r="B275" s="118" t="s">
        <v>625</v>
      </c>
      <c r="D275" s="14"/>
      <c r="E275" s="14"/>
    </row>
    <row r="276" spans="1:5">
      <c r="A276" s="117" t="s">
        <v>308</v>
      </c>
      <c r="B276" s="118" t="s">
        <v>626</v>
      </c>
      <c r="D276" s="14"/>
      <c r="E276" s="14"/>
    </row>
    <row r="277" spans="1:5">
      <c r="A277" s="117" t="s">
        <v>194</v>
      </c>
      <c r="B277" s="118" t="s">
        <v>606</v>
      </c>
      <c r="D277" s="14"/>
      <c r="E277" s="14"/>
    </row>
    <row r="278" spans="1:5">
      <c r="A278" s="117" t="s">
        <v>233</v>
      </c>
      <c r="B278" s="118" t="s">
        <v>617</v>
      </c>
      <c r="D278" s="14"/>
      <c r="E278" s="14"/>
    </row>
    <row r="279" spans="1:5">
      <c r="A279" s="117" t="s">
        <v>276</v>
      </c>
      <c r="B279" s="118" t="s">
        <v>690</v>
      </c>
      <c r="D279" s="14"/>
      <c r="E279" s="14"/>
    </row>
    <row r="280" spans="1:5">
      <c r="A280" s="117" t="s">
        <v>727</v>
      </c>
      <c r="B280" s="118" t="s">
        <v>619</v>
      </c>
      <c r="D280" s="14"/>
      <c r="E280" s="14"/>
    </row>
    <row r="281" spans="1:5">
      <c r="A281" s="117" t="s">
        <v>728</v>
      </c>
      <c r="B281" s="118" t="s">
        <v>661</v>
      </c>
      <c r="D281" s="14"/>
      <c r="E281" s="14"/>
    </row>
    <row r="282" spans="1:5">
      <c r="A282" s="117" t="s">
        <v>593</v>
      </c>
      <c r="B282" s="118" t="s">
        <v>621</v>
      </c>
      <c r="D282" s="14"/>
      <c r="E282" s="14"/>
    </row>
    <row r="283" spans="1:5">
      <c r="A283" s="117" t="s">
        <v>302</v>
      </c>
      <c r="B283" s="118" t="s">
        <v>626</v>
      </c>
      <c r="D283" s="14"/>
      <c r="E283" s="14"/>
    </row>
    <row r="284" spans="1:5">
      <c r="A284" s="117" t="s">
        <v>161</v>
      </c>
      <c r="B284" s="118" t="s">
        <v>729</v>
      </c>
      <c r="D284" s="14"/>
      <c r="E284" s="14"/>
    </row>
    <row r="285" spans="1:5">
      <c r="A285" s="117" t="s">
        <v>205</v>
      </c>
      <c r="B285" s="118" t="s">
        <v>709</v>
      </c>
      <c r="D285" s="14"/>
      <c r="E285" s="14"/>
    </row>
    <row r="286" spans="1:5">
      <c r="A286" s="117" t="s">
        <v>68</v>
      </c>
      <c r="B286" s="118" t="s">
        <v>632</v>
      </c>
      <c r="D286" s="14"/>
      <c r="E286" s="14"/>
    </row>
    <row r="287" spans="1:5">
      <c r="A287" s="117" t="s">
        <v>256</v>
      </c>
      <c r="B287" s="118" t="s">
        <v>598</v>
      </c>
      <c r="D287" s="14"/>
      <c r="E287" s="14"/>
    </row>
    <row r="288" spans="1:5">
      <c r="A288" s="117" t="s">
        <v>261</v>
      </c>
      <c r="B288" s="118" t="s">
        <v>644</v>
      </c>
      <c r="D288" s="14"/>
      <c r="E288" s="14"/>
    </row>
    <row r="289" spans="1:5">
      <c r="A289" s="117" t="s">
        <v>275</v>
      </c>
      <c r="B289" s="118" t="s">
        <v>658</v>
      </c>
      <c r="D289" s="14"/>
      <c r="E289" s="14"/>
    </row>
    <row r="290" spans="1:5">
      <c r="A290" s="117" t="s">
        <v>136</v>
      </c>
      <c r="B290" s="118" t="s">
        <v>635</v>
      </c>
      <c r="D290" s="14"/>
      <c r="E290" s="14"/>
    </row>
    <row r="291" spans="1:5">
      <c r="A291" s="117" t="s">
        <v>176</v>
      </c>
      <c r="B291" s="118" t="s">
        <v>656</v>
      </c>
      <c r="D291" s="14"/>
      <c r="E291" s="14"/>
    </row>
    <row r="292" spans="1:5">
      <c r="A292" s="117" t="s">
        <v>284</v>
      </c>
      <c r="B292" s="118" t="s">
        <v>644</v>
      </c>
      <c r="D292" s="14"/>
      <c r="E292" s="14"/>
    </row>
    <row r="293" spans="1:5">
      <c r="A293" s="117" t="s">
        <v>730</v>
      </c>
      <c r="B293" s="118" t="s">
        <v>607</v>
      </c>
      <c r="D293" s="14"/>
      <c r="E293" s="14"/>
    </row>
    <row r="294" spans="1:5">
      <c r="A294" s="117" t="s">
        <v>731</v>
      </c>
      <c r="B294" s="118" t="s">
        <v>698</v>
      </c>
      <c r="D294" s="14"/>
      <c r="E294" s="14"/>
    </row>
    <row r="295" spans="1:5">
      <c r="A295" s="117" t="s">
        <v>732</v>
      </c>
      <c r="B295" s="118" t="s">
        <v>664</v>
      </c>
      <c r="D295" s="14"/>
      <c r="E295" s="14"/>
    </row>
    <row r="296" spans="1:5">
      <c r="A296" s="117" t="s">
        <v>236</v>
      </c>
      <c r="B296" s="118" t="s">
        <v>606</v>
      </c>
      <c r="D296" s="14"/>
      <c r="E296" s="14"/>
    </row>
    <row r="297" spans="1:5">
      <c r="A297" s="117" t="s">
        <v>74</v>
      </c>
      <c r="B297" s="118" t="s">
        <v>635</v>
      </c>
      <c r="D297" s="14"/>
      <c r="E297" s="14"/>
    </row>
    <row r="298" spans="1:5">
      <c r="A298" s="117" t="s">
        <v>96</v>
      </c>
      <c r="B298" s="118" t="s">
        <v>606</v>
      </c>
      <c r="D298" s="14"/>
      <c r="E298" s="14"/>
    </row>
    <row r="299" spans="1:5">
      <c r="A299" s="117" t="s">
        <v>98</v>
      </c>
      <c r="B299" s="118" t="s">
        <v>673</v>
      </c>
      <c r="D299" s="14"/>
      <c r="E299" s="14"/>
    </row>
    <row r="300" spans="1:5">
      <c r="A300" s="117" t="s">
        <v>681</v>
      </c>
      <c r="B300" s="118" t="s">
        <v>618</v>
      </c>
      <c r="D300" s="14"/>
      <c r="E300" s="14"/>
    </row>
    <row r="301" spans="1:5">
      <c r="A301" s="117" t="s">
        <v>186</v>
      </c>
      <c r="B301" s="118" t="s">
        <v>733</v>
      </c>
      <c r="D301" s="14"/>
      <c r="E301" s="14"/>
    </row>
    <row r="302" spans="1:5">
      <c r="A302" s="117" t="s">
        <v>190</v>
      </c>
      <c r="B302" s="118" t="s">
        <v>661</v>
      </c>
      <c r="D302" s="14"/>
      <c r="E302" s="14"/>
    </row>
    <row r="303" spans="1:5">
      <c r="A303" s="117" t="s">
        <v>734</v>
      </c>
      <c r="B303" s="118" t="s">
        <v>709</v>
      </c>
      <c r="D303" s="14"/>
      <c r="E303" s="14"/>
    </row>
    <row r="304" spans="1:5">
      <c r="A304" s="117" t="s">
        <v>279</v>
      </c>
      <c r="B304" s="118" t="s">
        <v>659</v>
      </c>
      <c r="D304" s="14"/>
      <c r="E304" s="14"/>
    </row>
    <row r="305" spans="1:5">
      <c r="A305" s="117" t="s">
        <v>229</v>
      </c>
      <c r="B305" s="118" t="s">
        <v>729</v>
      </c>
      <c r="D305" s="14"/>
      <c r="E305" s="14"/>
    </row>
    <row r="306" spans="1:5">
      <c r="A306" s="117" t="s">
        <v>83</v>
      </c>
      <c r="B306" s="118" t="s">
        <v>630</v>
      </c>
      <c r="D306" s="14"/>
      <c r="E306" s="14"/>
    </row>
    <row r="307" spans="1:5">
      <c r="A307" s="117" t="s">
        <v>277</v>
      </c>
      <c r="B307" s="118" t="s">
        <v>627</v>
      </c>
      <c r="D307" s="14"/>
      <c r="E307" s="14"/>
    </row>
    <row r="308" spans="1:5">
      <c r="A308" s="117" t="s">
        <v>735</v>
      </c>
      <c r="B308" s="118" t="s">
        <v>729</v>
      </c>
      <c r="D308" s="14"/>
      <c r="E308" s="14"/>
    </row>
    <row r="309" spans="1:5">
      <c r="A309" s="117" t="s">
        <v>95</v>
      </c>
      <c r="B309" s="118" t="s">
        <v>661</v>
      </c>
      <c r="D309" s="14"/>
      <c r="E309" s="14"/>
    </row>
    <row r="310" spans="1:5">
      <c r="A310" s="117" t="s">
        <v>697</v>
      </c>
      <c r="B310" s="118" t="s">
        <v>709</v>
      </c>
      <c r="D310" s="14"/>
      <c r="E310" s="14"/>
    </row>
    <row r="311" spans="1:5">
      <c r="A311" s="117" t="s">
        <v>206</v>
      </c>
      <c r="B311" s="118" t="s">
        <v>636</v>
      </c>
      <c r="D311" s="14"/>
      <c r="E311" s="14"/>
    </row>
    <row r="312" spans="1:5">
      <c r="A312" s="117" t="s">
        <v>207</v>
      </c>
      <c r="B312" s="118" t="s">
        <v>736</v>
      </c>
      <c r="D312" s="14"/>
      <c r="E312" s="14"/>
    </row>
    <row r="313" spans="1:5">
      <c r="A313" s="117" t="s">
        <v>211</v>
      </c>
      <c r="B313" s="118" t="s">
        <v>607</v>
      </c>
      <c r="D313" s="14"/>
      <c r="E313" s="14"/>
    </row>
    <row r="314" spans="1:5">
      <c r="A314" s="117" t="s">
        <v>257</v>
      </c>
      <c r="B314" s="118" t="s">
        <v>737</v>
      </c>
      <c r="D314" s="14"/>
      <c r="E314" s="14"/>
    </row>
    <row r="315" spans="1:5">
      <c r="A315" s="117" t="s">
        <v>262</v>
      </c>
      <c r="B315" s="118" t="s">
        <v>738</v>
      </c>
      <c r="D315" s="14"/>
      <c r="E315" s="14"/>
    </row>
    <row r="316" spans="1:5">
      <c r="A316" s="117" t="s">
        <v>263</v>
      </c>
      <c r="B316" s="118" t="s">
        <v>687</v>
      </c>
      <c r="D316" s="14"/>
      <c r="E316" s="14"/>
    </row>
    <row r="317" spans="1:5">
      <c r="A317" s="117" t="s">
        <v>264</v>
      </c>
      <c r="B317" s="118" t="s">
        <v>662</v>
      </c>
      <c r="D317" s="14"/>
      <c r="E317" s="14"/>
    </row>
    <row r="318" spans="1:5">
      <c r="A318" s="117" t="s">
        <v>303</v>
      </c>
      <c r="B318" s="118" t="s">
        <v>663</v>
      </c>
      <c r="D318" s="14"/>
      <c r="E318" s="14"/>
    </row>
    <row r="319" spans="1:5">
      <c r="A319" s="117" t="s">
        <v>310</v>
      </c>
      <c r="B319" s="118" t="s">
        <v>660</v>
      </c>
      <c r="D319" s="14"/>
      <c r="E319" s="14"/>
    </row>
    <row r="320" spans="1:5">
      <c r="A320" s="117" t="s">
        <v>114</v>
      </c>
      <c r="B320" s="118" t="s">
        <v>602</v>
      </c>
      <c r="D320" s="14"/>
      <c r="E320" s="14"/>
    </row>
    <row r="321" spans="1:2">
      <c r="A321" s="117" t="s">
        <v>224</v>
      </c>
      <c r="B321" s="118" t="s">
        <v>631</v>
      </c>
    </row>
    <row r="322" spans="1:2">
      <c r="A322" s="117" t="s">
        <v>53</v>
      </c>
      <c r="B322" s="118" t="s">
        <v>608</v>
      </c>
    </row>
    <row r="323" spans="1:2">
      <c r="A323" s="117" t="s">
        <v>221</v>
      </c>
      <c r="B323" s="118" t="s">
        <v>647</v>
      </c>
    </row>
    <row r="324" spans="1:2">
      <c r="A324" s="117" t="s">
        <v>1005</v>
      </c>
      <c r="B324" s="118" t="s">
        <v>647</v>
      </c>
    </row>
    <row r="325" spans="1:2">
      <c r="A325" s="117" t="s">
        <v>269</v>
      </c>
      <c r="B325" s="118" t="s">
        <v>629</v>
      </c>
    </row>
    <row r="326" spans="1:2">
      <c r="A326" s="117" t="s">
        <v>170</v>
      </c>
      <c r="B326" s="118" t="s">
        <v>645</v>
      </c>
    </row>
    <row r="327" spans="1:2">
      <c r="A327" s="117" t="s">
        <v>126</v>
      </c>
      <c r="B327" s="118" t="s">
        <v>622</v>
      </c>
    </row>
    <row r="328" spans="1:2">
      <c r="A328" s="117" t="s">
        <v>234</v>
      </c>
      <c r="B328" s="118" t="s">
        <v>622</v>
      </c>
    </row>
    <row r="329" spans="1:2">
      <c r="A329" s="117" t="s">
        <v>127</v>
      </c>
      <c r="B329" s="118" t="s">
        <v>622</v>
      </c>
    </row>
    <row r="330" spans="1:2">
      <c r="A330" s="117" t="s">
        <v>86</v>
      </c>
      <c r="B330" s="118" t="s">
        <v>626</v>
      </c>
    </row>
    <row r="331" spans="1:2">
      <c r="A331" s="117" t="s">
        <v>217</v>
      </c>
      <c r="B331" s="118" t="s">
        <v>622</v>
      </c>
    </row>
    <row r="332" spans="1:2">
      <c r="A332" s="117" t="s">
        <v>739</v>
      </c>
      <c r="B332" s="118" t="s">
        <v>671</v>
      </c>
    </row>
    <row r="333" spans="1:2">
      <c r="A333" s="117" t="s">
        <v>277</v>
      </c>
      <c r="B333" s="118" t="s">
        <v>625</v>
      </c>
    </row>
    <row r="334" spans="1:2">
      <c r="A334" s="117" t="s">
        <v>174</v>
      </c>
      <c r="B334" s="118" t="s">
        <v>622</v>
      </c>
    </row>
    <row r="335" spans="1:2">
      <c r="A335" s="117" t="s">
        <v>240</v>
      </c>
      <c r="B335" s="118" t="s">
        <v>627</v>
      </c>
    </row>
    <row r="336" spans="1:2">
      <c r="A336" s="117" t="s">
        <v>301</v>
      </c>
      <c r="B336" s="118" t="s">
        <v>626</v>
      </c>
    </row>
    <row r="337" spans="1:2">
      <c r="A337" s="117" t="s">
        <v>226</v>
      </c>
      <c r="B337" s="118" t="s">
        <v>613</v>
      </c>
    </row>
    <row r="338" spans="1:2">
      <c r="A338" s="117" t="s">
        <v>231</v>
      </c>
      <c r="B338" s="118" t="s">
        <v>613</v>
      </c>
    </row>
    <row r="339" spans="1:2">
      <c r="A339" s="117" t="s">
        <v>248</v>
      </c>
      <c r="B339" s="118" t="s">
        <v>637</v>
      </c>
    </row>
    <row r="340" spans="1:2">
      <c r="A340" s="117" t="s">
        <v>277</v>
      </c>
      <c r="B340" s="118" t="s">
        <v>664</v>
      </c>
    </row>
    <row r="341" spans="1:2">
      <c r="A341" s="117" t="s">
        <v>250</v>
      </c>
      <c r="B341" s="118" t="s">
        <v>633</v>
      </c>
    </row>
    <row r="342" spans="1:2">
      <c r="A342" s="117" t="s">
        <v>155</v>
      </c>
      <c r="B342" s="118" t="s">
        <v>633</v>
      </c>
    </row>
    <row r="343" spans="1:2">
      <c r="A343" s="117" t="s">
        <v>187</v>
      </c>
      <c r="B343" s="118" t="s">
        <v>632</v>
      </c>
    </row>
    <row r="344" spans="1:2">
      <c r="A344" s="117" t="s">
        <v>269</v>
      </c>
      <c r="B344" s="118" t="s">
        <v>626</v>
      </c>
    </row>
    <row r="345" spans="1:2">
      <c r="A345" s="117" t="s">
        <v>192</v>
      </c>
      <c r="B345" s="118" t="s">
        <v>658</v>
      </c>
    </row>
    <row r="346" spans="1:2">
      <c r="A346" s="117" t="s">
        <v>119</v>
      </c>
      <c r="B346" s="118" t="s">
        <v>608</v>
      </c>
    </row>
    <row r="347" spans="1:2">
      <c r="A347" s="117" t="s">
        <v>591</v>
      </c>
      <c r="B347" s="118" t="s">
        <v>610</v>
      </c>
    </row>
    <row r="348" spans="1:2">
      <c r="A348" s="117" t="s">
        <v>53</v>
      </c>
      <c r="B348" s="118" t="s">
        <v>709</v>
      </c>
    </row>
    <row r="349" spans="1:2">
      <c r="A349" s="117" t="s">
        <v>104</v>
      </c>
      <c r="B349" s="118" t="s">
        <v>633</v>
      </c>
    </row>
    <row r="350" spans="1:2">
      <c r="A350" s="117" t="s">
        <v>86</v>
      </c>
      <c r="B350" s="118" t="s">
        <v>632</v>
      </c>
    </row>
    <row r="351" spans="1:2">
      <c r="A351" s="117" t="s">
        <v>112</v>
      </c>
      <c r="B351" s="118" t="s">
        <v>631</v>
      </c>
    </row>
    <row r="352" spans="1:2">
      <c r="A352" s="117" t="s">
        <v>130</v>
      </c>
      <c r="B352" s="118" t="s">
        <v>618</v>
      </c>
    </row>
    <row r="353" spans="1:2">
      <c r="A353" s="117" t="s">
        <v>116</v>
      </c>
      <c r="B353" s="118" t="s">
        <v>615</v>
      </c>
    </row>
    <row r="354" spans="1:2">
      <c r="A354" s="117" t="s">
        <v>71</v>
      </c>
      <c r="B354" s="118" t="s">
        <v>627</v>
      </c>
    </row>
    <row r="355" spans="1:2">
      <c r="A355" s="117" t="s">
        <v>199</v>
      </c>
      <c r="B355" s="118" t="s">
        <v>672</v>
      </c>
    </row>
    <row r="356" spans="1:2">
      <c r="A356" s="117" t="s">
        <v>177</v>
      </c>
      <c r="B356" s="118" t="s">
        <v>657</v>
      </c>
    </row>
    <row r="357" spans="1:2">
      <c r="A357" s="117" t="s">
        <v>191</v>
      </c>
      <c r="B357" s="118" t="s">
        <v>680</v>
      </c>
    </row>
    <row r="358" spans="1:2">
      <c r="A358" s="117" t="s">
        <v>63</v>
      </c>
      <c r="B358" s="118" t="s">
        <v>648</v>
      </c>
    </row>
    <row r="359" spans="1:2">
      <c r="A359" s="117" t="s">
        <v>286</v>
      </c>
      <c r="B359" s="118" t="s">
        <v>624</v>
      </c>
    </row>
    <row r="360" spans="1:2">
      <c r="A360" s="117" t="s">
        <v>116</v>
      </c>
      <c r="B360" s="118" t="s">
        <v>637</v>
      </c>
    </row>
    <row r="361" spans="1:2">
      <c r="A361" s="117" t="s">
        <v>164</v>
      </c>
      <c r="B361" s="118" t="s">
        <v>636</v>
      </c>
    </row>
    <row r="362" spans="1:2">
      <c r="A362" s="117" t="s">
        <v>175</v>
      </c>
      <c r="B362" s="118" t="s">
        <v>736</v>
      </c>
    </row>
    <row r="363" spans="1:2">
      <c r="A363" s="117" t="s">
        <v>226</v>
      </c>
      <c r="B363" s="118" t="s">
        <v>643</v>
      </c>
    </row>
    <row r="364" spans="1:2">
      <c r="A364" s="117" t="s">
        <v>241</v>
      </c>
      <c r="B364" s="118" t="s">
        <v>607</v>
      </c>
    </row>
    <row r="365" spans="1:2">
      <c r="A365" s="117" t="s">
        <v>246</v>
      </c>
      <c r="B365" s="118" t="s">
        <v>611</v>
      </c>
    </row>
    <row r="366" spans="1:2">
      <c r="A366" s="117" t="s">
        <v>195</v>
      </c>
      <c r="B366" s="118" t="s">
        <v>625</v>
      </c>
    </row>
    <row r="367" spans="1:2">
      <c r="A367" s="117" t="s">
        <v>1006</v>
      </c>
      <c r="B367" s="118" t="s">
        <v>625</v>
      </c>
    </row>
    <row r="368" spans="1:2">
      <c r="A368" s="117" t="s">
        <v>241</v>
      </c>
      <c r="B368" s="118" t="s">
        <v>633</v>
      </c>
    </row>
    <row r="369" spans="1:2">
      <c r="A369" s="117" t="s">
        <v>164</v>
      </c>
      <c r="B369" s="118" t="s">
        <v>677</v>
      </c>
    </row>
    <row r="370" spans="1:2">
      <c r="A370" s="117" t="s">
        <v>172</v>
      </c>
      <c r="B370" s="118" t="s">
        <v>636</v>
      </c>
    </row>
    <row r="371" spans="1:2">
      <c r="A371" s="117" t="s">
        <v>241</v>
      </c>
      <c r="B371" s="118" t="s">
        <v>658</v>
      </c>
    </row>
    <row r="372" spans="1:2">
      <c r="A372" s="117" t="s">
        <v>259</v>
      </c>
      <c r="B372" s="118" t="s">
        <v>638</v>
      </c>
    </row>
    <row r="373" spans="1:2">
      <c r="A373" s="117" t="s">
        <v>155</v>
      </c>
      <c r="B373" s="118" t="s">
        <v>689</v>
      </c>
    </row>
    <row r="374" spans="1:2">
      <c r="A374" s="117" t="s">
        <v>161</v>
      </c>
      <c r="B374" s="118" t="s">
        <v>623</v>
      </c>
    </row>
    <row r="375" spans="1:2">
      <c r="A375" s="117" t="s">
        <v>251</v>
      </c>
      <c r="B375" s="118" t="s">
        <v>633</v>
      </c>
    </row>
    <row r="376" spans="1:2">
      <c r="A376" s="117" t="s">
        <v>159</v>
      </c>
      <c r="B376" s="118" t="s">
        <v>622</v>
      </c>
    </row>
    <row r="377" spans="1:2">
      <c r="A377" s="117" t="s">
        <v>162</v>
      </c>
      <c r="B377" s="118" t="s">
        <v>661</v>
      </c>
    </row>
    <row r="378" spans="1:2">
      <c r="A378" s="117" t="s">
        <v>83</v>
      </c>
      <c r="B378" s="118" t="s">
        <v>629</v>
      </c>
    </row>
    <row r="379" spans="1:2">
      <c r="A379" s="117" t="s">
        <v>134</v>
      </c>
      <c r="B379" s="118" t="s">
        <v>645</v>
      </c>
    </row>
    <row r="380" spans="1:2">
      <c r="A380" s="117" t="s">
        <v>270</v>
      </c>
      <c r="B380" s="118" t="s">
        <v>671</v>
      </c>
    </row>
    <row r="381" spans="1:2">
      <c r="A381" s="117" t="s">
        <v>148</v>
      </c>
      <c r="B381" s="118" t="s">
        <v>652</v>
      </c>
    </row>
    <row r="382" spans="1:2">
      <c r="A382" s="117" t="s">
        <v>61</v>
      </c>
      <c r="B382" s="118" t="s">
        <v>635</v>
      </c>
    </row>
    <row r="383" spans="1:2">
      <c r="A383" s="117" t="s">
        <v>121</v>
      </c>
      <c r="B383" s="118" t="s">
        <v>619</v>
      </c>
    </row>
    <row r="384" spans="1:2">
      <c r="A384" s="117" t="s">
        <v>128</v>
      </c>
      <c r="B384" s="118" t="s">
        <v>644</v>
      </c>
    </row>
    <row r="385" spans="1:2">
      <c r="A385" s="117" t="s">
        <v>191</v>
      </c>
      <c r="B385" s="118" t="s">
        <v>658</v>
      </c>
    </row>
    <row r="386" spans="1:2">
      <c r="A386" s="117" t="s">
        <v>86</v>
      </c>
      <c r="B386" s="118" t="s">
        <v>618</v>
      </c>
    </row>
    <row r="387" spans="1:2">
      <c r="A387" s="117" t="s">
        <v>273</v>
      </c>
      <c r="B387" s="118" t="s">
        <v>645</v>
      </c>
    </row>
    <row r="388" spans="1:2">
      <c r="A388" s="117" t="s">
        <v>208</v>
      </c>
      <c r="B388" s="118" t="s">
        <v>624</v>
      </c>
    </row>
    <row r="389" spans="1:2">
      <c r="A389" s="117" t="s">
        <v>223</v>
      </c>
      <c r="B389" s="118" t="s">
        <v>665</v>
      </c>
    </row>
    <row r="390" spans="1:2">
      <c r="A390" s="117" t="s">
        <v>222</v>
      </c>
      <c r="B390" s="118" t="s">
        <v>618</v>
      </c>
    </row>
    <row r="391" spans="1:2">
      <c r="A391" s="117" t="s">
        <v>63</v>
      </c>
      <c r="B391" s="118" t="s">
        <v>605</v>
      </c>
    </row>
    <row r="392" spans="1:2">
      <c r="A392" s="117" t="s">
        <v>129</v>
      </c>
      <c r="B392" s="118" t="s">
        <v>604</v>
      </c>
    </row>
    <row r="393" spans="1:2">
      <c r="A393" s="117" t="s">
        <v>91</v>
      </c>
      <c r="B393" s="118" t="s">
        <v>616</v>
      </c>
    </row>
    <row r="394" spans="1:2">
      <c r="A394" s="117" t="s">
        <v>115</v>
      </c>
      <c r="B394" s="118" t="s">
        <v>641</v>
      </c>
    </row>
    <row r="395" spans="1:2">
      <c r="A395" s="117" t="s">
        <v>63</v>
      </c>
      <c r="B395" s="118" t="s">
        <v>647</v>
      </c>
    </row>
    <row r="396" spans="1:2">
      <c r="A396" s="117" t="s">
        <v>199</v>
      </c>
      <c r="B396" s="118" t="s">
        <v>650</v>
      </c>
    </row>
    <row r="397" spans="1:2">
      <c r="A397" s="117" t="s">
        <v>240</v>
      </c>
      <c r="B397" s="118" t="s">
        <v>665</v>
      </c>
    </row>
    <row r="398" spans="1:2">
      <c r="A398" s="117" t="s">
        <v>317</v>
      </c>
      <c r="B398" s="118" t="s">
        <v>645</v>
      </c>
    </row>
    <row r="399" spans="1:2">
      <c r="A399" s="117" t="s">
        <v>314</v>
      </c>
      <c r="B399" s="118" t="s">
        <v>676</v>
      </c>
    </row>
    <row r="400" spans="1:2">
      <c r="A400" s="117" t="s">
        <v>315</v>
      </c>
      <c r="B400" s="118" t="s">
        <v>600</v>
      </c>
    </row>
    <row r="401" spans="1:2">
      <c r="A401" s="117" t="s">
        <v>317</v>
      </c>
      <c r="B401" s="118" t="s">
        <v>655</v>
      </c>
    </row>
    <row r="402" spans="1:2">
      <c r="A402" s="117" t="s">
        <v>316</v>
      </c>
      <c r="B402" s="118" t="s">
        <v>677</v>
      </c>
    </row>
    <row r="403" spans="1:2">
      <c r="A403" s="117" t="s">
        <v>314</v>
      </c>
      <c r="B403" s="118" t="s">
        <v>598</v>
      </c>
    </row>
    <row r="404" spans="1:2">
      <c r="A404" s="117" t="s">
        <v>154</v>
      </c>
      <c r="B404" s="118" t="s">
        <v>633</v>
      </c>
    </row>
    <row r="405" spans="1:2">
      <c r="A405" s="117" t="s">
        <v>55</v>
      </c>
      <c r="B405" s="118" t="s">
        <v>667</v>
      </c>
    </row>
    <row r="406" spans="1:2">
      <c r="A406" s="117" t="s">
        <v>309</v>
      </c>
      <c r="B406" s="118" t="s">
        <v>690</v>
      </c>
    </row>
    <row r="407" spans="1:2">
      <c r="A407" s="117" t="s">
        <v>154</v>
      </c>
      <c r="B407" s="118" t="s">
        <v>665</v>
      </c>
    </row>
    <row r="408" spans="1:2">
      <c r="A408" s="117" t="s">
        <v>101</v>
      </c>
      <c r="B408" s="118" t="s">
        <v>597</v>
      </c>
    </row>
    <row r="409" spans="1:2">
      <c r="A409" s="117" t="s">
        <v>86</v>
      </c>
      <c r="B409" s="118" t="s">
        <v>657</v>
      </c>
    </row>
    <row r="410" spans="1:2">
      <c r="A410" s="117" t="s">
        <v>227</v>
      </c>
      <c r="B410" s="118" t="s">
        <v>645</v>
      </c>
    </row>
    <row r="411" spans="1:2">
      <c r="A411" s="117" t="s">
        <v>168</v>
      </c>
      <c r="B411" s="118" t="s">
        <v>622</v>
      </c>
    </row>
    <row r="412" spans="1:2">
      <c r="A412" s="117" t="s">
        <v>124</v>
      </c>
      <c r="B412" s="118" t="s">
        <v>624</v>
      </c>
    </row>
    <row r="413" spans="1:2">
      <c r="A413" s="117" t="s">
        <v>256</v>
      </c>
      <c r="B413" s="118" t="s">
        <v>629</v>
      </c>
    </row>
    <row r="414" spans="1:2">
      <c r="A414" s="117" t="s">
        <v>168</v>
      </c>
      <c r="B414" s="118" t="s">
        <v>625</v>
      </c>
    </row>
    <row r="415" spans="1:2">
      <c r="A415" s="117" t="s">
        <v>175</v>
      </c>
      <c r="B415" s="118" t="s">
        <v>629</v>
      </c>
    </row>
    <row r="416" spans="1:2">
      <c r="A416" s="117" t="s">
        <v>252</v>
      </c>
      <c r="B416" s="118" t="s">
        <v>619</v>
      </c>
    </row>
    <row r="417" spans="1:2">
      <c r="A417" s="117" t="s">
        <v>72</v>
      </c>
      <c r="B417" s="118" t="s">
        <v>664</v>
      </c>
    </row>
    <row r="418" spans="1:2">
      <c r="A418" s="117" t="s">
        <v>76</v>
      </c>
      <c r="B418" s="118" t="s">
        <v>632</v>
      </c>
    </row>
    <row r="419" spans="1:2">
      <c r="A419" s="117" t="s">
        <v>100</v>
      </c>
      <c r="B419" s="118" t="s">
        <v>631</v>
      </c>
    </row>
    <row r="420" spans="1:2">
      <c r="A420" s="117" t="s">
        <v>97</v>
      </c>
      <c r="B420" s="118" t="s">
        <v>632</v>
      </c>
    </row>
    <row r="421" spans="1:2">
      <c r="A421" s="117" t="s">
        <v>172</v>
      </c>
      <c r="B421" s="118" t="s">
        <v>622</v>
      </c>
    </row>
    <row r="422" spans="1:2">
      <c r="A422" s="117" t="s">
        <v>271</v>
      </c>
      <c r="B422" s="118" t="s">
        <v>622</v>
      </c>
    </row>
    <row r="423" spans="1:2">
      <c r="A423" s="117" t="s">
        <v>83</v>
      </c>
      <c r="B423" s="118" t="s">
        <v>626</v>
      </c>
    </row>
    <row r="424" spans="1:2">
      <c r="A424" s="117" t="s">
        <v>84</v>
      </c>
      <c r="B424" s="118" t="s">
        <v>632</v>
      </c>
    </row>
    <row r="425" spans="1:2">
      <c r="A425" s="117" t="s">
        <v>251</v>
      </c>
      <c r="B425" s="118" t="s">
        <v>656</v>
      </c>
    </row>
    <row r="426" spans="1:2">
      <c r="A426" s="117" t="s">
        <v>55</v>
      </c>
      <c r="B426" s="118" t="s">
        <v>626</v>
      </c>
    </row>
    <row r="427" spans="1:2">
      <c r="A427" s="117" t="s">
        <v>254</v>
      </c>
      <c r="B427" s="118" t="s">
        <v>623</v>
      </c>
    </row>
    <row r="428" spans="1:2">
      <c r="A428" s="117" t="s">
        <v>315</v>
      </c>
      <c r="B428" s="118" t="s">
        <v>621</v>
      </c>
    </row>
    <row r="429" spans="1:2">
      <c r="A429" s="117" t="s">
        <v>226</v>
      </c>
      <c r="B429" s="118" t="s">
        <v>625</v>
      </c>
    </row>
    <row r="430" spans="1:2">
      <c r="A430" s="117" t="s">
        <v>740</v>
      </c>
      <c r="B430" s="118" t="s">
        <v>621</v>
      </c>
    </row>
    <row r="431" spans="1:2">
      <c r="A431" s="117" t="s">
        <v>71</v>
      </c>
      <c r="B431" s="118" t="s">
        <v>694</v>
      </c>
    </row>
    <row r="432" spans="1:2">
      <c r="A432" s="117" t="s">
        <v>300</v>
      </c>
      <c r="B432" s="118" t="s">
        <v>626</v>
      </c>
    </row>
    <row r="433" spans="1:2">
      <c r="A433" s="117" t="s">
        <v>53</v>
      </c>
      <c r="B433" s="118" t="s">
        <v>668</v>
      </c>
    </row>
    <row r="434" spans="1:2">
      <c r="A434" s="117" t="s">
        <v>109</v>
      </c>
      <c r="B434" s="118" t="s">
        <v>620</v>
      </c>
    </row>
    <row r="435" spans="1:2">
      <c r="A435" s="117" t="s">
        <v>51</v>
      </c>
      <c r="B435" s="118" t="s">
        <v>633</v>
      </c>
    </row>
    <row r="436" spans="1:2">
      <c r="A436" s="117" t="s">
        <v>741</v>
      </c>
      <c r="B436" s="118" t="s">
        <v>656</v>
      </c>
    </row>
    <row r="437" spans="1:2">
      <c r="A437" s="117" t="s">
        <v>742</v>
      </c>
      <c r="B437" s="118" t="s">
        <v>604</v>
      </c>
    </row>
    <row r="438" spans="1:2">
      <c r="A438" s="117" t="s">
        <v>251</v>
      </c>
      <c r="B438" s="118" t="s">
        <v>743</v>
      </c>
    </row>
    <row r="439" spans="1:2">
      <c r="A439" s="117" t="s">
        <v>74</v>
      </c>
      <c r="B439" s="118" t="s">
        <v>632</v>
      </c>
    </row>
    <row r="440" spans="1:2">
      <c r="A440" s="117" t="s">
        <v>265</v>
      </c>
      <c r="B440" s="118" t="s">
        <v>633</v>
      </c>
    </row>
    <row r="441" spans="1:2">
      <c r="A441" s="117" t="s">
        <v>744</v>
      </c>
      <c r="B441" s="118" t="s">
        <v>623</v>
      </c>
    </row>
    <row r="442" spans="1:2">
      <c r="A442" s="117" t="s">
        <v>168</v>
      </c>
      <c r="B442" s="118" t="s">
        <v>644</v>
      </c>
    </row>
    <row r="443" spans="1:2">
      <c r="A443" s="117" t="s">
        <v>252</v>
      </c>
      <c r="B443" s="118" t="s">
        <v>621</v>
      </c>
    </row>
    <row r="444" spans="1:2">
      <c r="A444" s="117" t="s">
        <v>240</v>
      </c>
      <c r="B444" s="118" t="s">
        <v>633</v>
      </c>
    </row>
    <row r="445" spans="1:2">
      <c r="A445" s="117" t="s">
        <v>189</v>
      </c>
      <c r="B445" s="118" t="s">
        <v>636</v>
      </c>
    </row>
    <row r="446" spans="1:2">
      <c r="A446" s="117" t="s">
        <v>745</v>
      </c>
      <c r="B446" s="118" t="s">
        <v>622</v>
      </c>
    </row>
    <row r="447" spans="1:2">
      <c r="A447" s="117" t="s">
        <v>86</v>
      </c>
      <c r="B447" s="118" t="s">
        <v>636</v>
      </c>
    </row>
    <row r="448" spans="1:2">
      <c r="A448" s="117" t="s">
        <v>746</v>
      </c>
      <c r="B448" s="118" t="s">
        <v>629</v>
      </c>
    </row>
    <row r="449" spans="1:2">
      <c r="A449" s="117" t="s">
        <v>226</v>
      </c>
      <c r="B449" s="118" t="s">
        <v>672</v>
      </c>
    </row>
    <row r="450" spans="1:2">
      <c r="A450" s="117" t="s">
        <v>271</v>
      </c>
      <c r="B450" s="118" t="s">
        <v>645</v>
      </c>
    </row>
    <row r="451" spans="1:2">
      <c r="A451" s="117" t="s">
        <v>86</v>
      </c>
      <c r="B451" s="118" t="s">
        <v>672</v>
      </c>
    </row>
    <row r="452" spans="1:2">
      <c r="A452" s="117" t="s">
        <v>254</v>
      </c>
      <c r="B452" s="118" t="s">
        <v>633</v>
      </c>
    </row>
    <row r="453" spans="1:2">
      <c r="A453" s="117" t="s">
        <v>744</v>
      </c>
      <c r="B453" s="118" t="s">
        <v>627</v>
      </c>
    </row>
    <row r="454" spans="1:2">
      <c r="A454" s="117" t="s">
        <v>97</v>
      </c>
      <c r="B454" s="118" t="s">
        <v>635</v>
      </c>
    </row>
    <row r="455" spans="1:2">
      <c r="A455" s="117" t="s">
        <v>594</v>
      </c>
      <c r="B455" s="118" t="s">
        <v>631</v>
      </c>
    </row>
    <row r="456" spans="1:2">
      <c r="A456" s="117" t="s">
        <v>63</v>
      </c>
      <c r="B456" s="118" t="s">
        <v>627</v>
      </c>
    </row>
    <row r="457" spans="1:2">
      <c r="A457" s="117" t="s">
        <v>199</v>
      </c>
      <c r="B457" s="118" t="s">
        <v>629</v>
      </c>
    </row>
    <row r="458" spans="1:2">
      <c r="A458" s="117" t="s">
        <v>292</v>
      </c>
      <c r="B458" s="118" t="s">
        <v>633</v>
      </c>
    </row>
    <row r="459" spans="1:2">
      <c r="A459" s="117" t="s">
        <v>83</v>
      </c>
      <c r="B459" s="118" t="s">
        <v>615</v>
      </c>
    </row>
    <row r="460" spans="1:2">
      <c r="A460" s="117" t="s">
        <v>166</v>
      </c>
      <c r="B460" s="118" t="s">
        <v>622</v>
      </c>
    </row>
    <row r="461" spans="1:2">
      <c r="A461" s="117" t="s">
        <v>86</v>
      </c>
      <c r="B461" s="118" t="s">
        <v>633</v>
      </c>
    </row>
    <row r="462" spans="1:2">
      <c r="A462" s="117" t="s">
        <v>747</v>
      </c>
      <c r="B462" s="118" t="s">
        <v>627</v>
      </c>
    </row>
    <row r="463" spans="1:2">
      <c r="A463" s="117" t="s">
        <v>748</v>
      </c>
      <c r="B463" s="118" t="s">
        <v>629</v>
      </c>
    </row>
    <row r="464" spans="1:2">
      <c r="A464" s="117" t="s">
        <v>101</v>
      </c>
      <c r="B464" s="118" t="s">
        <v>643</v>
      </c>
    </row>
    <row r="465" spans="1:2">
      <c r="A465" s="117" t="s">
        <v>256</v>
      </c>
      <c r="B465" s="118" t="s">
        <v>615</v>
      </c>
    </row>
    <row r="466" spans="1:2">
      <c r="A466" s="117" t="s">
        <v>749</v>
      </c>
      <c r="B466" s="118" t="s">
        <v>629</v>
      </c>
    </row>
    <row r="467" spans="1:2">
      <c r="A467" s="117" t="s">
        <v>231</v>
      </c>
      <c r="B467" s="118" t="s">
        <v>621</v>
      </c>
    </row>
    <row r="468" spans="1:2">
      <c r="A468" s="117" t="s">
        <v>240</v>
      </c>
      <c r="B468" s="118" t="s">
        <v>626</v>
      </c>
    </row>
    <row r="469" spans="1:2">
      <c r="A469" s="117" t="s">
        <v>57</v>
      </c>
      <c r="B469" s="118" t="s">
        <v>613</v>
      </c>
    </row>
    <row r="470" spans="1:2">
      <c r="A470" s="117" t="s">
        <v>209</v>
      </c>
      <c r="B470" s="118" t="s">
        <v>633</v>
      </c>
    </row>
    <row r="471" spans="1:2">
      <c r="A471" s="117" t="s">
        <v>55</v>
      </c>
      <c r="B471" s="118" t="s">
        <v>618</v>
      </c>
    </row>
    <row r="472" spans="1:2">
      <c r="A472" s="117" t="s">
        <v>66</v>
      </c>
      <c r="B472" s="118" t="s">
        <v>620</v>
      </c>
    </row>
    <row r="473" spans="1:2">
      <c r="A473" s="117" t="s">
        <v>95</v>
      </c>
      <c r="B473" s="118" t="s">
        <v>632</v>
      </c>
    </row>
    <row r="474" spans="1:2">
      <c r="A474" s="117" t="s">
        <v>63</v>
      </c>
      <c r="B474" s="118" t="s">
        <v>709</v>
      </c>
    </row>
    <row r="475" spans="1:2">
      <c r="A475" s="117" t="s">
        <v>66</v>
      </c>
      <c r="B475" s="118" t="s">
        <v>633</v>
      </c>
    </row>
    <row r="476" spans="1:2">
      <c r="A476" s="117" t="s">
        <v>157</v>
      </c>
      <c r="B476" s="118" t="s">
        <v>648</v>
      </c>
    </row>
    <row r="477" spans="1:2">
      <c r="A477" s="117" t="s">
        <v>132</v>
      </c>
      <c r="B477" s="118" t="s">
        <v>618</v>
      </c>
    </row>
    <row r="478" spans="1:2">
      <c r="A478" s="117" t="s">
        <v>215</v>
      </c>
      <c r="B478" s="118" t="s">
        <v>662</v>
      </c>
    </row>
    <row r="479" spans="1:2">
      <c r="A479" s="117" t="s">
        <v>111</v>
      </c>
      <c r="B479" s="118" t="s">
        <v>598</v>
      </c>
    </row>
    <row r="480" spans="1:2">
      <c r="A480" s="117" t="s">
        <v>111</v>
      </c>
      <c r="B480" s="118" t="s">
        <v>619</v>
      </c>
    </row>
    <row r="481" spans="1:2">
      <c r="A481" s="117" t="s">
        <v>693</v>
      </c>
      <c r="B481" s="118" t="s">
        <v>743</v>
      </c>
    </row>
    <row r="482" spans="1:2">
      <c r="A482" s="117" t="s">
        <v>750</v>
      </c>
      <c r="B482" s="118" t="s">
        <v>648</v>
      </c>
    </row>
    <row r="483" spans="1:2">
      <c r="A483" s="117" t="s">
        <v>209</v>
      </c>
      <c r="B483" s="118" t="s">
        <v>629</v>
      </c>
    </row>
    <row r="484" spans="1:2">
      <c r="A484" s="117" t="s">
        <v>307</v>
      </c>
      <c r="B484" s="118" t="s">
        <v>626</v>
      </c>
    </row>
    <row r="485" spans="1:2">
      <c r="A485" s="117" t="s">
        <v>751</v>
      </c>
      <c r="B485" s="118" t="s">
        <v>623</v>
      </c>
    </row>
    <row r="486" spans="1:2">
      <c r="A486" s="117" t="s">
        <v>116</v>
      </c>
      <c r="B486" s="118" t="s">
        <v>620</v>
      </c>
    </row>
    <row r="487" spans="1:2">
      <c r="A487" s="117" t="s">
        <v>145</v>
      </c>
      <c r="B487" s="118" t="s">
        <v>598</v>
      </c>
    </row>
    <row r="488" spans="1:2">
      <c r="A488" s="117" t="s">
        <v>315</v>
      </c>
      <c r="B488" s="118" t="s">
        <v>598</v>
      </c>
    </row>
    <row r="489" spans="1:2">
      <c r="A489" s="117" t="s">
        <v>55</v>
      </c>
      <c r="B489" s="118" t="s">
        <v>600</v>
      </c>
    </row>
    <row r="490" spans="1:2">
      <c r="A490" s="117" t="s">
        <v>213</v>
      </c>
      <c r="B490" s="118" t="s">
        <v>661</v>
      </c>
    </row>
    <row r="491" spans="1:2">
      <c r="A491" s="117" t="s">
        <v>226</v>
      </c>
      <c r="B491" s="118" t="s">
        <v>632</v>
      </c>
    </row>
    <row r="492" spans="1:2">
      <c r="A492" s="117" t="s">
        <v>92</v>
      </c>
      <c r="B492" s="118" t="s">
        <v>632</v>
      </c>
    </row>
    <row r="493" spans="1:2">
      <c r="A493" s="117" t="s">
        <v>248</v>
      </c>
      <c r="B493" s="118" t="s">
        <v>629</v>
      </c>
    </row>
    <row r="494" spans="1:2">
      <c r="A494" s="117" t="s">
        <v>252</v>
      </c>
      <c r="B494" s="118" t="s">
        <v>598</v>
      </c>
    </row>
    <row r="495" spans="1:2">
      <c r="A495" s="117" t="s">
        <v>151</v>
      </c>
      <c r="B495" s="118" t="s">
        <v>633</v>
      </c>
    </row>
    <row r="496" spans="1:2">
      <c r="A496" s="117" t="s">
        <v>248</v>
      </c>
      <c r="B496" s="118" t="s">
        <v>642</v>
      </c>
    </row>
    <row r="497" spans="1:2">
      <c r="A497" s="117" t="s">
        <v>143</v>
      </c>
      <c r="B497" s="118" t="s">
        <v>648</v>
      </c>
    </row>
    <row r="498" spans="1:2">
      <c r="A498" s="117" t="s">
        <v>140</v>
      </c>
      <c r="B498" s="118" t="s">
        <v>618</v>
      </c>
    </row>
    <row r="499" spans="1:2">
      <c r="A499" s="117" t="s">
        <v>214</v>
      </c>
      <c r="B499" s="118" t="s">
        <v>661</v>
      </c>
    </row>
    <row r="500" spans="1:2">
      <c r="A500" s="117" t="s">
        <v>240</v>
      </c>
      <c r="B500" s="118" t="s">
        <v>630</v>
      </c>
    </row>
    <row r="501" spans="1:2">
      <c r="A501" s="117" t="s">
        <v>155</v>
      </c>
      <c r="B501" s="118" t="s">
        <v>625</v>
      </c>
    </row>
    <row r="502" spans="1:2">
      <c r="A502" s="117" t="s">
        <v>312</v>
      </c>
      <c r="B502" s="118" t="s">
        <v>631</v>
      </c>
    </row>
    <row r="503" spans="1:2">
      <c r="A503" s="117" t="s">
        <v>199</v>
      </c>
      <c r="B503" s="118" t="s">
        <v>648</v>
      </c>
    </row>
    <row r="504" spans="1:2">
      <c r="A504" s="117" t="s">
        <v>195</v>
      </c>
      <c r="B504" s="118" t="s">
        <v>630</v>
      </c>
    </row>
    <row r="505" spans="1:2">
      <c r="A505" s="117" t="s">
        <v>205</v>
      </c>
      <c r="B505" s="118" t="s">
        <v>648</v>
      </c>
    </row>
    <row r="506" spans="1:2">
      <c r="A506" s="117" t="s">
        <v>141</v>
      </c>
      <c r="B506" s="118" t="s">
        <v>618</v>
      </c>
    </row>
    <row r="507" spans="1:2">
      <c r="A507" s="117" t="s">
        <v>53</v>
      </c>
      <c r="B507" s="118" t="s">
        <v>612</v>
      </c>
    </row>
    <row r="508" spans="1:2">
      <c r="A508" s="117" t="s">
        <v>131</v>
      </c>
      <c r="B508" s="118" t="s">
        <v>618</v>
      </c>
    </row>
    <row r="509" spans="1:2">
      <c r="A509" s="117" t="s">
        <v>295</v>
      </c>
      <c r="B509" s="118" t="s">
        <v>622</v>
      </c>
    </row>
    <row r="510" spans="1:2">
      <c r="A510" s="117" t="s">
        <v>128</v>
      </c>
      <c r="B510" s="118" t="s">
        <v>672</v>
      </c>
    </row>
    <row r="511" spans="1:2">
      <c r="A511" s="117" t="s">
        <v>53</v>
      </c>
      <c r="B511" s="118" t="s">
        <v>622</v>
      </c>
    </row>
    <row r="512" spans="1:2">
      <c r="A512" s="117" t="s">
        <v>217</v>
      </c>
      <c r="B512" s="118" t="s">
        <v>631</v>
      </c>
    </row>
    <row r="513" spans="1:2">
      <c r="A513" s="117" t="s">
        <v>241</v>
      </c>
      <c r="B513" s="118" t="s">
        <v>604</v>
      </c>
    </row>
    <row r="514" spans="1:2">
      <c r="A514" s="117" t="s">
        <v>249</v>
      </c>
      <c r="B514" s="118" t="s">
        <v>618</v>
      </c>
    </row>
    <row r="515" spans="1:2">
      <c r="A515" s="117" t="s">
        <v>259</v>
      </c>
      <c r="B515" s="118" t="s">
        <v>665</v>
      </c>
    </row>
    <row r="516" spans="1:2">
      <c r="A516" s="117" t="s">
        <v>752</v>
      </c>
      <c r="B516" s="118" t="s">
        <v>612</v>
      </c>
    </row>
    <row r="517" spans="1:2">
      <c r="A517" s="117" t="s">
        <v>298</v>
      </c>
      <c r="B517" s="118" t="s">
        <v>648</v>
      </c>
    </row>
    <row r="518" spans="1:2">
      <c r="A518" s="117" t="s">
        <v>306</v>
      </c>
      <c r="B518" s="118" t="s">
        <v>623</v>
      </c>
    </row>
    <row r="519" spans="1:2">
      <c r="A519" s="117" t="s">
        <v>86</v>
      </c>
      <c r="B519" s="118" t="s">
        <v>620</v>
      </c>
    </row>
    <row r="520" spans="1:2">
      <c r="A520" s="117" t="s">
        <v>269</v>
      </c>
      <c r="B520" s="118" t="s">
        <v>631</v>
      </c>
    </row>
    <row r="521" spans="1:2">
      <c r="A521" s="117" t="s">
        <v>272</v>
      </c>
      <c r="B521" s="118" t="s">
        <v>636</v>
      </c>
    </row>
    <row r="522" spans="1:2">
      <c r="A522" s="117" t="s">
        <v>163</v>
      </c>
      <c r="B522" s="118" t="s">
        <v>619</v>
      </c>
    </row>
    <row r="523" spans="1:2">
      <c r="A523" s="117" t="s">
        <v>753</v>
      </c>
      <c r="B523" s="118" t="s">
        <v>754</v>
      </c>
    </row>
    <row r="524" spans="1:2">
      <c r="A524" s="117" t="s">
        <v>700</v>
      </c>
      <c r="B524" s="118" t="s">
        <v>599</v>
      </c>
    </row>
    <row r="525" spans="1:2">
      <c r="A525" s="117" t="s">
        <v>305</v>
      </c>
      <c r="B525" s="118" t="s">
        <v>626</v>
      </c>
    </row>
    <row r="526" spans="1:2">
      <c r="A526" s="117" t="s">
        <v>151</v>
      </c>
      <c r="B526" s="118" t="s">
        <v>625</v>
      </c>
    </row>
    <row r="527" spans="1:2">
      <c r="A527" s="117" t="s">
        <v>281</v>
      </c>
      <c r="B527" s="118" t="s">
        <v>656</v>
      </c>
    </row>
    <row r="528" spans="1:2">
      <c r="A528" s="117" t="s">
        <v>237</v>
      </c>
      <c r="B528" s="118" t="s">
        <v>641</v>
      </c>
    </row>
    <row r="529" spans="1:2">
      <c r="A529" s="117" t="s">
        <v>282</v>
      </c>
      <c r="B529" s="118" t="s">
        <v>621</v>
      </c>
    </row>
    <row r="530" spans="1:2">
      <c r="A530" s="117" t="s">
        <v>65</v>
      </c>
      <c r="B530" s="118" t="s">
        <v>621</v>
      </c>
    </row>
    <row r="531" spans="1:2">
      <c r="A531" s="117" t="s">
        <v>219</v>
      </c>
      <c r="B531" s="118" t="s">
        <v>628</v>
      </c>
    </row>
    <row r="532" spans="1:2">
      <c r="A532" s="117" t="s">
        <v>205</v>
      </c>
      <c r="B532" s="118" t="s">
        <v>623</v>
      </c>
    </row>
    <row r="533" spans="1:2">
      <c r="A533" s="117" t="s">
        <v>243</v>
      </c>
      <c r="B533" s="118" t="s">
        <v>659</v>
      </c>
    </row>
    <row r="534" spans="1:2">
      <c r="A534" s="117" t="s">
        <v>266</v>
      </c>
      <c r="B534" s="118" t="s">
        <v>619</v>
      </c>
    </row>
    <row r="535" spans="1:2">
      <c r="A535" s="117" t="s">
        <v>71</v>
      </c>
      <c r="B535" s="118" t="s">
        <v>630</v>
      </c>
    </row>
    <row r="536" spans="1:2">
      <c r="A536" s="117" t="s">
        <v>63</v>
      </c>
      <c r="B536" s="118" t="s">
        <v>613</v>
      </c>
    </row>
    <row r="537" spans="1:2">
      <c r="A537" s="117" t="s">
        <v>277</v>
      </c>
      <c r="B537" s="118" t="s">
        <v>626</v>
      </c>
    </row>
    <row r="538" spans="1:2">
      <c r="A538" s="117" t="s">
        <v>146</v>
      </c>
      <c r="B538" s="118" t="s">
        <v>651</v>
      </c>
    </row>
    <row r="539" spans="1:2">
      <c r="A539" s="117" t="s">
        <v>63</v>
      </c>
      <c r="B539" s="118" t="s">
        <v>649</v>
      </c>
    </row>
    <row r="540" spans="1:2">
      <c r="A540" s="117" t="s">
        <v>268</v>
      </c>
      <c r="B540" s="118" t="s">
        <v>665</v>
      </c>
    </row>
    <row r="541" spans="1:2">
      <c r="A541" s="117" t="s">
        <v>58</v>
      </c>
      <c r="B541" s="118" t="s">
        <v>598</v>
      </c>
    </row>
    <row r="542" spans="1:2">
      <c r="A542" s="117" t="s">
        <v>169</v>
      </c>
      <c r="B542" s="118" t="s">
        <v>649</v>
      </c>
    </row>
    <row r="543" spans="1:2">
      <c r="A543" s="117" t="s">
        <v>291</v>
      </c>
      <c r="B543" s="118" t="s">
        <v>609</v>
      </c>
    </row>
    <row r="544" spans="1:2">
      <c r="A544" s="117" t="s">
        <v>196</v>
      </c>
      <c r="B544" s="118" t="s">
        <v>636</v>
      </c>
    </row>
    <row r="545" spans="1:2">
      <c r="A545" s="117" t="s">
        <v>227</v>
      </c>
      <c r="B545" s="118" t="s">
        <v>668</v>
      </c>
    </row>
    <row r="546" spans="1:2">
      <c r="A546" s="117" t="s">
        <v>297</v>
      </c>
      <c r="B546" s="118" t="s">
        <v>674</v>
      </c>
    </row>
    <row r="547" spans="1:2">
      <c r="A547" s="117" t="s">
        <v>142</v>
      </c>
      <c r="B547" s="118" t="s">
        <v>625</v>
      </c>
    </row>
    <row r="548" spans="1:2">
      <c r="A548" s="117" t="s">
        <v>199</v>
      </c>
      <c r="B548" s="118" t="s">
        <v>660</v>
      </c>
    </row>
    <row r="549" spans="1:2">
      <c r="A549" s="117" t="s">
        <v>110</v>
      </c>
      <c r="B549" s="118" t="s">
        <v>639</v>
      </c>
    </row>
    <row r="550" spans="1:2">
      <c r="A550" s="117" t="s">
        <v>173</v>
      </c>
      <c r="B550" s="118" t="s">
        <v>655</v>
      </c>
    </row>
    <row r="551" spans="1:2">
      <c r="A551" s="117" t="s">
        <v>123</v>
      </c>
      <c r="B551" s="118" t="s">
        <v>643</v>
      </c>
    </row>
    <row r="552" spans="1:2">
      <c r="A552" s="117" t="s">
        <v>234</v>
      </c>
      <c r="B552" s="118" t="s">
        <v>627</v>
      </c>
    </row>
    <row r="553" spans="1:2">
      <c r="A553" s="117" t="s">
        <v>110</v>
      </c>
      <c r="B553" s="118" t="s">
        <v>620</v>
      </c>
    </row>
    <row r="554" spans="1:2">
      <c r="A554" s="117" t="s">
        <v>124</v>
      </c>
      <c r="B554" s="118" t="s">
        <v>612</v>
      </c>
    </row>
    <row r="555" spans="1:2">
      <c r="A555" s="117" t="s">
        <v>218</v>
      </c>
      <c r="B555" s="118" t="s">
        <v>648</v>
      </c>
    </row>
    <row r="556" spans="1:2">
      <c r="A556" s="117" t="s">
        <v>232</v>
      </c>
      <c r="B556" s="118" t="s">
        <v>664</v>
      </c>
    </row>
    <row r="557" spans="1:2">
      <c r="A557" s="117" t="s">
        <v>290</v>
      </c>
      <c r="B557" s="118" t="s">
        <v>631</v>
      </c>
    </row>
    <row r="558" spans="1:2">
      <c r="A558" s="117" t="s">
        <v>230</v>
      </c>
      <c r="B558" s="118" t="s">
        <v>755</v>
      </c>
    </row>
    <row r="559" spans="1:2">
      <c r="A559" s="117" t="s">
        <v>240</v>
      </c>
      <c r="B559" s="118" t="s">
        <v>622</v>
      </c>
    </row>
    <row r="560" spans="1:2">
      <c r="A560" s="117" t="s">
        <v>254</v>
      </c>
      <c r="B560" s="118" t="s">
        <v>629</v>
      </c>
    </row>
    <row r="561" spans="1:2">
      <c r="A561" s="117" t="s">
        <v>236</v>
      </c>
      <c r="B561" s="118" t="s">
        <v>627</v>
      </c>
    </row>
    <row r="562" spans="1:2">
      <c r="A562" s="117" t="s">
        <v>214</v>
      </c>
      <c r="B562" s="118" t="s">
        <v>633</v>
      </c>
    </row>
    <row r="563" spans="1:2">
      <c r="A563" s="117" t="s">
        <v>192</v>
      </c>
      <c r="B563" s="118" t="s">
        <v>619</v>
      </c>
    </row>
    <row r="564" spans="1:2">
      <c r="A564" s="117" t="s">
        <v>210</v>
      </c>
      <c r="B564" s="118" t="s">
        <v>661</v>
      </c>
    </row>
    <row r="565" spans="1:2">
      <c r="A565" s="117" t="s">
        <v>154</v>
      </c>
      <c r="B565" s="118" t="s">
        <v>625</v>
      </c>
    </row>
    <row r="566" spans="1:2">
      <c r="A566" s="117" t="s">
        <v>112</v>
      </c>
      <c r="B566" s="118" t="s">
        <v>640</v>
      </c>
    </row>
    <row r="567" spans="1:2">
      <c r="A567" s="117" t="s">
        <v>225</v>
      </c>
      <c r="B567" s="118" t="s">
        <v>666</v>
      </c>
    </row>
    <row r="568" spans="1:2">
      <c r="A568" s="117" t="s">
        <v>255</v>
      </c>
      <c r="B568" s="118" t="s">
        <v>670</v>
      </c>
    </row>
    <row r="569" spans="1:2">
      <c r="A569" s="117" t="s">
        <v>287</v>
      </c>
      <c r="B569" s="118" t="s">
        <v>673</v>
      </c>
    </row>
    <row r="570" spans="1:2">
      <c r="A570" s="117" t="s">
        <v>230</v>
      </c>
      <c r="B570" s="118" t="s">
        <v>623</v>
      </c>
    </row>
    <row r="571" spans="1:2">
      <c r="A571" s="117" t="s">
        <v>139</v>
      </c>
      <c r="B571" s="118" t="s">
        <v>687</v>
      </c>
    </row>
    <row r="572" spans="1:2">
      <c r="A572" s="117" t="s">
        <v>200</v>
      </c>
      <c r="B572" s="118" t="s">
        <v>659</v>
      </c>
    </row>
    <row r="573" spans="1:2">
      <c r="A573" s="117" t="s">
        <v>102</v>
      </c>
      <c r="B573" s="118" t="s">
        <v>632</v>
      </c>
    </row>
    <row r="574" spans="1:2">
      <c r="A574" s="117" t="s">
        <v>216</v>
      </c>
      <c r="B574" s="118" t="s">
        <v>612</v>
      </c>
    </row>
    <row r="575" spans="1:2">
      <c r="A575" s="117" t="s">
        <v>83</v>
      </c>
      <c r="B575" s="118" t="s">
        <v>619</v>
      </c>
    </row>
    <row r="576" spans="1:2">
      <c r="A576" s="117" t="s">
        <v>120</v>
      </c>
      <c r="B576" s="118" t="s">
        <v>618</v>
      </c>
    </row>
    <row r="577" spans="1:2">
      <c r="A577" s="117" t="s">
        <v>591</v>
      </c>
      <c r="B577" s="118" t="s">
        <v>709</v>
      </c>
    </row>
    <row r="578" spans="1:2">
      <c r="A578" s="117" t="s">
        <v>283</v>
      </c>
      <c r="B578" s="118" t="s">
        <v>621</v>
      </c>
    </row>
    <row r="579" spans="1:2">
      <c r="A579" s="117" t="s">
        <v>245</v>
      </c>
      <c r="B579" s="118" t="s">
        <v>627</v>
      </c>
    </row>
    <row r="580" spans="1:2">
      <c r="A580" s="117" t="s">
        <v>280</v>
      </c>
      <c r="B580" s="118" t="s">
        <v>621</v>
      </c>
    </row>
    <row r="581" spans="1:2">
      <c r="A581" s="117" t="s">
        <v>259</v>
      </c>
      <c r="B581" s="118" t="s">
        <v>629</v>
      </c>
    </row>
    <row r="582" spans="1:2">
      <c r="A582" s="117" t="s">
        <v>696</v>
      </c>
      <c r="B582" s="118" t="s">
        <v>630</v>
      </c>
    </row>
    <row r="583" spans="1:2">
      <c r="A583" s="117" t="s">
        <v>233</v>
      </c>
      <c r="B583" s="118" t="s">
        <v>621</v>
      </c>
    </row>
    <row r="584" spans="1:2">
      <c r="A584" s="117" t="s">
        <v>55</v>
      </c>
      <c r="B584" s="118" t="s">
        <v>617</v>
      </c>
    </row>
    <row r="585" spans="1:2">
      <c r="A585" s="117" t="s">
        <v>60</v>
      </c>
      <c r="B585" s="118" t="s">
        <v>743</v>
      </c>
    </row>
    <row r="586" spans="1:2">
      <c r="A586" s="117" t="s">
        <v>712</v>
      </c>
      <c r="B586" s="118" t="s">
        <v>629</v>
      </c>
    </row>
    <row r="587" spans="1:2">
      <c r="A587" s="117" t="s">
        <v>683</v>
      </c>
      <c r="B587" s="118" t="s">
        <v>613</v>
      </c>
    </row>
    <row r="588" spans="1:2">
      <c r="A588" s="117" t="s">
        <v>756</v>
      </c>
      <c r="B588" s="118" t="s">
        <v>743</v>
      </c>
    </row>
    <row r="589" spans="1:2">
      <c r="A589" s="117" t="s">
        <v>60</v>
      </c>
      <c r="B589" s="118" t="s">
        <v>631</v>
      </c>
    </row>
    <row r="590" spans="1:2">
      <c r="A590" s="117" t="s">
        <v>91</v>
      </c>
      <c r="B590" s="118" t="s">
        <v>629</v>
      </c>
    </row>
    <row r="591" spans="1:2">
      <c r="A591" s="117" t="s">
        <v>307</v>
      </c>
      <c r="B591" s="118" t="s">
        <v>661</v>
      </c>
    </row>
    <row r="592" spans="1:2">
      <c r="A592" s="117" t="s">
        <v>123</v>
      </c>
      <c r="B592" s="118" t="s">
        <v>662</v>
      </c>
    </row>
    <row r="593" spans="1:2">
      <c r="A593" s="117" t="s">
        <v>288</v>
      </c>
      <c r="B593" s="118" t="s">
        <v>612</v>
      </c>
    </row>
    <row r="594" spans="1:2">
      <c r="A594" s="117" t="s">
        <v>149</v>
      </c>
      <c r="B594" s="118" t="s">
        <v>638</v>
      </c>
    </row>
    <row r="595" spans="1:2">
      <c r="A595" s="117" t="s">
        <v>203</v>
      </c>
      <c r="B595" s="118" t="s">
        <v>670</v>
      </c>
    </row>
    <row r="596" spans="1:2">
      <c r="A596" s="117" t="s">
        <v>241</v>
      </c>
      <c r="B596" s="118" t="s">
        <v>630</v>
      </c>
    </row>
    <row r="597" spans="1:2">
      <c r="A597" s="117" t="s">
        <v>258</v>
      </c>
      <c r="B597" s="118" t="s">
        <v>629</v>
      </c>
    </row>
    <row r="598" spans="1:2">
      <c r="A598" s="117" t="s">
        <v>247</v>
      </c>
      <c r="B598" s="118" t="s">
        <v>629</v>
      </c>
    </row>
    <row r="599" spans="1:2">
      <c r="A599" s="117" t="s">
        <v>108</v>
      </c>
      <c r="B599" s="118" t="s">
        <v>620</v>
      </c>
    </row>
    <row r="600" spans="1:2">
      <c r="A600" s="117" t="s">
        <v>239</v>
      </c>
      <c r="B600" s="118" t="s">
        <v>627</v>
      </c>
    </row>
    <row r="601" spans="1:2">
      <c r="A601" s="117" t="s">
        <v>118</v>
      </c>
      <c r="B601" s="118" t="s">
        <v>620</v>
      </c>
    </row>
    <row r="602" spans="1:2">
      <c r="A602" s="117" t="s">
        <v>254</v>
      </c>
      <c r="B602" s="118" t="s">
        <v>670</v>
      </c>
    </row>
    <row r="603" spans="1:2">
      <c r="A603" s="117" t="s">
        <v>150</v>
      </c>
      <c r="B603" s="118" t="s">
        <v>625</v>
      </c>
    </row>
    <row r="604" spans="1:2">
      <c r="A604" s="117" t="s">
        <v>106</v>
      </c>
      <c r="B604" s="118" t="s">
        <v>598</v>
      </c>
    </row>
    <row r="605" spans="1:2">
      <c r="A605" s="117" t="s">
        <v>137</v>
      </c>
      <c r="B605" s="118" t="s">
        <v>618</v>
      </c>
    </row>
    <row r="606" spans="1:2">
      <c r="A606" s="117" t="s">
        <v>212</v>
      </c>
      <c r="B606" s="118" t="s">
        <v>661</v>
      </c>
    </row>
    <row r="607" spans="1:2">
      <c r="A607" s="117" t="s">
        <v>101</v>
      </c>
      <c r="B607" s="118" t="s">
        <v>626</v>
      </c>
    </row>
    <row r="608" spans="1:2">
      <c r="A608" s="117" t="s">
        <v>719</v>
      </c>
      <c r="B608" s="118" t="s">
        <v>661</v>
      </c>
    </row>
    <row r="609" spans="1:2">
      <c r="A609" s="117" t="s">
        <v>757</v>
      </c>
      <c r="B609" s="118" t="s">
        <v>633</v>
      </c>
    </row>
    <row r="610" spans="1:2">
      <c r="A610" s="117" t="s">
        <v>757</v>
      </c>
      <c r="B610" s="118" t="s">
        <v>614</v>
      </c>
    </row>
    <row r="611" spans="1:2">
      <c r="A611" s="117" t="s">
        <v>95</v>
      </c>
      <c r="B611" s="118" t="s">
        <v>620</v>
      </c>
    </row>
    <row r="612" spans="1:2">
      <c r="A612" s="117" t="s">
        <v>758</v>
      </c>
      <c r="B612" s="118" t="s">
        <v>620</v>
      </c>
    </row>
    <row r="613" spans="1:2">
      <c r="A613" s="117" t="s">
        <v>759</v>
      </c>
      <c r="B613" s="118" t="s">
        <v>624</v>
      </c>
    </row>
    <row r="614" spans="1:2">
      <c r="A614" s="117" t="s">
        <v>760</v>
      </c>
      <c r="B614" s="118" t="s">
        <v>629</v>
      </c>
    </row>
    <row r="615" spans="1:2">
      <c r="A615" s="117" t="s">
        <v>717</v>
      </c>
      <c r="B615" s="118" t="s">
        <v>625</v>
      </c>
    </row>
    <row r="616" spans="1:2">
      <c r="A616" s="117" t="s">
        <v>761</v>
      </c>
      <c r="B616" s="118" t="s">
        <v>625</v>
      </c>
    </row>
    <row r="617" spans="1:2">
      <c r="A617" s="117" t="s">
        <v>762</v>
      </c>
      <c r="B617" s="118" t="s">
        <v>632</v>
      </c>
    </row>
    <row r="618" spans="1:2">
      <c r="A618" s="117" t="s">
        <v>763</v>
      </c>
      <c r="B618" s="118" t="s">
        <v>624</v>
      </c>
    </row>
    <row r="619" spans="1:2">
      <c r="A619" s="117" t="s">
        <v>764</v>
      </c>
      <c r="B619" s="118" t="s">
        <v>624</v>
      </c>
    </row>
    <row r="620" spans="1:2">
      <c r="A620" s="117" t="s">
        <v>83</v>
      </c>
      <c r="B620" s="118" t="s">
        <v>664</v>
      </c>
    </row>
    <row r="621" spans="1:2">
      <c r="A621" s="117" t="s">
        <v>174</v>
      </c>
      <c r="B621" s="118" t="s">
        <v>765</v>
      </c>
    </row>
    <row r="622" spans="1:2">
      <c r="A622" s="117" t="s">
        <v>766</v>
      </c>
      <c r="B622" s="118" t="s">
        <v>648</v>
      </c>
    </row>
    <row r="623" spans="1:2">
      <c r="A623" s="117" t="s">
        <v>256</v>
      </c>
      <c r="B623" s="118" t="s">
        <v>627</v>
      </c>
    </row>
    <row r="624" spans="1:2">
      <c r="A624" s="117" t="s">
        <v>55</v>
      </c>
      <c r="B624" s="118" t="s">
        <v>646</v>
      </c>
    </row>
    <row r="625" spans="1:2">
      <c r="A625" s="117" t="s">
        <v>245</v>
      </c>
      <c r="B625" s="118" t="s">
        <v>550</v>
      </c>
    </row>
    <row r="626" spans="1:2">
      <c r="A626" s="117" t="s">
        <v>767</v>
      </c>
      <c r="B626" s="118" t="s">
        <v>618</v>
      </c>
    </row>
    <row r="627" spans="1:2">
      <c r="A627" s="117" t="s">
        <v>768</v>
      </c>
      <c r="B627" s="118" t="s">
        <v>625</v>
      </c>
    </row>
    <row r="628" spans="1:2">
      <c r="A628" s="117" t="s">
        <v>243</v>
      </c>
      <c r="B628" s="118" t="s">
        <v>633</v>
      </c>
    </row>
    <row r="629" spans="1:2">
      <c r="A629" s="117" t="s">
        <v>256</v>
      </c>
      <c r="B629" s="118" t="s">
        <v>709</v>
      </c>
    </row>
    <row r="630" spans="1:2">
      <c r="A630" s="117" t="s">
        <v>86</v>
      </c>
      <c r="B630" s="118" t="s">
        <v>664</v>
      </c>
    </row>
    <row r="631" spans="1:2">
      <c r="A631" s="117" t="s">
        <v>195</v>
      </c>
      <c r="B631" s="118" t="s">
        <v>633</v>
      </c>
    </row>
    <row r="632" spans="1:2">
      <c r="A632" s="117" t="s">
        <v>145</v>
      </c>
      <c r="B632" s="118" t="s">
        <v>650</v>
      </c>
    </row>
    <row r="633" spans="1:2">
      <c r="A633" s="117" t="s">
        <v>193</v>
      </c>
      <c r="B633" s="118" t="s">
        <v>611</v>
      </c>
    </row>
    <row r="634" spans="1:2">
      <c r="A634" s="117" t="s">
        <v>153</v>
      </c>
      <c r="B634" s="118" t="s">
        <v>654</v>
      </c>
    </row>
    <row r="635" spans="1:2">
      <c r="A635" s="117" t="s">
        <v>769</v>
      </c>
      <c r="B635" s="118" t="s">
        <v>620</v>
      </c>
    </row>
    <row r="636" spans="1:2">
      <c r="A636" s="117" t="s">
        <v>770</v>
      </c>
      <c r="B636" s="118" t="s">
        <v>623</v>
      </c>
    </row>
    <row r="637" spans="1:2">
      <c r="A637" s="117" t="s">
        <v>771</v>
      </c>
      <c r="B637" s="118" t="s">
        <v>661</v>
      </c>
    </row>
    <row r="638" spans="1:2">
      <c r="A638" s="117" t="s">
        <v>772</v>
      </c>
      <c r="B638" s="118" t="s">
        <v>661</v>
      </c>
    </row>
    <row r="639" spans="1:2">
      <c r="A639" s="117" t="s">
        <v>249</v>
      </c>
      <c r="B639" s="118" t="s">
        <v>633</v>
      </c>
    </row>
    <row r="640" spans="1:2">
      <c r="A640" s="117" t="s">
        <v>184</v>
      </c>
      <c r="B640" s="118" t="s">
        <v>619</v>
      </c>
    </row>
    <row r="641" spans="1:2">
      <c r="A641" s="117" t="s">
        <v>147</v>
      </c>
      <c r="B641" s="118" t="s">
        <v>648</v>
      </c>
    </row>
    <row r="642" spans="1:2">
      <c r="A642" s="117" t="s">
        <v>91</v>
      </c>
      <c r="B642" s="118" t="s">
        <v>619</v>
      </c>
    </row>
    <row r="643" spans="1:2">
      <c r="A643" s="117" t="s">
        <v>246</v>
      </c>
      <c r="B643" s="118" t="s">
        <v>613</v>
      </c>
    </row>
    <row r="644" spans="1:2">
      <c r="A644" s="117" t="s">
        <v>224</v>
      </c>
      <c r="B644" s="118" t="s">
        <v>625</v>
      </c>
    </row>
    <row r="645" spans="1:2">
      <c r="A645" s="117" t="s">
        <v>276</v>
      </c>
      <c r="B645" s="118" t="s">
        <v>644</v>
      </c>
    </row>
    <row r="646" spans="1:2">
      <c r="A646" s="117" t="s">
        <v>239</v>
      </c>
      <c r="B646" s="118" t="s">
        <v>630</v>
      </c>
    </row>
    <row r="647" spans="1:2">
      <c r="A647" s="117" t="s">
        <v>773</v>
      </c>
      <c r="B647" s="118" t="s">
        <v>625</v>
      </c>
    </row>
    <row r="648" spans="1:2">
      <c r="A648" s="117" t="s">
        <v>231</v>
      </c>
      <c r="B648" s="118" t="s">
        <v>627</v>
      </c>
    </row>
    <row r="649" spans="1:2">
      <c r="A649" s="117" t="s">
        <v>722</v>
      </c>
      <c r="B649" s="118" t="s">
        <v>599</v>
      </c>
    </row>
    <row r="650" spans="1:2">
      <c r="A650" s="117" t="s">
        <v>78</v>
      </c>
      <c r="B650" s="118" t="s">
        <v>623</v>
      </c>
    </row>
    <row r="651" spans="1:2">
      <c r="A651" s="117" t="s">
        <v>199</v>
      </c>
      <c r="B651" s="118" t="s">
        <v>619</v>
      </c>
    </row>
    <row r="652" spans="1:2">
      <c r="A652" s="117" t="s">
        <v>178</v>
      </c>
      <c r="B652" s="118" t="s">
        <v>672</v>
      </c>
    </row>
    <row r="653" spans="1:2">
      <c r="A653" s="117" t="s">
        <v>217</v>
      </c>
      <c r="B653" s="118" t="s">
        <v>667</v>
      </c>
    </row>
    <row r="654" spans="1:2">
      <c r="A654" s="117" t="s">
        <v>226</v>
      </c>
      <c r="B654" s="118" t="s">
        <v>669</v>
      </c>
    </row>
    <row r="655" spans="1:2">
      <c r="A655" s="117" t="s">
        <v>265</v>
      </c>
      <c r="B655" s="118" t="s">
        <v>665</v>
      </c>
    </row>
    <row r="656" spans="1:2">
      <c r="A656" s="117" t="s">
        <v>271</v>
      </c>
      <c r="B656" s="118" t="s">
        <v>709</v>
      </c>
    </row>
    <row r="657" spans="1:2">
      <c r="A657" s="117" t="s">
        <v>110</v>
      </c>
      <c r="B657" s="118" t="s">
        <v>694</v>
      </c>
    </row>
    <row r="658" spans="1:2">
      <c r="A658" s="117" t="s">
        <v>89</v>
      </c>
      <c r="B658" s="118" t="s">
        <v>636</v>
      </c>
    </row>
    <row r="659" spans="1:2">
      <c r="A659" s="117" t="s">
        <v>110</v>
      </c>
      <c r="B659" s="118" t="s">
        <v>600</v>
      </c>
    </row>
    <row r="660" spans="1:2">
      <c r="A660" s="117" t="s">
        <v>119</v>
      </c>
      <c r="B660" s="118" t="s">
        <v>656</v>
      </c>
    </row>
    <row r="661" spans="1:2">
      <c r="A661" s="117" t="s">
        <v>125</v>
      </c>
      <c r="B661" s="118" t="s">
        <v>633</v>
      </c>
    </row>
    <row r="662" spans="1:2">
      <c r="A662" s="117" t="s">
        <v>774</v>
      </c>
      <c r="B662" s="118" t="s">
        <v>613</v>
      </c>
    </row>
    <row r="663" spans="1:2">
      <c r="A663" s="117" t="s">
        <v>260</v>
      </c>
      <c r="B663" s="118" t="s">
        <v>627</v>
      </c>
    </row>
    <row r="664" spans="1:2">
      <c r="A664" s="117" t="s">
        <v>161</v>
      </c>
      <c r="B664" s="118" t="s">
        <v>672</v>
      </c>
    </row>
    <row r="665" spans="1:2">
      <c r="A665" s="117" t="s">
        <v>160</v>
      </c>
      <c r="B665" s="118" t="s">
        <v>694</v>
      </c>
    </row>
    <row r="666" spans="1:2">
      <c r="A666" s="117" t="s">
        <v>228</v>
      </c>
      <c r="B666" s="118" t="s">
        <v>631</v>
      </c>
    </row>
    <row r="667" spans="1:2">
      <c r="A667" s="117" t="s">
        <v>231</v>
      </c>
      <c r="B667" s="118" t="s">
        <v>632</v>
      </c>
    </row>
    <row r="668" spans="1:2">
      <c r="A668" s="117" t="s">
        <v>107</v>
      </c>
      <c r="B668" s="118" t="s">
        <v>618</v>
      </c>
    </row>
    <row r="669" spans="1:2">
      <c r="A669" s="117" t="s">
        <v>115</v>
      </c>
      <c r="B669" s="118" t="s">
        <v>627</v>
      </c>
    </row>
    <row r="670" spans="1:2">
      <c r="A670" s="117" t="s">
        <v>116</v>
      </c>
      <c r="B670" s="118" t="s">
        <v>669</v>
      </c>
    </row>
    <row r="671" spans="1:2">
      <c r="A671" s="117" t="s">
        <v>117</v>
      </c>
      <c r="B671" s="118" t="s">
        <v>621</v>
      </c>
    </row>
    <row r="672" spans="1:2">
      <c r="A672" s="117" t="s">
        <v>97</v>
      </c>
      <c r="B672" s="118" t="s">
        <v>608</v>
      </c>
    </row>
    <row r="673" spans="1:2">
      <c r="A673" s="117" t="s">
        <v>101</v>
      </c>
      <c r="B673" s="118" t="s">
        <v>610</v>
      </c>
    </row>
    <row r="674" spans="1:2">
      <c r="A674" s="117" t="s">
        <v>271</v>
      </c>
      <c r="B674" s="118" t="s">
        <v>669</v>
      </c>
    </row>
    <row r="675" spans="1:2">
      <c r="A675" s="117" t="s">
        <v>97</v>
      </c>
      <c r="B675" s="118" t="s">
        <v>610</v>
      </c>
    </row>
    <row r="676" spans="1:2">
      <c r="A676" s="117" t="s">
        <v>81</v>
      </c>
      <c r="B676" s="118" t="s">
        <v>598</v>
      </c>
    </row>
    <row r="677" spans="1:2">
      <c r="A677" s="117" t="s">
        <v>63</v>
      </c>
      <c r="B677" s="118" t="s">
        <v>667</v>
      </c>
    </row>
    <row r="678" spans="1:2">
      <c r="A678" s="117" t="s">
        <v>57</v>
      </c>
      <c r="B678" s="118" t="s">
        <v>632</v>
      </c>
    </row>
    <row r="679" spans="1:2">
      <c r="A679" s="117" t="s">
        <v>226</v>
      </c>
      <c r="B679" s="118" t="s">
        <v>709</v>
      </c>
    </row>
    <row r="680" spans="1:2">
      <c r="A680" s="117" t="s">
        <v>775</v>
      </c>
      <c r="B680" s="118" t="s">
        <v>662</v>
      </c>
    </row>
    <row r="681" spans="1:2">
      <c r="A681" s="117" t="s">
        <v>97</v>
      </c>
      <c r="B681" s="118" t="s">
        <v>617</v>
      </c>
    </row>
    <row r="682" spans="1:2">
      <c r="A682" s="117" t="s">
        <v>695</v>
      </c>
      <c r="B682" s="118" t="s">
        <v>674</v>
      </c>
    </row>
    <row r="683" spans="1:2">
      <c r="A683" s="117" t="s">
        <v>69</v>
      </c>
      <c r="B683" s="118" t="s">
        <v>633</v>
      </c>
    </row>
    <row r="684" spans="1:2">
      <c r="A684" s="117" t="s">
        <v>692</v>
      </c>
      <c r="B684" s="118" t="s">
        <v>632</v>
      </c>
    </row>
    <row r="685" spans="1:2">
      <c r="A685" s="117" t="s">
        <v>101</v>
      </c>
      <c r="B685" s="118" t="s">
        <v>669</v>
      </c>
    </row>
    <row r="686" spans="1:2">
      <c r="A686" s="117" t="s">
        <v>120</v>
      </c>
      <c r="B686" s="118" t="s">
        <v>643</v>
      </c>
    </row>
    <row r="687" spans="1:2">
      <c r="A687" s="117" t="s">
        <v>121</v>
      </c>
      <c r="B687" s="118" t="s">
        <v>670</v>
      </c>
    </row>
    <row r="688" spans="1:2">
      <c r="A688" s="117" t="s">
        <v>739</v>
      </c>
      <c r="B688" s="118" t="s">
        <v>665</v>
      </c>
    </row>
    <row r="689" spans="1:2">
      <c r="A689" s="117" t="s">
        <v>161</v>
      </c>
      <c r="B689" s="118" t="s">
        <v>639</v>
      </c>
    </row>
    <row r="690" spans="1:2">
      <c r="A690" s="117" t="s">
        <v>776</v>
      </c>
      <c r="B690" s="118" t="s">
        <v>754</v>
      </c>
    </row>
    <row r="691" spans="1:2">
      <c r="A691" s="117" t="s">
        <v>217</v>
      </c>
      <c r="B691" s="118" t="s">
        <v>636</v>
      </c>
    </row>
    <row r="692" spans="1:2">
      <c r="A692" s="117" t="s">
        <v>228</v>
      </c>
      <c r="B692" s="118" t="s">
        <v>603</v>
      </c>
    </row>
    <row r="693" spans="1:2">
      <c r="A693" s="117" t="s">
        <v>266</v>
      </c>
      <c r="B693" s="118" t="s">
        <v>624</v>
      </c>
    </row>
    <row r="694" spans="1:2">
      <c r="A694" s="117" t="s">
        <v>267</v>
      </c>
      <c r="B694" s="118" t="s">
        <v>633</v>
      </c>
    </row>
    <row r="695" spans="1:2">
      <c r="A695" s="117" t="s">
        <v>285</v>
      </c>
      <c r="B695" s="118" t="s">
        <v>623</v>
      </c>
    </row>
    <row r="696" spans="1:2">
      <c r="A696" s="117" t="s">
        <v>777</v>
      </c>
      <c r="B696" s="118" t="s">
        <v>709</v>
      </c>
    </row>
    <row r="697" spans="1:2">
      <c r="A697" s="117" t="s">
        <v>159</v>
      </c>
      <c r="B697" s="118" t="s">
        <v>599</v>
      </c>
    </row>
    <row r="698" spans="1:2">
      <c r="A698" s="117" t="s">
        <v>160</v>
      </c>
      <c r="B698" s="118" t="s">
        <v>655</v>
      </c>
    </row>
    <row r="699" spans="1:2">
      <c r="A699" s="117" t="s">
        <v>226</v>
      </c>
      <c r="B699" s="118" t="s">
        <v>622</v>
      </c>
    </row>
    <row r="700" spans="1:2">
      <c r="A700" s="117" t="s">
        <v>217</v>
      </c>
      <c r="B700" s="118" t="s">
        <v>648</v>
      </c>
    </row>
    <row r="701" spans="1:2">
      <c r="A701" s="117" t="s">
        <v>53</v>
      </c>
      <c r="B701" s="118" t="s">
        <v>550</v>
      </c>
    </row>
    <row r="702" spans="1:2">
      <c r="A702" s="117" t="s">
        <v>228</v>
      </c>
      <c r="B702" s="118" t="s">
        <v>628</v>
      </c>
    </row>
    <row r="703" spans="1:2">
      <c r="A703" s="117" t="s">
        <v>778</v>
      </c>
      <c r="B703" s="118" t="s">
        <v>638</v>
      </c>
    </row>
    <row r="704" spans="1:2">
      <c r="A704" s="117" t="s">
        <v>161</v>
      </c>
      <c r="B704" s="118" t="s">
        <v>667</v>
      </c>
    </row>
    <row r="705" spans="1:2">
      <c r="A705" s="117" t="s">
        <v>226</v>
      </c>
      <c r="B705" s="118" t="s">
        <v>689</v>
      </c>
    </row>
    <row r="706" spans="1:2">
      <c r="A706" s="117" t="s">
        <v>773</v>
      </c>
      <c r="B706" s="118" t="s">
        <v>648</v>
      </c>
    </row>
    <row r="707" spans="1:2">
      <c r="A707" s="117" t="s">
        <v>269</v>
      </c>
      <c r="B707" s="118" t="s">
        <v>625</v>
      </c>
    </row>
    <row r="708" spans="1:2">
      <c r="A708" s="117" t="s">
        <v>96</v>
      </c>
      <c r="B708" s="118" t="s">
        <v>632</v>
      </c>
    </row>
    <row r="709" spans="1:2">
      <c r="A709" s="117" t="s">
        <v>217</v>
      </c>
      <c r="B709" s="118" t="s">
        <v>632</v>
      </c>
    </row>
    <row r="710" spans="1:2">
      <c r="A710" s="117" t="s">
        <v>245</v>
      </c>
      <c r="B710" s="118" t="s">
        <v>664</v>
      </c>
    </row>
    <row r="711" spans="1:2">
      <c r="A711" s="117" t="s">
        <v>121</v>
      </c>
      <c r="B711" s="118" t="s">
        <v>733</v>
      </c>
    </row>
    <row r="712" spans="1:2">
      <c r="A712" s="117" t="s">
        <v>740</v>
      </c>
      <c r="B712" s="118" t="s">
        <v>729</v>
      </c>
    </row>
    <row r="713" spans="1:2">
      <c r="A713" s="117" t="s">
        <v>83</v>
      </c>
      <c r="B713" s="118" t="s">
        <v>632</v>
      </c>
    </row>
    <row r="714" spans="1:2">
      <c r="A714" s="117" t="s">
        <v>265</v>
      </c>
      <c r="B714" s="118" t="s">
        <v>667</v>
      </c>
    </row>
    <row r="715" spans="1:2">
      <c r="A715" s="117" t="s">
        <v>779</v>
      </c>
      <c r="B715" s="118" t="s">
        <v>633</v>
      </c>
    </row>
    <row r="716" spans="1:2">
      <c r="A716" s="117" t="s">
        <v>178</v>
      </c>
      <c r="B716" s="118" t="s">
        <v>733</v>
      </c>
    </row>
    <row r="717" spans="1:2">
      <c r="A717" s="117" t="s">
        <v>91</v>
      </c>
      <c r="B717" s="118" t="s">
        <v>601</v>
      </c>
    </row>
    <row r="718" spans="1:2">
      <c r="A718" s="117" t="s">
        <v>185</v>
      </c>
      <c r="B718" s="118" t="s">
        <v>671</v>
      </c>
    </row>
    <row r="719" spans="1:2">
      <c r="A719" s="117" t="s">
        <v>247</v>
      </c>
      <c r="B719" s="118" t="s">
        <v>622</v>
      </c>
    </row>
    <row r="720" spans="1:2">
      <c r="A720" s="117" t="s">
        <v>256</v>
      </c>
      <c r="B720" s="118" t="s">
        <v>672</v>
      </c>
    </row>
    <row r="721" spans="1:2">
      <c r="A721" s="117" t="s">
        <v>289</v>
      </c>
      <c r="B721" s="118" t="s">
        <v>658</v>
      </c>
    </row>
    <row r="722" spans="1:2">
      <c r="A722" s="117" t="s">
        <v>188</v>
      </c>
      <c r="B722" s="118" t="s">
        <v>613</v>
      </c>
    </row>
    <row r="723" spans="1:2">
      <c r="A723" s="117" t="s">
        <v>246</v>
      </c>
      <c r="B723" s="118" t="s">
        <v>736</v>
      </c>
    </row>
    <row r="724" spans="1:2">
      <c r="A724" s="117" t="s">
        <v>221</v>
      </c>
      <c r="B724" s="118" t="s">
        <v>698</v>
      </c>
    </row>
    <row r="725" spans="1:2">
      <c r="A725" s="117" t="s">
        <v>231</v>
      </c>
      <c r="B725" s="118" t="s">
        <v>620</v>
      </c>
    </row>
    <row r="726" spans="1:2">
      <c r="A726" s="117" t="s">
        <v>161</v>
      </c>
      <c r="B726" s="118" t="s">
        <v>633</v>
      </c>
    </row>
    <row r="727" spans="1:2">
      <c r="A727" s="117" t="s">
        <v>756</v>
      </c>
      <c r="B727" s="118" t="s">
        <v>631</v>
      </c>
    </row>
    <row r="728" spans="1:2">
      <c r="A728" s="117" t="s">
        <v>66</v>
      </c>
      <c r="B728" s="118" t="s">
        <v>613</v>
      </c>
    </row>
    <row r="729" spans="1:2">
      <c r="A729" s="117" t="s">
        <v>292</v>
      </c>
      <c r="B729" s="118" t="s">
        <v>608</v>
      </c>
    </row>
    <row r="730" spans="1:2">
      <c r="A730" s="117" t="s">
        <v>221</v>
      </c>
      <c r="B730" s="118" t="s">
        <v>651</v>
      </c>
    </row>
    <row r="731" spans="1:2">
      <c r="A731" s="117" t="s">
        <v>292</v>
      </c>
      <c r="B731" s="118" t="s">
        <v>610</v>
      </c>
    </row>
    <row r="732" spans="1:2">
      <c r="A732" s="117" t="s">
        <v>84</v>
      </c>
      <c r="B732" s="118" t="s">
        <v>597</v>
      </c>
    </row>
    <row r="733" spans="1:2">
      <c r="A733" s="117" t="s">
        <v>104</v>
      </c>
      <c r="B733" s="118" t="s">
        <v>677</v>
      </c>
    </row>
    <row r="734" spans="1:2">
      <c r="A734" s="117" t="s">
        <v>108</v>
      </c>
      <c r="B734" s="118" t="s">
        <v>648</v>
      </c>
    </row>
    <row r="735" spans="1:2">
      <c r="A735" s="117" t="s">
        <v>246</v>
      </c>
      <c r="B735" s="118" t="s">
        <v>627</v>
      </c>
    </row>
    <row r="736" spans="1:2">
      <c r="A736" s="117" t="s">
        <v>107</v>
      </c>
      <c r="B736" s="118" t="s">
        <v>617</v>
      </c>
    </row>
    <row r="737" spans="1:2">
      <c r="A737" s="117" t="s">
        <v>247</v>
      </c>
      <c r="B737" s="118" t="s">
        <v>635</v>
      </c>
    </row>
    <row r="738" spans="1:2">
      <c r="A738" s="117" t="s">
        <v>301</v>
      </c>
      <c r="B738" s="118" t="s">
        <v>674</v>
      </c>
    </row>
    <row r="739" spans="1:2">
      <c r="A739" s="117" t="s">
        <v>104</v>
      </c>
      <c r="B739" s="118" t="s">
        <v>620</v>
      </c>
    </row>
    <row r="740" spans="1:2">
      <c r="A740" s="117" t="s">
        <v>160</v>
      </c>
      <c r="B740" s="118" t="s">
        <v>644</v>
      </c>
    </row>
    <row r="741" spans="1:2">
      <c r="A741" s="117" t="s">
        <v>261</v>
      </c>
      <c r="B741" s="118" t="s">
        <v>624</v>
      </c>
    </row>
    <row r="742" spans="1:2">
      <c r="A742" s="117" t="s">
        <v>74</v>
      </c>
      <c r="B742" s="118" t="s">
        <v>618</v>
      </c>
    </row>
    <row r="743" spans="1:2">
      <c r="A743" s="117" t="s">
        <v>104</v>
      </c>
      <c r="B743" s="118" t="s">
        <v>602</v>
      </c>
    </row>
    <row r="744" spans="1:2">
      <c r="A744" s="117" t="s">
        <v>114</v>
      </c>
      <c r="B744" s="118" t="s">
        <v>620</v>
      </c>
    </row>
    <row r="745" spans="1:2">
      <c r="A745" s="117" t="s">
        <v>113</v>
      </c>
      <c r="B745" s="118" t="s">
        <v>602</v>
      </c>
    </row>
    <row r="746" spans="1:2">
      <c r="A746" s="117" t="s">
        <v>114</v>
      </c>
      <c r="B746" s="118" t="s">
        <v>661</v>
      </c>
    </row>
    <row r="747" spans="1:2">
      <c r="A747" s="117" t="s">
        <v>125</v>
      </c>
      <c r="B747" s="118" t="s">
        <v>624</v>
      </c>
    </row>
    <row r="748" spans="1:2">
      <c r="A748" s="117" t="s">
        <v>65</v>
      </c>
      <c r="B748" s="118" t="s">
        <v>623</v>
      </c>
    </row>
    <row r="749" spans="1:2">
      <c r="A749" s="117" t="s">
        <v>221</v>
      </c>
      <c r="B749" s="118" t="s">
        <v>684</v>
      </c>
    </row>
    <row r="750" spans="1:2">
      <c r="A750" s="117" t="s">
        <v>230</v>
      </c>
      <c r="B750" s="118" t="s">
        <v>635</v>
      </c>
    </row>
    <row r="751" spans="1:2">
      <c r="A751" s="117" t="s">
        <v>233</v>
      </c>
      <c r="B751" s="118" t="s">
        <v>673</v>
      </c>
    </row>
    <row r="752" spans="1:2">
      <c r="A752" s="117" t="s">
        <v>723</v>
      </c>
      <c r="B752" s="118" t="s">
        <v>662</v>
      </c>
    </row>
    <row r="753" spans="1:2">
      <c r="A753" s="117" t="s">
        <v>248</v>
      </c>
      <c r="B753" s="118" t="s">
        <v>621</v>
      </c>
    </row>
    <row r="754" spans="1:2">
      <c r="A754" s="117" t="s">
        <v>95</v>
      </c>
      <c r="B754" s="118" t="s">
        <v>633</v>
      </c>
    </row>
    <row r="755" spans="1:2">
      <c r="A755" s="117" t="s">
        <v>750</v>
      </c>
      <c r="B755" s="118" t="s">
        <v>743</v>
      </c>
    </row>
    <row r="756" spans="1:2">
      <c r="A756" s="117" t="s">
        <v>723</v>
      </c>
      <c r="B756" s="118" t="s">
        <v>600</v>
      </c>
    </row>
    <row r="757" spans="1:2">
      <c r="A757" s="117" t="s">
        <v>265</v>
      </c>
      <c r="B757" s="118" t="s">
        <v>602</v>
      </c>
    </row>
    <row r="758" spans="1:2">
      <c r="A758" s="117" t="s">
        <v>267</v>
      </c>
      <c r="B758" s="118" t="s">
        <v>780</v>
      </c>
    </row>
    <row r="759" spans="1:2">
      <c r="A759" s="117" t="s">
        <v>53</v>
      </c>
      <c r="B759" s="118" t="s">
        <v>610</v>
      </c>
    </row>
    <row r="760" spans="1:2">
      <c r="A760" s="117" t="s">
        <v>266</v>
      </c>
      <c r="B760" s="118" t="s">
        <v>622</v>
      </c>
    </row>
    <row r="761" spans="1:2">
      <c r="A761" s="117" t="s">
        <v>197</v>
      </c>
      <c r="B761" s="118" t="s">
        <v>631</v>
      </c>
    </row>
    <row r="762" spans="1:2">
      <c r="A762" s="117" t="s">
        <v>198</v>
      </c>
      <c r="B762" s="118" t="s">
        <v>623</v>
      </c>
    </row>
    <row r="763" spans="1:2">
      <c r="A763" s="117" t="s">
        <v>69</v>
      </c>
      <c r="B763" s="118" t="s">
        <v>632</v>
      </c>
    </row>
    <row r="764" spans="1:2">
      <c r="A764" s="117" t="s">
        <v>210</v>
      </c>
      <c r="B764" s="118" t="s">
        <v>633</v>
      </c>
    </row>
    <row r="765" spans="1:2">
      <c r="A765" s="117" t="s">
        <v>781</v>
      </c>
      <c r="B765" s="118" t="s">
        <v>621</v>
      </c>
    </row>
    <row r="766" spans="1:2">
      <c r="A766" s="117" t="s">
        <v>723</v>
      </c>
      <c r="B766" s="118" t="s">
        <v>612</v>
      </c>
    </row>
    <row r="767" spans="1:2">
      <c r="A767" s="117" t="s">
        <v>120</v>
      </c>
      <c r="B767" s="118" t="s">
        <v>629</v>
      </c>
    </row>
    <row r="768" spans="1:2">
      <c r="A768" s="117" t="s">
        <v>276</v>
      </c>
      <c r="B768" s="118" t="s">
        <v>668</v>
      </c>
    </row>
    <row r="769" spans="1:2">
      <c r="A769" s="117" t="s">
        <v>782</v>
      </c>
      <c r="B769" s="118" t="s">
        <v>643</v>
      </c>
    </row>
    <row r="770" spans="1:2">
      <c r="A770" s="117" t="s">
        <v>142</v>
      </c>
      <c r="B770" s="118" t="s">
        <v>623</v>
      </c>
    </row>
    <row r="771" spans="1:2">
      <c r="A771" s="117" t="s">
        <v>217</v>
      </c>
      <c r="B771" s="118" t="s">
        <v>672</v>
      </c>
    </row>
    <row r="772" spans="1:2">
      <c r="A772" s="117" t="s">
        <v>104</v>
      </c>
      <c r="B772" s="118" t="s">
        <v>640</v>
      </c>
    </row>
    <row r="773" spans="1:2">
      <c r="A773" s="117" t="s">
        <v>104</v>
      </c>
      <c r="B773" s="118" t="s">
        <v>641</v>
      </c>
    </row>
    <row r="774" spans="1:2">
      <c r="A774" s="117" t="s">
        <v>292</v>
      </c>
      <c r="B774" s="118" t="s">
        <v>626</v>
      </c>
    </row>
    <row r="775" spans="1:2">
      <c r="A775" s="117" t="s">
        <v>221</v>
      </c>
      <c r="B775" s="118" t="s">
        <v>632</v>
      </c>
    </row>
    <row r="776" spans="1:2">
      <c r="A776" s="117" t="s">
        <v>292</v>
      </c>
      <c r="B776" s="118" t="s">
        <v>598</v>
      </c>
    </row>
    <row r="777" spans="1:2">
      <c r="A777" s="117" t="s">
        <v>69</v>
      </c>
      <c r="B777" s="118" t="s">
        <v>636</v>
      </c>
    </row>
    <row r="778" spans="1:2">
      <c r="A778" s="117" t="s">
        <v>119</v>
      </c>
      <c r="B778" s="118" t="s">
        <v>620</v>
      </c>
    </row>
    <row r="779" spans="1:2">
      <c r="A779" s="117" t="s">
        <v>99</v>
      </c>
      <c r="B779" s="118" t="s">
        <v>633</v>
      </c>
    </row>
    <row r="780" spans="1:2">
      <c r="A780" s="117" t="s">
        <v>238</v>
      </c>
      <c r="B780" s="118" t="s">
        <v>640</v>
      </c>
    </row>
    <row r="781" spans="1:2">
      <c r="A781" s="117" t="s">
        <v>195</v>
      </c>
      <c r="B781" s="118" t="s">
        <v>632</v>
      </c>
    </row>
    <row r="782" spans="1:2">
      <c r="A782" s="117" t="s">
        <v>119</v>
      </c>
      <c r="B782" s="118" t="s">
        <v>598</v>
      </c>
    </row>
    <row r="783" spans="1:2">
      <c r="A783" s="117" t="s">
        <v>271</v>
      </c>
      <c r="B783" s="118" t="s">
        <v>626</v>
      </c>
    </row>
    <row r="784" spans="1:2">
      <c r="A784" s="117" t="s">
        <v>178</v>
      </c>
      <c r="B784" s="118" t="s">
        <v>754</v>
      </c>
    </row>
    <row r="785" spans="1:2">
      <c r="A785" s="117" t="s">
        <v>224</v>
      </c>
      <c r="B785" s="118" t="s">
        <v>630</v>
      </c>
    </row>
    <row r="786" spans="1:2">
      <c r="A786" s="117" t="s">
        <v>235</v>
      </c>
      <c r="B786" s="118" t="s">
        <v>618</v>
      </c>
    </row>
    <row r="787" spans="1:2">
      <c r="A787" s="117" t="s">
        <v>97</v>
      </c>
      <c r="B787" s="118" t="s">
        <v>629</v>
      </c>
    </row>
    <row r="788" spans="1:2">
      <c r="A788" s="117" t="s">
        <v>187</v>
      </c>
      <c r="B788" s="118" t="s">
        <v>660</v>
      </c>
    </row>
    <row r="789" spans="1:2">
      <c r="A789" s="117" t="s">
        <v>103</v>
      </c>
      <c r="B789" s="118" t="s">
        <v>632</v>
      </c>
    </row>
    <row r="790" spans="1:2">
      <c r="A790" s="117" t="s">
        <v>63</v>
      </c>
      <c r="B790" s="118" t="s">
        <v>623</v>
      </c>
    </row>
    <row r="791" spans="1:2">
      <c r="A791" s="117" t="s">
        <v>121</v>
      </c>
      <c r="B791" s="118" t="s">
        <v>612</v>
      </c>
    </row>
    <row r="792" spans="1:2">
      <c r="A792" s="117" t="s">
        <v>138</v>
      </c>
      <c r="B792" s="118" t="s">
        <v>611</v>
      </c>
    </row>
    <row r="793" spans="1:2">
      <c r="A793" s="117" t="s">
        <v>97</v>
      </c>
      <c r="B793" s="118" t="s">
        <v>613</v>
      </c>
    </row>
    <row r="794" spans="1:2">
      <c r="A794" s="117" t="s">
        <v>84</v>
      </c>
      <c r="B794" s="118" t="s">
        <v>754</v>
      </c>
    </row>
    <row r="795" spans="1:2">
      <c r="A795" s="117" t="s">
        <v>185</v>
      </c>
      <c r="B795" s="118" t="s">
        <v>629</v>
      </c>
    </row>
    <row r="796" spans="1:2">
      <c r="A796" s="117" t="s">
        <v>201</v>
      </c>
      <c r="B796" s="118" t="s">
        <v>623</v>
      </c>
    </row>
    <row r="797" spans="1:2">
      <c r="A797" s="117" t="s">
        <v>84</v>
      </c>
      <c r="B797" s="118" t="s">
        <v>619</v>
      </c>
    </row>
    <row r="798" spans="1:2">
      <c r="A798" s="117" t="s">
        <v>69</v>
      </c>
      <c r="B798" s="118" t="s">
        <v>619</v>
      </c>
    </row>
    <row r="799" spans="1:2">
      <c r="A799" s="117" t="s">
        <v>92</v>
      </c>
      <c r="B799" s="118" t="s">
        <v>633</v>
      </c>
    </row>
    <row r="800" spans="1:2">
      <c r="A800" s="117" t="s">
        <v>81</v>
      </c>
      <c r="B800" s="118" t="s">
        <v>613</v>
      </c>
    </row>
    <row r="801" spans="1:2">
      <c r="A801" s="117" t="s">
        <v>178</v>
      </c>
      <c r="B801" s="118" t="s">
        <v>667</v>
      </c>
    </row>
    <row r="802" spans="1:2">
      <c r="A802" s="117" t="s">
        <v>79</v>
      </c>
      <c r="B802" s="118" t="s">
        <v>625</v>
      </c>
    </row>
    <row r="803" spans="1:2">
      <c r="A803" s="117" t="s">
        <v>69</v>
      </c>
      <c r="B803" s="118" t="s">
        <v>624</v>
      </c>
    </row>
    <row r="804" spans="1:2">
      <c r="A804" s="117" t="s">
        <v>113</v>
      </c>
      <c r="B804" s="118" t="s">
        <v>633</v>
      </c>
    </row>
    <row r="805" spans="1:2">
      <c r="A805" s="117" t="s">
        <v>135</v>
      </c>
      <c r="B805" s="118" t="s">
        <v>611</v>
      </c>
    </row>
    <row r="806" spans="1:2">
      <c r="A806" s="117" t="s">
        <v>63</v>
      </c>
      <c r="B806" s="118" t="s">
        <v>620</v>
      </c>
    </row>
    <row r="807" spans="1:2">
      <c r="A807" s="117" t="s">
        <v>101</v>
      </c>
      <c r="B807" s="118" t="s">
        <v>598</v>
      </c>
    </row>
    <row r="808" spans="1:2">
      <c r="A808" s="117" t="s">
        <v>105</v>
      </c>
      <c r="B808" s="118" t="s">
        <v>620</v>
      </c>
    </row>
    <row r="809" spans="1:2">
      <c r="A809" s="117" t="s">
        <v>783</v>
      </c>
      <c r="B809" s="118" t="s">
        <v>608</v>
      </c>
    </row>
    <row r="810" spans="1:2">
      <c r="A810" s="117" t="s">
        <v>94</v>
      </c>
      <c r="B810" s="118" t="s">
        <v>660</v>
      </c>
    </row>
    <row r="811" spans="1:2">
      <c r="A811" s="117" t="s">
        <v>92</v>
      </c>
      <c r="B811" s="118" t="s">
        <v>607</v>
      </c>
    </row>
    <row r="812" spans="1:2">
      <c r="A812" s="117" t="s">
        <v>95</v>
      </c>
      <c r="B812" s="118" t="s">
        <v>636</v>
      </c>
    </row>
    <row r="813" spans="1:2">
      <c r="A813" s="117" t="s">
        <v>66</v>
      </c>
      <c r="B813" s="118" t="s">
        <v>632</v>
      </c>
    </row>
    <row r="814" spans="1:2">
      <c r="A814" s="117" t="s">
        <v>181</v>
      </c>
      <c r="B814" s="118" t="s">
        <v>636</v>
      </c>
    </row>
    <row r="815" spans="1:2">
      <c r="A815" s="117" t="s">
        <v>113</v>
      </c>
      <c r="B815" s="118" t="s">
        <v>620</v>
      </c>
    </row>
    <row r="816" spans="1:2">
      <c r="A816" s="117" t="s">
        <v>240</v>
      </c>
      <c r="B816" s="118" t="s">
        <v>606</v>
      </c>
    </row>
    <row r="817" spans="1:2">
      <c r="A817" s="117" t="s">
        <v>99</v>
      </c>
      <c r="B817" s="118" t="s">
        <v>632</v>
      </c>
    </row>
    <row r="818" spans="1:2">
      <c r="A818" s="117" t="s">
        <v>187</v>
      </c>
      <c r="B818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784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topLeftCell="BE1" zoomScale="70" zoomScaleNormal="70" workbookViewId="0">
      <pane ySplit="1" topLeftCell="A2" activePane="bottomLeft" state="frozen"/>
      <selection pane="bottomLeft" activeCell="BU3" sqref="BU3:BU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950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951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" activePane="bottomLeft" state="frozen"/>
      <selection pane="bottomLeft" activeCell="D25" sqref="D2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835</v>
      </c>
      <c r="X1" s="79" t="s">
        <v>557</v>
      </c>
      <c r="Y1" s="77">
        <f>MAX(Y2:Y6000)</f>
        <v>92</v>
      </c>
      <c r="Z1" s="77"/>
      <c r="AA1" s="77" t="str">
        <f>RIGHT(TEXT(MAX(AA2:AA6000),"###"),3)</f>
        <v>050</v>
      </c>
      <c r="AB1" s="78" t="str">
        <f>RIGHT("000"&amp;Y1,2)&amp;"-"&amp;RIGHT("000"&amp;AA1,3)</f>
        <v>92-050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92-051-</v>
      </c>
      <c r="AE1" s="80" t="s">
        <v>583</v>
      </c>
      <c r="AF1" s="110" t="str">
        <f>_xlfn.LET(_xlpm.START,FIND(" ",D2)+1,_xlpm.END,FIND(" ",D2,_xlpm.START+1),TRIM(MID(D2,_xlpm.START,_xlpm.END-_xlpm.START)))</f>
        <v>HOOD</v>
      </c>
      <c r="AG1" s="80" t="s">
        <v>813</v>
      </c>
      <c r="AH1" s="144">
        <v>1</v>
      </c>
    </row>
    <row r="2" spans="1:34">
      <c r="A2" s="83" t="str">
        <f>IF(G2&amp;Q2&lt;&gt;"",S2&amp;Q2,"")</f>
        <v>100-CTW020-CA003-BK</v>
      </c>
      <c r="B2" s="83" t="str">
        <f>IF(C2&lt;&gt;"",LEFT(C2,9),"")</f>
        <v>92-001-</v>
      </c>
      <c r="C2" s="106" t="s">
        <v>835</v>
      </c>
      <c r="D2" s="106" t="s">
        <v>1001</v>
      </c>
      <c r="G2" s="106" t="s">
        <v>836</v>
      </c>
      <c r="S2" s="83" t="str">
        <f>IF(G2&lt;&gt;"",IF(StyleSpaceSplit,IFERROR(IF(FIND(" ",G2)&gt;=1,MID(G2,1,FIND(" ",G2)-1),G2),G2),G2),"")</f>
        <v>100-CTW020-CA003-BK</v>
      </c>
      <c r="T2" s="83" t="str">
        <f>IF(A2&lt;&gt;"",IFERROR(IF(FIND(" ",G2)&gt;=1,MID(G2,FIND(" ",G2)+1,LEN(G2)),""),G2),"")</f>
        <v>100-CTW020-CA003-BK</v>
      </c>
      <c r="Y2" s="60">
        <f>IFERROR(VALUE(MID($C2,1,2)),0)</f>
        <v>92</v>
      </c>
      <c r="Z2" s="49">
        <f t="shared" ref="Z2:Z66" si="0">IFERROR(VALUE(MID($C2,4,3)),0)</f>
        <v>1</v>
      </c>
      <c r="AA2" s="60">
        <f>VALUE(RIGHT("00"&amp;Y2,2)&amp;RIGHT("000"&amp;Z2,3))</f>
        <v>92001</v>
      </c>
    </row>
    <row r="3" spans="1:34">
      <c r="A3" s="83" t="str">
        <f t="shared" ref="A3:A66" si="1">IF(G3&amp;Q3&lt;&gt;"",S3&amp;Q3,"")</f>
        <v>100-CTW020-CA010-BK</v>
      </c>
      <c r="B3" s="83" t="str">
        <f t="shared" ref="B3:B66" si="2">IF(C3&lt;&gt;"",LEFT(C3,9),"")</f>
        <v>92-002-</v>
      </c>
      <c r="C3" s="106" t="s">
        <v>952</v>
      </c>
      <c r="G3" s="106" t="s">
        <v>837</v>
      </c>
      <c r="S3" s="83" t="str">
        <f t="shared" ref="S3:S66" si="3">IF(G3&lt;&gt;"",IF(StyleSpaceSplit,IFERROR(IF(FIND(" ",G3)&gt;=1,MID(G3,1,FIND(" ",G3)-1),G3),G3),G3),"")</f>
        <v>100-CTW020-CA010-BK</v>
      </c>
      <c r="T3" s="83" t="str">
        <f t="shared" ref="T3:T66" si="4">IF(A3&lt;&gt;"",IFERROR(IF(FIND(" ",G3)&gt;=1,MID(G3,FIND(" ",G3)+1,LEN(G3)),""),G3),"")</f>
        <v>100-CTW020-CA010-BK</v>
      </c>
      <c r="Y3" s="60">
        <f t="shared" ref="Y3:Y66" si="5">IFERROR(VALUE(MID($C3,1,2)),0)</f>
        <v>92</v>
      </c>
      <c r="Z3" s="49">
        <f t="shared" si="0"/>
        <v>2</v>
      </c>
      <c r="AA3" s="60">
        <f t="shared" ref="AA3:AA66" si="6">VALUE(RIGHT("00"&amp;Y3,2)&amp;RIGHT("000"&amp;Z3,3))</f>
        <v>92002</v>
      </c>
    </row>
    <row r="4" spans="1:34">
      <c r="A4" s="83" t="str">
        <f t="shared" si="1"/>
        <v>100-CTW020-CA012-BK</v>
      </c>
      <c r="B4" s="83" t="str">
        <f t="shared" si="2"/>
        <v>92-003-</v>
      </c>
      <c r="C4" s="106" t="s">
        <v>953</v>
      </c>
      <c r="G4" s="106" t="s">
        <v>838</v>
      </c>
      <c r="S4" s="83" t="str">
        <f t="shared" si="3"/>
        <v>100-CTW020-CA012-BK</v>
      </c>
      <c r="T4" s="83" t="str">
        <f t="shared" si="4"/>
        <v>100-CTW020-CA012-BK</v>
      </c>
      <c r="Y4" s="60">
        <f t="shared" si="5"/>
        <v>92</v>
      </c>
      <c r="Z4" s="49">
        <f t="shared" si="0"/>
        <v>3</v>
      </c>
      <c r="AA4" s="60">
        <f t="shared" si="6"/>
        <v>92003</v>
      </c>
    </row>
    <row r="5" spans="1:34">
      <c r="A5" s="83" t="str">
        <f t="shared" si="1"/>
        <v>100-CTW020-CA013-BK</v>
      </c>
      <c r="B5" s="83" t="str">
        <f t="shared" si="2"/>
        <v>92-004-</v>
      </c>
      <c r="C5" s="106" t="s">
        <v>954</v>
      </c>
      <c r="G5" s="106" t="s">
        <v>839</v>
      </c>
      <c r="S5" s="83" t="str">
        <f t="shared" si="3"/>
        <v>100-CTW020-CA013-BK</v>
      </c>
      <c r="T5" s="83" t="str">
        <f t="shared" si="4"/>
        <v>100-CTW020-CA013-BK</v>
      </c>
      <c r="Y5" s="60">
        <f t="shared" si="5"/>
        <v>92</v>
      </c>
      <c r="Z5" s="49">
        <f t="shared" si="0"/>
        <v>4</v>
      </c>
      <c r="AA5" s="60">
        <f t="shared" si="6"/>
        <v>92004</v>
      </c>
    </row>
    <row r="6" spans="1:34">
      <c r="A6" s="83" t="str">
        <f t="shared" si="1"/>
        <v>100-CTW020-CA027-BK</v>
      </c>
      <c r="B6" s="83" t="str">
        <f t="shared" si="2"/>
        <v>92-005-</v>
      </c>
      <c r="C6" s="106" t="s">
        <v>955</v>
      </c>
      <c r="G6" s="106" t="s">
        <v>840</v>
      </c>
      <c r="S6" s="83" t="str">
        <f t="shared" si="3"/>
        <v>100-CTW020-CA027-BK</v>
      </c>
      <c r="T6" s="83" t="str">
        <f t="shared" si="4"/>
        <v>100-CTW020-CA027-BK</v>
      </c>
      <c r="Y6" s="60">
        <f t="shared" si="5"/>
        <v>92</v>
      </c>
      <c r="Z6" s="49">
        <f t="shared" si="0"/>
        <v>5</v>
      </c>
      <c r="AA6" s="60">
        <f t="shared" si="6"/>
        <v>92005</v>
      </c>
    </row>
    <row r="7" spans="1:34">
      <c r="A7" s="83" t="str">
        <f t="shared" si="1"/>
        <v>100-CTW020-CA030-BK</v>
      </c>
      <c r="B7" s="83" t="str">
        <f t="shared" si="2"/>
        <v>92-006-</v>
      </c>
      <c r="C7" s="106" t="s">
        <v>956</v>
      </c>
      <c r="G7" s="106" t="s">
        <v>841</v>
      </c>
      <c r="S7" s="83" t="str">
        <f t="shared" si="3"/>
        <v>100-CTW020-CA030-BK</v>
      </c>
      <c r="T7" s="83" t="str">
        <f t="shared" si="4"/>
        <v>100-CTW020-CA030-BK</v>
      </c>
      <c r="Y7" s="60">
        <f t="shared" si="5"/>
        <v>92</v>
      </c>
      <c r="Z7" s="49">
        <f t="shared" si="0"/>
        <v>6</v>
      </c>
      <c r="AA7" s="60">
        <f t="shared" si="6"/>
        <v>92006</v>
      </c>
    </row>
    <row r="8" spans="1:34">
      <c r="A8" s="83" t="str">
        <f t="shared" si="1"/>
        <v>100-CTW020-MI001-BK</v>
      </c>
      <c r="B8" s="83" t="str">
        <f t="shared" si="2"/>
        <v>92-007-</v>
      </c>
      <c r="C8" s="106" t="s">
        <v>957</v>
      </c>
      <c r="G8" s="106" t="s">
        <v>842</v>
      </c>
      <c r="S8" s="83" t="str">
        <f t="shared" si="3"/>
        <v>100-CTW020-MI001-BK</v>
      </c>
      <c r="T8" s="83" t="str">
        <f t="shared" si="4"/>
        <v>100-CTW020-MI001-BK</v>
      </c>
      <c r="Y8" s="60">
        <f t="shared" si="5"/>
        <v>92</v>
      </c>
      <c r="Z8" s="49">
        <f t="shared" si="0"/>
        <v>7</v>
      </c>
      <c r="AA8" s="60">
        <f t="shared" si="6"/>
        <v>92007</v>
      </c>
    </row>
    <row r="9" spans="1:34">
      <c r="A9" s="83" t="str">
        <f t="shared" si="1"/>
        <v>100-CTW020-NY003-BK</v>
      </c>
      <c r="B9" s="83" t="str">
        <f t="shared" si="2"/>
        <v>92-008-</v>
      </c>
      <c r="C9" s="106" t="s">
        <v>958</v>
      </c>
      <c r="G9" s="106" t="s">
        <v>843</v>
      </c>
      <c r="S9" s="83" t="str">
        <f t="shared" si="3"/>
        <v>100-CTW020-NY003-BK</v>
      </c>
      <c r="T9" s="83" t="str">
        <f t="shared" si="4"/>
        <v>100-CTW020-NY003-BK</v>
      </c>
      <c r="Y9" s="60">
        <f t="shared" si="5"/>
        <v>92</v>
      </c>
      <c r="Z9" s="49">
        <f t="shared" si="0"/>
        <v>8</v>
      </c>
      <c r="AA9" s="60">
        <f t="shared" si="6"/>
        <v>92008</v>
      </c>
    </row>
    <row r="10" spans="1:34">
      <c r="A10" s="83" t="str">
        <f t="shared" si="1"/>
        <v>100-CTW020-NY019-BK</v>
      </c>
      <c r="B10" s="83" t="str">
        <f t="shared" si="2"/>
        <v>92-009-</v>
      </c>
      <c r="C10" s="106" t="s">
        <v>959</v>
      </c>
      <c r="G10" s="106" t="s">
        <v>844</v>
      </c>
      <c r="S10" s="83" t="str">
        <f t="shared" si="3"/>
        <v>100-CTW020-NY019-BK</v>
      </c>
      <c r="T10" s="83" t="str">
        <f t="shared" si="4"/>
        <v>100-CTW020-NY019-BK</v>
      </c>
      <c r="Y10" s="60">
        <f t="shared" si="5"/>
        <v>92</v>
      </c>
      <c r="Z10" s="49">
        <f t="shared" si="0"/>
        <v>9</v>
      </c>
      <c r="AA10" s="60">
        <f t="shared" si="6"/>
        <v>92009</v>
      </c>
    </row>
    <row r="11" spans="1:34">
      <c r="A11" s="83" t="str">
        <f t="shared" si="1"/>
        <v>100-CTW020-NY022-BK</v>
      </c>
      <c r="B11" s="83" t="str">
        <f t="shared" si="2"/>
        <v>92-010-</v>
      </c>
      <c r="C11" s="106" t="s">
        <v>960</v>
      </c>
      <c r="G11" s="106" t="s">
        <v>845</v>
      </c>
      <c r="S11" s="83" t="str">
        <f t="shared" si="3"/>
        <v>100-CTW020-NY022-BK</v>
      </c>
      <c r="T11" s="83" t="str">
        <f t="shared" si="4"/>
        <v>100-CTW020-NY022-BK</v>
      </c>
      <c r="Y11" s="60">
        <f t="shared" si="5"/>
        <v>92</v>
      </c>
      <c r="Z11" s="49">
        <f t="shared" si="0"/>
        <v>10</v>
      </c>
      <c r="AA11" s="60">
        <f t="shared" si="6"/>
        <v>92010</v>
      </c>
    </row>
    <row r="12" spans="1:34">
      <c r="A12" s="83" t="str">
        <f t="shared" si="1"/>
        <v>100-CTW020-NY031-BK</v>
      </c>
      <c r="B12" s="83" t="str">
        <f t="shared" si="2"/>
        <v>92-011-</v>
      </c>
      <c r="C12" s="106" t="s">
        <v>961</v>
      </c>
      <c r="G12" s="106" t="s">
        <v>846</v>
      </c>
      <c r="S12" s="83" t="str">
        <f t="shared" si="3"/>
        <v>100-CTW020-NY031-BK</v>
      </c>
      <c r="T12" s="83" t="str">
        <f t="shared" si="4"/>
        <v>100-CTW020-NY031-BK</v>
      </c>
      <c r="Y12" s="60">
        <f t="shared" si="5"/>
        <v>92</v>
      </c>
      <c r="Z12" s="49">
        <f t="shared" si="0"/>
        <v>11</v>
      </c>
      <c r="AA12" s="60">
        <f t="shared" si="6"/>
        <v>92011</v>
      </c>
    </row>
    <row r="13" spans="1:34">
      <c r="A13" s="83" t="str">
        <f t="shared" si="1"/>
        <v>100-CTW020-NY068-BK</v>
      </c>
      <c r="B13" s="83" t="str">
        <f t="shared" si="2"/>
        <v>92-012-</v>
      </c>
      <c r="C13" s="106" t="s">
        <v>962</v>
      </c>
      <c r="G13" s="106" t="s">
        <v>847</v>
      </c>
      <c r="S13" s="83" t="str">
        <f t="shared" si="3"/>
        <v>100-CTW020-NY068-BK</v>
      </c>
      <c r="T13" s="83" t="str">
        <f t="shared" si="4"/>
        <v>100-CTW020-NY068-BK</v>
      </c>
      <c r="Y13" s="60">
        <f t="shared" si="5"/>
        <v>92</v>
      </c>
      <c r="Z13" s="49">
        <f t="shared" si="0"/>
        <v>12</v>
      </c>
      <c r="AA13" s="60">
        <f t="shared" si="6"/>
        <v>92012</v>
      </c>
    </row>
    <row r="14" spans="1:34">
      <c r="A14" s="83" t="str">
        <f t="shared" si="1"/>
        <v>100-CTW020-PA003-BK</v>
      </c>
      <c r="B14" s="83" t="str">
        <f t="shared" si="2"/>
        <v>92-013-</v>
      </c>
      <c r="C14" s="106" t="s">
        <v>963</v>
      </c>
      <c r="G14" s="106" t="s">
        <v>848</v>
      </c>
      <c r="S14" s="83" t="str">
        <f t="shared" si="3"/>
        <v>100-CTW020-PA003-BK</v>
      </c>
      <c r="T14" s="83" t="str">
        <f t="shared" si="4"/>
        <v>100-CTW020-PA003-BK</v>
      </c>
      <c r="Y14" s="60">
        <f t="shared" si="5"/>
        <v>92</v>
      </c>
      <c r="Z14" s="49">
        <f t="shared" si="0"/>
        <v>13</v>
      </c>
      <c r="AA14" s="60">
        <f t="shared" si="6"/>
        <v>92013</v>
      </c>
    </row>
    <row r="15" spans="1:34">
      <c r="A15" s="83" t="str">
        <f t="shared" si="1"/>
        <v>100-MWL001-CA005-BK</v>
      </c>
      <c r="B15" s="83" t="str">
        <f t="shared" si="2"/>
        <v>92-014-</v>
      </c>
      <c r="C15" s="106" t="s">
        <v>964</v>
      </c>
      <c r="G15" s="106" t="s">
        <v>849</v>
      </c>
      <c r="S15" s="83" t="str">
        <f t="shared" si="3"/>
        <v>100-MWL001-CA005-BK</v>
      </c>
      <c r="T15" s="83" t="str">
        <f t="shared" si="4"/>
        <v>100-MWL001-CA005-BK</v>
      </c>
      <c r="Y15" s="60">
        <f t="shared" si="5"/>
        <v>92</v>
      </c>
      <c r="Z15" s="49">
        <f t="shared" si="0"/>
        <v>14</v>
      </c>
      <c r="AA15" s="60">
        <f t="shared" si="6"/>
        <v>92014</v>
      </c>
    </row>
    <row r="16" spans="1:34">
      <c r="A16" s="83" t="str">
        <f t="shared" si="1"/>
        <v>100-MWL001-NY015-BK</v>
      </c>
      <c r="B16" s="83" t="str">
        <f t="shared" si="2"/>
        <v>92-015-</v>
      </c>
      <c r="C16" s="106" t="s">
        <v>965</v>
      </c>
      <c r="G16" s="106" t="s">
        <v>850</v>
      </c>
      <c r="S16" s="83" t="str">
        <f t="shared" si="3"/>
        <v>100-MWL001-NY015-BK</v>
      </c>
      <c r="T16" s="83" t="str">
        <f t="shared" si="4"/>
        <v>100-MWL001-NY015-BK</v>
      </c>
      <c r="Y16" s="60">
        <f t="shared" si="5"/>
        <v>92</v>
      </c>
      <c r="Z16" s="49">
        <f t="shared" si="0"/>
        <v>15</v>
      </c>
      <c r="AA16" s="60">
        <f t="shared" si="6"/>
        <v>92015</v>
      </c>
    </row>
    <row r="17" spans="1:27">
      <c r="A17" s="83" t="str">
        <f t="shared" si="1"/>
        <v>100-MWL001-NY022-BK</v>
      </c>
      <c r="B17" s="83" t="str">
        <f t="shared" si="2"/>
        <v>92-016-</v>
      </c>
      <c r="C17" s="106" t="s">
        <v>966</v>
      </c>
      <c r="G17" s="106" t="s">
        <v>851</v>
      </c>
      <c r="S17" s="83" t="str">
        <f t="shared" si="3"/>
        <v>100-MWL001-NY022-BK</v>
      </c>
      <c r="T17" s="83" t="str">
        <f t="shared" si="4"/>
        <v>100-MWL001-NY022-BK</v>
      </c>
      <c r="Y17" s="60">
        <f t="shared" si="5"/>
        <v>92</v>
      </c>
      <c r="Z17" s="49">
        <f t="shared" si="0"/>
        <v>16</v>
      </c>
      <c r="AA17" s="60">
        <f t="shared" si="6"/>
        <v>92016</v>
      </c>
    </row>
    <row r="18" spans="1:27">
      <c r="A18" s="83" t="str">
        <f t="shared" si="1"/>
        <v>100-MWL001-NY076-BK</v>
      </c>
      <c r="B18" s="83" t="str">
        <f t="shared" si="2"/>
        <v>92-017-</v>
      </c>
      <c r="C18" s="106" t="s">
        <v>967</v>
      </c>
      <c r="G18" s="106" t="s">
        <v>852</v>
      </c>
      <c r="S18" s="83" t="str">
        <f t="shared" si="3"/>
        <v>100-MWL001-NY076-BK</v>
      </c>
      <c r="T18" s="83" t="str">
        <f t="shared" si="4"/>
        <v>100-MWL001-NY076-BK</v>
      </c>
      <c r="Y18" s="60">
        <f t="shared" si="5"/>
        <v>92</v>
      </c>
      <c r="Z18" s="49">
        <f t="shared" si="0"/>
        <v>17</v>
      </c>
      <c r="AA18" s="60">
        <f t="shared" si="6"/>
        <v>92017</v>
      </c>
    </row>
    <row r="19" spans="1:27">
      <c r="A19" s="83" t="str">
        <f t="shared" si="1"/>
        <v>100-MWL003-PA013-NY</v>
      </c>
      <c r="B19" s="83" t="str">
        <f t="shared" si="2"/>
        <v>92-018-</v>
      </c>
      <c r="C19" s="106" t="s">
        <v>968</v>
      </c>
      <c r="G19" s="106" t="s">
        <v>853</v>
      </c>
      <c r="S19" s="83" t="str">
        <f t="shared" si="3"/>
        <v>100-MWL003-PA013-NY</v>
      </c>
      <c r="T19" s="83" t="str">
        <f t="shared" si="4"/>
        <v>100-MWL003-PA013-NY</v>
      </c>
      <c r="Y19" s="60">
        <f t="shared" si="5"/>
        <v>92</v>
      </c>
      <c r="Z19" s="49">
        <f t="shared" si="0"/>
        <v>18</v>
      </c>
      <c r="AA19" s="60">
        <f t="shared" si="6"/>
        <v>92018</v>
      </c>
    </row>
    <row r="20" spans="1:27">
      <c r="A20" s="83" t="str">
        <f t="shared" si="1"/>
        <v>100-MWL005-CA069-BK</v>
      </c>
      <c r="B20" s="83" t="str">
        <f t="shared" si="2"/>
        <v>92-019-</v>
      </c>
      <c r="C20" s="106" t="s">
        <v>969</v>
      </c>
      <c r="G20" s="106" t="s">
        <v>854</v>
      </c>
      <c r="S20" s="83" t="str">
        <f t="shared" si="3"/>
        <v>100-MWL005-CA069-BK</v>
      </c>
      <c r="T20" s="83" t="str">
        <f t="shared" si="4"/>
        <v>100-MWL005-CA069-BK</v>
      </c>
      <c r="Y20" s="60">
        <f t="shared" si="5"/>
        <v>92</v>
      </c>
      <c r="Z20" s="49">
        <f t="shared" si="0"/>
        <v>19</v>
      </c>
      <c r="AA20" s="60">
        <f t="shared" si="6"/>
        <v>92019</v>
      </c>
    </row>
    <row r="21" spans="1:27">
      <c r="A21" s="83" t="str">
        <f t="shared" si="1"/>
        <v>100-MWL005-CA069-BKA</v>
      </c>
      <c r="B21" s="83" t="str">
        <f t="shared" si="2"/>
        <v>92-020-</v>
      </c>
      <c r="C21" s="106" t="s">
        <v>970</v>
      </c>
      <c r="G21" s="106" t="s">
        <v>855</v>
      </c>
      <c r="S21" s="83" t="str">
        <f t="shared" si="3"/>
        <v>100-MWL005-CA069-BKA</v>
      </c>
      <c r="T21" s="83" t="str">
        <f t="shared" si="4"/>
        <v>100-MWL005-CA069-BKA</v>
      </c>
      <c r="Y21" s="60">
        <f t="shared" si="5"/>
        <v>92</v>
      </c>
      <c r="Z21" s="49">
        <f t="shared" si="0"/>
        <v>20</v>
      </c>
      <c r="AA21" s="60">
        <f t="shared" si="6"/>
        <v>92020</v>
      </c>
    </row>
    <row r="22" spans="1:27">
      <c r="A22" s="83" t="str">
        <f t="shared" si="1"/>
        <v>100-MWL005-CA087-BK</v>
      </c>
      <c r="B22" s="83" t="str">
        <f t="shared" si="2"/>
        <v>92-021-</v>
      </c>
      <c r="C22" s="106" t="s">
        <v>971</v>
      </c>
      <c r="G22" s="106" t="s">
        <v>856</v>
      </c>
      <c r="S22" s="83" t="str">
        <f t="shared" si="3"/>
        <v>100-MWL005-CA087-BK</v>
      </c>
      <c r="T22" s="83" t="str">
        <f t="shared" si="4"/>
        <v>100-MWL005-CA087-BK</v>
      </c>
      <c r="Y22" s="60">
        <f t="shared" si="5"/>
        <v>92</v>
      </c>
      <c r="Z22" s="49">
        <f t="shared" si="0"/>
        <v>21</v>
      </c>
      <c r="AA22" s="60">
        <f t="shared" si="6"/>
        <v>92021</v>
      </c>
    </row>
    <row r="23" spans="1:27">
      <c r="A23" s="83" t="str">
        <f t="shared" si="1"/>
        <v>100-MWL005-CO005-MN</v>
      </c>
      <c r="B23" s="83" t="str">
        <f t="shared" si="2"/>
        <v>92-022-</v>
      </c>
      <c r="C23" s="106" t="s">
        <v>972</v>
      </c>
      <c r="G23" s="106" t="s">
        <v>857</v>
      </c>
      <c r="S23" s="83" t="str">
        <f t="shared" si="3"/>
        <v>100-MWL005-CO005-MN</v>
      </c>
      <c r="T23" s="83" t="str">
        <f t="shared" si="4"/>
        <v>100-MWL005-CO005-MN</v>
      </c>
      <c r="Y23" s="60">
        <f t="shared" si="5"/>
        <v>92</v>
      </c>
      <c r="Z23" s="49">
        <f t="shared" si="0"/>
        <v>22</v>
      </c>
      <c r="AA23" s="60">
        <f t="shared" si="6"/>
        <v>92022</v>
      </c>
    </row>
    <row r="24" spans="1:27">
      <c r="A24" s="83" t="str">
        <f t="shared" si="1"/>
        <v>100-MWL005-GA003-HW</v>
      </c>
      <c r="B24" s="83" t="str">
        <f t="shared" si="2"/>
        <v>92-023-</v>
      </c>
      <c r="C24" s="106" t="s">
        <v>973</v>
      </c>
      <c r="G24" s="106" t="s">
        <v>858</v>
      </c>
      <c r="S24" s="83" t="str">
        <f t="shared" si="3"/>
        <v>100-MWL005-GA003-HW</v>
      </c>
      <c r="T24" s="83" t="str">
        <f t="shared" si="4"/>
        <v>100-MWL005-GA003-HW</v>
      </c>
      <c r="Y24" s="60">
        <f t="shared" si="5"/>
        <v>92</v>
      </c>
      <c r="Z24" s="49">
        <f t="shared" si="0"/>
        <v>23</v>
      </c>
      <c r="AA24" s="60">
        <f t="shared" si="6"/>
        <v>92023</v>
      </c>
    </row>
    <row r="25" spans="1:27">
      <c r="A25" s="83" t="str">
        <f t="shared" si="1"/>
        <v>100-MWL005-IL011-BK</v>
      </c>
      <c r="B25" s="83" t="str">
        <f t="shared" si="2"/>
        <v>92-024-</v>
      </c>
      <c r="C25" s="106" t="s">
        <v>974</v>
      </c>
      <c r="G25" s="106" t="s">
        <v>859</v>
      </c>
      <c r="S25" s="83" t="str">
        <f t="shared" si="3"/>
        <v>100-MWL005-IL011-BK</v>
      </c>
      <c r="T25" s="83" t="str">
        <f t="shared" si="4"/>
        <v>100-MWL005-IL011-BK</v>
      </c>
      <c r="Y25" s="60">
        <f t="shared" si="5"/>
        <v>92</v>
      </c>
      <c r="Z25" s="49">
        <f t="shared" si="0"/>
        <v>24</v>
      </c>
      <c r="AA25" s="60">
        <f t="shared" si="6"/>
        <v>92024</v>
      </c>
    </row>
    <row r="26" spans="1:27">
      <c r="A26" s="83" t="str">
        <f t="shared" si="1"/>
        <v>100-MWL005-IL011-BKA</v>
      </c>
      <c r="B26" s="83" t="str">
        <f t="shared" si="2"/>
        <v>92-025-</v>
      </c>
      <c r="C26" s="106" t="s">
        <v>975</v>
      </c>
      <c r="G26" s="106" t="s">
        <v>860</v>
      </c>
      <c r="S26" s="83" t="str">
        <f t="shared" si="3"/>
        <v>100-MWL005-IL011-BKA</v>
      </c>
      <c r="T26" s="83" t="str">
        <f t="shared" si="4"/>
        <v>100-MWL005-IL011-BKA</v>
      </c>
      <c r="Y26" s="60">
        <f t="shared" si="5"/>
        <v>92</v>
      </c>
      <c r="Z26" s="49">
        <f t="shared" si="0"/>
        <v>25</v>
      </c>
      <c r="AA26" s="60">
        <f t="shared" si="6"/>
        <v>92025</v>
      </c>
    </row>
    <row r="27" spans="1:27">
      <c r="A27" s="83" t="str">
        <f t="shared" si="1"/>
        <v>100-MWL005-MD007-BK</v>
      </c>
      <c r="B27" s="83" t="str">
        <f t="shared" si="2"/>
        <v>92-026-</v>
      </c>
      <c r="C27" s="106" t="s">
        <v>976</v>
      </c>
      <c r="G27" s="106" t="s">
        <v>861</v>
      </c>
      <c r="S27" s="83" t="str">
        <f t="shared" si="3"/>
        <v>100-MWL005-MD007-BK</v>
      </c>
      <c r="T27" s="83" t="str">
        <f t="shared" si="4"/>
        <v>100-MWL005-MD007-BK</v>
      </c>
      <c r="Y27" s="60">
        <f t="shared" si="5"/>
        <v>92</v>
      </c>
      <c r="Z27" s="49">
        <f t="shared" si="0"/>
        <v>26</v>
      </c>
      <c r="AA27" s="60">
        <f t="shared" si="6"/>
        <v>92026</v>
      </c>
    </row>
    <row r="28" spans="1:27">
      <c r="A28" s="83" t="str">
        <f t="shared" si="1"/>
        <v>100-MWL005-MI010-NY</v>
      </c>
      <c r="B28" s="83" t="str">
        <f t="shared" si="2"/>
        <v>92-027-</v>
      </c>
      <c r="C28" s="106" t="s">
        <v>977</v>
      </c>
      <c r="G28" s="106" t="s">
        <v>862</v>
      </c>
      <c r="S28" s="83" t="str">
        <f t="shared" si="3"/>
        <v>100-MWL005-MI010-NY</v>
      </c>
      <c r="T28" s="83" t="str">
        <f t="shared" si="4"/>
        <v>100-MWL005-MI010-NY</v>
      </c>
      <c r="Y28" s="60">
        <f t="shared" si="5"/>
        <v>92</v>
      </c>
      <c r="Z28" s="49">
        <f t="shared" si="0"/>
        <v>27</v>
      </c>
      <c r="AA28" s="60">
        <f t="shared" si="6"/>
        <v>92027</v>
      </c>
    </row>
    <row r="29" spans="1:27">
      <c r="A29" s="83" t="str">
        <f t="shared" si="1"/>
        <v>100-MWL005-NV001-BKA</v>
      </c>
      <c r="B29" s="83" t="str">
        <f t="shared" si="2"/>
        <v>92-028-</v>
      </c>
      <c r="C29" s="106" t="s">
        <v>978</v>
      </c>
      <c r="G29" s="106" t="s">
        <v>863</v>
      </c>
      <c r="S29" s="83" t="str">
        <f t="shared" si="3"/>
        <v>100-MWL005-NV001-BKA</v>
      </c>
      <c r="T29" s="83" t="str">
        <f t="shared" si="4"/>
        <v>100-MWL005-NV001-BKA</v>
      </c>
      <c r="Y29" s="60">
        <f t="shared" si="5"/>
        <v>92</v>
      </c>
      <c r="Z29" s="49">
        <f t="shared" si="0"/>
        <v>28</v>
      </c>
      <c r="AA29" s="60">
        <f t="shared" si="6"/>
        <v>92028</v>
      </c>
    </row>
    <row r="30" spans="1:27">
      <c r="A30" s="83" t="str">
        <f t="shared" si="1"/>
        <v>100-MWL005-NY020-HW</v>
      </c>
      <c r="B30" s="83" t="str">
        <f t="shared" si="2"/>
        <v>92-029-</v>
      </c>
      <c r="C30" s="106" t="s">
        <v>979</v>
      </c>
      <c r="G30" s="106" t="s">
        <v>864</v>
      </c>
      <c r="S30" s="83" t="str">
        <f t="shared" si="3"/>
        <v>100-MWL005-NY020-HW</v>
      </c>
      <c r="T30" s="83" t="str">
        <f t="shared" si="4"/>
        <v>100-MWL005-NY020-HW</v>
      </c>
      <c r="Y30" s="60">
        <f t="shared" si="5"/>
        <v>92</v>
      </c>
      <c r="Z30" s="49">
        <f t="shared" si="0"/>
        <v>29</v>
      </c>
      <c r="AA30" s="60">
        <f t="shared" si="6"/>
        <v>92029</v>
      </c>
    </row>
    <row r="31" spans="1:27">
      <c r="A31" s="83" t="str">
        <f t="shared" si="1"/>
        <v>100-MWL005-NY066-AT</v>
      </c>
      <c r="B31" s="83" t="str">
        <f t="shared" si="2"/>
        <v>92-030-</v>
      </c>
      <c r="C31" s="106" t="s">
        <v>980</v>
      </c>
      <c r="G31" s="106" t="s">
        <v>865</v>
      </c>
      <c r="S31" s="83" t="str">
        <f t="shared" si="3"/>
        <v>100-MWL005-NY066-AT</v>
      </c>
      <c r="T31" s="83" t="str">
        <f t="shared" si="4"/>
        <v>100-MWL005-NY066-AT</v>
      </c>
      <c r="Y31" s="60">
        <f t="shared" si="5"/>
        <v>92</v>
      </c>
      <c r="Z31" s="49">
        <f t="shared" si="0"/>
        <v>30</v>
      </c>
      <c r="AA31" s="60">
        <f t="shared" si="6"/>
        <v>92030</v>
      </c>
    </row>
    <row r="32" spans="1:27">
      <c r="A32" s="83" t="str">
        <f t="shared" si="1"/>
        <v>100-MWL005-NY066-NY</v>
      </c>
      <c r="B32" s="83" t="str">
        <f t="shared" si="2"/>
        <v>92-031-</v>
      </c>
      <c r="C32" s="106" t="s">
        <v>981</v>
      </c>
      <c r="G32" s="106" t="s">
        <v>866</v>
      </c>
      <c r="S32" s="83" t="str">
        <f t="shared" si="3"/>
        <v>100-MWL005-NY066-NY</v>
      </c>
      <c r="T32" s="83" t="str">
        <f t="shared" si="4"/>
        <v>100-MWL005-NY066-NY</v>
      </c>
      <c r="Y32" s="60">
        <f t="shared" si="5"/>
        <v>92</v>
      </c>
      <c r="Z32" s="49">
        <f t="shared" si="0"/>
        <v>31</v>
      </c>
      <c r="AA32" s="60">
        <f t="shared" si="6"/>
        <v>92031</v>
      </c>
    </row>
    <row r="33" spans="1:27">
      <c r="A33" s="83" t="str">
        <f t="shared" si="1"/>
        <v>100-MWL005-NY066-RL</v>
      </c>
      <c r="B33" s="83" t="str">
        <f t="shared" si="2"/>
        <v>92-032-</v>
      </c>
      <c r="C33" s="106" t="s">
        <v>982</v>
      </c>
      <c r="G33" s="106" t="s">
        <v>867</v>
      </c>
      <c r="S33" s="83" t="str">
        <f t="shared" si="3"/>
        <v>100-MWL005-NY066-RL</v>
      </c>
      <c r="T33" s="83" t="str">
        <f t="shared" si="4"/>
        <v>100-MWL005-NY066-RL</v>
      </c>
      <c r="Y33" s="60">
        <f t="shared" si="5"/>
        <v>92</v>
      </c>
      <c r="Z33" s="49">
        <f t="shared" si="0"/>
        <v>32</v>
      </c>
      <c r="AA33" s="60">
        <f t="shared" si="6"/>
        <v>92032</v>
      </c>
    </row>
    <row r="34" spans="1:27">
      <c r="A34" s="83" t="str">
        <f t="shared" si="1"/>
        <v>100-MWL005-TX005-HW</v>
      </c>
      <c r="B34" s="83" t="str">
        <f t="shared" si="2"/>
        <v>92-033-</v>
      </c>
      <c r="C34" s="106" t="s">
        <v>983</v>
      </c>
      <c r="G34" s="106" t="s">
        <v>868</v>
      </c>
      <c r="S34" s="83" t="str">
        <f t="shared" si="3"/>
        <v>100-MWL005-TX005-HW</v>
      </c>
      <c r="T34" s="83" t="str">
        <f t="shared" si="4"/>
        <v>100-MWL005-TX005-HW</v>
      </c>
      <c r="Y34" s="60">
        <f t="shared" si="5"/>
        <v>92</v>
      </c>
      <c r="Z34" s="49">
        <f t="shared" si="0"/>
        <v>33</v>
      </c>
      <c r="AA34" s="60">
        <f t="shared" si="6"/>
        <v>92033</v>
      </c>
    </row>
    <row r="35" spans="1:27">
      <c r="A35" s="83" t="str">
        <f t="shared" si="1"/>
        <v>100-MWL005-WA004-AT</v>
      </c>
      <c r="B35" s="83" t="str">
        <f t="shared" si="2"/>
        <v>92-034-</v>
      </c>
      <c r="C35" s="106" t="s">
        <v>984</v>
      </c>
      <c r="G35" s="106" t="s">
        <v>869</v>
      </c>
      <c r="S35" s="83" t="str">
        <f t="shared" si="3"/>
        <v>100-MWL005-WA004-AT</v>
      </c>
      <c r="T35" s="83" t="str">
        <f t="shared" si="4"/>
        <v>100-MWL005-WA004-AT</v>
      </c>
      <c r="Y35" s="60">
        <f t="shared" si="5"/>
        <v>92</v>
      </c>
      <c r="Z35" s="49">
        <f t="shared" si="0"/>
        <v>34</v>
      </c>
      <c r="AA35" s="60">
        <f t="shared" si="6"/>
        <v>92034</v>
      </c>
    </row>
    <row r="36" spans="1:27">
      <c r="A36" s="83" t="str">
        <f t="shared" si="1"/>
        <v>100-MWL025-CA006-FT</v>
      </c>
      <c r="B36" s="83" t="str">
        <f t="shared" si="2"/>
        <v>92-035-</v>
      </c>
      <c r="C36" s="106" t="s">
        <v>985</v>
      </c>
      <c r="G36" s="106" t="s">
        <v>870</v>
      </c>
      <c r="S36" s="83" t="str">
        <f t="shared" si="3"/>
        <v>100-MWL025-CA006-FT</v>
      </c>
      <c r="T36" s="83" t="str">
        <f t="shared" si="4"/>
        <v>100-MWL025-CA006-FT</v>
      </c>
      <c r="Y36" s="60">
        <f t="shared" si="5"/>
        <v>92</v>
      </c>
      <c r="Z36" s="49">
        <f t="shared" si="0"/>
        <v>35</v>
      </c>
      <c r="AA36" s="60">
        <f t="shared" si="6"/>
        <v>92035</v>
      </c>
    </row>
    <row r="37" spans="1:27">
      <c r="A37" s="83" t="str">
        <f t="shared" si="1"/>
        <v>100-MWL025-CA012-HW</v>
      </c>
      <c r="B37" s="83" t="str">
        <f t="shared" si="2"/>
        <v>92-036-</v>
      </c>
      <c r="C37" s="106" t="s">
        <v>986</v>
      </c>
      <c r="G37" s="106" t="s">
        <v>871</v>
      </c>
      <c r="S37" s="83" t="str">
        <f t="shared" si="3"/>
        <v>100-MWL025-CA012-HW</v>
      </c>
      <c r="T37" s="83" t="str">
        <f t="shared" si="4"/>
        <v>100-MWL025-CA012-HW</v>
      </c>
      <c r="Y37" s="60">
        <f t="shared" si="5"/>
        <v>92</v>
      </c>
      <c r="Z37" s="49">
        <f t="shared" si="0"/>
        <v>36</v>
      </c>
      <c r="AA37" s="60">
        <f t="shared" si="6"/>
        <v>92036</v>
      </c>
    </row>
    <row r="38" spans="1:27">
      <c r="A38" s="83" t="str">
        <f t="shared" si="1"/>
        <v>100-MWL025-CA016-BK</v>
      </c>
      <c r="B38" s="83" t="str">
        <f t="shared" si="2"/>
        <v>92-037-</v>
      </c>
      <c r="C38" s="106" t="s">
        <v>987</v>
      </c>
      <c r="G38" s="106" t="s">
        <v>872</v>
      </c>
      <c r="S38" s="83" t="str">
        <f t="shared" si="3"/>
        <v>100-MWL025-CA016-BK</v>
      </c>
      <c r="T38" s="83" t="str">
        <f t="shared" si="4"/>
        <v>100-MWL025-CA016-BK</v>
      </c>
      <c r="Y38" s="60">
        <f t="shared" si="5"/>
        <v>92</v>
      </c>
      <c r="Z38" s="49">
        <f t="shared" si="0"/>
        <v>37</v>
      </c>
      <c r="AA38" s="60">
        <f t="shared" si="6"/>
        <v>92037</v>
      </c>
    </row>
    <row r="39" spans="1:27">
      <c r="A39" s="83" t="str">
        <f t="shared" si="1"/>
        <v>100-MWL025-NY018-BK</v>
      </c>
      <c r="B39" s="83" t="str">
        <f t="shared" si="2"/>
        <v>92-038-</v>
      </c>
      <c r="C39" s="106" t="s">
        <v>988</v>
      </c>
      <c r="G39" s="106" t="s">
        <v>873</v>
      </c>
      <c r="S39" s="83" t="str">
        <f t="shared" si="3"/>
        <v>100-MWL025-NY018-BK</v>
      </c>
      <c r="T39" s="83" t="str">
        <f t="shared" si="4"/>
        <v>100-MWL025-NY018-BK</v>
      </c>
      <c r="Y39" s="60">
        <f t="shared" si="5"/>
        <v>92</v>
      </c>
      <c r="Z39" s="49">
        <f t="shared" si="0"/>
        <v>38</v>
      </c>
      <c r="AA39" s="60">
        <f t="shared" si="6"/>
        <v>92038</v>
      </c>
    </row>
    <row r="40" spans="1:27">
      <c r="A40" s="83" t="str">
        <f t="shared" si="1"/>
        <v>100-MWL025-NY027-FT</v>
      </c>
      <c r="B40" s="83" t="str">
        <f t="shared" si="2"/>
        <v>92-039-</v>
      </c>
      <c r="C40" s="106" t="s">
        <v>989</v>
      </c>
      <c r="G40" s="106" t="s">
        <v>874</v>
      </c>
      <c r="S40" s="83" t="str">
        <f t="shared" si="3"/>
        <v>100-MWL025-NY027-FT</v>
      </c>
      <c r="T40" s="83" t="str">
        <f t="shared" si="4"/>
        <v>100-MWL025-NY027-FT</v>
      </c>
      <c r="Y40" s="60">
        <f t="shared" si="5"/>
        <v>92</v>
      </c>
      <c r="Z40" s="49">
        <f t="shared" si="0"/>
        <v>39</v>
      </c>
      <c r="AA40" s="60">
        <f t="shared" si="6"/>
        <v>92039</v>
      </c>
    </row>
    <row r="41" spans="1:27">
      <c r="A41" s="83" t="str">
        <f t="shared" si="1"/>
        <v>103-SWC001-CA001-KH</v>
      </c>
      <c r="B41" s="83" t="str">
        <f t="shared" si="2"/>
        <v>92-040-</v>
      </c>
      <c r="C41" s="106" t="s">
        <v>990</v>
      </c>
      <c r="G41" s="106" t="s">
        <v>875</v>
      </c>
      <c r="S41" s="83" t="str">
        <f t="shared" si="3"/>
        <v>103-SWC001-CA001-KH</v>
      </c>
      <c r="T41" s="83" t="str">
        <f t="shared" si="4"/>
        <v>103-SWC001-CA001-KH</v>
      </c>
      <c r="Y41" s="60">
        <f t="shared" si="5"/>
        <v>92</v>
      </c>
      <c r="Z41" s="49">
        <f t="shared" si="0"/>
        <v>40</v>
      </c>
      <c r="AA41" s="60">
        <f t="shared" si="6"/>
        <v>92040</v>
      </c>
    </row>
    <row r="42" spans="1:27">
      <c r="A42" s="83" t="str">
        <f t="shared" si="1"/>
        <v>103-SWC001-CA002-KH</v>
      </c>
      <c r="B42" s="83" t="str">
        <f t="shared" si="2"/>
        <v>92-041-</v>
      </c>
      <c r="C42" s="106" t="s">
        <v>991</v>
      </c>
      <c r="G42" s="106" t="s">
        <v>876</v>
      </c>
      <c r="S42" s="83" t="str">
        <f t="shared" si="3"/>
        <v>103-SWC001-CA002-KH</v>
      </c>
      <c r="T42" s="83" t="str">
        <f t="shared" si="4"/>
        <v>103-SWC001-CA002-KH</v>
      </c>
      <c r="Y42" s="60">
        <f t="shared" si="5"/>
        <v>92</v>
      </c>
      <c r="Z42" s="49">
        <f t="shared" si="0"/>
        <v>41</v>
      </c>
      <c r="AA42" s="60">
        <f t="shared" si="6"/>
        <v>92041</v>
      </c>
    </row>
    <row r="43" spans="1:27">
      <c r="A43" s="83" t="str">
        <f t="shared" si="1"/>
        <v>103-SWC001-CA007-GY</v>
      </c>
      <c r="B43" s="83" t="str">
        <f t="shared" si="2"/>
        <v>92-042-</v>
      </c>
      <c r="C43" s="106" t="s">
        <v>992</v>
      </c>
      <c r="G43" s="106" t="s">
        <v>877</v>
      </c>
      <c r="S43" s="83" t="str">
        <f t="shared" si="3"/>
        <v>103-SWC001-CA007-GY</v>
      </c>
      <c r="T43" s="83" t="str">
        <f t="shared" si="4"/>
        <v>103-SWC001-CA007-GY</v>
      </c>
      <c r="Y43" s="60">
        <f t="shared" si="5"/>
        <v>92</v>
      </c>
      <c r="Z43" s="49">
        <f t="shared" si="0"/>
        <v>42</v>
      </c>
      <c r="AA43" s="60">
        <f t="shared" si="6"/>
        <v>92042</v>
      </c>
    </row>
    <row r="44" spans="1:27">
      <c r="A44" s="83" t="str">
        <f t="shared" si="1"/>
        <v>103-SWC001-CA008-MC</v>
      </c>
      <c r="B44" s="83" t="str">
        <f t="shared" si="2"/>
        <v>92-043-</v>
      </c>
      <c r="C44" s="106" t="s">
        <v>993</v>
      </c>
      <c r="G44" s="106" t="s">
        <v>878</v>
      </c>
      <c r="S44" s="83" t="str">
        <f t="shared" si="3"/>
        <v>103-SWC001-CA008-MC</v>
      </c>
      <c r="T44" s="83" t="str">
        <f t="shared" si="4"/>
        <v>103-SWC001-CA008-MC</v>
      </c>
      <c r="Y44" s="60">
        <f t="shared" si="5"/>
        <v>92</v>
      </c>
      <c r="Z44" s="49">
        <f t="shared" si="0"/>
        <v>43</v>
      </c>
      <c r="AA44" s="60">
        <f t="shared" si="6"/>
        <v>92043</v>
      </c>
    </row>
    <row r="45" spans="1:27">
      <c r="A45" s="83" t="str">
        <f t="shared" si="1"/>
        <v>103-SWC001-NY001-KH</v>
      </c>
      <c r="B45" s="83" t="str">
        <f t="shared" si="2"/>
        <v>92-044-</v>
      </c>
      <c r="C45" s="106" t="s">
        <v>994</v>
      </c>
      <c r="G45" s="106" t="s">
        <v>879</v>
      </c>
      <c r="S45" s="83" t="str">
        <f t="shared" si="3"/>
        <v>103-SWC001-NY001-KH</v>
      </c>
      <c r="T45" s="83" t="str">
        <f t="shared" si="4"/>
        <v>103-SWC001-NY001-KH</v>
      </c>
      <c r="Y45" s="60">
        <f t="shared" si="5"/>
        <v>92</v>
      </c>
      <c r="Z45" s="49">
        <f t="shared" si="0"/>
        <v>44</v>
      </c>
      <c r="AA45" s="60">
        <f t="shared" si="6"/>
        <v>92044</v>
      </c>
    </row>
    <row r="46" spans="1:27">
      <c r="A46" s="83" t="str">
        <f t="shared" si="1"/>
        <v>103-SWC001-NY015-BK</v>
      </c>
      <c r="B46" s="83" t="str">
        <f t="shared" si="2"/>
        <v>92-045-</v>
      </c>
      <c r="C46" s="106" t="s">
        <v>995</v>
      </c>
      <c r="G46" s="106" t="s">
        <v>880</v>
      </c>
      <c r="S46" s="83" t="str">
        <f t="shared" si="3"/>
        <v>103-SWC001-NY015-BK</v>
      </c>
      <c r="T46" s="83" t="str">
        <f t="shared" si="4"/>
        <v>103-SWC001-NY015-BK</v>
      </c>
      <c r="Y46" s="60">
        <f t="shared" si="5"/>
        <v>92</v>
      </c>
      <c r="Z46" s="49">
        <f t="shared" si="0"/>
        <v>45</v>
      </c>
      <c r="AA46" s="60">
        <f t="shared" si="6"/>
        <v>92045</v>
      </c>
    </row>
    <row r="47" spans="1:27">
      <c r="A47" s="83" t="str">
        <f t="shared" si="1"/>
        <v>103-SWC001-NY022-GY</v>
      </c>
      <c r="B47" s="83" t="str">
        <f t="shared" si="2"/>
        <v>92-046-</v>
      </c>
      <c r="C47" s="106" t="s">
        <v>996</v>
      </c>
      <c r="G47" s="106" t="s">
        <v>881</v>
      </c>
      <c r="S47" s="83" t="str">
        <f t="shared" si="3"/>
        <v>103-SWC001-NY022-GY</v>
      </c>
      <c r="T47" s="83" t="str">
        <f t="shared" si="4"/>
        <v>103-SWC001-NY022-GY</v>
      </c>
      <c r="Y47" s="60">
        <f t="shared" si="5"/>
        <v>92</v>
      </c>
      <c r="Z47" s="49">
        <f t="shared" si="0"/>
        <v>46</v>
      </c>
      <c r="AA47" s="60">
        <f t="shared" si="6"/>
        <v>92046</v>
      </c>
    </row>
    <row r="48" spans="1:27">
      <c r="A48" s="83" t="str">
        <f t="shared" si="1"/>
        <v>103-SWC001-NY037-BD</v>
      </c>
      <c r="B48" s="83" t="str">
        <f t="shared" si="2"/>
        <v>92-047-</v>
      </c>
      <c r="C48" s="106" t="s">
        <v>997</v>
      </c>
      <c r="G48" s="106" t="s">
        <v>882</v>
      </c>
      <c r="S48" s="83" t="str">
        <f t="shared" si="3"/>
        <v>103-SWC001-NY037-BD</v>
      </c>
      <c r="T48" s="83" t="str">
        <f t="shared" si="4"/>
        <v>103-SWC001-NY037-BD</v>
      </c>
      <c r="Y48" s="60">
        <f t="shared" si="5"/>
        <v>92</v>
      </c>
      <c r="Z48" s="49">
        <f t="shared" si="0"/>
        <v>47</v>
      </c>
      <c r="AA48" s="60">
        <f t="shared" si="6"/>
        <v>92047</v>
      </c>
    </row>
    <row r="49" spans="1:27">
      <c r="A49" s="83" t="str">
        <f t="shared" si="1"/>
        <v>103-SWC001-UT002-MC</v>
      </c>
      <c r="B49" s="83" t="str">
        <f t="shared" si="2"/>
        <v>92-048-</v>
      </c>
      <c r="C49" s="106" t="s">
        <v>998</v>
      </c>
      <c r="G49" s="106" t="s">
        <v>883</v>
      </c>
      <c r="S49" s="83" t="str">
        <f t="shared" si="3"/>
        <v>103-SWC001-UT002-MC</v>
      </c>
      <c r="T49" s="83" t="str">
        <f t="shared" si="4"/>
        <v>103-SWC001-UT002-MC</v>
      </c>
      <c r="Y49" s="60">
        <f t="shared" si="5"/>
        <v>92</v>
      </c>
      <c r="Z49" s="49">
        <f t="shared" si="0"/>
        <v>48</v>
      </c>
      <c r="AA49" s="60">
        <f t="shared" si="6"/>
        <v>92048</v>
      </c>
    </row>
    <row r="50" spans="1:27">
      <c r="A50" s="83" t="str">
        <f t="shared" si="1"/>
        <v>103-SWC002-NY020-BK</v>
      </c>
      <c r="B50" s="83" t="str">
        <f t="shared" si="2"/>
        <v>92-049-</v>
      </c>
      <c r="C50" s="106" t="s">
        <v>999</v>
      </c>
      <c r="G50" s="106" t="s">
        <v>884</v>
      </c>
      <c r="S50" s="83" t="str">
        <f t="shared" si="3"/>
        <v>103-SWC002-NY020-BK</v>
      </c>
      <c r="T50" s="83" t="str">
        <f t="shared" si="4"/>
        <v>103-SWC002-NY020-BK</v>
      </c>
      <c r="Y50" s="60">
        <f t="shared" si="5"/>
        <v>92</v>
      </c>
      <c r="Z50" s="49">
        <f t="shared" si="0"/>
        <v>49</v>
      </c>
      <c r="AA50" s="60">
        <f t="shared" si="6"/>
        <v>92049</v>
      </c>
    </row>
    <row r="51" spans="1:27">
      <c r="A51" s="83" t="str">
        <f t="shared" si="1"/>
        <v>103-SWC003-CA047-ST</v>
      </c>
      <c r="B51" s="83" t="str">
        <f t="shared" si="2"/>
        <v>92-050-</v>
      </c>
      <c r="C51" s="106" t="s">
        <v>1000</v>
      </c>
      <c r="G51" s="106" t="s">
        <v>885</v>
      </c>
      <c r="S51" s="83" t="str">
        <f t="shared" si="3"/>
        <v>103-SWC003-CA047-ST</v>
      </c>
      <c r="T51" s="83" t="str">
        <f t="shared" si="4"/>
        <v>103-SWC003-CA047-ST</v>
      </c>
      <c r="Y51" s="60">
        <f t="shared" si="5"/>
        <v>92</v>
      </c>
      <c r="Z51" s="49">
        <f t="shared" si="0"/>
        <v>50</v>
      </c>
      <c r="AA51" s="60">
        <f t="shared" si="6"/>
        <v>92050</v>
      </c>
    </row>
    <row r="52" spans="1:27">
      <c r="A52" s="83" t="str">
        <f t="shared" si="1"/>
        <v/>
      </c>
      <c r="B52" s="83" t="str">
        <f t="shared" si="2"/>
        <v/>
      </c>
      <c r="S52" s="83" t="str">
        <f t="shared" si="3"/>
        <v/>
      </c>
      <c r="T52" s="83" t="str">
        <f t="shared" si="4"/>
        <v/>
      </c>
      <c r="Y52" s="60">
        <f t="shared" si="5"/>
        <v>0</v>
      </c>
      <c r="Z52" s="49">
        <f t="shared" si="0"/>
        <v>0</v>
      </c>
      <c r="AA52" s="60">
        <f t="shared" si="6"/>
        <v>0</v>
      </c>
    </row>
    <row r="53" spans="1:27">
      <c r="A53" s="83" t="str">
        <f t="shared" si="1"/>
        <v/>
      </c>
      <c r="B53" s="83" t="str">
        <f t="shared" si="2"/>
        <v/>
      </c>
      <c r="S53" s="83" t="str">
        <f t="shared" si="3"/>
        <v/>
      </c>
      <c r="T53" s="83" t="str">
        <f t="shared" si="4"/>
        <v/>
      </c>
      <c r="Y53" s="60">
        <f t="shared" si="5"/>
        <v>0</v>
      </c>
      <c r="Z53" s="49">
        <f t="shared" si="0"/>
        <v>0</v>
      </c>
      <c r="AA53" s="60">
        <f t="shared" si="6"/>
        <v>0</v>
      </c>
    </row>
    <row r="54" spans="1:27">
      <c r="A54" s="83" t="str">
        <f t="shared" si="1"/>
        <v/>
      </c>
      <c r="B54" s="83" t="str">
        <f t="shared" si="2"/>
        <v/>
      </c>
      <c r="S54" s="83" t="str">
        <f t="shared" si="3"/>
        <v/>
      </c>
      <c r="T54" s="83" t="str">
        <f t="shared" si="4"/>
        <v/>
      </c>
      <c r="Y54" s="60">
        <f t="shared" si="5"/>
        <v>0</v>
      </c>
      <c r="Z54" s="49">
        <f t="shared" si="0"/>
        <v>0</v>
      </c>
      <c r="AA54" s="60">
        <f t="shared" si="6"/>
        <v>0</v>
      </c>
    </row>
    <row r="55" spans="1:27">
      <c r="A55" s="83" t="str">
        <f t="shared" si="1"/>
        <v/>
      </c>
      <c r="B55" s="83" t="str">
        <f t="shared" si="2"/>
        <v/>
      </c>
      <c r="S55" s="83" t="str">
        <f t="shared" si="3"/>
        <v/>
      </c>
      <c r="T55" s="83" t="str">
        <f t="shared" si="4"/>
        <v/>
      </c>
      <c r="Y55" s="60">
        <f t="shared" si="5"/>
        <v>0</v>
      </c>
      <c r="Z55" s="49">
        <f t="shared" si="0"/>
        <v>0</v>
      </c>
      <c r="AA55" s="60">
        <f t="shared" si="6"/>
        <v>0</v>
      </c>
    </row>
    <row r="56" spans="1:27">
      <c r="A56" s="83" t="str">
        <f t="shared" si="1"/>
        <v/>
      </c>
      <c r="B56" s="83" t="str">
        <f t="shared" si="2"/>
        <v/>
      </c>
      <c r="S56" s="83" t="str">
        <f t="shared" si="3"/>
        <v/>
      </c>
      <c r="T56" s="83" t="str">
        <f t="shared" si="4"/>
        <v/>
      </c>
      <c r="Y56" s="60">
        <f t="shared" si="5"/>
        <v>0</v>
      </c>
      <c r="Z56" s="49">
        <f t="shared" si="0"/>
        <v>0</v>
      </c>
      <c r="AA56" s="60">
        <f t="shared" si="6"/>
        <v>0</v>
      </c>
    </row>
    <row r="57" spans="1:27">
      <c r="A57" s="83" t="str">
        <f t="shared" si="1"/>
        <v/>
      </c>
      <c r="B57" s="83" t="str">
        <f t="shared" si="2"/>
        <v/>
      </c>
      <c r="S57" s="83" t="str">
        <f t="shared" si="3"/>
        <v/>
      </c>
      <c r="T57" s="83" t="str">
        <f t="shared" si="4"/>
        <v/>
      </c>
      <c r="Y57" s="60">
        <f t="shared" si="5"/>
        <v>0</v>
      </c>
      <c r="Z57" s="49">
        <f t="shared" si="0"/>
        <v>0</v>
      </c>
      <c r="AA57" s="60">
        <f t="shared" si="6"/>
        <v>0</v>
      </c>
    </row>
    <row r="58" spans="1:27">
      <c r="A58" s="83" t="str">
        <f t="shared" si="1"/>
        <v/>
      </c>
      <c r="B58" s="83" t="str">
        <f t="shared" si="2"/>
        <v/>
      </c>
      <c r="S58" s="83" t="str">
        <f t="shared" si="3"/>
        <v/>
      </c>
      <c r="T58" s="83" t="str">
        <f t="shared" si="4"/>
        <v/>
      </c>
      <c r="Y58" s="60">
        <f t="shared" si="5"/>
        <v>0</v>
      </c>
      <c r="Z58" s="49">
        <f t="shared" si="0"/>
        <v>0</v>
      </c>
      <c r="AA58" s="60">
        <f t="shared" si="6"/>
        <v>0</v>
      </c>
    </row>
    <row r="59" spans="1:27">
      <c r="A59" s="83" t="str">
        <f t="shared" si="1"/>
        <v/>
      </c>
      <c r="B59" s="83" t="str">
        <f t="shared" si="2"/>
        <v/>
      </c>
      <c r="S59" s="83" t="str">
        <f t="shared" si="3"/>
        <v/>
      </c>
      <c r="T59" s="83" t="str">
        <f t="shared" si="4"/>
        <v/>
      </c>
      <c r="Y59" s="60">
        <f t="shared" si="5"/>
        <v>0</v>
      </c>
      <c r="Z59" s="49">
        <f t="shared" si="0"/>
        <v>0</v>
      </c>
      <c r="AA59" s="60">
        <f t="shared" si="6"/>
        <v>0</v>
      </c>
    </row>
    <row r="60" spans="1:27">
      <c r="A60" s="83" t="str">
        <f t="shared" si="1"/>
        <v/>
      </c>
      <c r="B60" s="83" t="str">
        <f t="shared" si="2"/>
        <v/>
      </c>
      <c r="S60" s="83" t="str">
        <f t="shared" si="3"/>
        <v/>
      </c>
      <c r="T60" s="83" t="str">
        <f t="shared" si="4"/>
        <v/>
      </c>
      <c r="Y60" s="60">
        <f t="shared" si="5"/>
        <v>0</v>
      </c>
      <c r="Z60" s="49">
        <f t="shared" si="0"/>
        <v>0</v>
      </c>
      <c r="AA60" s="60">
        <f t="shared" si="6"/>
        <v>0</v>
      </c>
    </row>
    <row r="61" spans="1:27">
      <c r="A61" s="83" t="str">
        <f t="shared" si="1"/>
        <v/>
      </c>
      <c r="B61" s="83" t="str">
        <f t="shared" si="2"/>
        <v/>
      </c>
      <c r="S61" s="83" t="str">
        <f t="shared" si="3"/>
        <v/>
      </c>
      <c r="T61" s="83" t="str">
        <f t="shared" si="4"/>
        <v/>
      </c>
      <c r="Y61" s="60">
        <f t="shared" si="5"/>
        <v>0</v>
      </c>
      <c r="Z61" s="49">
        <f t="shared" si="0"/>
        <v>0</v>
      </c>
      <c r="AA61" s="60">
        <f t="shared" si="6"/>
        <v>0</v>
      </c>
    </row>
    <row r="62" spans="1:27">
      <c r="A62" s="83" t="str">
        <f t="shared" si="1"/>
        <v/>
      </c>
      <c r="B62" s="83" t="str">
        <f t="shared" si="2"/>
        <v/>
      </c>
      <c r="S62" s="83" t="str">
        <f t="shared" si="3"/>
        <v/>
      </c>
      <c r="T62" s="83" t="str">
        <f t="shared" si="4"/>
        <v/>
      </c>
      <c r="Y62" s="60">
        <f t="shared" si="5"/>
        <v>0</v>
      </c>
      <c r="Z62" s="49">
        <f t="shared" si="0"/>
        <v>0</v>
      </c>
      <c r="AA62" s="60">
        <f t="shared" si="6"/>
        <v>0</v>
      </c>
    </row>
    <row r="63" spans="1:27">
      <c r="A63" s="83" t="str">
        <f t="shared" si="1"/>
        <v/>
      </c>
      <c r="B63" s="83" t="str">
        <f t="shared" si="2"/>
        <v/>
      </c>
      <c r="S63" s="83" t="str">
        <f t="shared" si="3"/>
        <v/>
      </c>
      <c r="T63" s="83" t="str">
        <f t="shared" si="4"/>
        <v/>
      </c>
      <c r="Y63" s="60">
        <f t="shared" si="5"/>
        <v>0</v>
      </c>
      <c r="Z63" s="49">
        <f t="shared" si="0"/>
        <v>0</v>
      </c>
      <c r="AA63" s="60">
        <f t="shared" si="6"/>
        <v>0</v>
      </c>
    </row>
    <row r="64" spans="1:27">
      <c r="A64" s="83" t="str">
        <f t="shared" si="1"/>
        <v/>
      </c>
      <c r="B64" s="83" t="str">
        <f t="shared" si="2"/>
        <v/>
      </c>
      <c r="S64" s="83" t="str">
        <f t="shared" si="3"/>
        <v/>
      </c>
      <c r="T64" s="83" t="str">
        <f t="shared" si="4"/>
        <v/>
      </c>
      <c r="Y64" s="60">
        <f t="shared" si="5"/>
        <v>0</v>
      </c>
      <c r="Z64" s="49">
        <f t="shared" si="0"/>
        <v>0</v>
      </c>
      <c r="AA64" s="60">
        <f t="shared" si="6"/>
        <v>0</v>
      </c>
    </row>
    <row r="65" spans="1:27">
      <c r="A65" s="83" t="str">
        <f t="shared" si="1"/>
        <v/>
      </c>
      <c r="B65" s="83" t="str">
        <f t="shared" si="2"/>
        <v/>
      </c>
      <c r="S65" s="83" t="str">
        <f t="shared" si="3"/>
        <v/>
      </c>
      <c r="T65" s="83" t="str">
        <f t="shared" si="4"/>
        <v/>
      </c>
      <c r="Y65" s="60">
        <f t="shared" si="5"/>
        <v>0</v>
      </c>
      <c r="Z65" s="49">
        <f t="shared" si="0"/>
        <v>0</v>
      </c>
      <c r="AA65" s="60">
        <f t="shared" si="6"/>
        <v>0</v>
      </c>
    </row>
    <row r="66" spans="1:27">
      <c r="A66" s="83" t="str">
        <f t="shared" si="1"/>
        <v/>
      </c>
      <c r="B66" s="83" t="str">
        <f t="shared" si="2"/>
        <v/>
      </c>
      <c r="S66" s="83" t="str">
        <f t="shared" si="3"/>
        <v/>
      </c>
      <c r="T66" s="83" t="str">
        <f t="shared" si="4"/>
        <v/>
      </c>
      <c r="Y66" s="60">
        <f t="shared" si="5"/>
        <v>0</v>
      </c>
      <c r="Z66" s="49">
        <f t="shared" si="0"/>
        <v>0</v>
      </c>
      <c r="AA66" s="60">
        <f t="shared" si="6"/>
        <v>0</v>
      </c>
    </row>
    <row r="67" spans="1:27">
      <c r="A67" s="83" t="str">
        <f t="shared" ref="A67:A130" si="7">IF(G67&amp;Q67&lt;&gt;"",S67&amp;Q67,"")</f>
        <v/>
      </c>
      <c r="B67" s="83" t="str">
        <f t="shared" ref="B67:B130" si="8">IF(C67&lt;&gt;"",LEFT(C67,9),"")</f>
        <v/>
      </c>
      <c r="S67" s="83" t="str">
        <f t="shared" ref="S67:S130" si="9">IF(G67&lt;&gt;"",IF(StyleSpaceSplit,IFERROR(IF(FIND(" ",G67)&gt;=1,MID(G67,1,FIND(" ",G67)-1),G67),G67),G67),"")</f>
        <v/>
      </c>
      <c r="T67" s="83" t="str">
        <f t="shared" ref="T67:T130" si="10">IF(A67&lt;&gt;"",IFERROR(IF(FIND(" ",G67)&gt;=1,MID(G67,FIND(" ",G67)+1,LEN(G67)),""),G67),"")</f>
        <v/>
      </c>
      <c r="Y67" s="60">
        <f t="shared" ref="Y67:Y130" si="11">IFERROR(VALUE(MID($C67,1,2)),0)</f>
        <v>0</v>
      </c>
      <c r="Z67" s="49">
        <f t="shared" ref="Z67:Z130" si="12">IFERROR(VALUE(MID($C67,4,3)),0)</f>
        <v>0</v>
      </c>
      <c r="AA67" s="60">
        <f t="shared" ref="AA67:AA130" si="13">VALUE(RIGHT("00"&amp;Y67,2)&amp;RIGHT("000"&amp;Z67,3))</f>
        <v>0</v>
      </c>
    </row>
    <row r="68" spans="1:27">
      <c r="A68" s="83" t="str">
        <f t="shared" si="7"/>
        <v/>
      </c>
      <c r="B68" s="83" t="str">
        <f t="shared" si="8"/>
        <v/>
      </c>
      <c r="S68" s="83" t="str">
        <f t="shared" si="9"/>
        <v/>
      </c>
      <c r="T68" s="83" t="str">
        <f t="shared" si="10"/>
        <v/>
      </c>
      <c r="Y68" s="60">
        <f t="shared" si="11"/>
        <v>0</v>
      </c>
      <c r="Z68" s="49">
        <f t="shared" si="12"/>
        <v>0</v>
      </c>
      <c r="AA68" s="60">
        <f t="shared" si="13"/>
        <v>0</v>
      </c>
    </row>
    <row r="69" spans="1:27">
      <c r="A69" s="83" t="str">
        <f t="shared" si="7"/>
        <v/>
      </c>
      <c r="B69" s="83" t="str">
        <f t="shared" si="8"/>
        <v/>
      </c>
      <c r="S69" s="83" t="str">
        <f t="shared" si="9"/>
        <v/>
      </c>
      <c r="T69" s="83" t="str">
        <f t="shared" si="10"/>
        <v/>
      </c>
      <c r="Y69" s="60">
        <f t="shared" si="11"/>
        <v>0</v>
      </c>
      <c r="Z69" s="49">
        <f t="shared" si="12"/>
        <v>0</v>
      </c>
      <c r="AA69" s="60">
        <f t="shared" si="13"/>
        <v>0</v>
      </c>
    </row>
    <row r="70" spans="1:27">
      <c r="A70" s="83" t="str">
        <f t="shared" si="7"/>
        <v/>
      </c>
      <c r="B70" s="83" t="str">
        <f t="shared" si="8"/>
        <v/>
      </c>
      <c r="S70" s="83" t="str">
        <f t="shared" si="9"/>
        <v/>
      </c>
      <c r="T70" s="83" t="str">
        <f t="shared" si="10"/>
        <v/>
      </c>
      <c r="Y70" s="60">
        <f t="shared" si="11"/>
        <v>0</v>
      </c>
      <c r="Z70" s="49">
        <f t="shared" si="12"/>
        <v>0</v>
      </c>
      <c r="AA70" s="60">
        <f t="shared" si="13"/>
        <v>0</v>
      </c>
    </row>
    <row r="71" spans="1:27">
      <c r="A71" s="83" t="str">
        <f t="shared" si="7"/>
        <v/>
      </c>
      <c r="B71" s="83" t="str">
        <f t="shared" si="8"/>
        <v/>
      </c>
      <c r="S71" s="83" t="str">
        <f t="shared" si="9"/>
        <v/>
      </c>
      <c r="T71" s="83" t="str">
        <f t="shared" si="10"/>
        <v/>
      </c>
      <c r="Y71" s="60">
        <f t="shared" si="11"/>
        <v>0</v>
      </c>
      <c r="Z71" s="49">
        <f t="shared" si="12"/>
        <v>0</v>
      </c>
      <c r="AA71" s="60">
        <f t="shared" si="13"/>
        <v>0</v>
      </c>
    </row>
    <row r="72" spans="1:27">
      <c r="A72" s="83" t="str">
        <f t="shared" si="7"/>
        <v/>
      </c>
      <c r="B72" s="83" t="str">
        <f t="shared" si="8"/>
        <v/>
      </c>
      <c r="S72" s="83" t="str">
        <f t="shared" si="9"/>
        <v/>
      </c>
      <c r="T72" s="83" t="str">
        <f t="shared" si="10"/>
        <v/>
      </c>
      <c r="Y72" s="60">
        <f t="shared" si="11"/>
        <v>0</v>
      </c>
      <c r="Z72" s="49">
        <f t="shared" si="12"/>
        <v>0</v>
      </c>
      <c r="AA72" s="60">
        <f t="shared" si="13"/>
        <v>0</v>
      </c>
    </row>
    <row r="73" spans="1:27">
      <c r="A73" s="83" t="str">
        <f t="shared" si="7"/>
        <v/>
      </c>
      <c r="B73" s="83" t="str">
        <f t="shared" si="8"/>
        <v/>
      </c>
      <c r="S73" s="83" t="str">
        <f t="shared" si="9"/>
        <v/>
      </c>
      <c r="T73" s="83" t="str">
        <f t="shared" si="10"/>
        <v/>
      </c>
      <c r="Y73" s="60">
        <f t="shared" si="11"/>
        <v>0</v>
      </c>
      <c r="Z73" s="49">
        <f t="shared" si="12"/>
        <v>0</v>
      </c>
      <c r="AA73" s="60">
        <f t="shared" si="13"/>
        <v>0</v>
      </c>
    </row>
    <row r="74" spans="1:27">
      <c r="A74" s="83" t="str">
        <f t="shared" si="7"/>
        <v/>
      </c>
      <c r="B74" s="83" t="str">
        <f t="shared" si="8"/>
        <v/>
      </c>
      <c r="S74" s="83" t="str">
        <f t="shared" si="9"/>
        <v/>
      </c>
      <c r="T74" s="83" t="str">
        <f t="shared" si="10"/>
        <v/>
      </c>
      <c r="Y74" s="60">
        <f t="shared" si="11"/>
        <v>0</v>
      </c>
      <c r="Z74" s="49">
        <f t="shared" si="12"/>
        <v>0</v>
      </c>
      <c r="AA74" s="60">
        <f t="shared" si="13"/>
        <v>0</v>
      </c>
    </row>
    <row r="75" spans="1:27">
      <c r="A75" s="83" t="str">
        <f t="shared" si="7"/>
        <v/>
      </c>
      <c r="B75" s="83" t="str">
        <f t="shared" si="8"/>
        <v/>
      </c>
      <c r="S75" s="83" t="str">
        <f t="shared" si="9"/>
        <v/>
      </c>
      <c r="T75" s="83" t="str">
        <f t="shared" si="10"/>
        <v/>
      </c>
      <c r="Y75" s="60">
        <f t="shared" si="11"/>
        <v>0</v>
      </c>
      <c r="Z75" s="49">
        <f t="shared" si="12"/>
        <v>0</v>
      </c>
      <c r="AA75" s="60">
        <f t="shared" si="13"/>
        <v>0</v>
      </c>
    </row>
    <row r="76" spans="1:27">
      <c r="A76" s="83" t="str">
        <f t="shared" si="7"/>
        <v/>
      </c>
      <c r="B76" s="83" t="str">
        <f t="shared" si="8"/>
        <v/>
      </c>
      <c r="S76" s="83" t="str">
        <f t="shared" si="9"/>
        <v/>
      </c>
      <c r="T76" s="83" t="str">
        <f t="shared" si="10"/>
        <v/>
      </c>
      <c r="Y76" s="60">
        <f t="shared" si="11"/>
        <v>0</v>
      </c>
      <c r="Z76" s="49">
        <f t="shared" si="12"/>
        <v>0</v>
      </c>
      <c r="AA76" s="60">
        <f t="shared" si="13"/>
        <v>0</v>
      </c>
    </row>
    <row r="77" spans="1:27">
      <c r="A77" s="83" t="str">
        <f t="shared" si="7"/>
        <v/>
      </c>
      <c r="B77" s="83" t="str">
        <f t="shared" si="8"/>
        <v/>
      </c>
      <c r="S77" s="83" t="str">
        <f t="shared" si="9"/>
        <v/>
      </c>
      <c r="T77" s="83" t="str">
        <f t="shared" si="10"/>
        <v/>
      </c>
      <c r="Y77" s="60">
        <f t="shared" si="11"/>
        <v>0</v>
      </c>
      <c r="Z77" s="49">
        <f t="shared" si="12"/>
        <v>0</v>
      </c>
      <c r="AA77" s="60">
        <f t="shared" si="13"/>
        <v>0</v>
      </c>
    </row>
    <row r="78" spans="1:27">
      <c r="A78" s="83" t="str">
        <f t="shared" si="7"/>
        <v/>
      </c>
      <c r="B78" s="83" t="str">
        <f t="shared" si="8"/>
        <v/>
      </c>
      <c r="S78" s="83" t="str">
        <f t="shared" si="9"/>
        <v/>
      </c>
      <c r="T78" s="83" t="str">
        <f t="shared" si="10"/>
        <v/>
      </c>
      <c r="Y78" s="60">
        <f t="shared" si="11"/>
        <v>0</v>
      </c>
      <c r="Z78" s="49">
        <f t="shared" si="12"/>
        <v>0</v>
      </c>
      <c r="AA78" s="60">
        <f t="shared" si="13"/>
        <v>0</v>
      </c>
    </row>
    <row r="79" spans="1:27">
      <c r="A79" s="83" t="str">
        <f t="shared" si="7"/>
        <v/>
      </c>
      <c r="B79" s="83" t="str">
        <f t="shared" si="8"/>
        <v/>
      </c>
      <c r="S79" s="83" t="str">
        <f t="shared" si="9"/>
        <v/>
      </c>
      <c r="T79" s="83" t="str">
        <f t="shared" si="10"/>
        <v/>
      </c>
      <c r="Y79" s="60">
        <f t="shared" si="11"/>
        <v>0</v>
      </c>
      <c r="Z79" s="49">
        <f t="shared" si="12"/>
        <v>0</v>
      </c>
      <c r="AA79" s="60">
        <f t="shared" si="13"/>
        <v>0</v>
      </c>
    </row>
    <row r="80" spans="1:27">
      <c r="A80" s="83" t="str">
        <f t="shared" si="7"/>
        <v/>
      </c>
      <c r="B80" s="83" t="str">
        <f t="shared" si="8"/>
        <v/>
      </c>
      <c r="S80" s="83" t="str">
        <f t="shared" si="9"/>
        <v/>
      </c>
      <c r="T80" s="83" t="str">
        <f t="shared" si="10"/>
        <v/>
      </c>
      <c r="Y80" s="60">
        <f t="shared" si="11"/>
        <v>0</v>
      </c>
      <c r="Z80" s="49">
        <f t="shared" si="12"/>
        <v>0</v>
      </c>
      <c r="AA80" s="60">
        <f t="shared" si="13"/>
        <v>0</v>
      </c>
    </row>
    <row r="81" spans="1:27">
      <c r="A81" s="83" t="str">
        <f t="shared" si="7"/>
        <v/>
      </c>
      <c r="B81" s="83" t="str">
        <f t="shared" si="8"/>
        <v/>
      </c>
      <c r="S81" s="83" t="str">
        <f t="shared" si="9"/>
        <v/>
      </c>
      <c r="T81" s="83" t="str">
        <f t="shared" si="10"/>
        <v/>
      </c>
      <c r="Y81" s="60">
        <f t="shared" si="11"/>
        <v>0</v>
      </c>
      <c r="Z81" s="49">
        <f t="shared" si="12"/>
        <v>0</v>
      </c>
      <c r="AA81" s="60">
        <f t="shared" si="13"/>
        <v>0</v>
      </c>
    </row>
    <row r="82" spans="1:27">
      <c r="A82" s="83" t="str">
        <f t="shared" si="7"/>
        <v/>
      </c>
      <c r="B82" s="83" t="str">
        <f t="shared" si="8"/>
        <v/>
      </c>
      <c r="S82" s="83" t="str">
        <f t="shared" si="9"/>
        <v/>
      </c>
      <c r="T82" s="83" t="str">
        <f t="shared" si="10"/>
        <v/>
      </c>
      <c r="Y82" s="60">
        <f t="shared" si="11"/>
        <v>0</v>
      </c>
      <c r="Z82" s="49">
        <f t="shared" si="12"/>
        <v>0</v>
      </c>
      <c r="AA82" s="60">
        <f t="shared" si="13"/>
        <v>0</v>
      </c>
    </row>
    <row r="83" spans="1:27">
      <c r="A83" s="83" t="str">
        <f t="shared" si="7"/>
        <v/>
      </c>
      <c r="B83" s="83" t="str">
        <f t="shared" si="8"/>
        <v/>
      </c>
      <c r="S83" s="83" t="str">
        <f t="shared" si="9"/>
        <v/>
      </c>
      <c r="T83" s="83" t="str">
        <f t="shared" si="10"/>
        <v/>
      </c>
      <c r="Y83" s="60">
        <f t="shared" si="11"/>
        <v>0</v>
      </c>
      <c r="Z83" s="49">
        <f t="shared" si="12"/>
        <v>0</v>
      </c>
      <c r="AA83" s="60">
        <f t="shared" si="13"/>
        <v>0</v>
      </c>
    </row>
    <row r="84" spans="1:27">
      <c r="A84" s="83" t="str">
        <f t="shared" si="7"/>
        <v/>
      </c>
      <c r="B84" s="83" t="str">
        <f t="shared" si="8"/>
        <v/>
      </c>
      <c r="S84" s="83" t="str">
        <f t="shared" si="9"/>
        <v/>
      </c>
      <c r="T84" s="83" t="str">
        <f t="shared" si="10"/>
        <v/>
      </c>
      <c r="Y84" s="60">
        <f t="shared" si="11"/>
        <v>0</v>
      </c>
      <c r="Z84" s="49">
        <f t="shared" si="12"/>
        <v>0</v>
      </c>
      <c r="AA84" s="60">
        <f t="shared" si="13"/>
        <v>0</v>
      </c>
    </row>
    <row r="85" spans="1:27">
      <c r="A85" s="83" t="str">
        <f t="shared" si="7"/>
        <v/>
      </c>
      <c r="B85" s="83" t="str">
        <f t="shared" si="8"/>
        <v/>
      </c>
      <c r="S85" s="83" t="str">
        <f t="shared" si="9"/>
        <v/>
      </c>
      <c r="T85" s="83" t="str">
        <f t="shared" si="10"/>
        <v/>
      </c>
      <c r="Y85" s="60">
        <f t="shared" si="11"/>
        <v>0</v>
      </c>
      <c r="Z85" s="49">
        <f t="shared" si="12"/>
        <v>0</v>
      </c>
      <c r="AA85" s="60">
        <f t="shared" si="13"/>
        <v>0</v>
      </c>
    </row>
    <row r="86" spans="1:27">
      <c r="A86" s="83" t="str">
        <f t="shared" si="7"/>
        <v/>
      </c>
      <c r="B86" s="83" t="str">
        <f t="shared" si="8"/>
        <v/>
      </c>
      <c r="S86" s="83" t="str">
        <f t="shared" si="9"/>
        <v/>
      </c>
      <c r="T86" s="83" t="str">
        <f t="shared" si="10"/>
        <v/>
      </c>
      <c r="Y86" s="60">
        <f t="shared" si="11"/>
        <v>0</v>
      </c>
      <c r="Z86" s="49">
        <f t="shared" si="12"/>
        <v>0</v>
      </c>
      <c r="AA86" s="60">
        <f t="shared" si="13"/>
        <v>0</v>
      </c>
    </row>
    <row r="87" spans="1:27">
      <c r="A87" s="83" t="str">
        <f t="shared" si="7"/>
        <v/>
      </c>
      <c r="B87" s="83" t="str">
        <f t="shared" si="8"/>
        <v/>
      </c>
      <c r="S87" s="83" t="str">
        <f t="shared" si="9"/>
        <v/>
      </c>
      <c r="T87" s="83" t="str">
        <f t="shared" si="10"/>
        <v/>
      </c>
      <c r="Y87" s="60">
        <f t="shared" si="11"/>
        <v>0</v>
      </c>
      <c r="Z87" s="49">
        <f t="shared" si="12"/>
        <v>0</v>
      </c>
      <c r="AA87" s="60">
        <f t="shared" si="13"/>
        <v>0</v>
      </c>
    </row>
    <row r="88" spans="1:27">
      <c r="A88" s="83" t="str">
        <f t="shared" si="7"/>
        <v/>
      </c>
      <c r="B88" s="83" t="str">
        <f t="shared" si="8"/>
        <v/>
      </c>
      <c r="S88" s="83" t="str">
        <f t="shared" si="9"/>
        <v/>
      </c>
      <c r="T88" s="83" t="str">
        <f t="shared" si="10"/>
        <v/>
      </c>
      <c r="Y88" s="60">
        <f t="shared" si="11"/>
        <v>0</v>
      </c>
      <c r="Z88" s="49">
        <f t="shared" si="12"/>
        <v>0</v>
      </c>
      <c r="AA88" s="60">
        <f t="shared" si="13"/>
        <v>0</v>
      </c>
    </row>
    <row r="89" spans="1:27">
      <c r="A89" s="83" t="str">
        <f t="shared" si="7"/>
        <v/>
      </c>
      <c r="B89" s="83" t="str">
        <f t="shared" si="8"/>
        <v/>
      </c>
      <c r="S89" s="83" t="str">
        <f t="shared" si="9"/>
        <v/>
      </c>
      <c r="T89" s="83" t="str">
        <f t="shared" si="10"/>
        <v/>
      </c>
      <c r="Y89" s="60">
        <f t="shared" si="11"/>
        <v>0</v>
      </c>
      <c r="Z89" s="49">
        <f t="shared" si="12"/>
        <v>0</v>
      </c>
      <c r="AA89" s="60">
        <f t="shared" si="13"/>
        <v>0</v>
      </c>
    </row>
    <row r="90" spans="1:27">
      <c r="A90" s="83" t="str">
        <f t="shared" si="7"/>
        <v/>
      </c>
      <c r="B90" s="83" t="str">
        <f t="shared" si="8"/>
        <v/>
      </c>
      <c r="S90" s="83" t="str">
        <f t="shared" si="9"/>
        <v/>
      </c>
      <c r="T90" s="83" t="str">
        <f t="shared" si="10"/>
        <v/>
      </c>
      <c r="Y90" s="60">
        <f t="shared" si="11"/>
        <v>0</v>
      </c>
      <c r="Z90" s="49">
        <f t="shared" si="12"/>
        <v>0</v>
      </c>
      <c r="AA90" s="60">
        <f t="shared" si="13"/>
        <v>0</v>
      </c>
    </row>
    <row r="91" spans="1:27">
      <c r="A91" s="83" t="str">
        <f t="shared" si="7"/>
        <v/>
      </c>
      <c r="B91" s="83" t="str">
        <f t="shared" si="8"/>
        <v/>
      </c>
      <c r="S91" s="83" t="str">
        <f t="shared" si="9"/>
        <v/>
      </c>
      <c r="T91" s="83" t="str">
        <f t="shared" si="10"/>
        <v/>
      </c>
      <c r="Y91" s="60">
        <f t="shared" si="11"/>
        <v>0</v>
      </c>
      <c r="Z91" s="49">
        <f t="shared" si="12"/>
        <v>0</v>
      </c>
      <c r="AA91" s="60">
        <f t="shared" si="13"/>
        <v>0</v>
      </c>
    </row>
    <row r="92" spans="1:27">
      <c r="A92" s="83" t="str">
        <f t="shared" si="7"/>
        <v/>
      </c>
      <c r="B92" s="83" t="str">
        <f t="shared" si="8"/>
        <v/>
      </c>
      <c r="S92" s="83" t="str">
        <f t="shared" si="9"/>
        <v/>
      </c>
      <c r="T92" s="83" t="str">
        <f t="shared" si="10"/>
        <v/>
      </c>
      <c r="Y92" s="60">
        <f t="shared" si="11"/>
        <v>0</v>
      </c>
      <c r="Z92" s="49">
        <f t="shared" si="12"/>
        <v>0</v>
      </c>
      <c r="AA92" s="60">
        <f t="shared" si="13"/>
        <v>0</v>
      </c>
    </row>
    <row r="93" spans="1:27">
      <c r="A93" s="83" t="str">
        <f t="shared" si="7"/>
        <v/>
      </c>
      <c r="B93" s="83" t="str">
        <f t="shared" si="8"/>
        <v/>
      </c>
      <c r="S93" s="83" t="str">
        <f t="shared" si="9"/>
        <v/>
      </c>
      <c r="T93" s="83" t="str">
        <f t="shared" si="10"/>
        <v/>
      </c>
      <c r="Y93" s="60">
        <f t="shared" si="11"/>
        <v>0</v>
      </c>
      <c r="Z93" s="49">
        <f t="shared" si="12"/>
        <v>0</v>
      </c>
      <c r="AA93" s="60">
        <f t="shared" si="13"/>
        <v>0</v>
      </c>
    </row>
    <row r="94" spans="1:27">
      <c r="A94" s="83" t="str">
        <f t="shared" si="7"/>
        <v/>
      </c>
      <c r="B94" s="83" t="str">
        <f t="shared" si="8"/>
        <v/>
      </c>
      <c r="S94" s="83" t="str">
        <f t="shared" si="9"/>
        <v/>
      </c>
      <c r="T94" s="83" t="str">
        <f t="shared" si="10"/>
        <v/>
      </c>
      <c r="Y94" s="60">
        <f t="shared" si="11"/>
        <v>0</v>
      </c>
      <c r="Z94" s="49">
        <f t="shared" si="12"/>
        <v>0</v>
      </c>
      <c r="AA94" s="60">
        <f t="shared" si="13"/>
        <v>0</v>
      </c>
    </row>
    <row r="95" spans="1:27">
      <c r="A95" s="83" t="str">
        <f t="shared" si="7"/>
        <v/>
      </c>
      <c r="B95" s="83" t="str">
        <f t="shared" si="8"/>
        <v/>
      </c>
      <c r="S95" s="83" t="str">
        <f t="shared" si="9"/>
        <v/>
      </c>
      <c r="T95" s="83" t="str">
        <f t="shared" si="10"/>
        <v/>
      </c>
      <c r="Y95" s="60">
        <f t="shared" si="11"/>
        <v>0</v>
      </c>
      <c r="Z95" s="49">
        <f t="shared" si="12"/>
        <v>0</v>
      </c>
      <c r="AA95" s="60">
        <f t="shared" si="13"/>
        <v>0</v>
      </c>
    </row>
    <row r="96" spans="1:27">
      <c r="A96" s="83" t="str">
        <f t="shared" si="7"/>
        <v/>
      </c>
      <c r="B96" s="83" t="str">
        <f t="shared" si="8"/>
        <v/>
      </c>
      <c r="S96" s="83" t="str">
        <f t="shared" si="9"/>
        <v/>
      </c>
      <c r="T96" s="83" t="str">
        <f t="shared" si="10"/>
        <v/>
      </c>
      <c r="Y96" s="60">
        <f t="shared" si="11"/>
        <v>0</v>
      </c>
      <c r="Z96" s="49">
        <f t="shared" si="12"/>
        <v>0</v>
      </c>
      <c r="AA96" s="60">
        <f t="shared" si="13"/>
        <v>0</v>
      </c>
    </row>
    <row r="97" spans="1:27">
      <c r="A97" s="83" t="str">
        <f t="shared" si="7"/>
        <v/>
      </c>
      <c r="B97" s="83" t="str">
        <f t="shared" si="8"/>
        <v/>
      </c>
      <c r="S97" s="83" t="str">
        <f t="shared" si="9"/>
        <v/>
      </c>
      <c r="T97" s="83" t="str">
        <f t="shared" si="10"/>
        <v/>
      </c>
      <c r="Y97" s="60">
        <f t="shared" si="11"/>
        <v>0</v>
      </c>
      <c r="Z97" s="49">
        <f t="shared" si="12"/>
        <v>0</v>
      </c>
      <c r="AA97" s="60">
        <f t="shared" si="13"/>
        <v>0</v>
      </c>
    </row>
    <row r="98" spans="1:27">
      <c r="A98" s="83" t="str">
        <f t="shared" si="7"/>
        <v/>
      </c>
      <c r="B98" s="83" t="str">
        <f t="shared" si="8"/>
        <v/>
      </c>
      <c r="S98" s="83" t="str">
        <f t="shared" si="9"/>
        <v/>
      </c>
      <c r="T98" s="83" t="str">
        <f t="shared" si="10"/>
        <v/>
      </c>
      <c r="Y98" s="60">
        <f t="shared" si="11"/>
        <v>0</v>
      </c>
      <c r="Z98" s="49">
        <f t="shared" si="12"/>
        <v>0</v>
      </c>
      <c r="AA98" s="60">
        <f t="shared" si="13"/>
        <v>0</v>
      </c>
    </row>
    <row r="99" spans="1:27">
      <c r="A99" s="83" t="str">
        <f t="shared" si="7"/>
        <v/>
      </c>
      <c r="B99" s="83" t="str">
        <f t="shared" si="8"/>
        <v/>
      </c>
      <c r="S99" s="83" t="str">
        <f t="shared" si="9"/>
        <v/>
      </c>
      <c r="T99" s="83" t="str">
        <f t="shared" si="10"/>
        <v/>
      </c>
      <c r="Y99" s="60">
        <f t="shared" si="11"/>
        <v>0</v>
      </c>
      <c r="Z99" s="49">
        <f t="shared" si="12"/>
        <v>0</v>
      </c>
      <c r="AA99" s="60">
        <f t="shared" si="13"/>
        <v>0</v>
      </c>
    </row>
    <row r="100" spans="1:27">
      <c r="A100" s="83" t="str">
        <f t="shared" si="7"/>
        <v/>
      </c>
      <c r="B100" s="83" t="str">
        <f t="shared" si="8"/>
        <v/>
      </c>
      <c r="S100" s="83" t="str">
        <f t="shared" si="9"/>
        <v/>
      </c>
      <c r="T100" s="83" t="str">
        <f t="shared" si="10"/>
        <v/>
      </c>
      <c r="Y100" s="60">
        <f t="shared" si="11"/>
        <v>0</v>
      </c>
      <c r="Z100" s="49">
        <f t="shared" si="12"/>
        <v>0</v>
      </c>
      <c r="AA100" s="60">
        <f t="shared" si="13"/>
        <v>0</v>
      </c>
    </row>
    <row r="101" spans="1:27">
      <c r="A101" s="83" t="str">
        <f t="shared" si="7"/>
        <v/>
      </c>
      <c r="B101" s="83" t="str">
        <f t="shared" si="8"/>
        <v/>
      </c>
      <c r="S101" s="83" t="str">
        <f t="shared" si="9"/>
        <v/>
      </c>
      <c r="T101" s="83" t="str">
        <f t="shared" si="10"/>
        <v/>
      </c>
      <c r="Y101" s="60">
        <f t="shared" si="11"/>
        <v>0</v>
      </c>
      <c r="Z101" s="49">
        <f t="shared" si="12"/>
        <v>0</v>
      </c>
      <c r="AA101" s="60">
        <f t="shared" si="13"/>
        <v>0</v>
      </c>
    </row>
    <row r="102" spans="1:27">
      <c r="A102" s="83" t="str">
        <f t="shared" si="7"/>
        <v/>
      </c>
      <c r="B102" s="83" t="str">
        <f t="shared" si="8"/>
        <v/>
      </c>
      <c r="S102" s="83" t="str">
        <f t="shared" si="9"/>
        <v/>
      </c>
      <c r="T102" s="83" t="str">
        <f t="shared" si="10"/>
        <v/>
      </c>
      <c r="Y102" s="60">
        <f t="shared" si="11"/>
        <v>0</v>
      </c>
      <c r="Z102" s="49">
        <f t="shared" si="12"/>
        <v>0</v>
      </c>
      <c r="AA102" s="60">
        <f t="shared" si="13"/>
        <v>0</v>
      </c>
    </row>
    <row r="103" spans="1:27">
      <c r="A103" s="83" t="str">
        <f t="shared" si="7"/>
        <v/>
      </c>
      <c r="B103" s="83" t="str">
        <f t="shared" si="8"/>
        <v/>
      </c>
      <c r="S103" s="83" t="str">
        <f t="shared" si="9"/>
        <v/>
      </c>
      <c r="T103" s="83" t="str">
        <f t="shared" si="10"/>
        <v/>
      </c>
      <c r="Y103" s="60">
        <f t="shared" si="11"/>
        <v>0</v>
      </c>
      <c r="Z103" s="49">
        <f t="shared" si="12"/>
        <v>0</v>
      </c>
      <c r="AA103" s="60">
        <f t="shared" si="13"/>
        <v>0</v>
      </c>
    </row>
    <row r="104" spans="1:27">
      <c r="A104" s="83" t="str">
        <f t="shared" si="7"/>
        <v/>
      </c>
      <c r="B104" s="83" t="str">
        <f t="shared" si="8"/>
        <v/>
      </c>
      <c r="S104" s="83" t="str">
        <f t="shared" si="9"/>
        <v/>
      </c>
      <c r="T104" s="83" t="str">
        <f t="shared" si="10"/>
        <v/>
      </c>
      <c r="Y104" s="60">
        <f t="shared" si="11"/>
        <v>0</v>
      </c>
      <c r="Z104" s="49">
        <f t="shared" si="12"/>
        <v>0</v>
      </c>
      <c r="AA104" s="60">
        <f t="shared" si="13"/>
        <v>0</v>
      </c>
    </row>
    <row r="105" spans="1:27">
      <c r="A105" s="83" t="str">
        <f t="shared" si="7"/>
        <v/>
      </c>
      <c r="B105" s="83" t="str">
        <f t="shared" si="8"/>
        <v/>
      </c>
      <c r="S105" s="83" t="str">
        <f t="shared" si="9"/>
        <v/>
      </c>
      <c r="T105" s="83" t="str">
        <f t="shared" si="10"/>
        <v/>
      </c>
      <c r="Y105" s="60">
        <f t="shared" si="11"/>
        <v>0</v>
      </c>
      <c r="Z105" s="49">
        <f t="shared" si="12"/>
        <v>0</v>
      </c>
      <c r="AA105" s="60">
        <f t="shared" si="13"/>
        <v>0</v>
      </c>
    </row>
    <row r="106" spans="1:27">
      <c r="A106" s="83" t="str">
        <f t="shared" si="7"/>
        <v/>
      </c>
      <c r="B106" s="83" t="str">
        <f t="shared" si="8"/>
        <v/>
      </c>
      <c r="S106" s="83" t="str">
        <f t="shared" si="9"/>
        <v/>
      </c>
      <c r="T106" s="83" t="str">
        <f t="shared" si="10"/>
        <v/>
      </c>
      <c r="Y106" s="60">
        <f t="shared" si="11"/>
        <v>0</v>
      </c>
      <c r="Z106" s="49">
        <f t="shared" si="12"/>
        <v>0</v>
      </c>
      <c r="AA106" s="60">
        <f t="shared" si="13"/>
        <v>0</v>
      </c>
    </row>
    <row r="107" spans="1:27">
      <c r="A107" s="83" t="str">
        <f t="shared" si="7"/>
        <v/>
      </c>
      <c r="B107" s="83" t="str">
        <f t="shared" si="8"/>
        <v/>
      </c>
      <c r="S107" s="83" t="str">
        <f t="shared" si="9"/>
        <v/>
      </c>
      <c r="T107" s="83" t="str">
        <f t="shared" si="10"/>
        <v/>
      </c>
      <c r="Y107" s="60">
        <f t="shared" si="11"/>
        <v>0</v>
      </c>
      <c r="Z107" s="49">
        <f t="shared" si="12"/>
        <v>0</v>
      </c>
      <c r="AA107" s="60">
        <f t="shared" si="13"/>
        <v>0</v>
      </c>
    </row>
    <row r="108" spans="1:27">
      <c r="A108" s="83" t="str">
        <f t="shared" si="7"/>
        <v/>
      </c>
      <c r="B108" s="83" t="str">
        <f t="shared" si="8"/>
        <v/>
      </c>
      <c r="S108" s="83" t="str">
        <f t="shared" si="9"/>
        <v/>
      </c>
      <c r="T108" s="83" t="str">
        <f t="shared" si="10"/>
        <v/>
      </c>
      <c r="Y108" s="60">
        <f t="shared" si="11"/>
        <v>0</v>
      </c>
      <c r="Z108" s="49">
        <f t="shared" si="12"/>
        <v>0</v>
      </c>
      <c r="AA108" s="60">
        <f t="shared" si="13"/>
        <v>0</v>
      </c>
    </row>
    <row r="109" spans="1:27">
      <c r="A109" s="83" t="str">
        <f t="shared" si="7"/>
        <v/>
      </c>
      <c r="B109" s="83" t="str">
        <f t="shared" si="8"/>
        <v/>
      </c>
      <c r="S109" s="83" t="str">
        <f t="shared" si="9"/>
        <v/>
      </c>
      <c r="T109" s="83" t="str">
        <f t="shared" si="10"/>
        <v/>
      </c>
      <c r="Y109" s="60">
        <f t="shared" si="11"/>
        <v>0</v>
      </c>
      <c r="Z109" s="49">
        <f t="shared" si="12"/>
        <v>0</v>
      </c>
      <c r="AA109" s="60">
        <f t="shared" si="13"/>
        <v>0</v>
      </c>
    </row>
    <row r="110" spans="1:27">
      <c r="A110" s="83" t="str">
        <f t="shared" si="7"/>
        <v/>
      </c>
      <c r="B110" s="83" t="str">
        <f t="shared" si="8"/>
        <v/>
      </c>
      <c r="S110" s="83" t="str">
        <f t="shared" si="9"/>
        <v/>
      </c>
      <c r="T110" s="83" t="str">
        <f t="shared" si="10"/>
        <v/>
      </c>
      <c r="Y110" s="60">
        <f t="shared" si="11"/>
        <v>0</v>
      </c>
      <c r="Z110" s="49">
        <f t="shared" si="12"/>
        <v>0</v>
      </c>
      <c r="AA110" s="60">
        <f t="shared" si="13"/>
        <v>0</v>
      </c>
    </row>
    <row r="111" spans="1:27">
      <c r="A111" s="83" t="str">
        <f t="shared" si="7"/>
        <v/>
      </c>
      <c r="B111" s="83" t="str">
        <f t="shared" si="8"/>
        <v/>
      </c>
      <c r="S111" s="83" t="str">
        <f t="shared" si="9"/>
        <v/>
      </c>
      <c r="T111" s="83" t="str">
        <f t="shared" si="10"/>
        <v/>
      </c>
      <c r="Y111" s="60">
        <f t="shared" si="11"/>
        <v>0</v>
      </c>
      <c r="Z111" s="49">
        <f t="shared" si="12"/>
        <v>0</v>
      </c>
      <c r="AA111" s="60">
        <f t="shared" si="13"/>
        <v>0</v>
      </c>
    </row>
    <row r="112" spans="1:27">
      <c r="A112" s="83" t="str">
        <f t="shared" si="7"/>
        <v/>
      </c>
      <c r="B112" s="83" t="str">
        <f t="shared" si="8"/>
        <v/>
      </c>
      <c r="S112" s="83" t="str">
        <f t="shared" si="9"/>
        <v/>
      </c>
      <c r="T112" s="83" t="str">
        <f t="shared" si="10"/>
        <v/>
      </c>
      <c r="Y112" s="60">
        <f t="shared" si="11"/>
        <v>0</v>
      </c>
      <c r="Z112" s="49">
        <f t="shared" si="12"/>
        <v>0</v>
      </c>
      <c r="AA112" s="60">
        <f t="shared" si="13"/>
        <v>0</v>
      </c>
    </row>
    <row r="113" spans="1:27">
      <c r="A113" s="83" t="str">
        <f t="shared" si="7"/>
        <v/>
      </c>
      <c r="B113" s="83" t="str">
        <f t="shared" si="8"/>
        <v/>
      </c>
      <c r="S113" s="83" t="str">
        <f t="shared" si="9"/>
        <v/>
      </c>
      <c r="T113" s="83" t="str">
        <f t="shared" si="10"/>
        <v/>
      </c>
      <c r="Y113" s="60">
        <f t="shared" si="11"/>
        <v>0</v>
      </c>
      <c r="Z113" s="49">
        <f t="shared" si="12"/>
        <v>0</v>
      </c>
      <c r="AA113" s="60">
        <f t="shared" si="13"/>
        <v>0</v>
      </c>
    </row>
    <row r="114" spans="1:27">
      <c r="A114" s="83" t="str">
        <f t="shared" si="7"/>
        <v/>
      </c>
      <c r="B114" s="83" t="str">
        <f t="shared" si="8"/>
        <v/>
      </c>
      <c r="S114" s="83" t="str">
        <f t="shared" si="9"/>
        <v/>
      </c>
      <c r="T114" s="83" t="str">
        <f t="shared" si="10"/>
        <v/>
      </c>
      <c r="Y114" s="60">
        <f t="shared" si="11"/>
        <v>0</v>
      </c>
      <c r="Z114" s="49">
        <f t="shared" si="12"/>
        <v>0</v>
      </c>
      <c r="AA114" s="60">
        <f t="shared" si="13"/>
        <v>0</v>
      </c>
    </row>
    <row r="115" spans="1:27">
      <c r="A115" s="83" t="str">
        <f t="shared" si="7"/>
        <v/>
      </c>
      <c r="B115" s="83" t="str">
        <f t="shared" si="8"/>
        <v/>
      </c>
      <c r="S115" s="83" t="str">
        <f t="shared" si="9"/>
        <v/>
      </c>
      <c r="T115" s="83" t="str">
        <f t="shared" si="10"/>
        <v/>
      </c>
      <c r="Y115" s="60">
        <f t="shared" si="11"/>
        <v>0</v>
      </c>
      <c r="Z115" s="49">
        <f t="shared" si="12"/>
        <v>0</v>
      </c>
      <c r="AA115" s="60">
        <f t="shared" si="13"/>
        <v>0</v>
      </c>
    </row>
    <row r="116" spans="1:27">
      <c r="A116" s="83" t="str">
        <f t="shared" si="7"/>
        <v/>
      </c>
      <c r="B116" s="83" t="str">
        <f t="shared" si="8"/>
        <v/>
      </c>
      <c r="S116" s="83" t="str">
        <f t="shared" si="9"/>
        <v/>
      </c>
      <c r="T116" s="83" t="str">
        <f t="shared" si="10"/>
        <v/>
      </c>
      <c r="Y116" s="60">
        <f t="shared" si="11"/>
        <v>0</v>
      </c>
      <c r="Z116" s="49">
        <f t="shared" si="12"/>
        <v>0</v>
      </c>
      <c r="AA116" s="60">
        <f t="shared" si="13"/>
        <v>0</v>
      </c>
    </row>
    <row r="117" spans="1:27">
      <c r="A117" s="83" t="str">
        <f t="shared" si="7"/>
        <v/>
      </c>
      <c r="B117" s="83" t="str">
        <f t="shared" si="8"/>
        <v/>
      </c>
      <c r="S117" s="83" t="str">
        <f t="shared" si="9"/>
        <v/>
      </c>
      <c r="T117" s="83" t="str">
        <f t="shared" si="10"/>
        <v/>
      </c>
      <c r="Y117" s="60">
        <f t="shared" si="11"/>
        <v>0</v>
      </c>
      <c r="Z117" s="49">
        <f t="shared" si="12"/>
        <v>0</v>
      </c>
      <c r="AA117" s="60">
        <f t="shared" si="13"/>
        <v>0</v>
      </c>
    </row>
    <row r="118" spans="1:27">
      <c r="A118" s="83" t="str">
        <f t="shared" si="7"/>
        <v/>
      </c>
      <c r="B118" s="83" t="str">
        <f t="shared" si="8"/>
        <v/>
      </c>
      <c r="S118" s="83" t="str">
        <f t="shared" si="9"/>
        <v/>
      </c>
      <c r="T118" s="83" t="str">
        <f t="shared" si="10"/>
        <v/>
      </c>
      <c r="Y118" s="60">
        <f t="shared" si="11"/>
        <v>0</v>
      </c>
      <c r="Z118" s="49">
        <f t="shared" si="12"/>
        <v>0</v>
      </c>
      <c r="AA118" s="60">
        <f t="shared" si="13"/>
        <v>0</v>
      </c>
    </row>
    <row r="119" spans="1:27">
      <c r="A119" s="83" t="str">
        <f t="shared" si="7"/>
        <v/>
      </c>
      <c r="B119" s="83" t="str">
        <f t="shared" si="8"/>
        <v/>
      </c>
      <c r="S119" s="83" t="str">
        <f t="shared" si="9"/>
        <v/>
      </c>
      <c r="T119" s="83" t="str">
        <f t="shared" si="10"/>
        <v/>
      </c>
      <c r="Y119" s="60">
        <f t="shared" si="11"/>
        <v>0</v>
      </c>
      <c r="Z119" s="49">
        <f t="shared" si="12"/>
        <v>0</v>
      </c>
      <c r="AA119" s="60">
        <f t="shared" si="13"/>
        <v>0</v>
      </c>
    </row>
    <row r="120" spans="1:27">
      <c r="A120" s="83" t="str">
        <f t="shared" si="7"/>
        <v/>
      </c>
      <c r="B120" s="83" t="str">
        <f t="shared" si="8"/>
        <v/>
      </c>
      <c r="S120" s="83" t="str">
        <f t="shared" si="9"/>
        <v/>
      </c>
      <c r="T120" s="83" t="str">
        <f t="shared" si="10"/>
        <v/>
      </c>
      <c r="Y120" s="60">
        <f t="shared" si="11"/>
        <v>0</v>
      </c>
      <c r="Z120" s="49">
        <f t="shared" si="12"/>
        <v>0</v>
      </c>
      <c r="AA120" s="60">
        <f t="shared" si="13"/>
        <v>0</v>
      </c>
    </row>
    <row r="121" spans="1:27">
      <c r="A121" s="83" t="str">
        <f t="shared" si="7"/>
        <v/>
      </c>
      <c r="B121" s="83" t="str">
        <f t="shared" si="8"/>
        <v/>
      </c>
      <c r="S121" s="83" t="str">
        <f t="shared" si="9"/>
        <v/>
      </c>
      <c r="T121" s="83" t="str">
        <f t="shared" si="10"/>
        <v/>
      </c>
      <c r="Y121" s="60">
        <f t="shared" si="11"/>
        <v>0</v>
      </c>
      <c r="Z121" s="49">
        <f t="shared" si="12"/>
        <v>0</v>
      </c>
      <c r="AA121" s="60">
        <f t="shared" si="13"/>
        <v>0</v>
      </c>
    </row>
    <row r="122" spans="1:27">
      <c r="A122" s="83" t="str">
        <f t="shared" si="7"/>
        <v/>
      </c>
      <c r="B122" s="83" t="str">
        <f t="shared" si="8"/>
        <v/>
      </c>
      <c r="S122" s="83" t="str">
        <f t="shared" si="9"/>
        <v/>
      </c>
      <c r="T122" s="83" t="str">
        <f t="shared" si="10"/>
        <v/>
      </c>
      <c r="Y122" s="60">
        <f t="shared" si="11"/>
        <v>0</v>
      </c>
      <c r="Z122" s="49">
        <f t="shared" si="12"/>
        <v>0</v>
      </c>
      <c r="AA122" s="60">
        <f t="shared" si="13"/>
        <v>0</v>
      </c>
    </row>
    <row r="123" spans="1:27">
      <c r="A123" s="83" t="str">
        <f t="shared" si="7"/>
        <v/>
      </c>
      <c r="B123" s="83" t="str">
        <f t="shared" si="8"/>
        <v/>
      </c>
      <c r="S123" s="83" t="str">
        <f t="shared" si="9"/>
        <v/>
      </c>
      <c r="T123" s="83" t="str">
        <f t="shared" si="10"/>
        <v/>
      </c>
      <c r="Y123" s="60">
        <f t="shared" si="11"/>
        <v>0</v>
      </c>
      <c r="Z123" s="49">
        <f t="shared" si="12"/>
        <v>0</v>
      </c>
      <c r="AA123" s="60">
        <f t="shared" si="13"/>
        <v>0</v>
      </c>
    </row>
    <row r="124" spans="1:27">
      <c r="A124" s="83" t="str">
        <f t="shared" si="7"/>
        <v/>
      </c>
      <c r="B124" s="83" t="str">
        <f t="shared" si="8"/>
        <v/>
      </c>
      <c r="S124" s="83" t="str">
        <f t="shared" si="9"/>
        <v/>
      </c>
      <c r="T124" s="83" t="str">
        <f t="shared" si="10"/>
        <v/>
      </c>
      <c r="Y124" s="60">
        <f t="shared" si="11"/>
        <v>0</v>
      </c>
      <c r="Z124" s="49">
        <f t="shared" si="12"/>
        <v>0</v>
      </c>
      <c r="AA124" s="60">
        <f t="shared" si="13"/>
        <v>0</v>
      </c>
    </row>
    <row r="125" spans="1:27">
      <c r="A125" s="83" t="str">
        <f t="shared" si="7"/>
        <v/>
      </c>
      <c r="B125" s="83" t="str">
        <f t="shared" si="8"/>
        <v/>
      </c>
      <c r="S125" s="83" t="str">
        <f t="shared" si="9"/>
        <v/>
      </c>
      <c r="T125" s="83" t="str">
        <f t="shared" si="10"/>
        <v/>
      </c>
      <c r="Y125" s="60">
        <f t="shared" si="11"/>
        <v>0</v>
      </c>
      <c r="Z125" s="49">
        <f t="shared" si="12"/>
        <v>0</v>
      </c>
      <c r="AA125" s="60">
        <f t="shared" si="13"/>
        <v>0</v>
      </c>
    </row>
    <row r="126" spans="1:27">
      <c r="A126" s="83" t="str">
        <f t="shared" si="7"/>
        <v/>
      </c>
      <c r="B126" s="83" t="str">
        <f t="shared" si="8"/>
        <v/>
      </c>
      <c r="S126" s="83" t="str">
        <f t="shared" si="9"/>
        <v/>
      </c>
      <c r="T126" s="83" t="str">
        <f t="shared" si="10"/>
        <v/>
      </c>
      <c r="Y126" s="60">
        <f t="shared" si="11"/>
        <v>0</v>
      </c>
      <c r="Z126" s="49">
        <f t="shared" si="12"/>
        <v>0</v>
      </c>
      <c r="AA126" s="60">
        <f t="shared" si="13"/>
        <v>0</v>
      </c>
    </row>
    <row r="127" spans="1:27">
      <c r="A127" s="83" t="str">
        <f t="shared" si="7"/>
        <v/>
      </c>
      <c r="B127" s="83" t="str">
        <f t="shared" si="8"/>
        <v/>
      </c>
      <c r="S127" s="83" t="str">
        <f t="shared" si="9"/>
        <v/>
      </c>
      <c r="T127" s="83" t="str">
        <f t="shared" si="10"/>
        <v/>
      </c>
      <c r="Y127" s="60">
        <f t="shared" si="11"/>
        <v>0</v>
      </c>
      <c r="Z127" s="49">
        <f t="shared" si="12"/>
        <v>0</v>
      </c>
      <c r="AA127" s="60">
        <f t="shared" si="13"/>
        <v>0</v>
      </c>
    </row>
    <row r="128" spans="1:27">
      <c r="A128" s="83" t="str">
        <f t="shared" si="7"/>
        <v/>
      </c>
      <c r="B128" s="83" t="str">
        <f t="shared" si="8"/>
        <v/>
      </c>
      <c r="S128" s="83" t="str">
        <f t="shared" si="9"/>
        <v/>
      </c>
      <c r="T128" s="83" t="str">
        <f t="shared" si="10"/>
        <v/>
      </c>
      <c r="Y128" s="60">
        <f t="shared" si="11"/>
        <v>0</v>
      </c>
      <c r="Z128" s="49">
        <f t="shared" si="12"/>
        <v>0</v>
      </c>
      <c r="AA128" s="60">
        <f t="shared" si="13"/>
        <v>0</v>
      </c>
    </row>
    <row r="129" spans="1:27">
      <c r="A129" s="83" t="str">
        <f t="shared" si="7"/>
        <v/>
      </c>
      <c r="B129" s="83" t="str">
        <f t="shared" si="8"/>
        <v/>
      </c>
      <c r="S129" s="83" t="str">
        <f t="shared" si="9"/>
        <v/>
      </c>
      <c r="T129" s="83" t="str">
        <f t="shared" si="10"/>
        <v/>
      </c>
      <c r="Y129" s="60">
        <f t="shared" si="11"/>
        <v>0</v>
      </c>
      <c r="Z129" s="49">
        <f t="shared" si="12"/>
        <v>0</v>
      </c>
      <c r="AA129" s="60">
        <f t="shared" si="13"/>
        <v>0</v>
      </c>
    </row>
    <row r="130" spans="1:27">
      <c r="A130" s="83" t="str">
        <f t="shared" si="7"/>
        <v/>
      </c>
      <c r="B130" s="83" t="str">
        <f t="shared" si="8"/>
        <v/>
      </c>
      <c r="S130" s="83" t="str">
        <f t="shared" si="9"/>
        <v/>
      </c>
      <c r="T130" s="83" t="str">
        <f t="shared" si="10"/>
        <v/>
      </c>
      <c r="Y130" s="60">
        <f t="shared" si="11"/>
        <v>0</v>
      </c>
      <c r="Z130" s="49">
        <f t="shared" si="12"/>
        <v>0</v>
      </c>
      <c r="AA130" s="60">
        <f t="shared" si="13"/>
        <v>0</v>
      </c>
    </row>
    <row r="131" spans="1:27">
      <c r="A131" s="83" t="str">
        <f t="shared" ref="A131:A194" si="14">IF(G131&amp;Q131&lt;&gt;"",S131&amp;Q131,"")</f>
        <v/>
      </c>
      <c r="B131" s="83" t="str">
        <f t="shared" ref="B131:B194" si="15">IF(C131&lt;&gt;"",LEFT(C131,9),"")</f>
        <v/>
      </c>
      <c r="S131" s="83" t="str">
        <f t="shared" ref="S131:S194" si="16">IF(G131&lt;&gt;"",IF(StyleSpaceSplit,IFERROR(IF(FIND(" ",G131)&gt;=1,MID(G131,1,FIND(" ",G131)-1),G131),G131),G131),"")</f>
        <v/>
      </c>
      <c r="T131" s="83" t="str">
        <f t="shared" ref="T131:T194" si="17">IF(A131&lt;&gt;"",IFERROR(IF(FIND(" ",G131)&gt;=1,MID(G131,FIND(" ",G131)+1,LEN(G131)),""),G131),"")</f>
        <v/>
      </c>
      <c r="Y131" s="60">
        <f t="shared" ref="Y131:Y194" si="18">IFERROR(VALUE(MID($C131,1,2)),0)</f>
        <v>0</v>
      </c>
      <c r="Z131" s="49">
        <f t="shared" ref="Z131:Z194" si="19">IFERROR(VALUE(MID($C131,4,3)),0)</f>
        <v>0</v>
      </c>
      <c r="AA131" s="60">
        <f t="shared" ref="AA131:AA194" si="20">VALUE(RIGHT("00"&amp;Y131,2)&amp;RIGHT("000"&amp;Z131,3))</f>
        <v>0</v>
      </c>
    </row>
    <row r="132" spans="1:27">
      <c r="A132" s="83" t="str">
        <f t="shared" si="14"/>
        <v/>
      </c>
      <c r="B132" s="83" t="str">
        <f t="shared" si="15"/>
        <v/>
      </c>
      <c r="S132" s="83" t="str">
        <f t="shared" si="16"/>
        <v/>
      </c>
      <c r="T132" s="83" t="str">
        <f t="shared" si="17"/>
        <v/>
      </c>
      <c r="Y132" s="60">
        <f t="shared" si="18"/>
        <v>0</v>
      </c>
      <c r="Z132" s="49">
        <f t="shared" si="19"/>
        <v>0</v>
      </c>
      <c r="AA132" s="60">
        <f t="shared" si="20"/>
        <v>0</v>
      </c>
    </row>
    <row r="133" spans="1:27">
      <c r="A133" s="83" t="str">
        <f t="shared" si="14"/>
        <v/>
      </c>
      <c r="B133" s="83" t="str">
        <f t="shared" si="15"/>
        <v/>
      </c>
      <c r="S133" s="83" t="str">
        <f t="shared" si="16"/>
        <v/>
      </c>
      <c r="T133" s="83" t="str">
        <f t="shared" si="17"/>
        <v/>
      </c>
      <c r="Y133" s="60">
        <f t="shared" si="18"/>
        <v>0</v>
      </c>
      <c r="Z133" s="49">
        <f t="shared" si="19"/>
        <v>0</v>
      </c>
      <c r="AA133" s="60">
        <f t="shared" si="20"/>
        <v>0</v>
      </c>
    </row>
    <row r="134" spans="1:27">
      <c r="A134" s="83" t="str">
        <f t="shared" si="14"/>
        <v/>
      </c>
      <c r="B134" s="83" t="str">
        <f t="shared" si="15"/>
        <v/>
      </c>
      <c r="S134" s="83" t="str">
        <f t="shared" si="16"/>
        <v/>
      </c>
      <c r="T134" s="83" t="str">
        <f t="shared" si="17"/>
        <v/>
      </c>
      <c r="Y134" s="60">
        <f t="shared" si="18"/>
        <v>0</v>
      </c>
      <c r="Z134" s="49">
        <f t="shared" si="19"/>
        <v>0</v>
      </c>
      <c r="AA134" s="60">
        <f t="shared" si="20"/>
        <v>0</v>
      </c>
    </row>
    <row r="135" spans="1:27">
      <c r="A135" s="83" t="str">
        <f t="shared" si="14"/>
        <v/>
      </c>
      <c r="B135" s="83" t="str">
        <f t="shared" si="15"/>
        <v/>
      </c>
      <c r="S135" s="83" t="str">
        <f t="shared" si="16"/>
        <v/>
      </c>
      <c r="T135" s="83" t="str">
        <f t="shared" si="17"/>
        <v/>
      </c>
      <c r="Y135" s="60">
        <f t="shared" si="18"/>
        <v>0</v>
      </c>
      <c r="Z135" s="49">
        <f t="shared" si="19"/>
        <v>0</v>
      </c>
      <c r="AA135" s="60">
        <f t="shared" si="20"/>
        <v>0</v>
      </c>
    </row>
    <row r="136" spans="1:27">
      <c r="A136" s="83" t="str">
        <f t="shared" si="14"/>
        <v/>
      </c>
      <c r="B136" s="83" t="str">
        <f t="shared" si="15"/>
        <v/>
      </c>
      <c r="S136" s="83" t="str">
        <f t="shared" si="16"/>
        <v/>
      </c>
      <c r="T136" s="83" t="str">
        <f t="shared" si="17"/>
        <v/>
      </c>
      <c r="Y136" s="60">
        <f t="shared" si="18"/>
        <v>0</v>
      </c>
      <c r="Z136" s="49">
        <f t="shared" si="19"/>
        <v>0</v>
      </c>
      <c r="AA136" s="60">
        <f t="shared" si="20"/>
        <v>0</v>
      </c>
    </row>
    <row r="137" spans="1:27">
      <c r="A137" s="83" t="str">
        <f t="shared" si="14"/>
        <v/>
      </c>
      <c r="B137" s="83" t="str">
        <f t="shared" si="15"/>
        <v/>
      </c>
      <c r="S137" s="83" t="str">
        <f t="shared" si="16"/>
        <v/>
      </c>
      <c r="T137" s="83" t="str">
        <f t="shared" si="17"/>
        <v/>
      </c>
      <c r="Y137" s="60">
        <f t="shared" si="18"/>
        <v>0</v>
      </c>
      <c r="Z137" s="49">
        <f t="shared" si="19"/>
        <v>0</v>
      </c>
      <c r="AA137" s="60">
        <f t="shared" si="20"/>
        <v>0</v>
      </c>
    </row>
    <row r="138" spans="1:27">
      <c r="A138" s="83" t="str">
        <f t="shared" si="14"/>
        <v/>
      </c>
      <c r="B138" s="83" t="str">
        <f t="shared" si="15"/>
        <v/>
      </c>
      <c r="S138" s="83" t="str">
        <f t="shared" si="16"/>
        <v/>
      </c>
      <c r="T138" s="83" t="str">
        <f t="shared" si="17"/>
        <v/>
      </c>
      <c r="Y138" s="60">
        <f t="shared" si="18"/>
        <v>0</v>
      </c>
      <c r="Z138" s="49">
        <f t="shared" si="19"/>
        <v>0</v>
      </c>
      <c r="AA138" s="60">
        <f t="shared" si="20"/>
        <v>0</v>
      </c>
    </row>
    <row r="139" spans="1:27">
      <c r="A139" s="83" t="str">
        <f t="shared" si="14"/>
        <v/>
      </c>
      <c r="B139" s="83" t="str">
        <f t="shared" si="15"/>
        <v/>
      </c>
      <c r="S139" s="83" t="str">
        <f t="shared" si="16"/>
        <v/>
      </c>
      <c r="T139" s="83" t="str">
        <f t="shared" si="17"/>
        <v/>
      </c>
      <c r="Y139" s="60">
        <f t="shared" si="18"/>
        <v>0</v>
      </c>
      <c r="Z139" s="49">
        <f t="shared" si="19"/>
        <v>0</v>
      </c>
      <c r="AA139" s="60">
        <f t="shared" si="20"/>
        <v>0</v>
      </c>
    </row>
    <row r="140" spans="1:27">
      <c r="A140" s="83" t="str">
        <f t="shared" si="14"/>
        <v/>
      </c>
      <c r="B140" s="83" t="str">
        <f t="shared" si="15"/>
        <v/>
      </c>
      <c r="S140" s="83" t="str">
        <f t="shared" si="16"/>
        <v/>
      </c>
      <c r="T140" s="83" t="str">
        <f t="shared" si="17"/>
        <v/>
      </c>
      <c r="Y140" s="60">
        <f t="shared" si="18"/>
        <v>0</v>
      </c>
      <c r="Z140" s="49">
        <f t="shared" si="19"/>
        <v>0</v>
      </c>
      <c r="AA140" s="60">
        <f t="shared" si="20"/>
        <v>0</v>
      </c>
    </row>
    <row r="141" spans="1:27">
      <c r="A141" s="83" t="str">
        <f t="shared" si="14"/>
        <v/>
      </c>
      <c r="B141" s="83" t="str">
        <f t="shared" si="15"/>
        <v/>
      </c>
      <c r="S141" s="83" t="str">
        <f t="shared" si="16"/>
        <v/>
      </c>
      <c r="T141" s="83" t="str">
        <f t="shared" si="17"/>
        <v/>
      </c>
      <c r="Y141" s="60">
        <f t="shared" si="18"/>
        <v>0</v>
      </c>
      <c r="Z141" s="49">
        <f t="shared" si="19"/>
        <v>0</v>
      </c>
      <c r="AA141" s="60">
        <f t="shared" si="20"/>
        <v>0</v>
      </c>
    </row>
    <row r="142" spans="1:27">
      <c r="A142" s="83" t="str">
        <f t="shared" si="14"/>
        <v/>
      </c>
      <c r="B142" s="83" t="str">
        <f t="shared" si="15"/>
        <v/>
      </c>
      <c r="S142" s="83" t="str">
        <f t="shared" si="16"/>
        <v/>
      </c>
      <c r="T142" s="83" t="str">
        <f t="shared" si="17"/>
        <v/>
      </c>
      <c r="Y142" s="60">
        <f t="shared" si="18"/>
        <v>0</v>
      </c>
      <c r="Z142" s="49">
        <f t="shared" si="19"/>
        <v>0</v>
      </c>
      <c r="AA142" s="60">
        <f t="shared" si="20"/>
        <v>0</v>
      </c>
    </row>
    <row r="143" spans="1:27">
      <c r="A143" s="83" t="str">
        <f t="shared" si="14"/>
        <v/>
      </c>
      <c r="B143" s="83" t="str">
        <f t="shared" si="15"/>
        <v/>
      </c>
      <c r="S143" s="83" t="str">
        <f t="shared" si="16"/>
        <v/>
      </c>
      <c r="T143" s="83" t="str">
        <f t="shared" si="17"/>
        <v/>
      </c>
      <c r="Y143" s="60">
        <f t="shared" si="18"/>
        <v>0</v>
      </c>
      <c r="Z143" s="49">
        <f t="shared" si="19"/>
        <v>0</v>
      </c>
      <c r="AA143" s="60">
        <f t="shared" si="20"/>
        <v>0</v>
      </c>
    </row>
    <row r="144" spans="1:27">
      <c r="A144" s="83" t="str">
        <f t="shared" si="14"/>
        <v/>
      </c>
      <c r="B144" s="83" t="str">
        <f t="shared" si="15"/>
        <v/>
      </c>
      <c r="S144" s="83" t="str">
        <f t="shared" si="16"/>
        <v/>
      </c>
      <c r="T144" s="83" t="str">
        <f t="shared" si="17"/>
        <v/>
      </c>
      <c r="Y144" s="60">
        <f t="shared" si="18"/>
        <v>0</v>
      </c>
      <c r="Z144" s="49">
        <f t="shared" si="19"/>
        <v>0</v>
      </c>
      <c r="AA144" s="60">
        <f t="shared" si="20"/>
        <v>0</v>
      </c>
    </row>
    <row r="145" spans="1:27">
      <c r="A145" s="83" t="str">
        <f t="shared" si="14"/>
        <v/>
      </c>
      <c r="B145" s="83" t="str">
        <f t="shared" si="15"/>
        <v/>
      </c>
      <c r="S145" s="83" t="str">
        <f t="shared" si="16"/>
        <v/>
      </c>
      <c r="T145" s="83" t="str">
        <f t="shared" si="17"/>
        <v/>
      </c>
      <c r="Y145" s="60">
        <f t="shared" si="18"/>
        <v>0</v>
      </c>
      <c r="Z145" s="49">
        <f t="shared" si="19"/>
        <v>0</v>
      </c>
      <c r="AA145" s="60">
        <f t="shared" si="20"/>
        <v>0</v>
      </c>
    </row>
    <row r="146" spans="1:27">
      <c r="A146" s="83" t="str">
        <f t="shared" si="14"/>
        <v/>
      </c>
      <c r="B146" s="83" t="str">
        <f t="shared" si="15"/>
        <v/>
      </c>
      <c r="S146" s="83" t="str">
        <f t="shared" si="16"/>
        <v/>
      </c>
      <c r="T146" s="83" t="str">
        <f t="shared" si="17"/>
        <v/>
      </c>
      <c r="Y146" s="60">
        <f t="shared" si="18"/>
        <v>0</v>
      </c>
      <c r="Z146" s="49">
        <f t="shared" si="19"/>
        <v>0</v>
      </c>
      <c r="AA146" s="60">
        <f t="shared" si="20"/>
        <v>0</v>
      </c>
    </row>
    <row r="147" spans="1:27">
      <c r="A147" s="83" t="str">
        <f t="shared" si="14"/>
        <v/>
      </c>
      <c r="B147" s="83" t="str">
        <f t="shared" si="15"/>
        <v/>
      </c>
      <c r="S147" s="83" t="str">
        <f t="shared" si="16"/>
        <v/>
      </c>
      <c r="T147" s="83" t="str">
        <f t="shared" si="17"/>
        <v/>
      </c>
      <c r="Y147" s="60">
        <f t="shared" si="18"/>
        <v>0</v>
      </c>
      <c r="Z147" s="49">
        <f t="shared" si="19"/>
        <v>0</v>
      </c>
      <c r="AA147" s="60">
        <f t="shared" si="20"/>
        <v>0</v>
      </c>
    </row>
    <row r="148" spans="1:27">
      <c r="A148" s="83" t="str">
        <f t="shared" si="14"/>
        <v/>
      </c>
      <c r="B148" s="83" t="str">
        <f t="shared" si="15"/>
        <v/>
      </c>
      <c r="S148" s="83" t="str">
        <f t="shared" si="16"/>
        <v/>
      </c>
      <c r="T148" s="83" t="str">
        <f t="shared" si="17"/>
        <v/>
      </c>
      <c r="Y148" s="60">
        <f t="shared" si="18"/>
        <v>0</v>
      </c>
      <c r="Z148" s="49">
        <f t="shared" si="19"/>
        <v>0</v>
      </c>
      <c r="AA148" s="60">
        <f t="shared" si="20"/>
        <v>0</v>
      </c>
    </row>
    <row r="149" spans="1:27">
      <c r="A149" s="83" t="str">
        <f t="shared" si="14"/>
        <v/>
      </c>
      <c r="B149" s="83" t="str">
        <f t="shared" si="15"/>
        <v/>
      </c>
      <c r="S149" s="83" t="str">
        <f t="shared" si="16"/>
        <v/>
      </c>
      <c r="T149" s="83" t="str">
        <f t="shared" si="17"/>
        <v/>
      </c>
      <c r="Y149" s="60">
        <f t="shared" si="18"/>
        <v>0</v>
      </c>
      <c r="Z149" s="49">
        <f t="shared" si="19"/>
        <v>0</v>
      </c>
      <c r="AA149" s="60">
        <f t="shared" si="20"/>
        <v>0</v>
      </c>
    </row>
    <row r="150" spans="1:27">
      <c r="A150" s="83" t="str">
        <f t="shared" si="14"/>
        <v/>
      </c>
      <c r="B150" s="83" t="str">
        <f t="shared" si="15"/>
        <v/>
      </c>
      <c r="S150" s="83" t="str">
        <f t="shared" si="16"/>
        <v/>
      </c>
      <c r="T150" s="83" t="str">
        <f t="shared" si="17"/>
        <v/>
      </c>
      <c r="Y150" s="60">
        <f t="shared" si="18"/>
        <v>0</v>
      </c>
      <c r="Z150" s="49">
        <f t="shared" si="19"/>
        <v>0</v>
      </c>
      <c r="AA150" s="60">
        <f t="shared" si="20"/>
        <v>0</v>
      </c>
    </row>
    <row r="151" spans="1:27">
      <c r="A151" s="83" t="str">
        <f t="shared" si="14"/>
        <v/>
      </c>
      <c r="B151" s="83" t="str">
        <f t="shared" si="15"/>
        <v/>
      </c>
      <c r="S151" s="83" t="str">
        <f t="shared" si="16"/>
        <v/>
      </c>
      <c r="T151" s="83" t="str">
        <f t="shared" si="17"/>
        <v/>
      </c>
      <c r="Y151" s="60">
        <f t="shared" si="18"/>
        <v>0</v>
      </c>
      <c r="Z151" s="49">
        <f t="shared" si="19"/>
        <v>0</v>
      </c>
      <c r="AA151" s="60">
        <f t="shared" si="20"/>
        <v>0</v>
      </c>
    </row>
    <row r="152" spans="1:27">
      <c r="A152" s="83" t="str">
        <f t="shared" si="14"/>
        <v/>
      </c>
      <c r="B152" s="83" t="str">
        <f t="shared" si="15"/>
        <v/>
      </c>
      <c r="S152" s="83" t="str">
        <f t="shared" si="16"/>
        <v/>
      </c>
      <c r="T152" s="83" t="str">
        <f t="shared" si="17"/>
        <v/>
      </c>
      <c r="Y152" s="60">
        <f t="shared" si="18"/>
        <v>0</v>
      </c>
      <c r="Z152" s="49">
        <f t="shared" si="19"/>
        <v>0</v>
      </c>
      <c r="AA152" s="60">
        <f t="shared" si="20"/>
        <v>0</v>
      </c>
    </row>
    <row r="153" spans="1:27">
      <c r="A153" s="83" t="str">
        <f t="shared" si="14"/>
        <v/>
      </c>
      <c r="B153" s="83" t="str">
        <f t="shared" si="15"/>
        <v/>
      </c>
      <c r="S153" s="83" t="str">
        <f t="shared" si="16"/>
        <v/>
      </c>
      <c r="T153" s="83" t="str">
        <f t="shared" si="17"/>
        <v/>
      </c>
      <c r="Y153" s="60">
        <f t="shared" si="18"/>
        <v>0</v>
      </c>
      <c r="Z153" s="49">
        <f t="shared" si="19"/>
        <v>0</v>
      </c>
      <c r="AA153" s="60">
        <f t="shared" si="20"/>
        <v>0</v>
      </c>
    </row>
    <row r="154" spans="1:27">
      <c r="A154" s="83" t="str">
        <f t="shared" si="14"/>
        <v/>
      </c>
      <c r="B154" s="83" t="str">
        <f t="shared" si="15"/>
        <v/>
      </c>
      <c r="S154" s="83" t="str">
        <f t="shared" si="16"/>
        <v/>
      </c>
      <c r="T154" s="83" t="str">
        <f t="shared" si="17"/>
        <v/>
      </c>
      <c r="Y154" s="60">
        <f t="shared" si="18"/>
        <v>0</v>
      </c>
      <c r="Z154" s="49">
        <f t="shared" si="19"/>
        <v>0</v>
      </c>
      <c r="AA154" s="60">
        <f t="shared" si="20"/>
        <v>0</v>
      </c>
    </row>
    <row r="155" spans="1:27">
      <c r="A155" s="83" t="str">
        <f t="shared" si="14"/>
        <v/>
      </c>
      <c r="B155" s="83" t="str">
        <f t="shared" si="15"/>
        <v/>
      </c>
      <c r="S155" s="83" t="str">
        <f t="shared" si="16"/>
        <v/>
      </c>
      <c r="T155" s="83" t="str">
        <f t="shared" si="17"/>
        <v/>
      </c>
      <c r="Y155" s="60">
        <f t="shared" si="18"/>
        <v>0</v>
      </c>
      <c r="Z155" s="49">
        <f t="shared" si="19"/>
        <v>0</v>
      </c>
      <c r="AA155" s="60">
        <f t="shared" si="20"/>
        <v>0</v>
      </c>
    </row>
    <row r="156" spans="1:27">
      <c r="A156" s="83" t="str">
        <f t="shared" si="14"/>
        <v/>
      </c>
      <c r="B156" s="83" t="str">
        <f t="shared" si="15"/>
        <v/>
      </c>
      <c r="S156" s="83" t="str">
        <f t="shared" si="16"/>
        <v/>
      </c>
      <c r="T156" s="83" t="str">
        <f t="shared" si="17"/>
        <v/>
      </c>
      <c r="Y156" s="60">
        <f t="shared" si="18"/>
        <v>0</v>
      </c>
      <c r="Z156" s="49">
        <f t="shared" si="19"/>
        <v>0</v>
      </c>
      <c r="AA156" s="60">
        <f t="shared" si="20"/>
        <v>0</v>
      </c>
    </row>
    <row r="157" spans="1:27">
      <c r="A157" s="83" t="str">
        <f t="shared" si="14"/>
        <v/>
      </c>
      <c r="B157" s="83" t="str">
        <f t="shared" si="15"/>
        <v/>
      </c>
      <c r="S157" s="83" t="str">
        <f t="shared" si="16"/>
        <v/>
      </c>
      <c r="T157" s="83" t="str">
        <f t="shared" si="17"/>
        <v/>
      </c>
      <c r="Y157" s="60">
        <f t="shared" si="18"/>
        <v>0</v>
      </c>
      <c r="Z157" s="49">
        <f t="shared" si="19"/>
        <v>0</v>
      </c>
      <c r="AA157" s="60">
        <f t="shared" si="20"/>
        <v>0</v>
      </c>
    </row>
    <row r="158" spans="1:27">
      <c r="A158" s="83" t="str">
        <f t="shared" si="14"/>
        <v/>
      </c>
      <c r="B158" s="83" t="str">
        <f t="shared" si="15"/>
        <v/>
      </c>
      <c r="S158" s="83" t="str">
        <f t="shared" si="16"/>
        <v/>
      </c>
      <c r="T158" s="83" t="str">
        <f t="shared" si="17"/>
        <v/>
      </c>
      <c r="Y158" s="60">
        <f t="shared" si="18"/>
        <v>0</v>
      </c>
      <c r="Z158" s="49">
        <f t="shared" si="19"/>
        <v>0</v>
      </c>
      <c r="AA158" s="60">
        <f t="shared" si="20"/>
        <v>0</v>
      </c>
    </row>
    <row r="159" spans="1:27">
      <c r="A159" s="83" t="str">
        <f t="shared" si="14"/>
        <v/>
      </c>
      <c r="B159" s="83" t="str">
        <f t="shared" si="15"/>
        <v/>
      </c>
      <c r="S159" s="83" t="str">
        <f t="shared" si="16"/>
        <v/>
      </c>
      <c r="T159" s="83" t="str">
        <f t="shared" si="17"/>
        <v/>
      </c>
      <c r="Y159" s="60">
        <f t="shared" si="18"/>
        <v>0</v>
      </c>
      <c r="Z159" s="49">
        <f t="shared" si="19"/>
        <v>0</v>
      </c>
      <c r="AA159" s="60">
        <f t="shared" si="20"/>
        <v>0</v>
      </c>
    </row>
    <row r="160" spans="1:27">
      <c r="A160" s="83" t="str">
        <f t="shared" si="14"/>
        <v/>
      </c>
      <c r="B160" s="83" t="str">
        <f t="shared" si="15"/>
        <v/>
      </c>
      <c r="S160" s="83" t="str">
        <f t="shared" si="16"/>
        <v/>
      </c>
      <c r="T160" s="83" t="str">
        <f t="shared" si="17"/>
        <v/>
      </c>
      <c r="Y160" s="60">
        <f t="shared" si="18"/>
        <v>0</v>
      </c>
      <c r="Z160" s="49">
        <f t="shared" si="19"/>
        <v>0</v>
      </c>
      <c r="AA160" s="60">
        <f t="shared" si="20"/>
        <v>0</v>
      </c>
    </row>
    <row r="161" spans="1:27">
      <c r="A161" s="83" t="str">
        <f t="shared" si="14"/>
        <v/>
      </c>
      <c r="B161" s="83" t="str">
        <f t="shared" si="15"/>
        <v/>
      </c>
      <c r="S161" s="83" t="str">
        <f t="shared" si="16"/>
        <v/>
      </c>
      <c r="T161" s="83" t="str">
        <f t="shared" si="17"/>
        <v/>
      </c>
      <c r="Y161" s="60">
        <f t="shared" si="18"/>
        <v>0</v>
      </c>
      <c r="Z161" s="49">
        <f t="shared" si="19"/>
        <v>0</v>
      </c>
      <c r="AA161" s="60">
        <f t="shared" si="20"/>
        <v>0</v>
      </c>
    </row>
    <row r="162" spans="1:27">
      <c r="A162" s="83" t="str">
        <f t="shared" si="14"/>
        <v/>
      </c>
      <c r="B162" s="83" t="str">
        <f t="shared" si="15"/>
        <v/>
      </c>
      <c r="S162" s="83" t="str">
        <f t="shared" si="16"/>
        <v/>
      </c>
      <c r="T162" s="83" t="str">
        <f t="shared" si="17"/>
        <v/>
      </c>
      <c r="Y162" s="60">
        <f t="shared" si="18"/>
        <v>0</v>
      </c>
      <c r="Z162" s="49">
        <f t="shared" si="19"/>
        <v>0</v>
      </c>
      <c r="AA162" s="60">
        <f t="shared" si="20"/>
        <v>0</v>
      </c>
    </row>
    <row r="163" spans="1:27">
      <c r="A163" s="83" t="str">
        <f t="shared" si="14"/>
        <v/>
      </c>
      <c r="B163" s="83" t="str">
        <f t="shared" si="15"/>
        <v/>
      </c>
      <c r="S163" s="83" t="str">
        <f t="shared" si="16"/>
        <v/>
      </c>
      <c r="T163" s="83" t="str">
        <f t="shared" si="17"/>
        <v/>
      </c>
      <c r="Y163" s="60">
        <f t="shared" si="18"/>
        <v>0</v>
      </c>
      <c r="Z163" s="49">
        <f t="shared" si="19"/>
        <v>0</v>
      </c>
      <c r="AA163" s="60">
        <f t="shared" si="20"/>
        <v>0</v>
      </c>
    </row>
    <row r="164" spans="1:27">
      <c r="A164" s="83" t="str">
        <f t="shared" si="14"/>
        <v/>
      </c>
      <c r="B164" s="83" t="str">
        <f t="shared" si="15"/>
        <v/>
      </c>
      <c r="S164" s="83" t="str">
        <f t="shared" si="16"/>
        <v/>
      </c>
      <c r="T164" s="83" t="str">
        <f t="shared" si="17"/>
        <v/>
      </c>
      <c r="Y164" s="60">
        <f t="shared" si="18"/>
        <v>0</v>
      </c>
      <c r="Z164" s="49">
        <f t="shared" si="19"/>
        <v>0</v>
      </c>
      <c r="AA164" s="60">
        <f t="shared" si="20"/>
        <v>0</v>
      </c>
    </row>
    <row r="165" spans="1:27">
      <c r="A165" s="83" t="str">
        <f t="shared" si="14"/>
        <v/>
      </c>
      <c r="B165" s="83" t="str">
        <f t="shared" si="15"/>
        <v/>
      </c>
      <c r="S165" s="83" t="str">
        <f t="shared" si="16"/>
        <v/>
      </c>
      <c r="T165" s="83" t="str">
        <f t="shared" si="17"/>
        <v/>
      </c>
      <c r="Y165" s="60">
        <f t="shared" si="18"/>
        <v>0</v>
      </c>
      <c r="Z165" s="49">
        <f t="shared" si="19"/>
        <v>0</v>
      </c>
      <c r="AA165" s="60">
        <f t="shared" si="20"/>
        <v>0</v>
      </c>
    </row>
    <row r="166" spans="1:27">
      <c r="A166" s="83" t="str">
        <f t="shared" si="14"/>
        <v/>
      </c>
      <c r="B166" s="83" t="str">
        <f t="shared" si="15"/>
        <v/>
      </c>
      <c r="S166" s="83" t="str">
        <f t="shared" si="16"/>
        <v/>
      </c>
      <c r="T166" s="83" t="str">
        <f t="shared" si="17"/>
        <v/>
      </c>
      <c r="Y166" s="60">
        <f t="shared" si="18"/>
        <v>0</v>
      </c>
      <c r="Z166" s="49">
        <f t="shared" si="19"/>
        <v>0</v>
      </c>
      <c r="AA166" s="60">
        <f t="shared" si="20"/>
        <v>0</v>
      </c>
    </row>
    <row r="167" spans="1:27">
      <c r="A167" s="83" t="str">
        <f t="shared" si="14"/>
        <v/>
      </c>
      <c r="B167" s="83" t="str">
        <f t="shared" si="15"/>
        <v/>
      </c>
      <c r="S167" s="83" t="str">
        <f t="shared" si="16"/>
        <v/>
      </c>
      <c r="T167" s="83" t="str">
        <f t="shared" si="17"/>
        <v/>
      </c>
      <c r="Y167" s="60">
        <f t="shared" si="18"/>
        <v>0</v>
      </c>
      <c r="Z167" s="49">
        <f t="shared" si="19"/>
        <v>0</v>
      </c>
      <c r="AA167" s="60">
        <f t="shared" si="20"/>
        <v>0</v>
      </c>
    </row>
    <row r="168" spans="1:27">
      <c r="A168" s="83" t="str">
        <f t="shared" si="14"/>
        <v/>
      </c>
      <c r="B168" s="83" t="str">
        <f t="shared" si="15"/>
        <v/>
      </c>
      <c r="S168" s="83" t="str">
        <f t="shared" si="16"/>
        <v/>
      </c>
      <c r="T168" s="83" t="str">
        <f t="shared" si="17"/>
        <v/>
      </c>
      <c r="Y168" s="60">
        <f t="shared" si="18"/>
        <v>0</v>
      </c>
      <c r="Z168" s="49">
        <f t="shared" si="19"/>
        <v>0</v>
      </c>
      <c r="AA168" s="60">
        <f t="shared" si="20"/>
        <v>0</v>
      </c>
    </row>
    <row r="169" spans="1:27">
      <c r="A169" s="83" t="str">
        <f t="shared" si="14"/>
        <v/>
      </c>
      <c r="B169" s="83" t="str">
        <f t="shared" si="15"/>
        <v/>
      </c>
      <c r="S169" s="83" t="str">
        <f t="shared" si="16"/>
        <v/>
      </c>
      <c r="T169" s="83" t="str">
        <f t="shared" si="17"/>
        <v/>
      </c>
      <c r="Y169" s="60">
        <f t="shared" si="18"/>
        <v>0</v>
      </c>
      <c r="Z169" s="49">
        <f t="shared" si="19"/>
        <v>0</v>
      </c>
      <c r="AA169" s="60">
        <f t="shared" si="20"/>
        <v>0</v>
      </c>
    </row>
    <row r="170" spans="1:27">
      <c r="A170" s="83" t="str">
        <f t="shared" si="14"/>
        <v/>
      </c>
      <c r="B170" s="83" t="str">
        <f t="shared" si="15"/>
        <v/>
      </c>
      <c r="S170" s="83" t="str">
        <f t="shared" si="16"/>
        <v/>
      </c>
      <c r="T170" s="83" t="str">
        <f t="shared" si="17"/>
        <v/>
      </c>
      <c r="Y170" s="60">
        <f t="shared" si="18"/>
        <v>0</v>
      </c>
      <c r="Z170" s="49">
        <f t="shared" si="19"/>
        <v>0</v>
      </c>
      <c r="AA170" s="60">
        <f t="shared" si="20"/>
        <v>0</v>
      </c>
    </row>
    <row r="171" spans="1:27">
      <c r="A171" s="83" t="str">
        <f t="shared" si="14"/>
        <v/>
      </c>
      <c r="B171" s="83" t="str">
        <f t="shared" si="15"/>
        <v/>
      </c>
      <c r="S171" s="83" t="str">
        <f t="shared" si="16"/>
        <v/>
      </c>
      <c r="T171" s="83" t="str">
        <f t="shared" si="17"/>
        <v/>
      </c>
      <c r="Y171" s="60">
        <f t="shared" si="18"/>
        <v>0</v>
      </c>
      <c r="Z171" s="49">
        <f t="shared" si="19"/>
        <v>0</v>
      </c>
      <c r="AA171" s="60">
        <f t="shared" si="20"/>
        <v>0</v>
      </c>
    </row>
    <row r="172" spans="1:27">
      <c r="A172" s="83" t="str">
        <f t="shared" si="14"/>
        <v/>
      </c>
      <c r="B172" s="83" t="str">
        <f t="shared" si="15"/>
        <v/>
      </c>
      <c r="S172" s="83" t="str">
        <f t="shared" si="16"/>
        <v/>
      </c>
      <c r="T172" s="83" t="str">
        <f t="shared" si="17"/>
        <v/>
      </c>
      <c r="Y172" s="60">
        <f t="shared" si="18"/>
        <v>0</v>
      </c>
      <c r="Z172" s="49">
        <f t="shared" si="19"/>
        <v>0</v>
      </c>
      <c r="AA172" s="60">
        <f t="shared" si="20"/>
        <v>0</v>
      </c>
    </row>
    <row r="173" spans="1:27">
      <c r="A173" s="83" t="str">
        <f t="shared" si="14"/>
        <v/>
      </c>
      <c r="B173" s="83" t="str">
        <f t="shared" si="15"/>
        <v/>
      </c>
      <c r="S173" s="83" t="str">
        <f t="shared" si="16"/>
        <v/>
      </c>
      <c r="T173" s="83" t="str">
        <f t="shared" si="17"/>
        <v/>
      </c>
      <c r="Y173" s="60">
        <f t="shared" si="18"/>
        <v>0</v>
      </c>
      <c r="Z173" s="49">
        <f t="shared" si="19"/>
        <v>0</v>
      </c>
      <c r="AA173" s="60">
        <f t="shared" si="20"/>
        <v>0</v>
      </c>
    </row>
    <row r="174" spans="1:27">
      <c r="A174" s="83" t="str">
        <f t="shared" si="14"/>
        <v/>
      </c>
      <c r="B174" s="83" t="str">
        <f t="shared" si="15"/>
        <v/>
      </c>
      <c r="S174" s="83" t="str">
        <f t="shared" si="16"/>
        <v/>
      </c>
      <c r="T174" s="83" t="str">
        <f t="shared" si="17"/>
        <v/>
      </c>
      <c r="Y174" s="60">
        <f t="shared" si="18"/>
        <v>0</v>
      </c>
      <c r="Z174" s="49">
        <f t="shared" si="19"/>
        <v>0</v>
      </c>
      <c r="AA174" s="60">
        <f t="shared" si="20"/>
        <v>0</v>
      </c>
    </row>
    <row r="175" spans="1:27">
      <c r="A175" s="83" t="str">
        <f t="shared" si="14"/>
        <v/>
      </c>
      <c r="B175" s="83" t="str">
        <f t="shared" si="15"/>
        <v/>
      </c>
      <c r="S175" s="83" t="str">
        <f t="shared" si="16"/>
        <v/>
      </c>
      <c r="T175" s="83" t="str">
        <f t="shared" si="17"/>
        <v/>
      </c>
      <c r="Y175" s="60">
        <f t="shared" si="18"/>
        <v>0</v>
      </c>
      <c r="Z175" s="49">
        <f t="shared" si="19"/>
        <v>0</v>
      </c>
      <c r="AA175" s="60">
        <f t="shared" si="20"/>
        <v>0</v>
      </c>
    </row>
    <row r="176" spans="1:27">
      <c r="A176" s="83" t="str">
        <f t="shared" si="14"/>
        <v/>
      </c>
      <c r="B176" s="83" t="str">
        <f t="shared" si="15"/>
        <v/>
      </c>
      <c r="S176" s="83" t="str">
        <f t="shared" si="16"/>
        <v/>
      </c>
      <c r="T176" s="83" t="str">
        <f t="shared" si="17"/>
        <v/>
      </c>
      <c r="Y176" s="60">
        <f t="shared" si="18"/>
        <v>0</v>
      </c>
      <c r="Z176" s="49">
        <f t="shared" si="19"/>
        <v>0</v>
      </c>
      <c r="AA176" s="60">
        <f t="shared" si="20"/>
        <v>0</v>
      </c>
    </row>
    <row r="177" spans="1:27">
      <c r="A177" s="83" t="str">
        <f t="shared" si="14"/>
        <v/>
      </c>
      <c r="B177" s="83" t="str">
        <f t="shared" si="15"/>
        <v/>
      </c>
      <c r="S177" s="83" t="str">
        <f t="shared" si="16"/>
        <v/>
      </c>
      <c r="T177" s="83" t="str">
        <f t="shared" si="17"/>
        <v/>
      </c>
      <c r="Y177" s="60">
        <f t="shared" si="18"/>
        <v>0</v>
      </c>
      <c r="Z177" s="49">
        <f t="shared" si="19"/>
        <v>0</v>
      </c>
      <c r="AA177" s="60">
        <f t="shared" si="20"/>
        <v>0</v>
      </c>
    </row>
    <row r="178" spans="1:27">
      <c r="A178" s="83" t="str">
        <f t="shared" si="14"/>
        <v/>
      </c>
      <c r="B178" s="83" t="str">
        <f t="shared" si="15"/>
        <v/>
      </c>
      <c r="S178" s="83" t="str">
        <f t="shared" si="16"/>
        <v/>
      </c>
      <c r="T178" s="83" t="str">
        <f t="shared" si="17"/>
        <v/>
      </c>
      <c r="Y178" s="60">
        <f t="shared" si="18"/>
        <v>0</v>
      </c>
      <c r="Z178" s="49">
        <f t="shared" si="19"/>
        <v>0</v>
      </c>
      <c r="AA178" s="60">
        <f t="shared" si="20"/>
        <v>0</v>
      </c>
    </row>
    <row r="179" spans="1:27">
      <c r="A179" s="83" t="str">
        <f t="shared" si="14"/>
        <v/>
      </c>
      <c r="B179" s="83" t="str">
        <f t="shared" si="15"/>
        <v/>
      </c>
      <c r="S179" s="83" t="str">
        <f t="shared" si="16"/>
        <v/>
      </c>
      <c r="T179" s="83" t="str">
        <f t="shared" si="17"/>
        <v/>
      </c>
      <c r="Y179" s="60">
        <f t="shared" si="18"/>
        <v>0</v>
      </c>
      <c r="Z179" s="49">
        <f t="shared" si="19"/>
        <v>0</v>
      </c>
      <c r="AA179" s="60">
        <f t="shared" si="20"/>
        <v>0</v>
      </c>
    </row>
    <row r="180" spans="1:27">
      <c r="A180" s="83" t="str">
        <f t="shared" si="14"/>
        <v/>
      </c>
      <c r="B180" s="83" t="str">
        <f t="shared" si="15"/>
        <v/>
      </c>
      <c r="S180" s="83" t="str">
        <f t="shared" si="16"/>
        <v/>
      </c>
      <c r="T180" s="83" t="str">
        <f t="shared" si="17"/>
        <v/>
      </c>
      <c r="Y180" s="60">
        <f t="shared" si="18"/>
        <v>0</v>
      </c>
      <c r="Z180" s="49">
        <f t="shared" si="19"/>
        <v>0</v>
      </c>
      <c r="AA180" s="60">
        <f t="shared" si="20"/>
        <v>0</v>
      </c>
    </row>
    <row r="181" spans="1:27">
      <c r="A181" s="83" t="str">
        <f t="shared" si="14"/>
        <v/>
      </c>
      <c r="B181" s="83" t="str">
        <f t="shared" si="15"/>
        <v/>
      </c>
      <c r="S181" s="83" t="str">
        <f t="shared" si="16"/>
        <v/>
      </c>
      <c r="T181" s="83" t="str">
        <f t="shared" si="17"/>
        <v/>
      </c>
      <c r="Y181" s="60">
        <f t="shared" si="18"/>
        <v>0</v>
      </c>
      <c r="Z181" s="49">
        <f t="shared" si="19"/>
        <v>0</v>
      </c>
      <c r="AA181" s="60">
        <f t="shared" si="20"/>
        <v>0</v>
      </c>
    </row>
    <row r="182" spans="1:27">
      <c r="A182" s="83" t="str">
        <f t="shared" si="14"/>
        <v/>
      </c>
      <c r="B182" s="83" t="str">
        <f t="shared" si="15"/>
        <v/>
      </c>
      <c r="S182" s="83" t="str">
        <f t="shared" si="16"/>
        <v/>
      </c>
      <c r="T182" s="83" t="str">
        <f t="shared" si="17"/>
        <v/>
      </c>
      <c r="Y182" s="60">
        <f t="shared" si="18"/>
        <v>0</v>
      </c>
      <c r="Z182" s="49">
        <f t="shared" si="19"/>
        <v>0</v>
      </c>
      <c r="AA182" s="60">
        <f t="shared" si="20"/>
        <v>0</v>
      </c>
    </row>
    <row r="183" spans="1:27">
      <c r="A183" s="83" t="str">
        <f t="shared" si="14"/>
        <v/>
      </c>
      <c r="B183" s="83" t="str">
        <f t="shared" si="15"/>
        <v/>
      </c>
      <c r="S183" s="83" t="str">
        <f t="shared" si="16"/>
        <v/>
      </c>
      <c r="T183" s="83" t="str">
        <f t="shared" si="17"/>
        <v/>
      </c>
      <c r="Y183" s="60">
        <f t="shared" si="18"/>
        <v>0</v>
      </c>
      <c r="Z183" s="49">
        <f t="shared" si="19"/>
        <v>0</v>
      </c>
      <c r="AA183" s="60">
        <f t="shared" si="20"/>
        <v>0</v>
      </c>
    </row>
    <row r="184" spans="1:27">
      <c r="A184" s="83" t="str">
        <f t="shared" si="14"/>
        <v/>
      </c>
      <c r="B184" s="83" t="str">
        <f t="shared" si="15"/>
        <v/>
      </c>
      <c r="S184" s="83" t="str">
        <f t="shared" si="16"/>
        <v/>
      </c>
      <c r="T184" s="83" t="str">
        <f t="shared" si="17"/>
        <v/>
      </c>
      <c r="Y184" s="60">
        <f t="shared" si="18"/>
        <v>0</v>
      </c>
      <c r="Z184" s="49">
        <f t="shared" si="19"/>
        <v>0</v>
      </c>
      <c r="AA184" s="60">
        <f t="shared" si="20"/>
        <v>0</v>
      </c>
    </row>
    <row r="185" spans="1:27">
      <c r="A185" s="83" t="str">
        <f t="shared" si="14"/>
        <v/>
      </c>
      <c r="B185" s="83" t="str">
        <f t="shared" si="15"/>
        <v/>
      </c>
      <c r="S185" s="83" t="str">
        <f t="shared" si="16"/>
        <v/>
      </c>
      <c r="T185" s="83" t="str">
        <f t="shared" si="17"/>
        <v/>
      </c>
      <c r="Y185" s="60">
        <f t="shared" si="18"/>
        <v>0</v>
      </c>
      <c r="Z185" s="49">
        <f t="shared" si="19"/>
        <v>0</v>
      </c>
      <c r="AA185" s="60">
        <f t="shared" si="20"/>
        <v>0</v>
      </c>
    </row>
    <row r="186" spans="1:27">
      <c r="A186" s="83" t="str">
        <f t="shared" si="14"/>
        <v/>
      </c>
      <c r="B186" s="83" t="str">
        <f t="shared" si="15"/>
        <v/>
      </c>
      <c r="S186" s="83" t="str">
        <f t="shared" si="16"/>
        <v/>
      </c>
      <c r="T186" s="83" t="str">
        <f t="shared" si="17"/>
        <v/>
      </c>
      <c r="Y186" s="60">
        <f t="shared" si="18"/>
        <v>0</v>
      </c>
      <c r="Z186" s="49">
        <f t="shared" si="19"/>
        <v>0</v>
      </c>
      <c r="AA186" s="60">
        <f t="shared" si="20"/>
        <v>0</v>
      </c>
    </row>
    <row r="187" spans="1:27">
      <c r="A187" s="83" t="str">
        <f t="shared" si="14"/>
        <v/>
      </c>
      <c r="B187" s="83" t="str">
        <f t="shared" si="15"/>
        <v/>
      </c>
      <c r="S187" s="83" t="str">
        <f t="shared" si="16"/>
        <v/>
      </c>
      <c r="T187" s="83" t="str">
        <f t="shared" si="17"/>
        <v/>
      </c>
      <c r="Y187" s="60">
        <f t="shared" si="18"/>
        <v>0</v>
      </c>
      <c r="Z187" s="49">
        <f t="shared" si="19"/>
        <v>0</v>
      </c>
      <c r="AA187" s="60">
        <f t="shared" si="20"/>
        <v>0</v>
      </c>
    </row>
    <row r="188" spans="1:27">
      <c r="A188" s="83" t="str">
        <f t="shared" si="14"/>
        <v/>
      </c>
      <c r="B188" s="83" t="str">
        <f t="shared" si="15"/>
        <v/>
      </c>
      <c r="S188" s="83" t="str">
        <f t="shared" si="16"/>
        <v/>
      </c>
      <c r="T188" s="83" t="str">
        <f t="shared" si="17"/>
        <v/>
      </c>
      <c r="Y188" s="60">
        <f t="shared" si="18"/>
        <v>0</v>
      </c>
      <c r="Z188" s="49">
        <f t="shared" si="19"/>
        <v>0</v>
      </c>
      <c r="AA188" s="60">
        <f t="shared" si="20"/>
        <v>0</v>
      </c>
    </row>
    <row r="189" spans="1:27">
      <c r="A189" s="83" t="str">
        <f t="shared" si="14"/>
        <v/>
      </c>
      <c r="B189" s="83" t="str">
        <f t="shared" si="15"/>
        <v/>
      </c>
      <c r="S189" s="83" t="str">
        <f t="shared" si="16"/>
        <v/>
      </c>
      <c r="T189" s="83" t="str">
        <f t="shared" si="17"/>
        <v/>
      </c>
      <c r="Y189" s="60">
        <f t="shared" si="18"/>
        <v>0</v>
      </c>
      <c r="Z189" s="49">
        <f t="shared" si="19"/>
        <v>0</v>
      </c>
      <c r="AA189" s="60">
        <f t="shared" si="20"/>
        <v>0</v>
      </c>
    </row>
    <row r="190" spans="1:27">
      <c r="A190" s="83" t="str">
        <f t="shared" si="14"/>
        <v/>
      </c>
      <c r="B190" s="83" t="str">
        <f t="shared" si="15"/>
        <v/>
      </c>
      <c r="S190" s="83" t="str">
        <f t="shared" si="16"/>
        <v/>
      </c>
      <c r="T190" s="83" t="str">
        <f t="shared" si="17"/>
        <v/>
      </c>
      <c r="Y190" s="60">
        <f t="shared" si="18"/>
        <v>0</v>
      </c>
      <c r="Z190" s="49">
        <f t="shared" si="19"/>
        <v>0</v>
      </c>
      <c r="AA190" s="60">
        <f t="shared" si="20"/>
        <v>0</v>
      </c>
    </row>
    <row r="191" spans="1:27">
      <c r="A191" s="83" t="str">
        <f t="shared" si="14"/>
        <v/>
      </c>
      <c r="B191" s="83" t="str">
        <f t="shared" si="15"/>
        <v/>
      </c>
      <c r="S191" s="83" t="str">
        <f t="shared" si="16"/>
        <v/>
      </c>
      <c r="T191" s="83" t="str">
        <f t="shared" si="17"/>
        <v/>
      </c>
      <c r="Y191" s="60">
        <f t="shared" si="18"/>
        <v>0</v>
      </c>
      <c r="Z191" s="49">
        <f t="shared" si="19"/>
        <v>0</v>
      </c>
      <c r="AA191" s="60">
        <f t="shared" si="20"/>
        <v>0</v>
      </c>
    </row>
    <row r="192" spans="1:27">
      <c r="A192" s="83" t="str">
        <f t="shared" si="14"/>
        <v/>
      </c>
      <c r="B192" s="83" t="str">
        <f t="shared" si="15"/>
        <v/>
      </c>
      <c r="S192" s="83" t="str">
        <f t="shared" si="16"/>
        <v/>
      </c>
      <c r="T192" s="83" t="str">
        <f t="shared" si="17"/>
        <v/>
      </c>
      <c r="Y192" s="60">
        <f t="shared" si="18"/>
        <v>0</v>
      </c>
      <c r="Z192" s="49">
        <f t="shared" si="19"/>
        <v>0</v>
      </c>
      <c r="AA192" s="60">
        <f t="shared" si="20"/>
        <v>0</v>
      </c>
    </row>
    <row r="193" spans="1:27">
      <c r="A193" s="83" t="str">
        <f t="shared" si="14"/>
        <v/>
      </c>
      <c r="B193" s="83" t="str">
        <f t="shared" si="15"/>
        <v/>
      </c>
      <c r="S193" s="83" t="str">
        <f t="shared" si="16"/>
        <v/>
      </c>
      <c r="T193" s="83" t="str">
        <f t="shared" si="17"/>
        <v/>
      </c>
      <c r="Y193" s="60">
        <f t="shared" si="18"/>
        <v>0</v>
      </c>
      <c r="Z193" s="49">
        <f t="shared" si="19"/>
        <v>0</v>
      </c>
      <c r="AA193" s="60">
        <f t="shared" si="20"/>
        <v>0</v>
      </c>
    </row>
    <row r="194" spans="1:27">
      <c r="A194" s="83" t="str">
        <f t="shared" si="14"/>
        <v/>
      </c>
      <c r="B194" s="83" t="str">
        <f t="shared" si="15"/>
        <v/>
      </c>
      <c r="S194" s="83" t="str">
        <f t="shared" si="16"/>
        <v/>
      </c>
      <c r="T194" s="83" t="str">
        <f t="shared" si="17"/>
        <v/>
      </c>
      <c r="Y194" s="60">
        <f t="shared" si="18"/>
        <v>0</v>
      </c>
      <c r="Z194" s="49">
        <f t="shared" si="19"/>
        <v>0</v>
      </c>
      <c r="AA194" s="60">
        <f t="shared" si="20"/>
        <v>0</v>
      </c>
    </row>
    <row r="195" spans="1:27">
      <c r="A195" s="83" t="str">
        <f t="shared" ref="A195:A258" si="21">IF(G195&amp;Q195&lt;&gt;"",S195&amp;Q195,"")</f>
        <v/>
      </c>
      <c r="B195" s="83" t="str">
        <f t="shared" ref="B195:B258" si="22">IF(C195&lt;&gt;"",LEFT(C195,9),"")</f>
        <v/>
      </c>
      <c r="S195" s="83" t="str">
        <f t="shared" ref="S195:S258" si="23">IF(G195&lt;&gt;"",IF(StyleSpaceSplit,IFERROR(IF(FIND(" ",G195)&gt;=1,MID(G195,1,FIND(" ",G195)-1),G195),G195),G195),"")</f>
        <v/>
      </c>
      <c r="T195" s="83" t="str">
        <f t="shared" ref="T195:T258" si="24">IF(A195&lt;&gt;"",IFERROR(IF(FIND(" ",G195)&gt;=1,MID(G195,FIND(" ",G195)+1,LEN(G195)),""),G195),"")</f>
        <v/>
      </c>
      <c r="Y195" s="60">
        <f t="shared" ref="Y195:Y258" si="25">IFERROR(VALUE(MID($C195,1,2)),0)</f>
        <v>0</v>
      </c>
      <c r="Z195" s="49">
        <f t="shared" ref="Z195:Z258" si="26">IFERROR(VALUE(MID($C195,4,3)),0)</f>
        <v>0</v>
      </c>
      <c r="AA195" s="60">
        <f t="shared" ref="AA195:AA258" si="27">VALUE(RIGHT("00"&amp;Y195,2)&amp;RIGHT("000"&amp;Z195,3))</f>
        <v>0</v>
      </c>
    </row>
    <row r="196" spans="1:27">
      <c r="A196" s="83" t="str">
        <f t="shared" si="21"/>
        <v/>
      </c>
      <c r="B196" s="83" t="str">
        <f t="shared" si="22"/>
        <v/>
      </c>
      <c r="S196" s="83" t="str">
        <f t="shared" si="23"/>
        <v/>
      </c>
      <c r="T196" s="83" t="str">
        <f t="shared" si="24"/>
        <v/>
      </c>
      <c r="Y196" s="60">
        <f t="shared" si="25"/>
        <v>0</v>
      </c>
      <c r="Z196" s="49">
        <f t="shared" si="26"/>
        <v>0</v>
      </c>
      <c r="AA196" s="60">
        <f t="shared" si="27"/>
        <v>0</v>
      </c>
    </row>
    <row r="197" spans="1:27">
      <c r="A197" s="83" t="str">
        <f t="shared" si="21"/>
        <v/>
      </c>
      <c r="B197" s="83" t="str">
        <f t="shared" si="22"/>
        <v/>
      </c>
      <c r="S197" s="83" t="str">
        <f t="shared" si="23"/>
        <v/>
      </c>
      <c r="T197" s="83" t="str">
        <f t="shared" si="24"/>
        <v/>
      </c>
      <c r="Y197" s="60">
        <f t="shared" si="25"/>
        <v>0</v>
      </c>
      <c r="Z197" s="49">
        <f t="shared" si="26"/>
        <v>0</v>
      </c>
      <c r="AA197" s="60">
        <f t="shared" si="27"/>
        <v>0</v>
      </c>
    </row>
    <row r="198" spans="1:27">
      <c r="A198" s="83" t="str">
        <f t="shared" si="21"/>
        <v/>
      </c>
      <c r="B198" s="83" t="str">
        <f t="shared" si="22"/>
        <v/>
      </c>
      <c r="S198" s="83" t="str">
        <f t="shared" si="23"/>
        <v/>
      </c>
      <c r="T198" s="83" t="str">
        <f t="shared" si="24"/>
        <v/>
      </c>
      <c r="Y198" s="60">
        <f t="shared" si="25"/>
        <v>0</v>
      </c>
      <c r="Z198" s="49">
        <f t="shared" si="26"/>
        <v>0</v>
      </c>
      <c r="AA198" s="60">
        <f t="shared" si="27"/>
        <v>0</v>
      </c>
    </row>
    <row r="199" spans="1:27">
      <c r="A199" s="83" t="str">
        <f t="shared" si="21"/>
        <v/>
      </c>
      <c r="B199" s="83" t="str">
        <f t="shared" si="22"/>
        <v/>
      </c>
      <c r="S199" s="83" t="str">
        <f t="shared" si="23"/>
        <v/>
      </c>
      <c r="T199" s="83" t="str">
        <f t="shared" si="24"/>
        <v/>
      </c>
      <c r="Y199" s="60">
        <f t="shared" si="25"/>
        <v>0</v>
      </c>
      <c r="Z199" s="49">
        <f t="shared" si="26"/>
        <v>0</v>
      </c>
      <c r="AA199" s="60">
        <f t="shared" si="27"/>
        <v>0</v>
      </c>
    </row>
    <row r="200" spans="1:27">
      <c r="A200" s="83" t="str">
        <f t="shared" si="21"/>
        <v/>
      </c>
      <c r="B200" s="83" t="str">
        <f t="shared" si="22"/>
        <v/>
      </c>
      <c r="S200" s="83" t="str">
        <f t="shared" si="23"/>
        <v/>
      </c>
      <c r="T200" s="83" t="str">
        <f t="shared" si="24"/>
        <v/>
      </c>
      <c r="Y200" s="60">
        <f t="shared" si="25"/>
        <v>0</v>
      </c>
      <c r="Z200" s="49">
        <f t="shared" si="26"/>
        <v>0</v>
      </c>
      <c r="AA200" s="60">
        <f t="shared" si="27"/>
        <v>0</v>
      </c>
    </row>
    <row r="201" spans="1:27">
      <c r="A201" s="83" t="str">
        <f t="shared" si="21"/>
        <v/>
      </c>
      <c r="B201" s="83" t="str">
        <f t="shared" si="22"/>
        <v/>
      </c>
      <c r="S201" s="83" t="str">
        <f t="shared" si="23"/>
        <v/>
      </c>
      <c r="T201" s="83" t="str">
        <f t="shared" si="24"/>
        <v/>
      </c>
      <c r="Y201" s="60">
        <f t="shared" si="25"/>
        <v>0</v>
      </c>
      <c r="Z201" s="49">
        <f t="shared" si="26"/>
        <v>0</v>
      </c>
      <c r="AA201" s="60">
        <f t="shared" si="27"/>
        <v>0</v>
      </c>
    </row>
    <row r="202" spans="1:27">
      <c r="A202" s="83" t="str">
        <f t="shared" si="21"/>
        <v/>
      </c>
      <c r="B202" s="83" t="str">
        <f t="shared" si="22"/>
        <v/>
      </c>
      <c r="S202" s="83" t="str">
        <f t="shared" si="23"/>
        <v/>
      </c>
      <c r="T202" s="83" t="str">
        <f t="shared" si="24"/>
        <v/>
      </c>
      <c r="Y202" s="60">
        <f t="shared" si="25"/>
        <v>0</v>
      </c>
      <c r="Z202" s="49">
        <f t="shared" si="26"/>
        <v>0</v>
      </c>
      <c r="AA202" s="60">
        <f t="shared" si="27"/>
        <v>0</v>
      </c>
    </row>
    <row r="203" spans="1:27">
      <c r="A203" s="83" t="str">
        <f t="shared" si="21"/>
        <v/>
      </c>
      <c r="B203" s="83" t="str">
        <f t="shared" si="22"/>
        <v/>
      </c>
      <c r="S203" s="83" t="str">
        <f t="shared" si="23"/>
        <v/>
      </c>
      <c r="T203" s="83" t="str">
        <f t="shared" si="24"/>
        <v/>
      </c>
      <c r="Y203" s="60">
        <f t="shared" si="25"/>
        <v>0</v>
      </c>
      <c r="Z203" s="49">
        <f t="shared" si="26"/>
        <v>0</v>
      </c>
      <c r="AA203" s="60">
        <f t="shared" si="27"/>
        <v>0</v>
      </c>
    </row>
    <row r="204" spans="1:27">
      <c r="A204" s="83" t="str">
        <f t="shared" si="21"/>
        <v/>
      </c>
      <c r="B204" s="83" t="str">
        <f t="shared" si="22"/>
        <v/>
      </c>
      <c r="S204" s="83" t="str">
        <f t="shared" si="23"/>
        <v/>
      </c>
      <c r="T204" s="83" t="str">
        <f t="shared" si="24"/>
        <v/>
      </c>
      <c r="Y204" s="60">
        <f t="shared" si="25"/>
        <v>0</v>
      </c>
      <c r="Z204" s="49">
        <f t="shared" si="26"/>
        <v>0</v>
      </c>
      <c r="AA204" s="60">
        <f t="shared" si="27"/>
        <v>0</v>
      </c>
    </row>
    <row r="205" spans="1:27">
      <c r="A205" s="83" t="str">
        <f t="shared" si="21"/>
        <v/>
      </c>
      <c r="B205" s="83" t="str">
        <f t="shared" si="22"/>
        <v/>
      </c>
      <c r="S205" s="83" t="str">
        <f t="shared" si="23"/>
        <v/>
      </c>
      <c r="T205" s="83" t="str">
        <f t="shared" si="24"/>
        <v/>
      </c>
      <c r="Y205" s="60">
        <f t="shared" si="25"/>
        <v>0</v>
      </c>
      <c r="Z205" s="49">
        <f t="shared" si="26"/>
        <v>0</v>
      </c>
      <c r="AA205" s="60">
        <f t="shared" si="27"/>
        <v>0</v>
      </c>
    </row>
    <row r="206" spans="1:27">
      <c r="A206" s="83" t="str">
        <f t="shared" si="21"/>
        <v/>
      </c>
      <c r="B206" s="83" t="str">
        <f t="shared" si="22"/>
        <v/>
      </c>
      <c r="S206" s="83" t="str">
        <f t="shared" si="23"/>
        <v/>
      </c>
      <c r="T206" s="83" t="str">
        <f t="shared" si="24"/>
        <v/>
      </c>
      <c r="Y206" s="60">
        <f t="shared" si="25"/>
        <v>0</v>
      </c>
      <c r="Z206" s="49">
        <f t="shared" si="26"/>
        <v>0</v>
      </c>
      <c r="AA206" s="60">
        <f t="shared" si="27"/>
        <v>0</v>
      </c>
    </row>
    <row r="207" spans="1:27">
      <c r="A207" s="83" t="str">
        <f t="shared" si="21"/>
        <v/>
      </c>
      <c r="B207" s="83" t="str">
        <f t="shared" si="22"/>
        <v/>
      </c>
      <c r="S207" s="83" t="str">
        <f t="shared" si="23"/>
        <v/>
      </c>
      <c r="T207" s="83" t="str">
        <f t="shared" si="24"/>
        <v/>
      </c>
      <c r="Y207" s="60">
        <f t="shared" si="25"/>
        <v>0</v>
      </c>
      <c r="Z207" s="49">
        <f t="shared" si="26"/>
        <v>0</v>
      </c>
      <c r="AA207" s="60">
        <f t="shared" si="27"/>
        <v>0</v>
      </c>
    </row>
    <row r="208" spans="1:27">
      <c r="A208" s="83" t="str">
        <f t="shared" si="21"/>
        <v/>
      </c>
      <c r="B208" s="83" t="str">
        <f t="shared" si="22"/>
        <v/>
      </c>
      <c r="S208" s="83" t="str">
        <f t="shared" si="23"/>
        <v/>
      </c>
      <c r="T208" s="83" t="str">
        <f t="shared" si="24"/>
        <v/>
      </c>
      <c r="Y208" s="60">
        <f t="shared" si="25"/>
        <v>0</v>
      </c>
      <c r="Z208" s="49">
        <f t="shared" si="26"/>
        <v>0</v>
      </c>
      <c r="AA208" s="60">
        <f t="shared" si="27"/>
        <v>0</v>
      </c>
    </row>
    <row r="209" spans="1:27">
      <c r="A209" s="83" t="str">
        <f t="shared" si="21"/>
        <v/>
      </c>
      <c r="B209" s="83" t="str">
        <f t="shared" si="22"/>
        <v/>
      </c>
      <c r="S209" s="83" t="str">
        <f t="shared" si="23"/>
        <v/>
      </c>
      <c r="T209" s="83" t="str">
        <f t="shared" si="24"/>
        <v/>
      </c>
      <c r="Y209" s="60">
        <f t="shared" si="25"/>
        <v>0</v>
      </c>
      <c r="Z209" s="49">
        <f t="shared" si="26"/>
        <v>0</v>
      </c>
      <c r="AA209" s="60">
        <f t="shared" si="27"/>
        <v>0</v>
      </c>
    </row>
    <row r="210" spans="1:27">
      <c r="A210" s="83" t="str">
        <f t="shared" si="21"/>
        <v/>
      </c>
      <c r="B210" s="83" t="str">
        <f t="shared" si="22"/>
        <v/>
      </c>
      <c r="S210" s="83" t="str">
        <f t="shared" si="23"/>
        <v/>
      </c>
      <c r="T210" s="83" t="str">
        <f t="shared" si="24"/>
        <v/>
      </c>
      <c r="Y210" s="60">
        <f t="shared" si="25"/>
        <v>0</v>
      </c>
      <c r="Z210" s="49">
        <f t="shared" si="26"/>
        <v>0</v>
      </c>
      <c r="AA210" s="60">
        <f t="shared" si="27"/>
        <v>0</v>
      </c>
    </row>
    <row r="211" spans="1:27">
      <c r="A211" s="83" t="str">
        <f t="shared" si="21"/>
        <v/>
      </c>
      <c r="B211" s="83" t="str">
        <f t="shared" si="22"/>
        <v/>
      </c>
      <c r="S211" s="83" t="str">
        <f t="shared" si="23"/>
        <v/>
      </c>
      <c r="T211" s="83" t="str">
        <f t="shared" si="24"/>
        <v/>
      </c>
      <c r="Y211" s="60">
        <f t="shared" si="25"/>
        <v>0</v>
      </c>
      <c r="Z211" s="49">
        <f t="shared" si="26"/>
        <v>0</v>
      </c>
      <c r="AA211" s="60">
        <f t="shared" si="27"/>
        <v>0</v>
      </c>
    </row>
    <row r="212" spans="1:27">
      <c r="A212" s="83" t="str">
        <f t="shared" si="21"/>
        <v/>
      </c>
      <c r="B212" s="83" t="str">
        <f t="shared" si="22"/>
        <v/>
      </c>
      <c r="S212" s="83" t="str">
        <f t="shared" si="23"/>
        <v/>
      </c>
      <c r="T212" s="83" t="str">
        <f t="shared" si="24"/>
        <v/>
      </c>
      <c r="Y212" s="60">
        <f t="shared" si="25"/>
        <v>0</v>
      </c>
      <c r="Z212" s="49">
        <f t="shared" si="26"/>
        <v>0</v>
      </c>
      <c r="AA212" s="60">
        <f t="shared" si="27"/>
        <v>0</v>
      </c>
    </row>
    <row r="213" spans="1:27">
      <c r="A213" s="83" t="str">
        <f t="shared" si="21"/>
        <v/>
      </c>
      <c r="B213" s="83" t="str">
        <f t="shared" si="22"/>
        <v/>
      </c>
      <c r="S213" s="83" t="str">
        <f t="shared" si="23"/>
        <v/>
      </c>
      <c r="T213" s="83" t="str">
        <f t="shared" si="24"/>
        <v/>
      </c>
      <c r="Y213" s="60">
        <f t="shared" si="25"/>
        <v>0</v>
      </c>
      <c r="Z213" s="49">
        <f t="shared" si="26"/>
        <v>0</v>
      </c>
      <c r="AA213" s="60">
        <f t="shared" si="27"/>
        <v>0</v>
      </c>
    </row>
    <row r="214" spans="1:27">
      <c r="A214" s="83" t="str">
        <f t="shared" si="21"/>
        <v/>
      </c>
      <c r="B214" s="83" t="str">
        <f t="shared" si="22"/>
        <v/>
      </c>
      <c r="S214" s="83" t="str">
        <f t="shared" si="23"/>
        <v/>
      </c>
      <c r="T214" s="83" t="str">
        <f t="shared" si="24"/>
        <v/>
      </c>
      <c r="Y214" s="60">
        <f t="shared" si="25"/>
        <v>0</v>
      </c>
      <c r="Z214" s="49">
        <f t="shared" si="26"/>
        <v>0</v>
      </c>
      <c r="AA214" s="60">
        <f t="shared" si="27"/>
        <v>0</v>
      </c>
    </row>
    <row r="215" spans="1:27">
      <c r="A215" s="83" t="str">
        <f t="shared" si="21"/>
        <v/>
      </c>
      <c r="B215" s="83" t="str">
        <f t="shared" si="22"/>
        <v/>
      </c>
      <c r="S215" s="83" t="str">
        <f t="shared" si="23"/>
        <v/>
      </c>
      <c r="T215" s="83" t="str">
        <f t="shared" si="24"/>
        <v/>
      </c>
      <c r="Y215" s="60">
        <f t="shared" si="25"/>
        <v>0</v>
      </c>
      <c r="Z215" s="49">
        <f t="shared" si="26"/>
        <v>0</v>
      </c>
      <c r="AA215" s="60">
        <f t="shared" si="27"/>
        <v>0</v>
      </c>
    </row>
    <row r="216" spans="1:27">
      <c r="A216" s="83" t="str">
        <f t="shared" si="21"/>
        <v/>
      </c>
      <c r="B216" s="83" t="str">
        <f t="shared" si="22"/>
        <v/>
      </c>
      <c r="S216" s="83" t="str">
        <f t="shared" si="23"/>
        <v/>
      </c>
      <c r="T216" s="83" t="str">
        <f t="shared" si="24"/>
        <v/>
      </c>
      <c r="Y216" s="60">
        <f t="shared" si="25"/>
        <v>0</v>
      </c>
      <c r="Z216" s="49">
        <f t="shared" si="26"/>
        <v>0</v>
      </c>
      <c r="AA216" s="60">
        <f t="shared" si="27"/>
        <v>0</v>
      </c>
    </row>
    <row r="217" spans="1:27">
      <c r="A217" s="83" t="str">
        <f t="shared" si="21"/>
        <v/>
      </c>
      <c r="B217" s="83" t="str">
        <f t="shared" si="22"/>
        <v/>
      </c>
      <c r="S217" s="83" t="str">
        <f t="shared" si="23"/>
        <v/>
      </c>
      <c r="T217" s="83" t="str">
        <f t="shared" si="24"/>
        <v/>
      </c>
      <c r="Y217" s="60">
        <f t="shared" si="25"/>
        <v>0</v>
      </c>
      <c r="Z217" s="49">
        <f t="shared" si="26"/>
        <v>0</v>
      </c>
      <c r="AA217" s="60">
        <f t="shared" si="27"/>
        <v>0</v>
      </c>
    </row>
    <row r="218" spans="1:27">
      <c r="A218" s="83" t="str">
        <f t="shared" si="21"/>
        <v/>
      </c>
      <c r="B218" s="83" t="str">
        <f>IF(C218&lt;&gt;"",LEFT(C218,9),"")</f>
        <v/>
      </c>
      <c r="S218" s="83" t="str">
        <f t="shared" si="23"/>
        <v/>
      </c>
      <c r="T218" s="83" t="str">
        <f t="shared" si="24"/>
        <v/>
      </c>
      <c r="Y218" s="60">
        <f t="shared" si="25"/>
        <v>0</v>
      </c>
      <c r="Z218" s="49">
        <f t="shared" si="26"/>
        <v>0</v>
      </c>
      <c r="AA218" s="60">
        <f t="shared" si="27"/>
        <v>0</v>
      </c>
    </row>
    <row r="219" spans="1:27">
      <c r="A219" s="83" t="str">
        <f t="shared" si="21"/>
        <v/>
      </c>
      <c r="B219" s="83" t="str">
        <f t="shared" si="22"/>
        <v/>
      </c>
      <c r="S219" s="83" t="str">
        <f t="shared" si="23"/>
        <v/>
      </c>
      <c r="T219" s="83" t="str">
        <f t="shared" si="24"/>
        <v/>
      </c>
      <c r="Y219" s="60">
        <f t="shared" si="25"/>
        <v>0</v>
      </c>
      <c r="Z219" s="49">
        <f t="shared" si="26"/>
        <v>0</v>
      </c>
      <c r="AA219" s="60">
        <f t="shared" si="27"/>
        <v>0</v>
      </c>
    </row>
    <row r="220" spans="1:27">
      <c r="A220" s="83" t="str">
        <f t="shared" si="21"/>
        <v/>
      </c>
      <c r="B220" s="83" t="str">
        <f t="shared" si="22"/>
        <v/>
      </c>
      <c r="S220" s="83" t="str">
        <f t="shared" si="23"/>
        <v/>
      </c>
      <c r="T220" s="83" t="str">
        <f t="shared" si="24"/>
        <v/>
      </c>
      <c r="Y220" s="60">
        <f t="shared" si="25"/>
        <v>0</v>
      </c>
      <c r="Z220" s="49">
        <f t="shared" si="26"/>
        <v>0</v>
      </c>
      <c r="AA220" s="60">
        <f t="shared" si="27"/>
        <v>0</v>
      </c>
    </row>
    <row r="221" spans="1:27">
      <c r="A221" s="83" t="str">
        <f t="shared" si="21"/>
        <v/>
      </c>
      <c r="B221" s="83" t="str">
        <f t="shared" si="22"/>
        <v/>
      </c>
      <c r="S221" s="83" t="str">
        <f t="shared" si="23"/>
        <v/>
      </c>
      <c r="T221" s="83" t="str">
        <f t="shared" si="24"/>
        <v/>
      </c>
      <c r="Y221" s="60">
        <f t="shared" si="25"/>
        <v>0</v>
      </c>
      <c r="Z221" s="49">
        <f t="shared" si="26"/>
        <v>0</v>
      </c>
      <c r="AA221" s="60">
        <f t="shared" si="27"/>
        <v>0</v>
      </c>
    </row>
    <row r="222" spans="1:27">
      <c r="A222" s="83" t="str">
        <f t="shared" si="21"/>
        <v/>
      </c>
      <c r="B222" s="83" t="str">
        <f t="shared" si="22"/>
        <v/>
      </c>
      <c r="S222" s="83" t="str">
        <f t="shared" si="23"/>
        <v/>
      </c>
      <c r="T222" s="83" t="str">
        <f t="shared" si="24"/>
        <v/>
      </c>
      <c r="Y222" s="60">
        <f t="shared" si="25"/>
        <v>0</v>
      </c>
      <c r="Z222" s="49">
        <f t="shared" si="26"/>
        <v>0</v>
      </c>
      <c r="AA222" s="60">
        <f t="shared" si="27"/>
        <v>0</v>
      </c>
    </row>
    <row r="223" spans="1:27">
      <c r="A223" s="83" t="str">
        <f t="shared" si="21"/>
        <v/>
      </c>
      <c r="B223" s="83" t="str">
        <f t="shared" si="22"/>
        <v/>
      </c>
      <c r="S223" s="83" t="str">
        <f t="shared" si="23"/>
        <v/>
      </c>
      <c r="T223" s="83" t="str">
        <f t="shared" si="24"/>
        <v/>
      </c>
      <c r="Y223" s="60">
        <f t="shared" si="25"/>
        <v>0</v>
      </c>
      <c r="Z223" s="49">
        <f t="shared" si="26"/>
        <v>0</v>
      </c>
      <c r="AA223" s="60">
        <f t="shared" si="27"/>
        <v>0</v>
      </c>
    </row>
    <row r="224" spans="1:27">
      <c r="A224" s="83" t="str">
        <f t="shared" si="21"/>
        <v/>
      </c>
      <c r="B224" s="83" t="str">
        <f t="shared" si="22"/>
        <v/>
      </c>
      <c r="S224" s="83" t="str">
        <f t="shared" si="23"/>
        <v/>
      </c>
      <c r="T224" s="83" t="str">
        <f t="shared" si="24"/>
        <v/>
      </c>
      <c r="Y224" s="60">
        <f t="shared" si="25"/>
        <v>0</v>
      </c>
      <c r="Z224" s="49">
        <f t="shared" si="26"/>
        <v>0</v>
      </c>
      <c r="AA224" s="60">
        <f t="shared" si="27"/>
        <v>0</v>
      </c>
    </row>
    <row r="225" spans="1:27">
      <c r="A225" s="83" t="str">
        <f t="shared" si="21"/>
        <v/>
      </c>
      <c r="B225" s="83" t="str">
        <f t="shared" si="22"/>
        <v/>
      </c>
      <c r="S225" s="83" t="str">
        <f t="shared" si="23"/>
        <v/>
      </c>
      <c r="T225" s="83" t="str">
        <f t="shared" si="24"/>
        <v/>
      </c>
      <c r="Y225" s="60">
        <f t="shared" si="25"/>
        <v>0</v>
      </c>
      <c r="Z225" s="49">
        <f t="shared" si="26"/>
        <v>0</v>
      </c>
      <c r="AA225" s="60">
        <f t="shared" si="27"/>
        <v>0</v>
      </c>
    </row>
    <row r="226" spans="1:27">
      <c r="A226" s="83" t="str">
        <f t="shared" si="21"/>
        <v/>
      </c>
      <c r="B226" s="83" t="str">
        <f t="shared" si="22"/>
        <v/>
      </c>
      <c r="S226" s="83" t="str">
        <f t="shared" si="23"/>
        <v/>
      </c>
      <c r="T226" s="83" t="str">
        <f t="shared" si="24"/>
        <v/>
      </c>
      <c r="Y226" s="60">
        <f t="shared" si="25"/>
        <v>0</v>
      </c>
      <c r="Z226" s="49">
        <f t="shared" si="26"/>
        <v>0</v>
      </c>
      <c r="AA226" s="60">
        <f t="shared" si="27"/>
        <v>0</v>
      </c>
    </row>
    <row r="227" spans="1:27">
      <c r="A227" s="83" t="str">
        <f t="shared" si="21"/>
        <v/>
      </c>
      <c r="B227" s="83" t="str">
        <f t="shared" si="22"/>
        <v/>
      </c>
      <c r="S227" s="83" t="str">
        <f t="shared" si="23"/>
        <v/>
      </c>
      <c r="T227" s="83" t="str">
        <f t="shared" si="24"/>
        <v/>
      </c>
      <c r="Y227" s="60">
        <f t="shared" si="25"/>
        <v>0</v>
      </c>
      <c r="Z227" s="49">
        <f t="shared" si="26"/>
        <v>0</v>
      </c>
      <c r="AA227" s="60">
        <f t="shared" si="27"/>
        <v>0</v>
      </c>
    </row>
    <row r="228" spans="1:27">
      <c r="A228" s="83" t="str">
        <f t="shared" si="21"/>
        <v/>
      </c>
      <c r="B228" s="83" t="str">
        <f t="shared" si="22"/>
        <v/>
      </c>
      <c r="S228" s="83" t="str">
        <f t="shared" si="23"/>
        <v/>
      </c>
      <c r="T228" s="83" t="str">
        <f t="shared" si="24"/>
        <v/>
      </c>
      <c r="Y228" s="60">
        <f t="shared" si="25"/>
        <v>0</v>
      </c>
      <c r="Z228" s="49">
        <f t="shared" si="26"/>
        <v>0</v>
      </c>
      <c r="AA228" s="60">
        <f t="shared" si="27"/>
        <v>0</v>
      </c>
    </row>
    <row r="229" spans="1:27">
      <c r="A229" s="83" t="str">
        <f t="shared" si="21"/>
        <v/>
      </c>
      <c r="B229" s="83" t="str">
        <f t="shared" si="22"/>
        <v/>
      </c>
      <c r="S229" s="83" t="str">
        <f t="shared" si="23"/>
        <v/>
      </c>
      <c r="T229" s="83" t="str">
        <f t="shared" si="24"/>
        <v/>
      </c>
      <c r="Y229" s="60">
        <f t="shared" si="25"/>
        <v>0</v>
      </c>
      <c r="Z229" s="49">
        <f t="shared" si="26"/>
        <v>0</v>
      </c>
      <c r="AA229" s="60">
        <f t="shared" si="27"/>
        <v>0</v>
      </c>
    </row>
    <row r="230" spans="1:27">
      <c r="A230" s="83" t="str">
        <f t="shared" si="21"/>
        <v/>
      </c>
      <c r="B230" s="83" t="str">
        <f t="shared" si="22"/>
        <v/>
      </c>
      <c r="S230" s="83" t="str">
        <f t="shared" si="23"/>
        <v/>
      </c>
      <c r="T230" s="83" t="str">
        <f t="shared" si="24"/>
        <v/>
      </c>
      <c r="Y230" s="60">
        <f t="shared" si="25"/>
        <v>0</v>
      </c>
      <c r="Z230" s="49">
        <f t="shared" si="26"/>
        <v>0</v>
      </c>
      <c r="AA230" s="60">
        <f t="shared" si="27"/>
        <v>0</v>
      </c>
    </row>
    <row r="231" spans="1:27">
      <c r="A231" s="83" t="str">
        <f t="shared" si="21"/>
        <v/>
      </c>
      <c r="B231" s="83" t="str">
        <f t="shared" si="22"/>
        <v/>
      </c>
      <c r="S231" s="83" t="str">
        <f t="shared" si="23"/>
        <v/>
      </c>
      <c r="T231" s="83" t="str">
        <f t="shared" si="24"/>
        <v/>
      </c>
      <c r="Y231" s="60">
        <f t="shared" si="25"/>
        <v>0</v>
      </c>
      <c r="Z231" s="49">
        <f t="shared" si="26"/>
        <v>0</v>
      </c>
      <c r="AA231" s="60">
        <f t="shared" si="27"/>
        <v>0</v>
      </c>
    </row>
    <row r="232" spans="1:27">
      <c r="A232" s="83" t="str">
        <f t="shared" si="21"/>
        <v/>
      </c>
      <c r="B232" s="83" t="str">
        <f t="shared" si="22"/>
        <v/>
      </c>
      <c r="S232" s="83" t="str">
        <f t="shared" si="23"/>
        <v/>
      </c>
      <c r="T232" s="83" t="str">
        <f t="shared" si="24"/>
        <v/>
      </c>
      <c r="Y232" s="60">
        <f t="shared" si="25"/>
        <v>0</v>
      </c>
      <c r="Z232" s="49">
        <f t="shared" si="26"/>
        <v>0</v>
      </c>
      <c r="AA232" s="60">
        <f t="shared" si="27"/>
        <v>0</v>
      </c>
    </row>
    <row r="233" spans="1:27">
      <c r="A233" s="83" t="str">
        <f t="shared" si="21"/>
        <v/>
      </c>
      <c r="B233" s="83" t="str">
        <f t="shared" si="22"/>
        <v/>
      </c>
      <c r="S233" s="83" t="str">
        <f t="shared" si="23"/>
        <v/>
      </c>
      <c r="T233" s="83" t="str">
        <f t="shared" si="24"/>
        <v/>
      </c>
      <c r="Y233" s="60">
        <f t="shared" si="25"/>
        <v>0</v>
      </c>
      <c r="Z233" s="49">
        <f t="shared" si="26"/>
        <v>0</v>
      </c>
      <c r="AA233" s="60">
        <f t="shared" si="27"/>
        <v>0</v>
      </c>
    </row>
    <row r="234" spans="1:27">
      <c r="A234" s="83" t="str">
        <f t="shared" si="21"/>
        <v/>
      </c>
      <c r="B234" s="83" t="str">
        <f t="shared" si="22"/>
        <v/>
      </c>
      <c r="S234" s="83" t="str">
        <f t="shared" si="23"/>
        <v/>
      </c>
      <c r="T234" s="83" t="str">
        <f t="shared" si="24"/>
        <v/>
      </c>
      <c r="Y234" s="60">
        <f t="shared" si="25"/>
        <v>0</v>
      </c>
      <c r="Z234" s="49">
        <f t="shared" si="26"/>
        <v>0</v>
      </c>
      <c r="AA234" s="60">
        <f t="shared" si="27"/>
        <v>0</v>
      </c>
    </row>
    <row r="235" spans="1:27">
      <c r="A235" s="83" t="str">
        <f t="shared" si="21"/>
        <v/>
      </c>
      <c r="B235" s="83" t="str">
        <f t="shared" si="22"/>
        <v/>
      </c>
      <c r="S235" s="83" t="str">
        <f t="shared" si="23"/>
        <v/>
      </c>
      <c r="T235" s="83" t="str">
        <f t="shared" si="24"/>
        <v/>
      </c>
      <c r="Y235" s="60">
        <f t="shared" si="25"/>
        <v>0</v>
      </c>
      <c r="Z235" s="49">
        <f t="shared" si="26"/>
        <v>0</v>
      </c>
      <c r="AA235" s="60">
        <f t="shared" si="27"/>
        <v>0</v>
      </c>
    </row>
    <row r="236" spans="1:27">
      <c r="A236" s="83" t="str">
        <f t="shared" si="21"/>
        <v/>
      </c>
      <c r="B236" s="83" t="str">
        <f t="shared" si="22"/>
        <v/>
      </c>
      <c r="S236" s="83" t="str">
        <f t="shared" si="23"/>
        <v/>
      </c>
      <c r="T236" s="83" t="str">
        <f t="shared" si="24"/>
        <v/>
      </c>
      <c r="Y236" s="60">
        <f t="shared" si="25"/>
        <v>0</v>
      </c>
      <c r="Z236" s="49">
        <f t="shared" si="26"/>
        <v>0</v>
      </c>
      <c r="AA236" s="60">
        <f t="shared" si="27"/>
        <v>0</v>
      </c>
    </row>
    <row r="237" spans="1:27">
      <c r="A237" s="83" t="str">
        <f t="shared" si="21"/>
        <v/>
      </c>
      <c r="B237" s="83" t="str">
        <f t="shared" si="22"/>
        <v/>
      </c>
      <c r="S237" s="83" t="str">
        <f t="shared" si="23"/>
        <v/>
      </c>
      <c r="T237" s="83" t="str">
        <f t="shared" si="24"/>
        <v/>
      </c>
      <c r="Y237" s="60">
        <f t="shared" si="25"/>
        <v>0</v>
      </c>
      <c r="Z237" s="49">
        <f t="shared" si="26"/>
        <v>0</v>
      </c>
      <c r="AA237" s="60">
        <f t="shared" si="27"/>
        <v>0</v>
      </c>
    </row>
    <row r="238" spans="1:27">
      <c r="A238" s="83" t="str">
        <f t="shared" si="21"/>
        <v/>
      </c>
      <c r="B238" s="83" t="str">
        <f t="shared" si="22"/>
        <v/>
      </c>
      <c r="S238" s="83" t="str">
        <f t="shared" si="23"/>
        <v/>
      </c>
      <c r="T238" s="83" t="str">
        <f t="shared" si="24"/>
        <v/>
      </c>
      <c r="Y238" s="60">
        <f t="shared" si="25"/>
        <v>0</v>
      </c>
      <c r="Z238" s="49">
        <f t="shared" si="26"/>
        <v>0</v>
      </c>
      <c r="AA238" s="60">
        <f t="shared" si="27"/>
        <v>0</v>
      </c>
    </row>
    <row r="239" spans="1:27">
      <c r="A239" s="83" t="str">
        <f t="shared" si="21"/>
        <v/>
      </c>
      <c r="B239" s="83" t="str">
        <f t="shared" si="22"/>
        <v/>
      </c>
      <c r="S239" s="83" t="str">
        <f t="shared" si="23"/>
        <v/>
      </c>
      <c r="T239" s="83" t="str">
        <f t="shared" si="24"/>
        <v/>
      </c>
      <c r="Y239" s="60">
        <f t="shared" si="25"/>
        <v>0</v>
      </c>
      <c r="Z239" s="49">
        <f t="shared" si="26"/>
        <v>0</v>
      </c>
      <c r="AA239" s="60">
        <f t="shared" si="27"/>
        <v>0</v>
      </c>
    </row>
    <row r="240" spans="1:27">
      <c r="A240" s="83" t="str">
        <f t="shared" si="21"/>
        <v/>
      </c>
      <c r="B240" s="83" t="str">
        <f t="shared" si="22"/>
        <v/>
      </c>
      <c r="S240" s="83" t="str">
        <f t="shared" si="23"/>
        <v/>
      </c>
      <c r="T240" s="83" t="str">
        <f t="shared" si="24"/>
        <v/>
      </c>
      <c r="Y240" s="60">
        <f t="shared" si="25"/>
        <v>0</v>
      </c>
      <c r="Z240" s="49">
        <f t="shared" si="26"/>
        <v>0</v>
      </c>
      <c r="AA240" s="60">
        <f t="shared" si="27"/>
        <v>0</v>
      </c>
    </row>
    <row r="241" spans="1:27">
      <c r="A241" s="83" t="str">
        <f t="shared" si="21"/>
        <v/>
      </c>
      <c r="B241" s="83" t="str">
        <f t="shared" si="22"/>
        <v/>
      </c>
      <c r="S241" s="83" t="str">
        <f t="shared" si="23"/>
        <v/>
      </c>
      <c r="T241" s="83" t="str">
        <f t="shared" si="24"/>
        <v/>
      </c>
      <c r="Y241" s="60">
        <f t="shared" si="25"/>
        <v>0</v>
      </c>
      <c r="Z241" s="49">
        <f t="shared" si="26"/>
        <v>0</v>
      </c>
      <c r="AA241" s="60">
        <f t="shared" si="27"/>
        <v>0</v>
      </c>
    </row>
    <row r="242" spans="1:27">
      <c r="A242" s="83" t="str">
        <f t="shared" si="21"/>
        <v/>
      </c>
      <c r="B242" s="83" t="str">
        <f t="shared" si="22"/>
        <v/>
      </c>
      <c r="S242" s="83" t="str">
        <f t="shared" si="23"/>
        <v/>
      </c>
      <c r="T242" s="83" t="str">
        <f t="shared" si="24"/>
        <v/>
      </c>
      <c r="Y242" s="60">
        <f t="shared" si="25"/>
        <v>0</v>
      </c>
      <c r="Z242" s="49">
        <f t="shared" si="26"/>
        <v>0</v>
      </c>
      <c r="AA242" s="60">
        <f t="shared" si="27"/>
        <v>0</v>
      </c>
    </row>
    <row r="243" spans="1:27">
      <c r="A243" s="83" t="str">
        <f t="shared" si="21"/>
        <v/>
      </c>
      <c r="B243" s="83" t="str">
        <f t="shared" si="22"/>
        <v/>
      </c>
      <c r="S243" s="83" t="str">
        <f t="shared" si="23"/>
        <v/>
      </c>
      <c r="T243" s="83" t="str">
        <f t="shared" si="24"/>
        <v/>
      </c>
      <c r="Y243" s="60">
        <f t="shared" si="25"/>
        <v>0</v>
      </c>
      <c r="Z243" s="49">
        <f t="shared" si="26"/>
        <v>0</v>
      </c>
      <c r="AA243" s="60">
        <f t="shared" si="27"/>
        <v>0</v>
      </c>
    </row>
    <row r="244" spans="1:27">
      <c r="A244" s="83" t="str">
        <f t="shared" si="21"/>
        <v/>
      </c>
      <c r="B244" s="83" t="str">
        <f t="shared" si="22"/>
        <v/>
      </c>
      <c r="S244" s="83" t="str">
        <f t="shared" si="23"/>
        <v/>
      </c>
      <c r="T244" s="83" t="str">
        <f t="shared" si="24"/>
        <v/>
      </c>
      <c r="Y244" s="60">
        <f t="shared" si="25"/>
        <v>0</v>
      </c>
      <c r="Z244" s="49">
        <f t="shared" si="26"/>
        <v>0</v>
      </c>
      <c r="AA244" s="60">
        <f t="shared" si="27"/>
        <v>0</v>
      </c>
    </row>
    <row r="245" spans="1:27">
      <c r="A245" s="83" t="str">
        <f t="shared" si="21"/>
        <v/>
      </c>
      <c r="B245" s="83" t="str">
        <f t="shared" si="22"/>
        <v/>
      </c>
      <c r="S245" s="83" t="str">
        <f t="shared" si="23"/>
        <v/>
      </c>
      <c r="T245" s="83" t="str">
        <f t="shared" si="24"/>
        <v/>
      </c>
      <c r="Y245" s="60">
        <f t="shared" si="25"/>
        <v>0</v>
      </c>
      <c r="Z245" s="49">
        <f t="shared" si="26"/>
        <v>0</v>
      </c>
      <c r="AA245" s="60">
        <f t="shared" si="27"/>
        <v>0</v>
      </c>
    </row>
    <row r="246" spans="1:27">
      <c r="A246" s="83" t="str">
        <f t="shared" si="21"/>
        <v/>
      </c>
      <c r="B246" s="83" t="str">
        <f t="shared" si="22"/>
        <v/>
      </c>
      <c r="S246" s="83" t="str">
        <f t="shared" si="23"/>
        <v/>
      </c>
      <c r="T246" s="83" t="str">
        <f t="shared" si="24"/>
        <v/>
      </c>
      <c r="Y246" s="60">
        <f t="shared" si="25"/>
        <v>0</v>
      </c>
      <c r="Z246" s="49">
        <f t="shared" si="26"/>
        <v>0</v>
      </c>
      <c r="AA246" s="60">
        <f t="shared" si="27"/>
        <v>0</v>
      </c>
    </row>
    <row r="247" spans="1:27">
      <c r="A247" s="83" t="str">
        <f t="shared" si="21"/>
        <v/>
      </c>
      <c r="B247" s="83" t="str">
        <f t="shared" si="22"/>
        <v/>
      </c>
      <c r="S247" s="83" t="str">
        <f t="shared" si="23"/>
        <v/>
      </c>
      <c r="T247" s="83" t="str">
        <f t="shared" si="24"/>
        <v/>
      </c>
      <c r="Y247" s="60">
        <f t="shared" si="25"/>
        <v>0</v>
      </c>
      <c r="Z247" s="49">
        <f t="shared" si="26"/>
        <v>0</v>
      </c>
      <c r="AA247" s="60">
        <f t="shared" si="27"/>
        <v>0</v>
      </c>
    </row>
    <row r="248" spans="1:27">
      <c r="A248" s="83" t="str">
        <f t="shared" si="21"/>
        <v/>
      </c>
      <c r="B248" s="83" t="str">
        <f t="shared" si="22"/>
        <v/>
      </c>
      <c r="S248" s="83" t="str">
        <f t="shared" si="23"/>
        <v/>
      </c>
      <c r="T248" s="83" t="str">
        <f t="shared" si="24"/>
        <v/>
      </c>
      <c r="Y248" s="60">
        <f t="shared" si="25"/>
        <v>0</v>
      </c>
      <c r="Z248" s="49">
        <f t="shared" si="26"/>
        <v>0</v>
      </c>
      <c r="AA248" s="60">
        <f t="shared" si="27"/>
        <v>0</v>
      </c>
    </row>
    <row r="249" spans="1:27">
      <c r="A249" s="83" t="str">
        <f t="shared" si="21"/>
        <v/>
      </c>
      <c r="B249" s="83" t="str">
        <f t="shared" si="22"/>
        <v/>
      </c>
      <c r="S249" s="83" t="str">
        <f t="shared" si="23"/>
        <v/>
      </c>
      <c r="T249" s="83" t="str">
        <f t="shared" si="24"/>
        <v/>
      </c>
      <c r="Y249" s="60">
        <f t="shared" si="25"/>
        <v>0</v>
      </c>
      <c r="Z249" s="49">
        <f t="shared" si="26"/>
        <v>0</v>
      </c>
      <c r="AA249" s="60">
        <f t="shared" si="27"/>
        <v>0</v>
      </c>
    </row>
    <row r="250" spans="1:27">
      <c r="A250" s="83" t="str">
        <f t="shared" si="21"/>
        <v/>
      </c>
      <c r="B250" s="83" t="str">
        <f t="shared" si="22"/>
        <v/>
      </c>
      <c r="S250" s="83" t="str">
        <f t="shared" si="23"/>
        <v/>
      </c>
      <c r="T250" s="83" t="str">
        <f t="shared" si="24"/>
        <v/>
      </c>
      <c r="Y250" s="60">
        <f t="shared" si="25"/>
        <v>0</v>
      </c>
      <c r="Z250" s="49">
        <f t="shared" si="26"/>
        <v>0</v>
      </c>
      <c r="AA250" s="60">
        <f t="shared" si="27"/>
        <v>0</v>
      </c>
    </row>
    <row r="251" spans="1:27">
      <c r="A251" s="83" t="str">
        <f t="shared" si="21"/>
        <v/>
      </c>
      <c r="B251" s="83" t="str">
        <f t="shared" si="22"/>
        <v/>
      </c>
      <c r="S251" s="83" t="str">
        <f t="shared" si="23"/>
        <v/>
      </c>
      <c r="T251" s="83" t="str">
        <f t="shared" si="24"/>
        <v/>
      </c>
      <c r="Y251" s="60">
        <f t="shared" si="25"/>
        <v>0</v>
      </c>
      <c r="Z251" s="49">
        <f t="shared" si="26"/>
        <v>0</v>
      </c>
      <c r="AA251" s="60">
        <f t="shared" si="27"/>
        <v>0</v>
      </c>
    </row>
    <row r="252" spans="1:27">
      <c r="A252" s="83" t="str">
        <f t="shared" si="21"/>
        <v/>
      </c>
      <c r="B252" s="83" t="str">
        <f t="shared" si="22"/>
        <v/>
      </c>
      <c r="S252" s="83" t="str">
        <f t="shared" si="23"/>
        <v/>
      </c>
      <c r="T252" s="83" t="str">
        <f t="shared" si="24"/>
        <v/>
      </c>
      <c r="Y252" s="60">
        <f t="shared" si="25"/>
        <v>0</v>
      </c>
      <c r="Z252" s="49">
        <f t="shared" si="26"/>
        <v>0</v>
      </c>
      <c r="AA252" s="60">
        <f t="shared" si="27"/>
        <v>0</v>
      </c>
    </row>
    <row r="253" spans="1:27">
      <c r="A253" s="83" t="str">
        <f t="shared" si="21"/>
        <v/>
      </c>
      <c r="B253" s="83" t="str">
        <f t="shared" si="22"/>
        <v/>
      </c>
      <c r="S253" s="83" t="str">
        <f t="shared" si="23"/>
        <v/>
      </c>
      <c r="T253" s="83" t="str">
        <f t="shared" si="24"/>
        <v/>
      </c>
      <c r="Y253" s="60">
        <f t="shared" si="25"/>
        <v>0</v>
      </c>
      <c r="Z253" s="49">
        <f t="shared" si="26"/>
        <v>0</v>
      </c>
      <c r="AA253" s="60">
        <f t="shared" si="27"/>
        <v>0</v>
      </c>
    </row>
    <row r="254" spans="1:27">
      <c r="A254" s="83" t="str">
        <f t="shared" si="21"/>
        <v/>
      </c>
      <c r="B254" s="83" t="str">
        <f t="shared" si="22"/>
        <v/>
      </c>
      <c r="S254" s="83" t="str">
        <f t="shared" si="23"/>
        <v/>
      </c>
      <c r="T254" s="83" t="str">
        <f t="shared" si="24"/>
        <v/>
      </c>
      <c r="Y254" s="60">
        <f t="shared" si="25"/>
        <v>0</v>
      </c>
      <c r="Z254" s="49">
        <f t="shared" si="26"/>
        <v>0</v>
      </c>
      <c r="AA254" s="60">
        <f t="shared" si="27"/>
        <v>0</v>
      </c>
    </row>
    <row r="255" spans="1:27">
      <c r="A255" s="83" t="str">
        <f t="shared" si="21"/>
        <v/>
      </c>
      <c r="B255" s="83" t="str">
        <f t="shared" si="22"/>
        <v/>
      </c>
      <c r="S255" s="83" t="str">
        <f t="shared" si="23"/>
        <v/>
      </c>
      <c r="T255" s="83" t="str">
        <f t="shared" si="24"/>
        <v/>
      </c>
      <c r="Y255" s="60">
        <f t="shared" si="25"/>
        <v>0</v>
      </c>
      <c r="Z255" s="49">
        <f t="shared" si="26"/>
        <v>0</v>
      </c>
      <c r="AA255" s="60">
        <f t="shared" si="27"/>
        <v>0</v>
      </c>
    </row>
    <row r="256" spans="1:27">
      <c r="A256" s="83" t="str">
        <f t="shared" si="21"/>
        <v/>
      </c>
      <c r="B256" s="83" t="str">
        <f t="shared" si="22"/>
        <v/>
      </c>
      <c r="S256" s="83" t="str">
        <f t="shared" si="23"/>
        <v/>
      </c>
      <c r="T256" s="83" t="str">
        <f t="shared" si="24"/>
        <v/>
      </c>
      <c r="Y256" s="60">
        <f t="shared" si="25"/>
        <v>0</v>
      </c>
      <c r="Z256" s="49">
        <f t="shared" si="26"/>
        <v>0</v>
      </c>
      <c r="AA256" s="60">
        <f t="shared" si="27"/>
        <v>0</v>
      </c>
    </row>
    <row r="257" spans="1:27">
      <c r="A257" s="83" t="str">
        <f t="shared" si="21"/>
        <v/>
      </c>
      <c r="B257" s="83" t="str">
        <f t="shared" si="22"/>
        <v/>
      </c>
      <c r="S257" s="83" t="str">
        <f t="shared" si="23"/>
        <v/>
      </c>
      <c r="T257" s="83" t="str">
        <f t="shared" si="24"/>
        <v/>
      </c>
      <c r="Y257" s="60">
        <f t="shared" si="25"/>
        <v>0</v>
      </c>
      <c r="Z257" s="49">
        <f t="shared" si="26"/>
        <v>0</v>
      </c>
      <c r="AA257" s="60">
        <f t="shared" si="27"/>
        <v>0</v>
      </c>
    </row>
    <row r="258" spans="1:27">
      <c r="A258" s="83" t="str">
        <f t="shared" si="21"/>
        <v/>
      </c>
      <c r="B258" s="83" t="str">
        <f t="shared" si="22"/>
        <v/>
      </c>
      <c r="S258" s="83" t="str">
        <f t="shared" si="23"/>
        <v/>
      </c>
      <c r="T258" s="83" t="str">
        <f t="shared" si="24"/>
        <v/>
      </c>
      <c r="Y258" s="60">
        <f t="shared" si="25"/>
        <v>0</v>
      </c>
      <c r="Z258" s="49">
        <f t="shared" si="26"/>
        <v>0</v>
      </c>
      <c r="AA258" s="60">
        <f t="shared" si="27"/>
        <v>0</v>
      </c>
    </row>
    <row r="259" spans="1:27">
      <c r="A259" s="83" t="str">
        <f t="shared" ref="A259:A322" si="28">IF(G259&amp;Q259&lt;&gt;"",S259&amp;Q259,"")</f>
        <v/>
      </c>
      <c r="B259" s="83" t="str">
        <f t="shared" ref="B259:B322" si="29">IF(C259&lt;&gt;"",LEFT(C259,9),"")</f>
        <v/>
      </c>
      <c r="S259" s="83" t="str">
        <f t="shared" ref="S259:S322" si="30">IF(G259&lt;&gt;"",IF(StyleSpaceSplit,IFERROR(IF(FIND(" ",G259)&gt;=1,MID(G259,1,FIND(" ",G259)-1),G259),G259),G259),"")</f>
        <v/>
      </c>
      <c r="T259" s="83" t="str">
        <f t="shared" ref="T259:T322" si="31">IF(A259&lt;&gt;"",IFERROR(IF(FIND(" ",G259)&gt;=1,MID(G259,FIND(" ",G259)+1,LEN(G259)),""),G259),"")</f>
        <v/>
      </c>
      <c r="Y259" s="60">
        <f t="shared" ref="Y259:Y322" si="32">IFERROR(VALUE(MID($C259,1,2)),0)</f>
        <v>0</v>
      </c>
      <c r="Z259" s="49">
        <f t="shared" ref="Z259:Z322" si="33">IFERROR(VALUE(MID($C259,4,3)),0)</f>
        <v>0</v>
      </c>
      <c r="AA259" s="60">
        <f t="shared" ref="AA259:AA322" si="34">VALUE(RIGHT("00"&amp;Y259,2)&amp;RIGHT("000"&amp;Z259,3))</f>
        <v>0</v>
      </c>
    </row>
    <row r="260" spans="1:27">
      <c r="A260" s="83" t="str">
        <f t="shared" si="28"/>
        <v/>
      </c>
      <c r="B260" s="83" t="str">
        <f t="shared" si="29"/>
        <v/>
      </c>
      <c r="S260" s="83" t="str">
        <f t="shared" si="30"/>
        <v/>
      </c>
      <c r="T260" s="83" t="str">
        <f t="shared" si="31"/>
        <v/>
      </c>
      <c r="Y260" s="60">
        <f t="shared" si="32"/>
        <v>0</v>
      </c>
      <c r="Z260" s="49">
        <f t="shared" si="33"/>
        <v>0</v>
      </c>
      <c r="AA260" s="60">
        <f t="shared" si="34"/>
        <v>0</v>
      </c>
    </row>
    <row r="261" spans="1:27">
      <c r="A261" s="83" t="str">
        <f t="shared" si="28"/>
        <v/>
      </c>
      <c r="B261" s="83" t="str">
        <f t="shared" si="29"/>
        <v/>
      </c>
      <c r="S261" s="83" t="str">
        <f t="shared" si="30"/>
        <v/>
      </c>
      <c r="T261" s="83" t="str">
        <f t="shared" si="31"/>
        <v/>
      </c>
      <c r="Y261" s="60">
        <f t="shared" si="32"/>
        <v>0</v>
      </c>
      <c r="Z261" s="49">
        <f t="shared" si="33"/>
        <v>0</v>
      </c>
      <c r="AA261" s="60">
        <f t="shared" si="34"/>
        <v>0</v>
      </c>
    </row>
    <row r="262" spans="1:27">
      <c r="A262" s="83" t="str">
        <f t="shared" si="28"/>
        <v/>
      </c>
      <c r="B262" s="83" t="str">
        <f t="shared" si="29"/>
        <v/>
      </c>
      <c r="S262" s="83" t="str">
        <f t="shared" si="30"/>
        <v/>
      </c>
      <c r="T262" s="83" t="str">
        <f t="shared" si="31"/>
        <v/>
      </c>
      <c r="Y262" s="60">
        <f t="shared" si="32"/>
        <v>0</v>
      </c>
      <c r="Z262" s="49">
        <f t="shared" si="33"/>
        <v>0</v>
      </c>
      <c r="AA262" s="60">
        <f t="shared" si="34"/>
        <v>0</v>
      </c>
    </row>
    <row r="263" spans="1:27">
      <c r="A263" s="83" t="str">
        <f t="shared" si="28"/>
        <v/>
      </c>
      <c r="B263" s="83" t="str">
        <f t="shared" si="29"/>
        <v/>
      </c>
      <c r="S263" s="83" t="str">
        <f t="shared" si="30"/>
        <v/>
      </c>
      <c r="T263" s="83" t="str">
        <f t="shared" si="31"/>
        <v/>
      </c>
      <c r="Y263" s="60">
        <f t="shared" si="32"/>
        <v>0</v>
      </c>
      <c r="Z263" s="49">
        <f t="shared" si="33"/>
        <v>0</v>
      </c>
      <c r="AA263" s="60">
        <f t="shared" si="34"/>
        <v>0</v>
      </c>
    </row>
    <row r="264" spans="1:27">
      <c r="A264" s="83" t="str">
        <f t="shared" si="28"/>
        <v/>
      </c>
      <c r="B264" s="83" t="str">
        <f t="shared" si="29"/>
        <v/>
      </c>
      <c r="S264" s="83" t="str">
        <f t="shared" si="30"/>
        <v/>
      </c>
      <c r="T264" s="83" t="str">
        <f t="shared" si="31"/>
        <v/>
      </c>
      <c r="Y264" s="60">
        <f t="shared" si="32"/>
        <v>0</v>
      </c>
      <c r="Z264" s="49">
        <f t="shared" si="33"/>
        <v>0</v>
      </c>
      <c r="AA264" s="60">
        <f t="shared" si="34"/>
        <v>0</v>
      </c>
    </row>
    <row r="265" spans="1:27">
      <c r="A265" s="83" t="str">
        <f t="shared" si="28"/>
        <v/>
      </c>
      <c r="B265" s="83" t="str">
        <f t="shared" si="29"/>
        <v/>
      </c>
      <c r="S265" s="83" t="str">
        <f t="shared" si="30"/>
        <v/>
      </c>
      <c r="T265" s="83" t="str">
        <f t="shared" si="31"/>
        <v/>
      </c>
      <c r="Y265" s="60">
        <f t="shared" si="32"/>
        <v>0</v>
      </c>
      <c r="Z265" s="49">
        <f t="shared" si="33"/>
        <v>0</v>
      </c>
      <c r="AA265" s="60">
        <f t="shared" si="34"/>
        <v>0</v>
      </c>
    </row>
    <row r="266" spans="1:27">
      <c r="A266" s="83" t="str">
        <f t="shared" si="28"/>
        <v/>
      </c>
      <c r="B266" s="83" t="str">
        <f t="shared" si="29"/>
        <v/>
      </c>
      <c r="S266" s="83" t="str">
        <f t="shared" si="30"/>
        <v/>
      </c>
      <c r="T266" s="83" t="str">
        <f t="shared" si="31"/>
        <v/>
      </c>
      <c r="Y266" s="60">
        <f t="shared" si="32"/>
        <v>0</v>
      </c>
      <c r="Z266" s="49">
        <f t="shared" si="33"/>
        <v>0</v>
      </c>
      <c r="AA266" s="60">
        <f t="shared" si="34"/>
        <v>0</v>
      </c>
    </row>
    <row r="267" spans="1:27">
      <c r="A267" s="83" t="str">
        <f t="shared" si="28"/>
        <v/>
      </c>
      <c r="B267" s="83" t="str">
        <f t="shared" si="29"/>
        <v/>
      </c>
      <c r="S267" s="83" t="str">
        <f t="shared" si="30"/>
        <v/>
      </c>
      <c r="T267" s="83" t="str">
        <f t="shared" si="31"/>
        <v/>
      </c>
      <c r="Y267" s="60">
        <f t="shared" si="32"/>
        <v>0</v>
      </c>
      <c r="Z267" s="49">
        <f t="shared" si="33"/>
        <v>0</v>
      </c>
      <c r="AA267" s="60">
        <f t="shared" si="34"/>
        <v>0</v>
      </c>
    </row>
    <row r="268" spans="1:27">
      <c r="A268" s="83" t="str">
        <f t="shared" si="28"/>
        <v/>
      </c>
      <c r="B268" s="83" t="str">
        <f t="shared" si="29"/>
        <v/>
      </c>
      <c r="S268" s="83" t="str">
        <f t="shared" si="30"/>
        <v/>
      </c>
      <c r="T268" s="83" t="str">
        <f t="shared" si="31"/>
        <v/>
      </c>
      <c r="Y268" s="60">
        <f t="shared" si="32"/>
        <v>0</v>
      </c>
      <c r="Z268" s="49">
        <f t="shared" si="33"/>
        <v>0</v>
      </c>
      <c r="AA268" s="60">
        <f t="shared" si="34"/>
        <v>0</v>
      </c>
    </row>
    <row r="269" spans="1:27">
      <c r="A269" s="83" t="str">
        <f t="shared" si="28"/>
        <v/>
      </c>
      <c r="B269" s="83" t="str">
        <f t="shared" si="29"/>
        <v/>
      </c>
      <c r="S269" s="83" t="str">
        <f t="shared" si="30"/>
        <v/>
      </c>
      <c r="T269" s="83" t="str">
        <f t="shared" si="31"/>
        <v/>
      </c>
      <c r="Y269" s="60">
        <f t="shared" si="32"/>
        <v>0</v>
      </c>
      <c r="Z269" s="49">
        <f t="shared" si="33"/>
        <v>0</v>
      </c>
      <c r="AA269" s="60">
        <f t="shared" si="34"/>
        <v>0</v>
      </c>
    </row>
    <row r="270" spans="1:27">
      <c r="A270" s="83" t="str">
        <f t="shared" si="28"/>
        <v/>
      </c>
      <c r="B270" s="83" t="str">
        <f t="shared" si="29"/>
        <v/>
      </c>
      <c r="S270" s="83" t="str">
        <f t="shared" si="30"/>
        <v/>
      </c>
      <c r="T270" s="83" t="str">
        <f t="shared" si="31"/>
        <v/>
      </c>
      <c r="Y270" s="60">
        <f t="shared" si="32"/>
        <v>0</v>
      </c>
      <c r="Z270" s="49">
        <f t="shared" si="33"/>
        <v>0</v>
      </c>
      <c r="AA270" s="60">
        <f t="shared" si="34"/>
        <v>0</v>
      </c>
    </row>
    <row r="271" spans="1:27">
      <c r="A271" s="83" t="str">
        <f t="shared" si="28"/>
        <v/>
      </c>
      <c r="B271" s="83" t="str">
        <f t="shared" si="29"/>
        <v/>
      </c>
      <c r="S271" s="83" t="str">
        <f t="shared" si="30"/>
        <v/>
      </c>
      <c r="T271" s="83" t="str">
        <f t="shared" si="31"/>
        <v/>
      </c>
      <c r="Y271" s="60">
        <f t="shared" si="32"/>
        <v>0</v>
      </c>
      <c r="Z271" s="49">
        <f t="shared" si="33"/>
        <v>0</v>
      </c>
      <c r="AA271" s="60">
        <f t="shared" si="34"/>
        <v>0</v>
      </c>
    </row>
    <row r="272" spans="1:27">
      <c r="A272" s="83" t="str">
        <f t="shared" si="28"/>
        <v/>
      </c>
      <c r="B272" s="83" t="str">
        <f t="shared" si="29"/>
        <v/>
      </c>
      <c r="S272" s="83" t="str">
        <f t="shared" si="30"/>
        <v/>
      </c>
      <c r="T272" s="83" t="str">
        <f t="shared" si="31"/>
        <v/>
      </c>
      <c r="Y272" s="60">
        <f t="shared" si="32"/>
        <v>0</v>
      </c>
      <c r="Z272" s="49">
        <f t="shared" si="33"/>
        <v>0</v>
      </c>
      <c r="AA272" s="60">
        <f t="shared" si="34"/>
        <v>0</v>
      </c>
    </row>
    <row r="273" spans="1:27">
      <c r="A273" s="83" t="str">
        <f t="shared" si="28"/>
        <v/>
      </c>
      <c r="B273" s="83" t="str">
        <f t="shared" si="29"/>
        <v/>
      </c>
      <c r="S273" s="83" t="str">
        <f t="shared" si="30"/>
        <v/>
      </c>
      <c r="T273" s="83" t="str">
        <f t="shared" si="31"/>
        <v/>
      </c>
      <c r="Y273" s="60">
        <f t="shared" si="32"/>
        <v>0</v>
      </c>
      <c r="Z273" s="49">
        <f t="shared" si="33"/>
        <v>0</v>
      </c>
      <c r="AA273" s="60">
        <f t="shared" si="34"/>
        <v>0</v>
      </c>
    </row>
    <row r="274" spans="1:27">
      <c r="A274" s="83" t="str">
        <f t="shared" si="28"/>
        <v/>
      </c>
      <c r="B274" s="83" t="str">
        <f t="shared" si="29"/>
        <v/>
      </c>
      <c r="S274" s="83" t="str">
        <f t="shared" si="30"/>
        <v/>
      </c>
      <c r="T274" s="83" t="str">
        <f t="shared" si="31"/>
        <v/>
      </c>
      <c r="Y274" s="60">
        <f t="shared" si="32"/>
        <v>0</v>
      </c>
      <c r="Z274" s="49">
        <f t="shared" si="33"/>
        <v>0</v>
      </c>
      <c r="AA274" s="60">
        <f t="shared" si="34"/>
        <v>0</v>
      </c>
    </row>
    <row r="275" spans="1:27">
      <c r="A275" s="83" t="str">
        <f t="shared" si="28"/>
        <v/>
      </c>
      <c r="B275" s="83" t="str">
        <f t="shared" si="29"/>
        <v/>
      </c>
      <c r="S275" s="83" t="str">
        <f t="shared" si="30"/>
        <v/>
      </c>
      <c r="T275" s="83" t="str">
        <f t="shared" si="31"/>
        <v/>
      </c>
      <c r="Y275" s="60">
        <f t="shared" si="32"/>
        <v>0</v>
      </c>
      <c r="Z275" s="49">
        <f t="shared" si="33"/>
        <v>0</v>
      </c>
      <c r="AA275" s="60">
        <f t="shared" si="34"/>
        <v>0</v>
      </c>
    </row>
    <row r="276" spans="1:27">
      <c r="A276" s="83" t="str">
        <f t="shared" si="28"/>
        <v/>
      </c>
      <c r="B276" s="83" t="str">
        <f t="shared" si="29"/>
        <v/>
      </c>
      <c r="S276" s="83" t="str">
        <f t="shared" si="30"/>
        <v/>
      </c>
      <c r="T276" s="83" t="str">
        <f t="shared" si="31"/>
        <v/>
      </c>
      <c r="Y276" s="60">
        <f t="shared" si="32"/>
        <v>0</v>
      </c>
      <c r="Z276" s="49">
        <f t="shared" si="33"/>
        <v>0</v>
      </c>
      <c r="AA276" s="60">
        <f t="shared" si="34"/>
        <v>0</v>
      </c>
    </row>
    <row r="277" spans="1:27">
      <c r="A277" s="83" t="str">
        <f t="shared" si="28"/>
        <v/>
      </c>
      <c r="B277" s="83" t="str">
        <f t="shared" si="29"/>
        <v/>
      </c>
      <c r="S277" s="83" t="str">
        <f t="shared" si="30"/>
        <v/>
      </c>
      <c r="T277" s="83" t="str">
        <f t="shared" si="31"/>
        <v/>
      </c>
      <c r="Y277" s="60">
        <f t="shared" si="32"/>
        <v>0</v>
      </c>
      <c r="Z277" s="49">
        <f t="shared" si="33"/>
        <v>0</v>
      </c>
      <c r="AA277" s="60">
        <f t="shared" si="34"/>
        <v>0</v>
      </c>
    </row>
    <row r="278" spans="1:27">
      <c r="A278" s="83" t="str">
        <f t="shared" si="28"/>
        <v/>
      </c>
      <c r="B278" s="83" t="str">
        <f t="shared" si="29"/>
        <v/>
      </c>
      <c r="S278" s="83" t="str">
        <f t="shared" si="30"/>
        <v/>
      </c>
      <c r="T278" s="83" t="str">
        <f t="shared" si="31"/>
        <v/>
      </c>
      <c r="Y278" s="60">
        <f t="shared" si="32"/>
        <v>0</v>
      </c>
      <c r="Z278" s="49">
        <f t="shared" si="33"/>
        <v>0</v>
      </c>
      <c r="AA278" s="60">
        <f t="shared" si="34"/>
        <v>0</v>
      </c>
    </row>
    <row r="279" spans="1:27">
      <c r="A279" s="83" t="str">
        <f t="shared" si="28"/>
        <v/>
      </c>
      <c r="B279" s="83" t="str">
        <f t="shared" si="29"/>
        <v/>
      </c>
      <c r="S279" s="83" t="str">
        <f t="shared" si="30"/>
        <v/>
      </c>
      <c r="T279" s="83" t="str">
        <f t="shared" si="31"/>
        <v/>
      </c>
      <c r="Y279" s="60">
        <f t="shared" si="32"/>
        <v>0</v>
      </c>
      <c r="Z279" s="49">
        <f t="shared" si="33"/>
        <v>0</v>
      </c>
      <c r="AA279" s="60">
        <f t="shared" si="34"/>
        <v>0</v>
      </c>
    </row>
    <row r="280" spans="1:27">
      <c r="A280" s="83" t="str">
        <f t="shared" si="28"/>
        <v/>
      </c>
      <c r="B280" s="83" t="str">
        <f t="shared" si="29"/>
        <v/>
      </c>
      <c r="S280" s="83" t="str">
        <f t="shared" si="30"/>
        <v/>
      </c>
      <c r="T280" s="83" t="str">
        <f t="shared" si="31"/>
        <v/>
      </c>
      <c r="Y280" s="60">
        <f t="shared" si="32"/>
        <v>0</v>
      </c>
      <c r="Z280" s="49">
        <f t="shared" si="33"/>
        <v>0</v>
      </c>
      <c r="AA280" s="60">
        <f t="shared" si="34"/>
        <v>0</v>
      </c>
    </row>
    <row r="281" spans="1:27">
      <c r="A281" s="83" t="str">
        <f t="shared" si="28"/>
        <v/>
      </c>
      <c r="B281" s="83" t="str">
        <f t="shared" si="29"/>
        <v/>
      </c>
      <c r="S281" s="83" t="str">
        <f t="shared" si="30"/>
        <v/>
      </c>
      <c r="T281" s="83" t="str">
        <f t="shared" si="31"/>
        <v/>
      </c>
      <c r="Y281" s="60">
        <f t="shared" si="32"/>
        <v>0</v>
      </c>
      <c r="Z281" s="49">
        <f t="shared" si="33"/>
        <v>0</v>
      </c>
      <c r="AA281" s="60">
        <f t="shared" si="34"/>
        <v>0</v>
      </c>
    </row>
    <row r="282" spans="1:27">
      <c r="A282" s="83" t="str">
        <f t="shared" si="28"/>
        <v/>
      </c>
      <c r="B282" s="83" t="str">
        <f t="shared" si="29"/>
        <v/>
      </c>
      <c r="S282" s="83" t="str">
        <f t="shared" si="30"/>
        <v/>
      </c>
      <c r="T282" s="83" t="str">
        <f t="shared" si="31"/>
        <v/>
      </c>
      <c r="Y282" s="60">
        <f t="shared" si="32"/>
        <v>0</v>
      </c>
      <c r="Z282" s="49">
        <f t="shared" si="33"/>
        <v>0</v>
      </c>
      <c r="AA282" s="60">
        <f t="shared" si="34"/>
        <v>0</v>
      </c>
    </row>
    <row r="283" spans="1:27">
      <c r="A283" s="83" t="str">
        <f t="shared" si="28"/>
        <v/>
      </c>
      <c r="B283" s="83" t="str">
        <f t="shared" si="29"/>
        <v/>
      </c>
      <c r="S283" s="83" t="str">
        <f t="shared" si="30"/>
        <v/>
      </c>
      <c r="T283" s="83" t="str">
        <f t="shared" si="31"/>
        <v/>
      </c>
      <c r="Y283" s="60">
        <f t="shared" si="32"/>
        <v>0</v>
      </c>
      <c r="Z283" s="49">
        <f t="shared" si="33"/>
        <v>0</v>
      </c>
      <c r="AA283" s="60">
        <f t="shared" si="34"/>
        <v>0</v>
      </c>
    </row>
    <row r="284" spans="1:27">
      <c r="A284" s="83" t="str">
        <f t="shared" si="28"/>
        <v/>
      </c>
      <c r="B284" s="83" t="str">
        <f t="shared" si="29"/>
        <v/>
      </c>
      <c r="S284" s="83" t="str">
        <f t="shared" si="30"/>
        <v/>
      </c>
      <c r="T284" s="83" t="str">
        <f t="shared" si="31"/>
        <v/>
      </c>
      <c r="Y284" s="60">
        <f t="shared" si="32"/>
        <v>0</v>
      </c>
      <c r="Z284" s="49">
        <f t="shared" si="33"/>
        <v>0</v>
      </c>
      <c r="AA284" s="60">
        <f t="shared" si="34"/>
        <v>0</v>
      </c>
    </row>
    <row r="285" spans="1:27">
      <c r="A285" s="83" t="str">
        <f t="shared" si="28"/>
        <v/>
      </c>
      <c r="B285" s="83" t="str">
        <f t="shared" si="29"/>
        <v/>
      </c>
      <c r="S285" s="83" t="str">
        <f t="shared" si="30"/>
        <v/>
      </c>
      <c r="T285" s="83" t="str">
        <f t="shared" si="31"/>
        <v/>
      </c>
      <c r="Y285" s="60">
        <f t="shared" si="32"/>
        <v>0</v>
      </c>
      <c r="Z285" s="49">
        <f t="shared" si="33"/>
        <v>0</v>
      </c>
      <c r="AA285" s="60">
        <f t="shared" si="34"/>
        <v>0</v>
      </c>
    </row>
    <row r="286" spans="1:27">
      <c r="A286" s="83" t="str">
        <f t="shared" si="28"/>
        <v/>
      </c>
      <c r="B286" s="83" t="str">
        <f t="shared" si="29"/>
        <v/>
      </c>
      <c r="S286" s="83" t="str">
        <f t="shared" si="30"/>
        <v/>
      </c>
      <c r="T286" s="83" t="str">
        <f t="shared" si="31"/>
        <v/>
      </c>
      <c r="Y286" s="60">
        <f t="shared" si="32"/>
        <v>0</v>
      </c>
      <c r="Z286" s="49">
        <f t="shared" si="33"/>
        <v>0</v>
      </c>
      <c r="AA286" s="60">
        <f t="shared" si="34"/>
        <v>0</v>
      </c>
    </row>
    <row r="287" spans="1:27">
      <c r="A287" s="83" t="str">
        <f t="shared" si="28"/>
        <v/>
      </c>
      <c r="B287" s="83" t="str">
        <f t="shared" si="29"/>
        <v/>
      </c>
      <c r="S287" s="83" t="str">
        <f t="shared" si="30"/>
        <v/>
      </c>
      <c r="T287" s="83" t="str">
        <f t="shared" si="31"/>
        <v/>
      </c>
      <c r="Y287" s="60">
        <f t="shared" si="32"/>
        <v>0</v>
      </c>
      <c r="Z287" s="49">
        <f t="shared" si="33"/>
        <v>0</v>
      </c>
      <c r="AA287" s="60">
        <f t="shared" si="34"/>
        <v>0</v>
      </c>
    </row>
    <row r="288" spans="1:27">
      <c r="A288" s="83" t="str">
        <f t="shared" si="28"/>
        <v/>
      </c>
      <c r="B288" s="83" t="str">
        <f t="shared" si="29"/>
        <v/>
      </c>
      <c r="S288" s="83" t="str">
        <f t="shared" si="30"/>
        <v/>
      </c>
      <c r="T288" s="83" t="str">
        <f t="shared" si="31"/>
        <v/>
      </c>
      <c r="Y288" s="60">
        <f t="shared" si="32"/>
        <v>0</v>
      </c>
      <c r="Z288" s="49">
        <f t="shared" si="33"/>
        <v>0</v>
      </c>
      <c r="AA288" s="60">
        <f t="shared" si="34"/>
        <v>0</v>
      </c>
    </row>
    <row r="289" spans="1:27">
      <c r="A289" s="83" t="str">
        <f t="shared" si="28"/>
        <v/>
      </c>
      <c r="B289" s="83" t="str">
        <f t="shared" si="29"/>
        <v/>
      </c>
      <c r="S289" s="83" t="str">
        <f t="shared" si="30"/>
        <v/>
      </c>
      <c r="T289" s="83" t="str">
        <f t="shared" si="31"/>
        <v/>
      </c>
      <c r="Y289" s="60">
        <f t="shared" si="32"/>
        <v>0</v>
      </c>
      <c r="Z289" s="49">
        <f t="shared" si="33"/>
        <v>0</v>
      </c>
      <c r="AA289" s="60">
        <f t="shared" si="34"/>
        <v>0</v>
      </c>
    </row>
    <row r="290" spans="1:27">
      <c r="A290" s="83" t="str">
        <f t="shared" si="28"/>
        <v/>
      </c>
      <c r="B290" s="83" t="str">
        <f t="shared" si="29"/>
        <v/>
      </c>
      <c r="S290" s="83" t="str">
        <f t="shared" si="30"/>
        <v/>
      </c>
      <c r="T290" s="83" t="str">
        <f t="shared" si="31"/>
        <v/>
      </c>
      <c r="Y290" s="60">
        <f t="shared" si="32"/>
        <v>0</v>
      </c>
      <c r="Z290" s="49">
        <f t="shared" si="33"/>
        <v>0</v>
      </c>
      <c r="AA290" s="60">
        <f t="shared" si="34"/>
        <v>0</v>
      </c>
    </row>
    <row r="291" spans="1:27">
      <c r="A291" s="83" t="str">
        <f t="shared" si="28"/>
        <v/>
      </c>
      <c r="B291" s="83" t="str">
        <f t="shared" si="29"/>
        <v/>
      </c>
      <c r="S291" s="83" t="str">
        <f t="shared" si="30"/>
        <v/>
      </c>
      <c r="T291" s="83" t="str">
        <f t="shared" si="31"/>
        <v/>
      </c>
      <c r="Y291" s="60">
        <f t="shared" si="32"/>
        <v>0</v>
      </c>
      <c r="Z291" s="49">
        <f t="shared" si="33"/>
        <v>0</v>
      </c>
      <c r="AA291" s="60">
        <f t="shared" si="34"/>
        <v>0</v>
      </c>
    </row>
    <row r="292" spans="1:27">
      <c r="A292" s="83" t="str">
        <f t="shared" si="28"/>
        <v/>
      </c>
      <c r="B292" s="83" t="str">
        <f t="shared" si="29"/>
        <v/>
      </c>
      <c r="S292" s="83" t="str">
        <f t="shared" si="30"/>
        <v/>
      </c>
      <c r="T292" s="83" t="str">
        <f t="shared" si="31"/>
        <v/>
      </c>
      <c r="Y292" s="60">
        <f t="shared" si="32"/>
        <v>0</v>
      </c>
      <c r="Z292" s="49">
        <f t="shared" si="33"/>
        <v>0</v>
      </c>
      <c r="AA292" s="60">
        <f t="shared" si="34"/>
        <v>0</v>
      </c>
    </row>
    <row r="293" spans="1:27">
      <c r="A293" s="83" t="str">
        <f t="shared" si="28"/>
        <v/>
      </c>
      <c r="B293" s="83" t="str">
        <f t="shared" si="29"/>
        <v/>
      </c>
      <c r="S293" s="83" t="str">
        <f t="shared" si="30"/>
        <v/>
      </c>
      <c r="T293" s="83" t="str">
        <f t="shared" si="31"/>
        <v/>
      </c>
      <c r="Y293" s="60">
        <f t="shared" si="32"/>
        <v>0</v>
      </c>
      <c r="Z293" s="49">
        <f t="shared" si="33"/>
        <v>0</v>
      </c>
      <c r="AA293" s="60">
        <f t="shared" si="34"/>
        <v>0</v>
      </c>
    </row>
    <row r="294" spans="1:27">
      <c r="A294" s="83" t="str">
        <f t="shared" si="28"/>
        <v/>
      </c>
      <c r="B294" s="83" t="str">
        <f t="shared" si="29"/>
        <v/>
      </c>
      <c r="S294" s="83" t="str">
        <f t="shared" si="30"/>
        <v/>
      </c>
      <c r="T294" s="83" t="str">
        <f t="shared" si="31"/>
        <v/>
      </c>
      <c r="Y294" s="60">
        <f t="shared" si="32"/>
        <v>0</v>
      </c>
      <c r="Z294" s="49">
        <f t="shared" si="33"/>
        <v>0</v>
      </c>
      <c r="AA294" s="60">
        <f t="shared" si="34"/>
        <v>0</v>
      </c>
    </row>
    <row r="295" spans="1:27">
      <c r="A295" s="83" t="str">
        <f t="shared" si="28"/>
        <v/>
      </c>
      <c r="B295" s="83" t="str">
        <f t="shared" si="29"/>
        <v/>
      </c>
      <c r="S295" s="83" t="str">
        <f t="shared" si="30"/>
        <v/>
      </c>
      <c r="T295" s="83" t="str">
        <f t="shared" si="31"/>
        <v/>
      </c>
      <c r="Y295" s="60">
        <f t="shared" si="32"/>
        <v>0</v>
      </c>
      <c r="Z295" s="49">
        <f t="shared" si="33"/>
        <v>0</v>
      </c>
      <c r="AA295" s="60">
        <f t="shared" si="34"/>
        <v>0</v>
      </c>
    </row>
    <row r="296" spans="1:27">
      <c r="A296" s="83" t="str">
        <f t="shared" si="28"/>
        <v/>
      </c>
      <c r="B296" s="83" t="str">
        <f t="shared" si="29"/>
        <v/>
      </c>
      <c r="S296" s="83" t="str">
        <f t="shared" si="30"/>
        <v/>
      </c>
      <c r="T296" s="83" t="str">
        <f t="shared" si="31"/>
        <v/>
      </c>
      <c r="Y296" s="60">
        <f t="shared" si="32"/>
        <v>0</v>
      </c>
      <c r="Z296" s="49">
        <f t="shared" si="33"/>
        <v>0</v>
      </c>
      <c r="AA296" s="60">
        <f t="shared" si="34"/>
        <v>0</v>
      </c>
    </row>
    <row r="297" spans="1:27">
      <c r="A297" s="83" t="str">
        <f t="shared" si="28"/>
        <v/>
      </c>
      <c r="B297" s="83" t="str">
        <f t="shared" si="29"/>
        <v/>
      </c>
      <c r="S297" s="83" t="str">
        <f t="shared" si="30"/>
        <v/>
      </c>
      <c r="T297" s="83" t="str">
        <f t="shared" si="31"/>
        <v/>
      </c>
      <c r="Y297" s="60">
        <f t="shared" si="32"/>
        <v>0</v>
      </c>
      <c r="Z297" s="49">
        <f t="shared" si="33"/>
        <v>0</v>
      </c>
      <c r="AA297" s="60">
        <f t="shared" si="34"/>
        <v>0</v>
      </c>
    </row>
    <row r="298" spans="1:27">
      <c r="A298" s="83" t="str">
        <f t="shared" si="28"/>
        <v/>
      </c>
      <c r="B298" s="83" t="str">
        <f t="shared" si="29"/>
        <v/>
      </c>
      <c r="S298" s="83" t="str">
        <f t="shared" si="30"/>
        <v/>
      </c>
      <c r="T298" s="83" t="str">
        <f t="shared" si="31"/>
        <v/>
      </c>
      <c r="Y298" s="60">
        <f t="shared" si="32"/>
        <v>0</v>
      </c>
      <c r="Z298" s="49">
        <f t="shared" si="33"/>
        <v>0</v>
      </c>
      <c r="AA298" s="60">
        <f t="shared" si="34"/>
        <v>0</v>
      </c>
    </row>
    <row r="299" spans="1:27">
      <c r="A299" s="83" t="str">
        <f t="shared" si="28"/>
        <v/>
      </c>
      <c r="B299" s="83" t="str">
        <f t="shared" si="29"/>
        <v/>
      </c>
      <c r="S299" s="83" t="str">
        <f t="shared" si="30"/>
        <v/>
      </c>
      <c r="T299" s="83" t="str">
        <f t="shared" si="31"/>
        <v/>
      </c>
      <c r="Y299" s="60">
        <f t="shared" si="32"/>
        <v>0</v>
      </c>
      <c r="Z299" s="49">
        <f t="shared" si="33"/>
        <v>0</v>
      </c>
      <c r="AA299" s="60">
        <f t="shared" si="34"/>
        <v>0</v>
      </c>
    </row>
    <row r="300" spans="1:27">
      <c r="A300" s="83" t="str">
        <f t="shared" si="28"/>
        <v/>
      </c>
      <c r="B300" s="83" t="str">
        <f t="shared" si="29"/>
        <v/>
      </c>
      <c r="S300" s="83" t="str">
        <f t="shared" si="30"/>
        <v/>
      </c>
      <c r="T300" s="83" t="str">
        <f t="shared" si="31"/>
        <v/>
      </c>
      <c r="Y300" s="60">
        <f t="shared" si="32"/>
        <v>0</v>
      </c>
      <c r="Z300" s="49">
        <f t="shared" si="33"/>
        <v>0</v>
      </c>
      <c r="AA300" s="60">
        <f t="shared" si="34"/>
        <v>0</v>
      </c>
    </row>
    <row r="301" spans="1:27">
      <c r="A301" s="83" t="str">
        <f t="shared" si="28"/>
        <v/>
      </c>
      <c r="B301" s="83" t="str">
        <f t="shared" si="29"/>
        <v/>
      </c>
      <c r="S301" s="83" t="str">
        <f t="shared" si="30"/>
        <v/>
      </c>
      <c r="T301" s="83" t="str">
        <f t="shared" si="31"/>
        <v/>
      </c>
      <c r="Y301" s="60">
        <f t="shared" si="32"/>
        <v>0</v>
      </c>
      <c r="Z301" s="49">
        <f t="shared" si="33"/>
        <v>0</v>
      </c>
      <c r="AA301" s="60">
        <f t="shared" si="34"/>
        <v>0</v>
      </c>
    </row>
    <row r="302" spans="1:27">
      <c r="A302" s="83" t="str">
        <f t="shared" si="28"/>
        <v/>
      </c>
      <c r="B302" s="83" t="str">
        <f t="shared" si="29"/>
        <v/>
      </c>
      <c r="S302" s="83" t="str">
        <f t="shared" si="30"/>
        <v/>
      </c>
      <c r="T302" s="83" t="str">
        <f t="shared" si="31"/>
        <v/>
      </c>
      <c r="Y302" s="60">
        <f t="shared" si="32"/>
        <v>0</v>
      </c>
      <c r="Z302" s="49">
        <f t="shared" si="33"/>
        <v>0</v>
      </c>
      <c r="AA302" s="60">
        <f t="shared" si="34"/>
        <v>0</v>
      </c>
    </row>
    <row r="303" spans="1:27">
      <c r="A303" s="83" t="str">
        <f t="shared" si="28"/>
        <v/>
      </c>
      <c r="B303" s="83" t="str">
        <f t="shared" si="29"/>
        <v/>
      </c>
      <c r="S303" s="83" t="str">
        <f t="shared" si="30"/>
        <v/>
      </c>
      <c r="T303" s="83" t="str">
        <f t="shared" si="31"/>
        <v/>
      </c>
      <c r="Y303" s="60">
        <f t="shared" si="32"/>
        <v>0</v>
      </c>
      <c r="Z303" s="49">
        <f t="shared" si="33"/>
        <v>0</v>
      </c>
      <c r="AA303" s="60">
        <f t="shared" si="34"/>
        <v>0</v>
      </c>
    </row>
    <row r="304" spans="1:27">
      <c r="A304" s="83" t="str">
        <f t="shared" si="28"/>
        <v/>
      </c>
      <c r="B304" s="83" t="str">
        <f t="shared" si="29"/>
        <v/>
      </c>
      <c r="S304" s="83" t="str">
        <f t="shared" si="30"/>
        <v/>
      </c>
      <c r="T304" s="83" t="str">
        <f t="shared" si="31"/>
        <v/>
      </c>
      <c r="Y304" s="60">
        <f t="shared" si="32"/>
        <v>0</v>
      </c>
      <c r="Z304" s="49">
        <f t="shared" si="33"/>
        <v>0</v>
      </c>
      <c r="AA304" s="60">
        <f t="shared" si="34"/>
        <v>0</v>
      </c>
    </row>
    <row r="305" spans="1:27">
      <c r="A305" s="83" t="str">
        <f t="shared" si="28"/>
        <v/>
      </c>
      <c r="B305" s="83" t="str">
        <f t="shared" si="29"/>
        <v/>
      </c>
      <c r="S305" s="83" t="str">
        <f t="shared" si="30"/>
        <v/>
      </c>
      <c r="T305" s="83" t="str">
        <f t="shared" si="31"/>
        <v/>
      </c>
      <c r="Y305" s="60">
        <f t="shared" si="32"/>
        <v>0</v>
      </c>
      <c r="Z305" s="49">
        <f t="shared" si="33"/>
        <v>0</v>
      </c>
      <c r="AA305" s="60">
        <f t="shared" si="34"/>
        <v>0</v>
      </c>
    </row>
    <row r="306" spans="1:27">
      <c r="A306" s="83" t="str">
        <f t="shared" si="28"/>
        <v/>
      </c>
      <c r="B306" s="83" t="str">
        <f t="shared" si="29"/>
        <v/>
      </c>
      <c r="S306" s="83" t="str">
        <f t="shared" si="30"/>
        <v/>
      </c>
      <c r="T306" s="83" t="str">
        <f t="shared" si="31"/>
        <v/>
      </c>
      <c r="Y306" s="60">
        <f t="shared" si="32"/>
        <v>0</v>
      </c>
      <c r="Z306" s="49">
        <f t="shared" si="33"/>
        <v>0</v>
      </c>
      <c r="AA306" s="60">
        <f t="shared" si="34"/>
        <v>0</v>
      </c>
    </row>
    <row r="307" spans="1:27">
      <c r="A307" s="83" t="str">
        <f t="shared" si="28"/>
        <v/>
      </c>
      <c r="B307" s="83" t="str">
        <f t="shared" si="29"/>
        <v/>
      </c>
      <c r="S307" s="83" t="str">
        <f t="shared" si="30"/>
        <v/>
      </c>
      <c r="T307" s="83" t="str">
        <f t="shared" si="31"/>
        <v/>
      </c>
      <c r="Y307" s="60">
        <f t="shared" si="32"/>
        <v>0</v>
      </c>
      <c r="Z307" s="49">
        <f t="shared" si="33"/>
        <v>0</v>
      </c>
      <c r="AA307" s="60">
        <f t="shared" si="34"/>
        <v>0</v>
      </c>
    </row>
    <row r="308" spans="1:27">
      <c r="A308" s="83" t="str">
        <f t="shared" si="28"/>
        <v/>
      </c>
      <c r="B308" s="83" t="str">
        <f t="shared" si="29"/>
        <v/>
      </c>
      <c r="S308" s="83" t="str">
        <f t="shared" si="30"/>
        <v/>
      </c>
      <c r="T308" s="83" t="str">
        <f t="shared" si="31"/>
        <v/>
      </c>
      <c r="Y308" s="60">
        <f t="shared" si="32"/>
        <v>0</v>
      </c>
      <c r="Z308" s="49">
        <f t="shared" si="33"/>
        <v>0</v>
      </c>
      <c r="AA308" s="60">
        <f t="shared" si="34"/>
        <v>0</v>
      </c>
    </row>
    <row r="309" spans="1:27">
      <c r="A309" s="83" t="str">
        <f t="shared" si="28"/>
        <v/>
      </c>
      <c r="B309" s="83" t="str">
        <f t="shared" si="29"/>
        <v/>
      </c>
      <c r="S309" s="83" t="str">
        <f t="shared" si="30"/>
        <v/>
      </c>
      <c r="T309" s="83" t="str">
        <f t="shared" si="31"/>
        <v/>
      </c>
      <c r="Y309" s="60">
        <f t="shared" si="32"/>
        <v>0</v>
      </c>
      <c r="Z309" s="49">
        <f t="shared" si="33"/>
        <v>0</v>
      </c>
      <c r="AA309" s="60">
        <f t="shared" si="34"/>
        <v>0</v>
      </c>
    </row>
    <row r="310" spans="1:27">
      <c r="A310" s="83" t="str">
        <f t="shared" si="28"/>
        <v/>
      </c>
      <c r="B310" s="83" t="str">
        <f t="shared" si="29"/>
        <v/>
      </c>
      <c r="S310" s="83" t="str">
        <f t="shared" si="30"/>
        <v/>
      </c>
      <c r="T310" s="83" t="str">
        <f t="shared" si="31"/>
        <v/>
      </c>
      <c r="Y310" s="60">
        <f t="shared" si="32"/>
        <v>0</v>
      </c>
      <c r="Z310" s="49">
        <f t="shared" si="33"/>
        <v>0</v>
      </c>
      <c r="AA310" s="60">
        <f t="shared" si="34"/>
        <v>0</v>
      </c>
    </row>
    <row r="311" spans="1:27">
      <c r="A311" s="83" t="str">
        <f t="shared" si="28"/>
        <v/>
      </c>
      <c r="B311" s="83" t="str">
        <f t="shared" si="29"/>
        <v/>
      </c>
      <c r="S311" s="83" t="str">
        <f t="shared" si="30"/>
        <v/>
      </c>
      <c r="T311" s="83" t="str">
        <f t="shared" si="31"/>
        <v/>
      </c>
      <c r="Y311" s="60">
        <f t="shared" si="32"/>
        <v>0</v>
      </c>
      <c r="Z311" s="49">
        <f t="shared" si="33"/>
        <v>0</v>
      </c>
      <c r="AA311" s="60">
        <f t="shared" si="34"/>
        <v>0</v>
      </c>
    </row>
    <row r="312" spans="1:27">
      <c r="A312" s="83" t="str">
        <f t="shared" si="28"/>
        <v/>
      </c>
      <c r="B312" s="83" t="str">
        <f t="shared" si="29"/>
        <v/>
      </c>
      <c r="S312" s="83" t="str">
        <f t="shared" si="30"/>
        <v/>
      </c>
      <c r="T312" s="83" t="str">
        <f t="shared" si="31"/>
        <v/>
      </c>
      <c r="Y312" s="60">
        <f t="shared" si="32"/>
        <v>0</v>
      </c>
      <c r="Z312" s="49">
        <f t="shared" si="33"/>
        <v>0</v>
      </c>
      <c r="AA312" s="60">
        <f t="shared" si="34"/>
        <v>0</v>
      </c>
    </row>
    <row r="313" spans="1:27">
      <c r="A313" s="83" t="str">
        <f t="shared" si="28"/>
        <v/>
      </c>
      <c r="B313" s="83" t="str">
        <f t="shared" si="29"/>
        <v/>
      </c>
      <c r="S313" s="83" t="str">
        <f t="shared" si="30"/>
        <v/>
      </c>
      <c r="T313" s="83" t="str">
        <f t="shared" si="31"/>
        <v/>
      </c>
      <c r="Y313" s="60">
        <f t="shared" si="32"/>
        <v>0</v>
      </c>
      <c r="Z313" s="49">
        <f t="shared" si="33"/>
        <v>0</v>
      </c>
      <c r="AA313" s="60">
        <f t="shared" si="34"/>
        <v>0</v>
      </c>
    </row>
    <row r="314" spans="1:27">
      <c r="A314" s="83" t="str">
        <f t="shared" si="28"/>
        <v/>
      </c>
      <c r="B314" s="83" t="str">
        <f t="shared" si="29"/>
        <v/>
      </c>
      <c r="S314" s="83" t="str">
        <f t="shared" si="30"/>
        <v/>
      </c>
      <c r="T314" s="83" t="str">
        <f t="shared" si="31"/>
        <v/>
      </c>
      <c r="Y314" s="60">
        <f t="shared" si="32"/>
        <v>0</v>
      </c>
      <c r="Z314" s="49">
        <f t="shared" si="33"/>
        <v>0</v>
      </c>
      <c r="AA314" s="60">
        <f t="shared" si="34"/>
        <v>0</v>
      </c>
    </row>
    <row r="315" spans="1:27">
      <c r="A315" s="83" t="str">
        <f t="shared" si="28"/>
        <v/>
      </c>
      <c r="B315" s="83" t="str">
        <f t="shared" si="29"/>
        <v/>
      </c>
      <c r="S315" s="83" t="str">
        <f t="shared" si="30"/>
        <v/>
      </c>
      <c r="T315" s="83" t="str">
        <f t="shared" si="31"/>
        <v/>
      </c>
      <c r="Y315" s="60">
        <f t="shared" si="32"/>
        <v>0</v>
      </c>
      <c r="Z315" s="49">
        <f t="shared" si="33"/>
        <v>0</v>
      </c>
      <c r="AA315" s="60">
        <f t="shared" si="34"/>
        <v>0</v>
      </c>
    </row>
    <row r="316" spans="1:27">
      <c r="A316" s="83" t="str">
        <f t="shared" si="28"/>
        <v/>
      </c>
      <c r="B316" s="83" t="str">
        <f t="shared" si="29"/>
        <v/>
      </c>
      <c r="S316" s="83" t="str">
        <f t="shared" si="30"/>
        <v/>
      </c>
      <c r="T316" s="83" t="str">
        <f t="shared" si="31"/>
        <v/>
      </c>
      <c r="Y316" s="60">
        <f t="shared" si="32"/>
        <v>0</v>
      </c>
      <c r="Z316" s="49">
        <f t="shared" si="33"/>
        <v>0</v>
      </c>
      <c r="AA316" s="60">
        <f t="shared" si="34"/>
        <v>0</v>
      </c>
    </row>
    <row r="317" spans="1:27">
      <c r="A317" s="83" t="str">
        <f t="shared" si="28"/>
        <v/>
      </c>
      <c r="B317" s="83" t="str">
        <f t="shared" si="29"/>
        <v/>
      </c>
      <c r="S317" s="83" t="str">
        <f t="shared" si="30"/>
        <v/>
      </c>
      <c r="T317" s="83" t="str">
        <f t="shared" si="31"/>
        <v/>
      </c>
      <c r="Y317" s="60">
        <f t="shared" si="32"/>
        <v>0</v>
      </c>
      <c r="Z317" s="49">
        <f t="shared" si="33"/>
        <v>0</v>
      </c>
      <c r="AA317" s="60">
        <f t="shared" si="34"/>
        <v>0</v>
      </c>
    </row>
    <row r="318" spans="1:27">
      <c r="A318" s="83" t="str">
        <f t="shared" si="28"/>
        <v/>
      </c>
      <c r="B318" s="83" t="str">
        <f t="shared" si="29"/>
        <v/>
      </c>
      <c r="S318" s="83" t="str">
        <f t="shared" si="30"/>
        <v/>
      </c>
      <c r="T318" s="83" t="str">
        <f t="shared" si="31"/>
        <v/>
      </c>
      <c r="Y318" s="60">
        <f t="shared" si="32"/>
        <v>0</v>
      </c>
      <c r="Z318" s="49">
        <f t="shared" si="33"/>
        <v>0</v>
      </c>
      <c r="AA318" s="60">
        <f t="shared" si="34"/>
        <v>0</v>
      </c>
    </row>
    <row r="319" spans="1:27">
      <c r="A319" s="83" t="str">
        <f t="shared" si="28"/>
        <v/>
      </c>
      <c r="B319" s="83" t="str">
        <f t="shared" si="29"/>
        <v/>
      </c>
      <c r="S319" s="83" t="str">
        <f t="shared" si="30"/>
        <v/>
      </c>
      <c r="T319" s="83" t="str">
        <f t="shared" si="31"/>
        <v/>
      </c>
      <c r="Y319" s="60">
        <f t="shared" si="32"/>
        <v>0</v>
      </c>
      <c r="Z319" s="49">
        <f t="shared" si="33"/>
        <v>0</v>
      </c>
      <c r="AA319" s="60">
        <f t="shared" si="34"/>
        <v>0</v>
      </c>
    </row>
    <row r="320" spans="1:27">
      <c r="A320" s="83" t="str">
        <f t="shared" si="28"/>
        <v/>
      </c>
      <c r="B320" s="83" t="str">
        <f t="shared" si="29"/>
        <v/>
      </c>
      <c r="S320" s="83" t="str">
        <f t="shared" si="30"/>
        <v/>
      </c>
      <c r="T320" s="83" t="str">
        <f t="shared" si="31"/>
        <v/>
      </c>
      <c r="Y320" s="60">
        <f t="shared" si="32"/>
        <v>0</v>
      </c>
      <c r="Z320" s="49">
        <f t="shared" si="33"/>
        <v>0</v>
      </c>
      <c r="AA320" s="60">
        <f t="shared" si="34"/>
        <v>0</v>
      </c>
    </row>
    <row r="321" spans="1:27">
      <c r="A321" s="83" t="str">
        <f t="shared" si="28"/>
        <v/>
      </c>
      <c r="B321" s="83" t="str">
        <f t="shared" si="29"/>
        <v/>
      </c>
      <c r="S321" s="83" t="str">
        <f t="shared" si="30"/>
        <v/>
      </c>
      <c r="T321" s="83" t="str">
        <f t="shared" si="31"/>
        <v/>
      </c>
      <c r="Y321" s="60">
        <f t="shared" si="32"/>
        <v>0</v>
      </c>
      <c r="Z321" s="49">
        <f t="shared" si="33"/>
        <v>0</v>
      </c>
      <c r="AA321" s="60">
        <f t="shared" si="34"/>
        <v>0</v>
      </c>
    </row>
    <row r="322" spans="1:27">
      <c r="A322" s="83" t="str">
        <f t="shared" si="28"/>
        <v/>
      </c>
      <c r="B322" s="83" t="str">
        <f t="shared" si="29"/>
        <v/>
      </c>
      <c r="S322" s="83" t="str">
        <f t="shared" si="30"/>
        <v/>
      </c>
      <c r="T322" s="83" t="str">
        <f t="shared" si="31"/>
        <v/>
      </c>
      <c r="Y322" s="60">
        <f t="shared" si="32"/>
        <v>0</v>
      </c>
      <c r="Z322" s="49">
        <f t="shared" si="33"/>
        <v>0</v>
      </c>
      <c r="AA322" s="60">
        <f t="shared" si="34"/>
        <v>0</v>
      </c>
    </row>
    <row r="323" spans="1:27">
      <c r="A323" s="83" t="str">
        <f t="shared" ref="A323:A386" si="35">IF(G323&amp;Q323&lt;&gt;"",S323&amp;Q323,"")</f>
        <v/>
      </c>
      <c r="B323" s="83" t="str">
        <f t="shared" ref="B323:B386" si="36">IF(C323&lt;&gt;"",LEFT(C323,9),"")</f>
        <v/>
      </c>
      <c r="S323" s="83" t="str">
        <f t="shared" ref="S323:S386" si="37">IF(G323&lt;&gt;"",IF(StyleSpaceSplit,IFERROR(IF(FIND(" ",G323)&gt;=1,MID(G323,1,FIND(" ",G323)-1),G323),G323),G323),"")</f>
        <v/>
      </c>
      <c r="T323" s="83" t="str">
        <f t="shared" ref="T323:T386" si="38">IF(A323&lt;&gt;"",IFERROR(IF(FIND(" ",G323)&gt;=1,MID(G323,FIND(" ",G323)+1,LEN(G323)),""),G323),"")</f>
        <v/>
      </c>
      <c r="Y323" s="60">
        <f t="shared" ref="Y323:Y386" si="39">IFERROR(VALUE(MID($C323,1,2)),0)</f>
        <v>0</v>
      </c>
      <c r="Z323" s="49">
        <f t="shared" ref="Z323:Z386" si="40">IFERROR(VALUE(MID($C323,4,3)),0)</f>
        <v>0</v>
      </c>
      <c r="AA323" s="60">
        <f t="shared" ref="AA323:AA386" si="41">VALUE(RIGHT("00"&amp;Y323,2)&amp;RIGHT("000"&amp;Z323,3))</f>
        <v>0</v>
      </c>
    </row>
    <row r="324" spans="1:27">
      <c r="A324" s="83" t="str">
        <f t="shared" si="35"/>
        <v/>
      </c>
      <c r="B324" s="83" t="str">
        <f t="shared" si="36"/>
        <v/>
      </c>
      <c r="S324" s="83" t="str">
        <f t="shared" si="37"/>
        <v/>
      </c>
      <c r="T324" s="83" t="str">
        <f t="shared" si="38"/>
        <v/>
      </c>
      <c r="Y324" s="60">
        <f t="shared" si="39"/>
        <v>0</v>
      </c>
      <c r="Z324" s="49">
        <f t="shared" si="40"/>
        <v>0</v>
      </c>
      <c r="AA324" s="60">
        <f t="shared" si="41"/>
        <v>0</v>
      </c>
    </row>
    <row r="325" spans="1:27">
      <c r="A325" s="83" t="str">
        <f t="shared" si="35"/>
        <v/>
      </c>
      <c r="B325" s="83" t="str">
        <f t="shared" si="36"/>
        <v/>
      </c>
      <c r="S325" s="83" t="str">
        <f t="shared" si="37"/>
        <v/>
      </c>
      <c r="T325" s="83" t="str">
        <f t="shared" si="38"/>
        <v/>
      </c>
      <c r="Y325" s="60">
        <f t="shared" si="39"/>
        <v>0</v>
      </c>
      <c r="Z325" s="49">
        <f t="shared" si="40"/>
        <v>0</v>
      </c>
      <c r="AA325" s="60">
        <f t="shared" si="41"/>
        <v>0</v>
      </c>
    </row>
    <row r="326" spans="1:27">
      <c r="A326" s="83" t="str">
        <f t="shared" si="35"/>
        <v/>
      </c>
      <c r="B326" s="83" t="str">
        <f t="shared" si="36"/>
        <v/>
      </c>
      <c r="S326" s="83" t="str">
        <f t="shared" si="37"/>
        <v/>
      </c>
      <c r="T326" s="83" t="str">
        <f t="shared" si="38"/>
        <v/>
      </c>
      <c r="Y326" s="60">
        <f t="shared" si="39"/>
        <v>0</v>
      </c>
      <c r="Z326" s="49">
        <f t="shared" si="40"/>
        <v>0</v>
      </c>
      <c r="AA326" s="60">
        <f t="shared" si="41"/>
        <v>0</v>
      </c>
    </row>
    <row r="327" spans="1:27">
      <c r="A327" s="83" t="str">
        <f t="shared" si="35"/>
        <v/>
      </c>
      <c r="B327" s="83" t="str">
        <f t="shared" si="36"/>
        <v/>
      </c>
      <c r="S327" s="83" t="str">
        <f t="shared" si="37"/>
        <v/>
      </c>
      <c r="T327" s="83" t="str">
        <f t="shared" si="38"/>
        <v/>
      </c>
      <c r="Y327" s="60">
        <f t="shared" si="39"/>
        <v>0</v>
      </c>
      <c r="Z327" s="49">
        <f t="shared" si="40"/>
        <v>0</v>
      </c>
      <c r="AA327" s="60">
        <f t="shared" si="41"/>
        <v>0</v>
      </c>
    </row>
    <row r="328" spans="1:27">
      <c r="A328" s="83" t="str">
        <f t="shared" si="35"/>
        <v/>
      </c>
      <c r="B328" s="83" t="str">
        <f t="shared" si="36"/>
        <v/>
      </c>
      <c r="S328" s="83" t="str">
        <f t="shared" si="37"/>
        <v/>
      </c>
      <c r="T328" s="83" t="str">
        <f t="shared" si="38"/>
        <v/>
      </c>
      <c r="Y328" s="60">
        <f t="shared" si="39"/>
        <v>0</v>
      </c>
      <c r="Z328" s="49">
        <f t="shared" si="40"/>
        <v>0</v>
      </c>
      <c r="AA328" s="60">
        <f t="shared" si="41"/>
        <v>0</v>
      </c>
    </row>
    <row r="329" spans="1:27">
      <c r="A329" s="83" t="str">
        <f t="shared" si="35"/>
        <v/>
      </c>
      <c r="B329" s="83" t="str">
        <f t="shared" si="36"/>
        <v/>
      </c>
      <c r="S329" s="83" t="str">
        <f t="shared" si="37"/>
        <v/>
      </c>
      <c r="T329" s="83" t="str">
        <f t="shared" si="38"/>
        <v/>
      </c>
      <c r="Y329" s="60">
        <f t="shared" si="39"/>
        <v>0</v>
      </c>
      <c r="Z329" s="49">
        <f t="shared" si="40"/>
        <v>0</v>
      </c>
      <c r="AA329" s="60">
        <f t="shared" si="41"/>
        <v>0</v>
      </c>
    </row>
    <row r="330" spans="1:27">
      <c r="A330" s="83" t="str">
        <f t="shared" si="35"/>
        <v/>
      </c>
      <c r="B330" s="83" t="str">
        <f t="shared" si="36"/>
        <v/>
      </c>
      <c r="S330" s="83" t="str">
        <f t="shared" si="37"/>
        <v/>
      </c>
      <c r="T330" s="83" t="str">
        <f t="shared" si="38"/>
        <v/>
      </c>
      <c r="Y330" s="60">
        <f t="shared" si="39"/>
        <v>0</v>
      </c>
      <c r="Z330" s="49">
        <f t="shared" si="40"/>
        <v>0</v>
      </c>
      <c r="AA330" s="60">
        <f t="shared" si="41"/>
        <v>0</v>
      </c>
    </row>
    <row r="331" spans="1:27">
      <c r="A331" s="83" t="str">
        <f t="shared" si="35"/>
        <v/>
      </c>
      <c r="B331" s="83" t="str">
        <f t="shared" si="36"/>
        <v/>
      </c>
      <c r="S331" s="83" t="str">
        <f t="shared" si="37"/>
        <v/>
      </c>
      <c r="T331" s="83" t="str">
        <f t="shared" si="38"/>
        <v/>
      </c>
      <c r="Y331" s="60">
        <f t="shared" si="39"/>
        <v>0</v>
      </c>
      <c r="Z331" s="49">
        <f t="shared" si="40"/>
        <v>0</v>
      </c>
      <c r="AA331" s="60">
        <f t="shared" si="41"/>
        <v>0</v>
      </c>
    </row>
    <row r="332" spans="1:27">
      <c r="A332" s="83" t="str">
        <f t="shared" si="35"/>
        <v/>
      </c>
      <c r="B332" s="83" t="str">
        <f t="shared" si="36"/>
        <v/>
      </c>
      <c r="S332" s="83" t="str">
        <f t="shared" si="37"/>
        <v/>
      </c>
      <c r="T332" s="83" t="str">
        <f t="shared" si="38"/>
        <v/>
      </c>
      <c r="Y332" s="60">
        <f t="shared" si="39"/>
        <v>0</v>
      </c>
      <c r="Z332" s="49">
        <f t="shared" si="40"/>
        <v>0</v>
      </c>
      <c r="AA332" s="60">
        <f t="shared" si="41"/>
        <v>0</v>
      </c>
    </row>
    <row r="333" spans="1:27">
      <c r="A333" s="83" t="str">
        <f t="shared" si="35"/>
        <v/>
      </c>
      <c r="B333" s="83" t="str">
        <f t="shared" si="36"/>
        <v/>
      </c>
      <c r="S333" s="83" t="str">
        <f t="shared" si="37"/>
        <v/>
      </c>
      <c r="T333" s="83" t="str">
        <f t="shared" si="38"/>
        <v/>
      </c>
      <c r="Y333" s="60">
        <f t="shared" si="39"/>
        <v>0</v>
      </c>
      <c r="Z333" s="49">
        <f t="shared" si="40"/>
        <v>0</v>
      </c>
      <c r="AA333" s="60">
        <f t="shared" si="41"/>
        <v>0</v>
      </c>
    </row>
    <row r="334" spans="1:27">
      <c r="A334" s="83" t="str">
        <f t="shared" si="35"/>
        <v/>
      </c>
      <c r="B334" s="83" t="str">
        <f t="shared" si="36"/>
        <v/>
      </c>
      <c r="S334" s="83" t="str">
        <f t="shared" si="37"/>
        <v/>
      </c>
      <c r="T334" s="83" t="str">
        <f t="shared" si="38"/>
        <v/>
      </c>
      <c r="Y334" s="60">
        <f t="shared" si="39"/>
        <v>0</v>
      </c>
      <c r="Z334" s="49">
        <f t="shared" si="40"/>
        <v>0</v>
      </c>
      <c r="AA334" s="60">
        <f t="shared" si="41"/>
        <v>0</v>
      </c>
    </row>
    <row r="335" spans="1:27">
      <c r="A335" s="83" t="str">
        <f t="shared" si="35"/>
        <v/>
      </c>
      <c r="B335" s="83" t="str">
        <f t="shared" si="36"/>
        <v/>
      </c>
      <c r="S335" s="83" t="str">
        <f t="shared" si="37"/>
        <v/>
      </c>
      <c r="T335" s="83" t="str">
        <f t="shared" si="38"/>
        <v/>
      </c>
      <c r="Y335" s="60">
        <f t="shared" si="39"/>
        <v>0</v>
      </c>
      <c r="Z335" s="49">
        <f t="shared" si="40"/>
        <v>0</v>
      </c>
      <c r="AA335" s="60">
        <f t="shared" si="41"/>
        <v>0</v>
      </c>
    </row>
    <row r="336" spans="1:27">
      <c r="A336" s="83" t="str">
        <f t="shared" si="35"/>
        <v/>
      </c>
      <c r="B336" s="83" t="str">
        <f t="shared" si="36"/>
        <v/>
      </c>
      <c r="S336" s="83" t="str">
        <f t="shared" si="37"/>
        <v/>
      </c>
      <c r="T336" s="83" t="str">
        <f t="shared" si="38"/>
        <v/>
      </c>
      <c r="Y336" s="60">
        <f t="shared" si="39"/>
        <v>0</v>
      </c>
      <c r="Z336" s="49">
        <f t="shared" si="40"/>
        <v>0</v>
      </c>
      <c r="AA336" s="60">
        <f t="shared" si="41"/>
        <v>0</v>
      </c>
    </row>
    <row r="337" spans="1:27">
      <c r="A337" s="83" t="str">
        <f t="shared" si="35"/>
        <v/>
      </c>
      <c r="B337" s="83" t="str">
        <f t="shared" si="36"/>
        <v/>
      </c>
      <c r="S337" s="83" t="str">
        <f t="shared" si="37"/>
        <v/>
      </c>
      <c r="T337" s="83" t="str">
        <f t="shared" si="38"/>
        <v/>
      </c>
      <c r="Y337" s="60">
        <f t="shared" si="39"/>
        <v>0</v>
      </c>
      <c r="Z337" s="49">
        <f t="shared" si="40"/>
        <v>0</v>
      </c>
      <c r="AA337" s="60">
        <f t="shared" si="41"/>
        <v>0</v>
      </c>
    </row>
    <row r="338" spans="1:27">
      <c r="A338" s="83" t="str">
        <f t="shared" si="35"/>
        <v/>
      </c>
      <c r="B338" s="83" t="str">
        <f t="shared" si="36"/>
        <v/>
      </c>
      <c r="S338" s="83" t="str">
        <f t="shared" si="37"/>
        <v/>
      </c>
      <c r="T338" s="83" t="str">
        <f t="shared" si="38"/>
        <v/>
      </c>
      <c r="Y338" s="60">
        <f t="shared" si="39"/>
        <v>0</v>
      </c>
      <c r="Z338" s="49">
        <f t="shared" si="40"/>
        <v>0</v>
      </c>
      <c r="AA338" s="60">
        <f t="shared" si="41"/>
        <v>0</v>
      </c>
    </row>
    <row r="339" spans="1:27">
      <c r="A339" s="83" t="str">
        <f t="shared" si="35"/>
        <v/>
      </c>
      <c r="B339" s="83" t="str">
        <f t="shared" si="36"/>
        <v/>
      </c>
      <c r="S339" s="83" t="str">
        <f t="shared" si="37"/>
        <v/>
      </c>
      <c r="T339" s="83" t="str">
        <f t="shared" si="38"/>
        <v/>
      </c>
      <c r="Y339" s="60">
        <f t="shared" si="39"/>
        <v>0</v>
      </c>
      <c r="Z339" s="49">
        <f t="shared" si="40"/>
        <v>0</v>
      </c>
      <c r="AA339" s="60">
        <f t="shared" si="41"/>
        <v>0</v>
      </c>
    </row>
    <row r="340" spans="1:27">
      <c r="A340" s="83" t="str">
        <f t="shared" si="35"/>
        <v/>
      </c>
      <c r="B340" s="83" t="str">
        <f t="shared" si="36"/>
        <v/>
      </c>
      <c r="S340" s="83" t="str">
        <f t="shared" si="37"/>
        <v/>
      </c>
      <c r="T340" s="83" t="str">
        <f t="shared" si="38"/>
        <v/>
      </c>
      <c r="Y340" s="60">
        <f t="shared" si="39"/>
        <v>0</v>
      </c>
      <c r="Z340" s="49">
        <f t="shared" si="40"/>
        <v>0</v>
      </c>
      <c r="AA340" s="60">
        <f t="shared" si="41"/>
        <v>0</v>
      </c>
    </row>
    <row r="341" spans="1:27">
      <c r="A341" s="83" t="str">
        <f t="shared" si="35"/>
        <v/>
      </c>
      <c r="B341" s="83" t="str">
        <f t="shared" si="36"/>
        <v/>
      </c>
      <c r="S341" s="83" t="str">
        <f t="shared" si="37"/>
        <v/>
      </c>
      <c r="T341" s="83" t="str">
        <f t="shared" si="38"/>
        <v/>
      </c>
      <c r="Y341" s="60">
        <f t="shared" si="39"/>
        <v>0</v>
      </c>
      <c r="Z341" s="49">
        <f t="shared" si="40"/>
        <v>0</v>
      </c>
      <c r="AA341" s="60">
        <f t="shared" si="41"/>
        <v>0</v>
      </c>
    </row>
    <row r="342" spans="1:27">
      <c r="A342" s="83" t="str">
        <f t="shared" si="35"/>
        <v/>
      </c>
      <c r="B342" s="83" t="str">
        <f t="shared" si="36"/>
        <v/>
      </c>
      <c r="S342" s="83" t="str">
        <f t="shared" si="37"/>
        <v/>
      </c>
      <c r="T342" s="83" t="str">
        <f t="shared" si="38"/>
        <v/>
      </c>
      <c r="Y342" s="60">
        <f t="shared" si="39"/>
        <v>0</v>
      </c>
      <c r="Z342" s="49">
        <f t="shared" si="40"/>
        <v>0</v>
      </c>
      <c r="AA342" s="60">
        <f t="shared" si="41"/>
        <v>0</v>
      </c>
    </row>
    <row r="343" spans="1:27">
      <c r="A343" s="83" t="str">
        <f t="shared" si="35"/>
        <v/>
      </c>
      <c r="B343" s="83" t="str">
        <f t="shared" si="36"/>
        <v/>
      </c>
      <c r="S343" s="83" t="str">
        <f t="shared" si="37"/>
        <v/>
      </c>
      <c r="T343" s="83" t="str">
        <f t="shared" si="38"/>
        <v/>
      </c>
      <c r="Y343" s="60">
        <f t="shared" si="39"/>
        <v>0</v>
      </c>
      <c r="Z343" s="49">
        <f t="shared" si="40"/>
        <v>0</v>
      </c>
      <c r="AA343" s="60">
        <f t="shared" si="41"/>
        <v>0</v>
      </c>
    </row>
    <row r="344" spans="1:27">
      <c r="A344" s="83" t="str">
        <f t="shared" si="35"/>
        <v/>
      </c>
      <c r="B344" s="83" t="str">
        <f t="shared" si="36"/>
        <v/>
      </c>
      <c r="S344" s="83" t="str">
        <f t="shared" si="37"/>
        <v/>
      </c>
      <c r="T344" s="83" t="str">
        <f t="shared" si="38"/>
        <v/>
      </c>
      <c r="Y344" s="60">
        <f t="shared" si="39"/>
        <v>0</v>
      </c>
      <c r="Z344" s="49">
        <f t="shared" si="40"/>
        <v>0</v>
      </c>
      <c r="AA344" s="60">
        <f t="shared" si="41"/>
        <v>0</v>
      </c>
    </row>
    <row r="345" spans="1:27">
      <c r="A345" s="83" t="str">
        <f t="shared" si="35"/>
        <v/>
      </c>
      <c r="B345" s="83" t="str">
        <f t="shared" si="36"/>
        <v/>
      </c>
      <c r="S345" s="83" t="str">
        <f t="shared" si="37"/>
        <v/>
      </c>
      <c r="T345" s="83" t="str">
        <f t="shared" si="38"/>
        <v/>
      </c>
      <c r="Y345" s="60">
        <f t="shared" si="39"/>
        <v>0</v>
      </c>
      <c r="Z345" s="49">
        <f t="shared" si="40"/>
        <v>0</v>
      </c>
      <c r="AA345" s="60">
        <f t="shared" si="41"/>
        <v>0</v>
      </c>
    </row>
    <row r="346" spans="1:27">
      <c r="A346" s="83" t="str">
        <f t="shared" si="35"/>
        <v/>
      </c>
      <c r="B346" s="83" t="str">
        <f t="shared" si="36"/>
        <v/>
      </c>
      <c r="S346" s="83" t="str">
        <f t="shared" si="37"/>
        <v/>
      </c>
      <c r="T346" s="83" t="str">
        <f t="shared" si="38"/>
        <v/>
      </c>
      <c r="Y346" s="60">
        <f t="shared" si="39"/>
        <v>0</v>
      </c>
      <c r="Z346" s="49">
        <f t="shared" si="40"/>
        <v>0</v>
      </c>
      <c r="AA346" s="60">
        <f t="shared" si="41"/>
        <v>0</v>
      </c>
    </row>
    <row r="347" spans="1:27">
      <c r="A347" s="83" t="str">
        <f t="shared" si="35"/>
        <v/>
      </c>
      <c r="B347" s="83" t="str">
        <f t="shared" si="36"/>
        <v/>
      </c>
      <c r="S347" s="83" t="str">
        <f t="shared" si="37"/>
        <v/>
      </c>
      <c r="T347" s="83" t="str">
        <f t="shared" si="38"/>
        <v/>
      </c>
      <c r="Y347" s="60">
        <f t="shared" si="39"/>
        <v>0</v>
      </c>
      <c r="Z347" s="49">
        <f t="shared" si="40"/>
        <v>0</v>
      </c>
      <c r="AA347" s="60">
        <f t="shared" si="41"/>
        <v>0</v>
      </c>
    </row>
    <row r="348" spans="1:27">
      <c r="A348" s="83" t="str">
        <f t="shared" si="35"/>
        <v/>
      </c>
      <c r="B348" s="83" t="str">
        <f t="shared" si="36"/>
        <v/>
      </c>
      <c r="S348" s="83" t="str">
        <f t="shared" si="37"/>
        <v/>
      </c>
      <c r="T348" s="83" t="str">
        <f t="shared" si="38"/>
        <v/>
      </c>
      <c r="Y348" s="60">
        <f t="shared" si="39"/>
        <v>0</v>
      </c>
      <c r="Z348" s="49">
        <f t="shared" si="40"/>
        <v>0</v>
      </c>
      <c r="AA348" s="60">
        <f t="shared" si="41"/>
        <v>0</v>
      </c>
    </row>
    <row r="349" spans="1:27">
      <c r="A349" s="83" t="str">
        <f t="shared" si="35"/>
        <v/>
      </c>
      <c r="B349" s="83" t="str">
        <f t="shared" si="36"/>
        <v/>
      </c>
      <c r="S349" s="83" t="str">
        <f t="shared" si="37"/>
        <v/>
      </c>
      <c r="T349" s="83" t="str">
        <f t="shared" si="38"/>
        <v/>
      </c>
      <c r="Y349" s="60">
        <f t="shared" si="39"/>
        <v>0</v>
      </c>
      <c r="Z349" s="49">
        <f t="shared" si="40"/>
        <v>0</v>
      </c>
      <c r="AA349" s="60">
        <f t="shared" si="41"/>
        <v>0</v>
      </c>
    </row>
    <row r="350" spans="1:27">
      <c r="A350" s="83" t="str">
        <f t="shared" si="35"/>
        <v/>
      </c>
      <c r="B350" s="83" t="str">
        <f t="shared" si="36"/>
        <v/>
      </c>
      <c r="S350" s="83" t="str">
        <f t="shared" si="37"/>
        <v/>
      </c>
      <c r="T350" s="83" t="str">
        <f t="shared" si="38"/>
        <v/>
      </c>
      <c r="Y350" s="60">
        <f t="shared" si="39"/>
        <v>0</v>
      </c>
      <c r="Z350" s="49">
        <f t="shared" si="40"/>
        <v>0</v>
      </c>
      <c r="AA350" s="60">
        <f t="shared" si="41"/>
        <v>0</v>
      </c>
    </row>
    <row r="351" spans="1:27">
      <c r="A351" s="83" t="str">
        <f t="shared" si="35"/>
        <v/>
      </c>
      <c r="B351" s="83" t="str">
        <f t="shared" si="36"/>
        <v/>
      </c>
      <c r="S351" s="83" t="str">
        <f t="shared" si="37"/>
        <v/>
      </c>
      <c r="T351" s="83" t="str">
        <f t="shared" si="38"/>
        <v/>
      </c>
      <c r="Y351" s="60">
        <f t="shared" si="39"/>
        <v>0</v>
      </c>
      <c r="Z351" s="49">
        <f t="shared" si="40"/>
        <v>0</v>
      </c>
      <c r="AA351" s="60">
        <f t="shared" si="41"/>
        <v>0</v>
      </c>
    </row>
    <row r="352" spans="1:27">
      <c r="A352" s="83" t="str">
        <f t="shared" si="35"/>
        <v/>
      </c>
      <c r="B352" s="83" t="str">
        <f t="shared" si="36"/>
        <v/>
      </c>
      <c r="S352" s="83" t="str">
        <f t="shared" si="37"/>
        <v/>
      </c>
      <c r="T352" s="83" t="str">
        <f t="shared" si="38"/>
        <v/>
      </c>
      <c r="Y352" s="60">
        <f t="shared" si="39"/>
        <v>0</v>
      </c>
      <c r="Z352" s="49">
        <f t="shared" si="40"/>
        <v>0</v>
      </c>
      <c r="AA352" s="60">
        <f t="shared" si="41"/>
        <v>0</v>
      </c>
    </row>
    <row r="353" spans="1:27">
      <c r="A353" s="83" t="str">
        <f t="shared" si="35"/>
        <v/>
      </c>
      <c r="B353" s="83" t="str">
        <f t="shared" si="36"/>
        <v/>
      </c>
      <c r="S353" s="83" t="str">
        <f t="shared" si="37"/>
        <v/>
      </c>
      <c r="T353" s="83" t="str">
        <f t="shared" si="38"/>
        <v/>
      </c>
      <c r="Y353" s="60">
        <f t="shared" si="39"/>
        <v>0</v>
      </c>
      <c r="Z353" s="49">
        <f t="shared" si="40"/>
        <v>0</v>
      </c>
      <c r="AA353" s="60">
        <f t="shared" si="41"/>
        <v>0</v>
      </c>
    </row>
    <row r="354" spans="1:27">
      <c r="A354" s="83" t="str">
        <f t="shared" si="35"/>
        <v/>
      </c>
      <c r="B354" s="83" t="str">
        <f t="shared" si="36"/>
        <v/>
      </c>
      <c r="S354" s="83" t="str">
        <f t="shared" si="37"/>
        <v/>
      </c>
      <c r="T354" s="83" t="str">
        <f t="shared" si="38"/>
        <v/>
      </c>
      <c r="Y354" s="60">
        <f t="shared" si="39"/>
        <v>0</v>
      </c>
      <c r="Z354" s="49">
        <f t="shared" si="40"/>
        <v>0</v>
      </c>
      <c r="AA354" s="60">
        <f t="shared" si="41"/>
        <v>0</v>
      </c>
    </row>
    <row r="355" spans="1:27">
      <c r="A355" s="83" t="str">
        <f t="shared" si="35"/>
        <v/>
      </c>
      <c r="B355" s="83" t="str">
        <f t="shared" si="36"/>
        <v/>
      </c>
      <c r="S355" s="83" t="str">
        <f t="shared" si="37"/>
        <v/>
      </c>
      <c r="T355" s="83" t="str">
        <f t="shared" si="38"/>
        <v/>
      </c>
      <c r="Y355" s="60">
        <f t="shared" si="39"/>
        <v>0</v>
      </c>
      <c r="Z355" s="49">
        <f t="shared" si="40"/>
        <v>0</v>
      </c>
      <c r="AA355" s="60">
        <f t="shared" si="41"/>
        <v>0</v>
      </c>
    </row>
    <row r="356" spans="1:27">
      <c r="A356" s="83" t="str">
        <f t="shared" si="35"/>
        <v/>
      </c>
      <c r="B356" s="83" t="str">
        <f t="shared" si="36"/>
        <v/>
      </c>
      <c r="S356" s="83" t="str">
        <f t="shared" si="37"/>
        <v/>
      </c>
      <c r="T356" s="83" t="str">
        <f t="shared" si="38"/>
        <v/>
      </c>
      <c r="Y356" s="60">
        <f t="shared" si="39"/>
        <v>0</v>
      </c>
      <c r="Z356" s="49">
        <f t="shared" si="40"/>
        <v>0</v>
      </c>
      <c r="AA356" s="60">
        <f t="shared" si="41"/>
        <v>0</v>
      </c>
    </row>
    <row r="357" spans="1:27">
      <c r="A357" s="83" t="str">
        <f t="shared" si="35"/>
        <v/>
      </c>
      <c r="B357" s="83" t="str">
        <f t="shared" si="36"/>
        <v/>
      </c>
      <c r="S357" s="83" t="str">
        <f t="shared" si="37"/>
        <v/>
      </c>
      <c r="T357" s="83" t="str">
        <f t="shared" si="38"/>
        <v/>
      </c>
      <c r="Y357" s="60">
        <f t="shared" si="39"/>
        <v>0</v>
      </c>
      <c r="Z357" s="49">
        <f t="shared" si="40"/>
        <v>0</v>
      </c>
      <c r="AA357" s="60">
        <f t="shared" si="41"/>
        <v>0</v>
      </c>
    </row>
    <row r="358" spans="1:27">
      <c r="A358" s="83" t="str">
        <f t="shared" si="35"/>
        <v/>
      </c>
      <c r="B358" s="83" t="str">
        <f t="shared" si="36"/>
        <v/>
      </c>
      <c r="S358" s="83" t="str">
        <f t="shared" si="37"/>
        <v/>
      </c>
      <c r="T358" s="83" t="str">
        <f t="shared" si="38"/>
        <v/>
      </c>
      <c r="Y358" s="60">
        <f t="shared" si="39"/>
        <v>0</v>
      </c>
      <c r="Z358" s="49">
        <f t="shared" si="40"/>
        <v>0</v>
      </c>
      <c r="AA358" s="60">
        <f t="shared" si="41"/>
        <v>0</v>
      </c>
    </row>
    <row r="359" spans="1:27">
      <c r="A359" s="83" t="str">
        <f t="shared" si="35"/>
        <v/>
      </c>
      <c r="B359" s="83" t="str">
        <f t="shared" si="36"/>
        <v/>
      </c>
      <c r="S359" s="83" t="str">
        <f t="shared" si="37"/>
        <v/>
      </c>
      <c r="T359" s="83" t="str">
        <f t="shared" si="38"/>
        <v/>
      </c>
      <c r="Y359" s="60">
        <f t="shared" si="39"/>
        <v>0</v>
      </c>
      <c r="Z359" s="49">
        <f t="shared" si="40"/>
        <v>0</v>
      </c>
      <c r="AA359" s="60">
        <f t="shared" si="41"/>
        <v>0</v>
      </c>
    </row>
    <row r="360" spans="1:27">
      <c r="A360" s="83" t="str">
        <f t="shared" si="35"/>
        <v/>
      </c>
      <c r="B360" s="83" t="str">
        <f t="shared" si="36"/>
        <v/>
      </c>
      <c r="S360" s="83" t="str">
        <f t="shared" si="37"/>
        <v/>
      </c>
      <c r="T360" s="83" t="str">
        <f t="shared" si="38"/>
        <v/>
      </c>
      <c r="Y360" s="60">
        <f t="shared" si="39"/>
        <v>0</v>
      </c>
      <c r="Z360" s="49">
        <f t="shared" si="40"/>
        <v>0</v>
      </c>
      <c r="AA360" s="60">
        <f t="shared" si="41"/>
        <v>0</v>
      </c>
    </row>
    <row r="361" spans="1:27">
      <c r="A361" s="83" t="str">
        <f t="shared" si="35"/>
        <v/>
      </c>
      <c r="B361" s="83" t="str">
        <f t="shared" si="36"/>
        <v/>
      </c>
      <c r="S361" s="83" t="str">
        <f t="shared" si="37"/>
        <v/>
      </c>
      <c r="T361" s="83" t="str">
        <f t="shared" si="38"/>
        <v/>
      </c>
      <c r="Y361" s="60">
        <f t="shared" si="39"/>
        <v>0</v>
      </c>
      <c r="Z361" s="49">
        <f t="shared" si="40"/>
        <v>0</v>
      </c>
      <c r="AA361" s="60">
        <f t="shared" si="41"/>
        <v>0</v>
      </c>
    </row>
    <row r="362" spans="1:27">
      <c r="A362" s="83" t="str">
        <f t="shared" si="35"/>
        <v/>
      </c>
      <c r="B362" s="83" t="str">
        <f t="shared" si="36"/>
        <v/>
      </c>
      <c r="S362" s="83" t="str">
        <f t="shared" si="37"/>
        <v/>
      </c>
      <c r="T362" s="83" t="str">
        <f t="shared" si="38"/>
        <v/>
      </c>
      <c r="Y362" s="60">
        <f t="shared" si="39"/>
        <v>0</v>
      </c>
      <c r="Z362" s="49">
        <f t="shared" si="40"/>
        <v>0</v>
      </c>
      <c r="AA362" s="60">
        <f t="shared" si="41"/>
        <v>0</v>
      </c>
    </row>
    <row r="363" spans="1:27">
      <c r="A363" s="83" t="str">
        <f t="shared" si="35"/>
        <v/>
      </c>
      <c r="B363" s="83" t="str">
        <f t="shared" si="36"/>
        <v/>
      </c>
      <c r="S363" s="83" t="str">
        <f t="shared" si="37"/>
        <v/>
      </c>
      <c r="T363" s="83" t="str">
        <f t="shared" si="38"/>
        <v/>
      </c>
      <c r="Y363" s="60">
        <f t="shared" si="39"/>
        <v>0</v>
      </c>
      <c r="Z363" s="49">
        <f t="shared" si="40"/>
        <v>0</v>
      </c>
      <c r="AA363" s="60">
        <f t="shared" si="41"/>
        <v>0</v>
      </c>
    </row>
    <row r="364" spans="1:27">
      <c r="A364" s="83" t="str">
        <f t="shared" si="35"/>
        <v/>
      </c>
      <c r="B364" s="83" t="str">
        <f t="shared" si="36"/>
        <v/>
      </c>
      <c r="S364" s="83" t="str">
        <f t="shared" si="37"/>
        <v/>
      </c>
      <c r="T364" s="83" t="str">
        <f t="shared" si="38"/>
        <v/>
      </c>
      <c r="Y364" s="60">
        <f t="shared" si="39"/>
        <v>0</v>
      </c>
      <c r="Z364" s="49">
        <f t="shared" si="40"/>
        <v>0</v>
      </c>
      <c r="AA364" s="60">
        <f t="shared" si="41"/>
        <v>0</v>
      </c>
    </row>
    <row r="365" spans="1:27">
      <c r="A365" s="83" t="str">
        <f t="shared" si="35"/>
        <v/>
      </c>
      <c r="B365" s="83" t="str">
        <f t="shared" si="36"/>
        <v/>
      </c>
      <c r="S365" s="83" t="str">
        <f t="shared" si="37"/>
        <v/>
      </c>
      <c r="T365" s="83" t="str">
        <f t="shared" si="38"/>
        <v/>
      </c>
      <c r="Y365" s="60">
        <f t="shared" si="39"/>
        <v>0</v>
      </c>
      <c r="Z365" s="49">
        <f t="shared" si="40"/>
        <v>0</v>
      </c>
      <c r="AA365" s="60">
        <f t="shared" si="41"/>
        <v>0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2022-02-25T12:56:30Z</dcterms:modified>
</cp:coreProperties>
</file>