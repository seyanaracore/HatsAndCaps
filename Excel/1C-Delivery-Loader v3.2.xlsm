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416FAF18-BB2D-4B01-B0F5-9459495C0A13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E3" i="39" l="1"/>
  <c r="E33" i="39"/>
  <c r="E44" i="39"/>
  <c r="E37" i="39"/>
  <c r="E22" i="39"/>
  <c r="E15" i="39"/>
  <c r="E32" i="39"/>
  <c r="E50" i="39"/>
  <c r="Q51" i="39"/>
  <c r="Q45" i="39"/>
  <c r="Q38" i="39"/>
  <c r="Q39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N4" i="39"/>
  <c r="N13" i="39"/>
  <c r="N14" i="39"/>
  <c r="N40" i="39"/>
  <c r="N31" i="39"/>
  <c r="N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W51" i="39" s="1"/>
  <c r="I36" i="39"/>
  <c r="W36" i="39" s="1"/>
  <c r="I29" i="39"/>
  <c r="W29" i="39" s="1"/>
  <c r="I14" i="39"/>
  <c r="W14" i="39" s="1"/>
  <c r="H35" i="39"/>
  <c r="H20" i="39"/>
  <c r="H45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45" i="39"/>
  <c r="E30" i="39"/>
  <c r="E23" i="39"/>
  <c r="E40" i="39"/>
  <c r="E2" i="39"/>
  <c r="Q46" i="39"/>
  <c r="Q50" i="39"/>
  <c r="Q18" i="39"/>
  <c r="Q10" i="39"/>
  <c r="P44" i="39"/>
  <c r="X44" i="39" s="1"/>
  <c r="P14" i="39"/>
  <c r="X14" i="39" s="1"/>
  <c r="P39" i="39"/>
  <c r="X39" i="39" s="1"/>
  <c r="P16" i="39"/>
  <c r="X16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W44" i="39" s="1"/>
  <c r="I37" i="39"/>
  <c r="W37" i="39" s="1"/>
  <c r="I22" i="39"/>
  <c r="W22" i="39" s="1"/>
  <c r="I9" i="39"/>
  <c r="W9" i="39" s="1"/>
  <c r="I8" i="39"/>
  <c r="W8" i="39" s="1"/>
  <c r="I39" i="39"/>
  <c r="W39" i="39" s="1"/>
  <c r="H43" i="39"/>
  <c r="H28" i="39"/>
  <c r="H26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38" i="39"/>
  <c r="E31" i="39"/>
  <c r="E48" i="39"/>
  <c r="Q3" i="39"/>
  <c r="Q4" i="39"/>
  <c r="Q42" i="39"/>
  <c r="Q47" i="39"/>
  <c r="Q8" i="39"/>
  <c r="Q9" i="39"/>
  <c r="Q26" i="39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W31" i="39" s="1"/>
  <c r="I45" i="39"/>
  <c r="W45" i="39" s="1"/>
  <c r="I30" i="39"/>
  <c r="W30" i="39" s="1"/>
  <c r="I17" i="39"/>
  <c r="W17" i="39" s="1"/>
  <c r="I10" i="39"/>
  <c r="W10" i="39" s="1"/>
  <c r="I24" i="39"/>
  <c r="W24" i="39" s="1"/>
  <c r="H51" i="39"/>
  <c r="H36" i="39"/>
  <c r="H6" i="39"/>
  <c r="H17" i="39"/>
  <c r="H40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46" i="39"/>
  <c r="N23" i="39"/>
  <c r="N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W12" i="39" s="1"/>
  <c r="I7" i="39"/>
  <c r="W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40" i="39"/>
  <c r="O40" i="39" s="1"/>
  <c r="G25" i="39"/>
  <c r="O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B21" i="39"/>
  <c r="B30" i="39"/>
  <c r="B39" i="39"/>
  <c r="B32" i="39"/>
  <c r="B9" i="39"/>
  <c r="B18" i="39"/>
  <c r="B27" i="39"/>
  <c r="E51" i="39"/>
  <c r="E21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W11" i="39" s="1"/>
  <c r="I20" i="39"/>
  <c r="W20" i="39" s="1"/>
  <c r="I15" i="39"/>
  <c r="W15" i="39" s="1"/>
  <c r="I16" i="39"/>
  <c r="W16" i="39" s="1"/>
  <c r="I34" i="39"/>
  <c r="W34" i="39" s="1"/>
  <c r="H13" i="39"/>
  <c r="H15" i="39"/>
  <c r="H16" i="39"/>
  <c r="H2" i="39"/>
  <c r="G36" i="39"/>
  <c r="O3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29" i="39"/>
  <c r="E41" i="39"/>
  <c r="Q35" i="39"/>
  <c r="Q13" i="39"/>
  <c r="Q30" i="39"/>
  <c r="Q32" i="39"/>
  <c r="Q2" i="39"/>
  <c r="P29" i="39"/>
  <c r="X29" i="39" s="1"/>
  <c r="P45" i="39"/>
  <c r="X45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W19" i="39" s="1"/>
  <c r="I28" i="39"/>
  <c r="W28" i="39" s="1"/>
  <c r="I47" i="39"/>
  <c r="W47" i="39" s="1"/>
  <c r="I25" i="39"/>
  <c r="W25" i="39" s="1"/>
  <c r="I42" i="39"/>
  <c r="W42" i="39" s="1"/>
  <c r="H21" i="39"/>
  <c r="H29" i="39"/>
  <c r="H23" i="39"/>
  <c r="E20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3" i="39"/>
  <c r="N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W32" i="39" s="1"/>
  <c r="I6" i="39"/>
  <c r="W6" i="39" s="1"/>
  <c r="I41" i="39"/>
  <c r="W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W27" i="39" s="1"/>
  <c r="I40" i="39"/>
  <c r="W40" i="39" s="1"/>
  <c r="I50" i="39"/>
  <c r="W50" i="39" s="1"/>
  <c r="H14" i="39"/>
  <c r="H48" i="39"/>
  <c r="G26" i="39"/>
  <c r="O26" i="39" s="1"/>
  <c r="G10" i="39"/>
  <c r="O10" i="39" s="1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19" i="39"/>
  <c r="B43" i="39"/>
  <c r="Q37" i="39"/>
  <c r="M22" i="39"/>
  <c r="K19" i="39"/>
  <c r="I5" i="39"/>
  <c r="W5" i="39" s="1"/>
  <c r="G3" i="39"/>
  <c r="O3" i="39" s="1"/>
  <c r="F44" i="39"/>
  <c r="D4" i="39"/>
  <c r="C5" i="39"/>
  <c r="Y5" i="39" s="1"/>
  <c r="B15" i="39"/>
  <c r="B2" i="39"/>
  <c r="E25" i="39"/>
  <c r="J50" i="39"/>
  <c r="G39" i="39"/>
  <c r="O39" i="39" s="1"/>
  <c r="D10" i="39"/>
  <c r="Q11" i="39"/>
  <c r="N15" i="39"/>
  <c r="J31" i="39"/>
  <c r="I18" i="39"/>
  <c r="W18" i="39" s="1"/>
  <c r="G47" i="39"/>
  <c r="O47" i="39" s="1"/>
  <c r="F17" i="39"/>
  <c r="E28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0" i="39"/>
  <c r="J16" i="39"/>
  <c r="I43" i="39"/>
  <c r="W43" i="39" s="1"/>
  <c r="I38" i="39"/>
  <c r="W38" i="39" s="1"/>
  <c r="H3" i="39"/>
  <c r="H30" i="39"/>
  <c r="G30" i="39"/>
  <c r="O30" i="39" s="1"/>
  <c r="G8" i="39"/>
  <c r="O8" i="39" s="1"/>
  <c r="G34" i="39"/>
  <c r="O34" i="39" s="1"/>
  <c r="F23" i="39"/>
  <c r="F41" i="39"/>
  <c r="F35" i="39"/>
  <c r="D35" i="39"/>
  <c r="D8" i="39"/>
  <c r="D7" i="39"/>
  <c r="D50" i="39"/>
  <c r="C12" i="39"/>
  <c r="Y12" i="39" s="1"/>
  <c r="C50" i="39"/>
  <c r="Y50" i="39" s="1"/>
  <c r="C17" i="39"/>
  <c r="Y17" i="39" s="1"/>
  <c r="C2" i="39"/>
  <c r="Y2" i="39" s="1"/>
  <c r="B22" i="39"/>
  <c r="B12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B48" i="39"/>
  <c r="E14" i="39"/>
  <c r="N44" i="39"/>
  <c r="J35" i="39"/>
  <c r="H42" i="39"/>
  <c r="G49" i="39"/>
  <c r="O49" i="39" s="1"/>
  <c r="E36" i="39"/>
  <c r="E18" i="39"/>
  <c r="Q28" i="39"/>
  <c r="Q15" i="39"/>
  <c r="P28" i="39"/>
  <c r="X28" i="39" s="1"/>
  <c r="P35" i="39"/>
  <c r="X35" i="39" s="1"/>
  <c r="N6" i="39"/>
  <c r="N17" i="39"/>
  <c r="M29" i="39"/>
  <c r="L19" i="39"/>
  <c r="L18" i="39"/>
  <c r="K23" i="39"/>
  <c r="K7" i="39"/>
  <c r="J40" i="39"/>
  <c r="J32" i="39"/>
  <c r="I48" i="39"/>
  <c r="W48" i="39" s="1"/>
  <c r="I46" i="39"/>
  <c r="W46" i="39" s="1"/>
  <c r="H11" i="39"/>
  <c r="H38" i="39"/>
  <c r="H49" i="39"/>
  <c r="G44" i="39"/>
  <c r="O44" i="39" s="1"/>
  <c r="G38" i="39"/>
  <c r="O38" i="39" s="1"/>
  <c r="G16" i="39"/>
  <c r="O16" i="39" s="1"/>
  <c r="G2" i="39"/>
  <c r="F46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23" i="39"/>
  <c r="A1" i="39"/>
  <c r="A17" i="43" s="1"/>
  <c r="P38" i="39"/>
  <c r="X38" i="39" s="1"/>
  <c r="N28" i="39"/>
  <c r="M18" i="39"/>
  <c r="I49" i="39"/>
  <c r="W49" i="39" s="1"/>
  <c r="G17" i="39"/>
  <c r="O17" i="39" s="1"/>
  <c r="F32" i="39"/>
  <c r="C27" i="39"/>
  <c r="Y27" i="39" s="1"/>
  <c r="B45" i="39"/>
  <c r="N7" i="39"/>
  <c r="H10" i="39"/>
  <c r="F16" i="39"/>
  <c r="D3" i="39"/>
  <c r="C51" i="39"/>
  <c r="Y51" i="39" s="1"/>
  <c r="C18" i="39"/>
  <c r="Y18" i="39" s="1"/>
  <c r="B3" i="39"/>
  <c r="P42" i="39"/>
  <c r="X42" i="39" s="1"/>
  <c r="N19" i="39"/>
  <c r="K35" i="39"/>
  <c r="I21" i="39"/>
  <c r="W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L27" i="39"/>
  <c r="L22" i="39"/>
  <c r="L26" i="39"/>
  <c r="K39" i="39"/>
  <c r="K15" i="39"/>
  <c r="J4" i="39"/>
  <c r="J25" i="39"/>
  <c r="I4" i="39"/>
  <c r="W4" i="39" s="1"/>
  <c r="H19" i="39"/>
  <c r="H46" i="39"/>
  <c r="H18" i="39"/>
  <c r="G46" i="39"/>
  <c r="O46" i="39" s="1"/>
  <c r="G32" i="39"/>
  <c r="O32" i="39" s="1"/>
  <c r="F20" i="39"/>
  <c r="F24" i="39"/>
  <c r="F7" i="39"/>
  <c r="F10" i="39"/>
  <c r="D16" i="39"/>
  <c r="D22" i="39"/>
  <c r="D17" i="39"/>
  <c r="C11" i="39"/>
  <c r="Y11" i="39" s="1"/>
  <c r="C44" i="39"/>
  <c r="Y44" i="39" s="1"/>
  <c r="C31" i="39"/>
  <c r="Y31" i="39" s="1"/>
  <c r="C33" i="39"/>
  <c r="Y33" i="39" s="1"/>
  <c r="B13" i="39"/>
  <c r="B8" i="39"/>
  <c r="B44" i="39"/>
  <c r="B42" i="39"/>
  <c r="B28" i="39"/>
  <c r="B50" i="39"/>
  <c r="N42" i="39"/>
  <c r="K2" i="39"/>
  <c r="H41" i="39"/>
  <c r="F13" i="39"/>
  <c r="D46" i="39"/>
  <c r="C49" i="39"/>
  <c r="Y49" i="39" s="1"/>
  <c r="P46" i="39"/>
  <c r="X46" i="39" s="1"/>
  <c r="K27" i="39"/>
  <c r="I13" i="39"/>
  <c r="W13" i="39" s="1"/>
  <c r="G11" i="39"/>
  <c r="O11" i="39" s="1"/>
  <c r="F21" i="39"/>
  <c r="C38" i="39"/>
  <c r="Y38" i="39" s="1"/>
  <c r="B41" i="39"/>
  <c r="Q6" i="39"/>
  <c r="L39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L4" i="39"/>
  <c r="K3" i="39"/>
  <c r="K37" i="39"/>
  <c r="K10" i="39"/>
  <c r="J6" i="39"/>
  <c r="I23" i="39"/>
  <c r="W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6" i="39"/>
  <c r="Y6" i="39" s="1"/>
  <c r="C39" i="39"/>
  <c r="Y39" i="39" s="1"/>
  <c r="C41" i="39"/>
  <c r="Y41" i="39" s="1"/>
  <c r="B37" i="39"/>
  <c r="B7" i="39"/>
  <c r="B16" i="39"/>
  <c r="B25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G41" i="39"/>
  <c r="O41" i="39" s="1"/>
  <c r="D12" i="39"/>
  <c r="C13" i="39"/>
  <c r="Y13" i="39" s="1"/>
  <c r="B23" i="39"/>
  <c r="Q33" i="39"/>
  <c r="M7" i="39"/>
  <c r="K6" i="39"/>
  <c r="F37" i="39"/>
  <c r="D11" i="39"/>
  <c r="C8" i="39"/>
  <c r="Y8" i="39" s="1"/>
  <c r="B31" i="39"/>
  <c r="B49" i="39"/>
  <c r="D20" i="39"/>
  <c r="C26" i="39"/>
  <c r="Y26" i="39" s="1"/>
  <c r="B11" i="39"/>
  <c r="D45" i="39"/>
  <c r="B6" i="39"/>
  <c r="D47" i="39"/>
  <c r="D18" i="39"/>
  <c r="C21" i="39"/>
  <c r="Y21" i="39" s="1"/>
  <c r="W2" i="39" l="1"/>
  <c r="U20" i="39"/>
  <c r="U38" i="39"/>
  <c r="U43" i="39"/>
  <c r="V34" i="39"/>
  <c r="V24" i="39"/>
  <c r="V9" i="39"/>
  <c r="U29" i="39"/>
  <c r="V13" i="39"/>
  <c r="U4" i="39"/>
  <c r="V18" i="39"/>
  <c r="V40" i="39"/>
  <c r="V10" i="39"/>
  <c r="V36" i="39"/>
  <c r="U7" i="39"/>
  <c r="V47" i="39"/>
  <c r="V27" i="39"/>
  <c r="V17" i="39"/>
  <c r="U37" i="39"/>
  <c r="V51" i="39"/>
  <c r="V5" i="39"/>
  <c r="V44" i="39"/>
  <c r="U49" i="39"/>
  <c r="V41" i="39"/>
  <c r="V30" i="39"/>
  <c r="U6" i="39"/>
  <c r="V23" i="39"/>
  <c r="U32" i="39"/>
  <c r="U46" i="39"/>
  <c r="V48" i="39"/>
  <c r="U42" i="39"/>
  <c r="U16" i="39"/>
  <c r="V21" i="39"/>
  <c r="V25" i="39"/>
  <c r="V12" i="39"/>
  <c r="U31" i="39"/>
  <c r="V39" i="39"/>
  <c r="U36" i="39"/>
  <c r="V22" i="39"/>
  <c r="U10" i="39"/>
  <c r="U17" i="39"/>
  <c r="V26" i="39"/>
  <c r="U34" i="39"/>
  <c r="U41" i="39"/>
  <c r="U26" i="39"/>
  <c r="V6" i="39"/>
  <c r="U13" i="39"/>
  <c r="U44" i="39"/>
  <c r="U51" i="39"/>
  <c r="U24" i="39"/>
  <c r="V8" i="39"/>
  <c r="U22" i="39"/>
  <c r="U50" i="39"/>
  <c r="U18" i="39"/>
  <c r="V37" i="39"/>
  <c r="U9" i="39"/>
  <c r="V45" i="39"/>
  <c r="U2" i="39"/>
  <c r="U8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32" i="39"/>
  <c r="V7" i="39"/>
  <c r="V38" i="39"/>
  <c r="V16" i="39"/>
  <c r="V42" i="39"/>
  <c r="V4" i="39"/>
  <c r="U45" i="39"/>
  <c r="U25" i="39"/>
  <c r="V46" i="39"/>
  <c r="U12" i="39"/>
  <c r="U47" i="39"/>
  <c r="V20" i="39"/>
  <c r="B2" i="43"/>
  <c r="O2" i="39"/>
  <c r="V43" i="39"/>
  <c r="U30" i="39"/>
  <c r="V49" i="39"/>
  <c r="U27" i="39"/>
  <c r="U33" i="39"/>
  <c r="V33" i="39"/>
  <c r="U15" i="39"/>
  <c r="U21" i="39"/>
  <c r="U5" i="39"/>
  <c r="V15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AM47" i="39" s="1"/>
  <c r="Z47" i="39"/>
  <c r="AC47" i="39" s="1"/>
  <c r="AR46" i="39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AM20" i="39" s="1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R19" i="39"/>
  <c r="AM19" i="39" s="1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AM18" i="39" s="1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R2" i="39"/>
  <c r="AM2" i="39" s="1"/>
  <c r="Z2" i="39"/>
  <c r="AC2" i="39" s="1"/>
  <c r="T2" i="39"/>
  <c r="AS2" i="39" s="1"/>
  <c r="AM23" i="39" l="1"/>
  <c r="AM50" i="39"/>
  <c r="AM12" i="39"/>
  <c r="AM22" i="39"/>
  <c r="AM38" i="39"/>
  <c r="AM9" i="39"/>
  <c r="AM25" i="39"/>
  <c r="AM28" i="39"/>
  <c r="AM36" i="39"/>
  <c r="AM44" i="39"/>
  <c r="AM10" i="39"/>
  <c r="AM29" i="39"/>
  <c r="AM8" i="39"/>
  <c r="AM21" i="39"/>
  <c r="AM48" i="39"/>
  <c r="AM31" i="39"/>
  <c r="AM16" i="39"/>
  <c r="AM34" i="39"/>
  <c r="AM26" i="39"/>
  <c r="AM33" i="39"/>
  <c r="AM45" i="39"/>
  <c r="AM51" i="39"/>
  <c r="AM37" i="39"/>
  <c r="AM35" i="39"/>
  <c r="AM27" i="39"/>
  <c r="AM30" i="39"/>
  <c r="AM7" i="39"/>
  <c r="AM32" i="39"/>
  <c r="AM39" i="39"/>
  <c r="AM13" i="39"/>
  <c r="AM17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T40" i="39"/>
  <c r="AT40" i="39" s="1"/>
  <c r="AF45" i="39"/>
  <c r="AF50" i="39"/>
  <c r="AF36" i="39"/>
  <c r="S10" i="39"/>
  <c r="AQ10" i="39"/>
  <c r="S1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AF29" i="39"/>
  <c r="S32" i="39"/>
  <c r="AT9" i="39"/>
  <c r="AF13" i="39"/>
  <c r="T18" i="39"/>
  <c r="AQ18" i="39" s="1"/>
  <c r="AF31" i="39"/>
  <c r="AF41" i="39"/>
  <c r="S43" i="39"/>
  <c r="S46" i="39"/>
  <c r="T48" i="39"/>
  <c r="AS48" i="39" s="1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S12" i="39"/>
  <c r="AS31" i="39"/>
  <c r="AQ31" i="39"/>
  <c r="AT2" i="39"/>
  <c r="AQ2" i="39"/>
  <c r="AF2" i="39"/>
  <c r="AS1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S32" i="39"/>
  <c r="AQ32" i="39"/>
  <c r="S34" i="39"/>
  <c r="AQ35" i="39"/>
  <c r="AF38" i="39"/>
  <c r="S39" i="39"/>
  <c r="S42" i="39"/>
  <c r="AF26" i="39"/>
  <c r="AF32" i="39"/>
  <c r="AQ34" i="39"/>
  <c r="AS35" i="39"/>
  <c r="AS45" i="39"/>
  <c r="AQ45" i="39"/>
  <c r="S40" i="39"/>
  <c r="AQ11" i="39" l="1"/>
  <c r="AM40" i="39"/>
  <c r="AM5" i="39"/>
  <c r="AM43" i="39"/>
  <c r="AM42" i="39"/>
  <c r="AM4" i="39"/>
  <c r="AM3" i="39"/>
  <c r="AQ12" i="39"/>
  <c r="AS11" i="39"/>
  <c r="AT29" i="39"/>
  <c r="AT21" i="39"/>
  <c r="AT50" i="39"/>
  <c r="AS21" i="39"/>
  <c r="AQ20" i="39"/>
  <c r="AS20" i="39"/>
  <c r="AQ19" i="39"/>
  <c r="AQ50" i="39"/>
  <c r="AS29" i="39"/>
  <c r="AS38" i="39"/>
  <c r="AQ38" i="39"/>
  <c r="AS19" i="39"/>
  <c r="AS40" i="39"/>
  <c r="AQ5" i="39"/>
  <c r="AS36" i="39"/>
  <c r="AS5" i="39"/>
  <c r="AQ43" i="39"/>
  <c r="AQ27" i="39"/>
  <c r="AT36" i="39"/>
  <c r="AS27" i="39"/>
  <c r="AT5" i="39"/>
  <c r="AT43" i="39"/>
  <c r="AT6" i="39"/>
  <c r="AT48" i="39"/>
  <c r="AQ48" i="39"/>
  <c r="AT18" i="39"/>
  <c r="AS1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Q3" i="39"/>
  <c r="AT3" i="39"/>
  <c r="AS3" i="39"/>
  <c r="AR6" i="39" l="1"/>
  <c r="AQ6" i="39"/>
  <c r="AB2" i="32"/>
  <c r="AM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<sst xmlns="http://schemas.openxmlformats.org/spreadsheetml/2006/main" count="98377" uniqueCount="37807">
  <si>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</si>
  <si>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</si>
  <si>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</si>
  <si>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</si>
  <si>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</si>
  <si>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</si>
  <si>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</si>
  <si>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</si>
  <si>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</si>
  <si>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</si>
  <si>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</si>
  <si>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</si>
  <si>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</si>
  <si>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</si>
  <si>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</si>
  <si>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</si>
  <si>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</si>
  <si>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</si>
  <si>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</si>
  <si>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</si>
  <si>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</si>
  <si>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</si>
  <si>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</si>
  <si>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</si>
  <si>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</si>
  <si>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</si>
  <si>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</si>
  <si>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</si>
  <si>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</si>
  <si>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</si>
  <si>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</si>
  <si>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</si>
  <si>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</si>
  <si>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</si>
  <si>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</si>
  <si>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</si>
  <si>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</si>
  <si>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</si>
  <si>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</si>
  <si>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</si>
  <si>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</si>
  <si>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</si>
  <si>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</si>
  <si>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</si>
  <si>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</si>
  <si>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</si>
  <si>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</si>
  <si>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</si>
  <si>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</si>
  <si>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</si>
  <si>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</si>
  <si>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</si>
  <si>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</si>
  <si>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</si>
  <si>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</si>
  <si>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</si>
  <si>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</si>
  <si>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</si>
  <si>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</si>
  <si>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</si>
  <si>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</si>
  <si>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</si>
  <si>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</si>
  <si>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</si>
  <si>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</si>
  <si>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</si>
  <si>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</si>
  <si>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</si>
  <si>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</si>
  <si>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</si>
  <si>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</si>
  <si>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</si>
  <si>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</si>
  <si>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</si>
  <si>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</si>
  <si>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</si>
  <si>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</si>
  <si>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</si>
  <si>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</si>
  <si>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</si>
  <si>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</si>
  <si>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</si>
  <si>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</si>
  <si>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</si>
  <si>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</si>
  <si>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</si>
  <si>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</si>
  <si>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</si>
  <si>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</si>
  <si>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</si>
  <si>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</si>
  <si>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</si>
  <si>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</si>
  <si>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</si>
  <si>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</si>
  <si>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</si>
  <si>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</si>
  <si>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</si>
  <si>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</si>
  <si>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</si>
  <si>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</si>
  <si>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</si>
  <si>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</si>
  <si>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</si>
  <si>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</si>
  <si>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</si>
  <si>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</si>
  <si>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</si>
  <si>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</si>
  <si>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</si>
  <si>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</si>
  <si>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</si>
  <si>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</si>
  <si>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</si>
  <si>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</si>
  <si>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</si>
  <si>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</si>
  <si>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</si>
  <si>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</si>
  <si>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</si>
  <si>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</si>
  <si>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</si>
  <si>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</si>
  <si>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</si>
  <si>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</si>
  <si>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</si>
  <si>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</si>
  <si>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</si>
  <si>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</si>
  <si>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</si>
  <si>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</si>
  <si>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</si>
  <si>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</si>
  <si>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</si>
  <si>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</si>
  <si>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</si>
  <si>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</si>
  <si>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</si>
  <si>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</si>
  <si>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</si>
  <si>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</si>
  <si>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</si>
  <si>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</si>
  <si>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</si>
  <si>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</si>
  <si>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</si>
  <si>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</si>
  <si>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</si>
  <si>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</si>
  <si>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</si>
  <si>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</si>
  <si>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</si>
  <si>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</si>
  <si>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</si>
  <si>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</si>
  <si>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</si>
  <si>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</si>
  <si>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</si>
  <si>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</si>
  <si>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</si>
  <si>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</si>
  <si>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</si>
  <si>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</si>
  <si>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</si>
  <si>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</si>
  <si>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</si>
  <si>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</si>
  <si>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</si>
  <si>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</si>
  <si>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</si>
  <si>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</si>
  <si>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</si>
  <si>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</si>
  <si>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</si>
  <si>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</si>
  <si>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</si>
  <si>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</si>
  <si>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</si>
  <si>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</si>
  <si>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</si>
  <si>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</si>
  <si>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</si>
  <si>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</si>
  <si>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</si>
  <si>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</si>
  <si>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</si>
  <si>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</si>
  <si>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</si>
  <si>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</si>
  <si>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</si>
  <si>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</si>
  <si>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</si>
  <si>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</si>
  <si>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</si>
  <si>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</si>
  <si>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</si>
  <si>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</si>
  <si>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</si>
  <si>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</si>
  <si>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</si>
  <si>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</si>
  <si>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</si>
  <si>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</si>
  <si>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</si>
  <si>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</si>
  <si>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</si>
  <si>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</si>
  <si>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</si>
  <si>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</si>
  <si>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</si>
  <si>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</si>
  <si>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</si>
  <si>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</si>
  <si>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</si>
  <si>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</si>
  <si>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</si>
  <si>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</si>
  <si>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</si>
  <si>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</si>
  <si>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</si>
  <si>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</si>
  <si>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</si>
  <si>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</si>
  <si>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</si>
  <si>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</si>
  <si>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</si>
  <si>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</si>
  <si>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</si>
  <si>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</si>
  <si>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</si>
  <si>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</si>
  <si>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</si>
  <si>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</si>
  <si>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</si>
  <si>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</si>
  <si>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</si>
  <si>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</si>
  <si>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</si>
  <si>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</si>
  <si>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</si>
  <si>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</si>
  <si>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</si>
  <si>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</si>
  <si>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</si>
  <si>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</si>
  <si>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</si>
  <si>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</si>
  <si>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</si>
  <si>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</si>
  <si>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</si>
  <si>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</si>
  <si>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</si>
  <si>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</si>
  <si>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</si>
  <si>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</si>
  <si>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</si>
  <si>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</si>
  <si>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</si>
  <si>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</si>
  <si>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</si>
  <si>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</si>
  <si>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</si>
  <si>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</si>
  <si>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</si>
  <si>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</si>
  <si>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</si>
  <si>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</si>
  <si>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</si>
  <si>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</si>
  <si>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</si>
  <si>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</si>
  <si>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</si>
  <si>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</si>
  <si>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</si>
  <si>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</si>
  <si>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</si>
  <si>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</si>
  <si>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</si>
  <si>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</si>
  <si>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</si>
  <si>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</si>
  <si>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</si>
  <si>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</si>
  <si>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</si>
  <si>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</si>
  <si>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</si>
  <si>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</si>
  <si>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</si>
  <si>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</si>
  <si>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</si>
  <si>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</si>
  <si>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</si>
  <si>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</si>
  <si>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</si>
  <si>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</si>
  <si>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</si>
  <si>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</si>
  <si>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</si>
  <si>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</si>
  <si>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</si>
  <si>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</si>
  <si>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</si>
  <si>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</si>
  <si>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</si>
  <si>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</si>
  <si>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</si>
  <si>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</si>
  <si>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</si>
  <si>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</si>
  <si>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</si>
  <si>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</si>
  <si>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</si>
  <si>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</si>
  <si>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</si>
  <si>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</si>
  <si>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</si>
  <si>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</si>
  <si>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</si>
  <si>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</si>
  <si>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</si>
  <si>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</si>
  <si>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</si>
  <si>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</si>
  <si>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</si>
  <si>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</si>
  <si>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</si>
  <si>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</si>
  <si>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</si>
  <si>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</si>
  <si>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</si>
  <si>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</si>
  <si>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</si>
  <si>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</si>
  <si>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</si>
  <si>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</si>
  <si>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</si>
  <si>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</si>
  <si>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</si>
  <si>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</si>
  <si>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</si>
  <si>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</si>
  <si>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</si>
  <si>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</si>
  <si>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</si>
  <si>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</si>
  <si>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</si>
  <si>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</si>
  <si>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</si>
  <si>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</si>
  <si>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</si>
  <si>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</si>
  <si>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</si>
  <si>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</si>
  <si>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</si>
  <si>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</si>
  <si>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</si>
  <si>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</si>
  <si>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</si>
  <si>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</si>
  <si>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</si>
  <si>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</si>
  <si>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</si>
  <si>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</si>
  <si>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</si>
  <si>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</si>
  <si>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</si>
  <si>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</si>
  <si>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</si>
  <si>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</si>
  <si>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</si>
  <si>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</si>
  <si>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</si>
  <si>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</si>
  <si>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</si>
  <si>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</si>
  <si>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</si>
  <si>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</si>
  <si>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</si>
  <si>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</si>
  <si>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</si>
  <si>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</si>
  <si>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</si>
  <si>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</si>
  <si>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</si>
  <si>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</si>
  <si>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</si>
  <si>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</si>
  <si>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</si>
  <si>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</si>
  <si>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</si>
  <si>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</si>
  <si>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</si>
  <si>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</si>
  <si>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</si>
  <si>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</si>
  <si>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</si>
  <si>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</si>
  <si>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</si>
  <si>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</si>
  <si>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</si>
  <si>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</si>
  <si>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</si>
  <si>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</si>
  <si>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</si>
  <si>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</si>
  <si>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</si>
  <si>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</si>
  <si>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</si>
  <si>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</si>
  <si>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</si>
  <si>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</si>
  <si>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</si>
  <si>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</si>
  <si>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</si>
  <si>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</si>
  <si>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</si>
  <si>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</si>
  <si>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</si>
  <si>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</si>
  <si>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</si>
  <si>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</si>
  <si>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</si>
  <si>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</si>
  <si>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</si>
  <si>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</si>
  <si>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</si>
  <si>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</si>
  <si>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</si>
  <si>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</si>
  <si>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</si>
  <si>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</si>
  <si>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</si>
  <si>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</si>
  <si>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</si>
  <si>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</si>
  <si>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</si>
  <si>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</si>
  <si>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</si>
  <si>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</si>
  <si>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</si>
  <si>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</si>
  <si>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</si>
  <si>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</si>
  <si>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</si>
  <si>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</si>
  <si>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</si>
  <si>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</si>
  <si>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</si>
  <si>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</si>
  <si>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</si>
  <si>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</si>
  <si>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</si>
  <si>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</si>
  <si>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</si>
  <si>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</si>
  <si>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</si>
  <si>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</si>
  <si>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</si>
  <si>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</si>
  <si>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</si>
  <si>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</si>
  <si>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</si>
  <si>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</si>
  <si>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</si>
  <si>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</si>
  <si>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</si>
  <si>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</si>
  <si>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</si>
  <si>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</si>
  <si>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</si>
  <si>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</si>
  <si>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</si>
  <si>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</si>
  <si>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</si>
  <si>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</si>
  <si>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</si>
  <si>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</si>
  <si>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</si>
  <si>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</si>
  <si>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</si>
  <si>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</si>
  <si>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</si>
  <si>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</si>
  <si>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</si>
  <si>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</si>
  <si>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</si>
  <si>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</si>
  <si>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</si>
  <si>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</si>
  <si>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</si>
  <si>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</si>
  <si>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</si>
  <si>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</si>
  <si>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</si>
  <si>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</si>
  <si>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</si>
  <si>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</si>
  <si>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</si>
  <si>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</si>
  <si>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</si>
  <si>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</si>
  <si>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</si>
  <si>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</si>
  <si>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</si>
  <si>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</si>
  <si>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</si>
  <si>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</si>
  <si>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</si>
  <si>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</si>
  <si>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</si>
  <si>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</si>
  <si>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</si>
  <si>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</si>
  <si>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</si>
  <si>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</si>
  <si>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</si>
  <si>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</si>
  <si>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</si>
  <si>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</si>
  <si>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</si>
  <si>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</si>
  <si>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</si>
  <si>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</si>
  <si>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</si>
  <si>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</si>
  <si>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</si>
  <si>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</si>
  <si>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</si>
  <si>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</si>
  <si>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</si>
  <si>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</si>
  <si>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</si>
  <si>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</si>
  <si>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</si>
  <si>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</si>
  <si>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</si>
  <si>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</si>
  <si>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</si>
  <si>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</si>
  <si>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</si>
  <si>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</si>
  <si>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</si>
  <si>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</si>
  <si>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</si>
  <si>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</si>
  <si>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</si>
  <si>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</si>
  <si>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</si>
  <si>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</si>
  <si>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</si>
  <si>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</si>
  <si>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</si>
  <si>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</si>
  <si>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</si>
  <si>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</si>
  <si>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</si>
  <si>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</si>
  <si>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</si>
  <si>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</si>
  <si>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</si>
  <si>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</si>
  <si>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</si>
  <si>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</si>
  <si>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</si>
  <si>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</si>
  <si>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</si>
  <si>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</si>
  <si>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</si>
  <si>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</si>
  <si>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</si>
  <si>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</si>
  <si>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</si>
  <si>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</si>
  <si>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</si>
  <si>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</si>
  <si>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</si>
  <si>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</si>
  <si>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</si>
  <si>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</si>
  <si>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</si>
  <si>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</si>
  <si>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</si>
  <si>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</si>
  <si>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</si>
  <si>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</si>
  <si>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</si>
  <si>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</si>
  <si>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</si>
  <si>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</si>
  <si>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</si>
  <si>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</si>
  <si>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</si>
  <si>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</si>
  <si>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</si>
  <si>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</si>
  <si>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</si>
  <si>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</si>
  <si>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</si>
  <si>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</si>
  <si>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</si>
  <si>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</si>
  <si>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</si>
  <si>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</si>
  <si>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</si>
  <si>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</si>
  <si>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</si>
  <si>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</si>
  <si>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</si>
  <si>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</si>
  <si>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</si>
  <si>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</si>
  <si>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</si>
  <si>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</si>
  <si>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</si>
  <si>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</si>
  <si>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</si>
  <si>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</si>
  <si>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</si>
  <si>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</si>
  <si>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</si>
  <si>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</si>
  <si>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</si>
  <si>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</si>
  <si>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</si>
  <si>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</si>
  <si>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</si>
  <si>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</si>
  <si>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</si>
  <si>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</si>
  <si>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</si>
  <si>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</si>
  <si>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</si>
  <si>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</si>
  <si>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</si>
  <si>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</si>
  <si>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</si>
  <si>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</si>
  <si>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</si>
  <si>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</si>
  <si>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</si>
  <si>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</si>
  <si>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</si>
  <si>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</si>
  <si>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</si>
  <si>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</si>
  <si>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</si>
  <si>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</si>
  <si>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</si>
  <si>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</si>
  <si>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</si>
  <si>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</si>
  <si>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</si>
  <si>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</si>
  <si>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</si>
  <si>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</si>
  <si>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</si>
  <si>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</si>
  <si>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</si>
  <si>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</si>
  <si>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</si>
  <si>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</si>
  <si>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</si>
  <si>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</si>
  <si>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</si>
  <si>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</si>
  <si>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</si>
  <si>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</si>
  <si>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</si>
  <si>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</si>
  <si>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</si>
  <si>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</si>
  <si>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</si>
  <si>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</si>
  <si>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</si>
  <si>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</si>
  <si>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</si>
  <si>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</si>
  <si>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</si>
  <si>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</si>
  <si>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</si>
  <si>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</si>
  <si>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</si>
  <si>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</si>
  <si>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</si>
  <si>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</si>
  <si>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</si>
  <si>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</si>
  <si>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</si>
  <si>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</si>
  <si>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</si>
  <si>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</si>
  <si>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</si>
  <si>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</si>
  <si>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</si>
  <si>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</si>
  <si>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</si>
  <si>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</si>
  <si>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</si>
  <si>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</si>
  <si>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</si>
  <si>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</si>
  <si>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</si>
  <si>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</si>
  <si>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</si>
  <si>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</si>
  <si>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</si>
  <si>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</si>
  <si>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</si>
  <si>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</si>
  <si>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</si>
  <si>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</si>
  <si>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</si>
  <si>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</si>
  <si>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</si>
  <si>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</si>
  <si>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</si>
  <si>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</si>
  <si>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</si>
  <si>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</si>
  <si>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</si>
  <si>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</si>
  <si>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</si>
  <si>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</si>
  <si>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</si>
  <si>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</si>
  <si>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</si>
  <si>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</si>
  <si>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</si>
  <si>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</si>
  <si>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</si>
  <si>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</si>
  <si>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</si>
  <si>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</si>
  <si>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</si>
  <si>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</si>
  <si>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</si>
  <si>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</si>
  <si>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</si>
  <si>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</si>
  <si>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</si>
  <si>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</si>
  <si>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</si>
  <si>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</si>
  <si>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</si>
  <si>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</si>
  <si>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</si>
  <si>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</si>
  <si>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</si>
  <si>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</si>
  <si>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</si>
  <si>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</si>
  <si>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</si>
  <si>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</si>
  <si>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</si>
  <si>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</si>
  <si>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</si>
  <si>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</si>
  <si>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</si>
  <si>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</si>
  <si>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</si>
  <si>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</si>
  <si>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</si>
  <si>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</si>
  <si>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</si>
  <si>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</si>
  <si>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</si>
  <si>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</si>
  <si>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</si>
  <si>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</si>
  <si>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</si>
  <si>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</si>
  <si>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</si>
  <si>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</si>
  <si>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</si>
  <si>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</si>
  <si>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</si>
  <si>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</si>
  <si>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</si>
  <si>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</si>
  <si>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</si>
  <si>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</si>
  <si>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</si>
  <si>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</si>
  <si>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</si>
  <si>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</si>
  <si>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</si>
  <si>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</si>
  <si>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</si>
  <si>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</si>
  <si>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</si>
  <si>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</si>
  <si>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</si>
  <si>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</si>
  <si>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</si>
  <si>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</si>
  <si>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</si>
  <si>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</si>
  <si>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</si>
  <si>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</si>
  <si>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</si>
  <si>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</si>
  <si>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</si>
  <si>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</si>
  <si>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</si>
  <si>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</si>
  <si>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</si>
  <si>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</si>
  <si>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</si>
  <si>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</si>
  <si>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</si>
  <si>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</si>
  <si>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</si>
  <si>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</si>
  <si>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</si>
  <si>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</si>
  <si>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</si>
  <si>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</si>
  <si>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</si>
  <si>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</si>
  <si>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</si>
  <si>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</si>
  <si>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</si>
  <si>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</si>
  <si>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</si>
  <si>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</si>
  <si>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</si>
  <si>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</si>
  <si>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</si>
  <si>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</si>
  <si>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</si>
  <si>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</si>
  <si>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</si>
  <si>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</si>
  <si>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</si>
  <si>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</si>
  <si>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</si>
  <si>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</si>
  <si>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</si>
  <si>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</si>
  <si>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</si>
  <si>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</si>
  <si>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</si>
  <si>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</si>
  <si>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</si>
  <si>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</si>
  <si>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</si>
  <si>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</si>
  <si>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</si>
  <si>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</si>
  <si>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</si>
  <si>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</si>
  <si>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</si>
  <si>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</si>
  <si>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</si>
  <si>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</si>
  <si>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</si>
  <si>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</si>
  <si>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</si>
  <si>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</si>
  <si>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</si>
  <si>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</si>
  <si>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</si>
  <si>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</si>
  <si>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</si>
  <si>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</si>
  <si>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</si>
  <si>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</si>
  <si>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</si>
  <si>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</si>
  <si>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</si>
  <si>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</si>
  <si>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</si>
  <si>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</si>
  <si>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</si>
  <si>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</si>
  <si>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</si>
  <si>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</si>
  <si>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</si>
  <si>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</si>
  <si>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</si>
  <si>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</si>
  <si>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</si>
  <si>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</si>
  <si>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</si>
  <si>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</si>
  <si>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</si>
  <si>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</si>
  <si>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</si>
  <si>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</si>
  <si>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</si>
  <si>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</si>
  <si>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</si>
  <si>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</si>
  <si>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</si>
  <si>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</si>
  <si>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</si>
  <si>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</si>
  <si>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</si>
  <si>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</si>
  <si>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</si>
  <si>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</si>
  <si>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</si>
  <si>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</si>
  <si>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</si>
  <si>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</si>
  <si>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</si>
  <si>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</si>
  <si>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</si>
  <si>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</si>
  <si>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</si>
  <si>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</si>
  <si>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</si>
  <si>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</si>
  <si>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</si>
  <si>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</si>
  <si>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</si>
  <si>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</si>
  <si>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</si>
  <si>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</si>
  <si>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</si>
  <si>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</si>
  <si>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</si>
  <si>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</si>
  <si>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</si>
  <si>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</si>
  <si>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</si>
  <si>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</si>
  <si>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</si>
  <si>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</si>
  <si>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</si>
  <si>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</si>
  <si>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</si>
  <si>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</si>
  <si>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</si>
  <si>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</si>
  <si>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</si>
  <si>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</si>
  <si>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</si>
  <si>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</si>
  <si>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</si>
  <si>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</si>
  <si>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</si>
  <si>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</si>
  <si>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</si>
  <si>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</si>
  <si>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</si>
  <si>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</si>
  <si>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</si>
  <si>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</si>
  <si>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</si>
  <si>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</si>
  <si>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</si>
  <si>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</si>
  <si>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</si>
  <si>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</si>
  <si>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</si>
  <si>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</si>
  <si>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</si>
  <si>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</si>
  <si>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</si>
  <si>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</si>
  <si>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</si>
  <si>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</si>
  <si>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</si>
  <si>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</si>
  <si>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</si>
  <si>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</si>
  <si>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</si>
  <si>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</si>
  <si>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</si>
  <si>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</si>
  <si>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</si>
  <si>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</si>
  <si>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</si>
  <si>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</si>
  <si>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</si>
  <si>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</si>
  <si>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</si>
  <si>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</si>
  <si>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</si>
  <si>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</si>
  <si>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</si>
  <si>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</si>
  <si>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</si>
  <si>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</si>
  <si>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</si>
  <si>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</si>
  <si>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</si>
  <si>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</si>
  <si>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</si>
  <si>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</si>
  <si>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</si>
  <si>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</si>
  <si>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</si>
  <si>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</si>
  <si>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</si>
  <si>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</si>
  <si>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</si>
  <si>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</si>
  <si>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</si>
  <si>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</si>
  <si>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</si>
  <si>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</si>
  <si>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</si>
  <si>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</si>
  <si>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</si>
  <si>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</si>
  <si>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</si>
  <si>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</si>
  <si>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</si>
  <si>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</si>
  <si>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</si>
  <si>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</si>
  <si>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</si>
  <si>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</si>
  <si>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</si>
  <si>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</si>
  <si>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</si>
  <si>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</si>
  <si>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</si>
  <si>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</si>
  <si>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</si>
  <si>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</si>
  <si>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</si>
  <si>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</si>
  <si>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</si>
  <si>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</si>
  <si>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</si>
  <si>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</si>
  <si>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</si>
  <si>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</si>
  <si>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</si>
  <si>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</si>
  <si>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</si>
  <si>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</si>
  <si>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</si>
  <si>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</si>
  <si>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</si>
  <si>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</si>
  <si>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</si>
  <si>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</si>
  <si>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</si>
  <si>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</si>
  <si>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</si>
  <si>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</si>
  <si>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</si>
  <si>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</si>
  <si>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</si>
  <si>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</si>
  <si>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</si>
  <si>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</si>
  <si>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</si>
  <si>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</si>
  <si>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</si>
  <si>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</si>
  <si>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</si>
  <si>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</si>
  <si>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</si>
  <si>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</si>
  <si>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</si>
  <si>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</si>
  <si>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</si>
  <si>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</si>
  <si>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</si>
  <si>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</si>
  <si>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</si>
  <si>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</si>
  <si>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</si>
  <si>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</si>
  <si>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</si>
  <si>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</si>
  <si>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</si>
  <si>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</si>
  <si>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</si>
  <si>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</si>
  <si>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</si>
  <si>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</si>
  <si>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</si>
  <si>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</si>
  <si>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</si>
  <si>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</si>
  <si>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</si>
  <si>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</si>
  <si>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</si>
  <si>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</si>
  <si>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</si>
  <si>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</si>
  <si>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</si>
  <si>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</si>
  <si>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</si>
  <si>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</si>
  <si>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</si>
  <si>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</si>
  <si>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</si>
  <si>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</si>
  <si>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</si>
  <si>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</si>
  <si>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</si>
  <si>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</si>
  <si>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</si>
  <si>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</si>
  <si>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</si>
  <si>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</si>
  <si>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</si>
  <si>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</si>
  <si>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</si>
  <si>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</si>
  <si>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</si>
  <si>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</si>
  <si>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</si>
  <si>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</si>
  <si>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</si>
  <si>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</si>
  <si>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</si>
  <si>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</si>
  <si>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</si>
  <si>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</si>
  <si>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</si>
  <si>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</si>
  <si>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</si>
  <si>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</si>
  <si>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</si>
  <si>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</si>
  <si>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</si>
  <si>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</si>
  <si>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</si>
  <si>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</si>
  <si>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</si>
  <si>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</si>
  <si>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</si>
  <si>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</si>
  <si>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</si>
  <si>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</si>
  <si>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</si>
  <si>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</si>
  <si>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</si>
  <si>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</si>
  <si>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</si>
  <si>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</si>
  <si>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</si>
  <si>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</si>
  <si>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</si>
  <si>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</si>
  <si>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</si>
  <si>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</si>
  <si>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</si>
  <si>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</si>
  <si>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</si>
  <si>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</si>
  <si>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</si>
  <si>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</si>
  <si>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</si>
  <si>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</si>
  <si>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</si>
  <si>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</si>
  <si>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</si>
  <si>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</si>
  <si>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</si>
  <si>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</si>
  <si>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</si>
  <si>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</si>
  <si>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</si>
  <si>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</si>
  <si>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</si>
  <si>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</si>
  <si>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</si>
  <si>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</si>
  <si>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</si>
  <si>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</si>
  <si>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</si>
  <si>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</si>
  <si>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</si>
  <si>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</si>
  <si>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</si>
  <si>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</si>
  <si>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</si>
  <si>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</si>
  <si>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</si>
  <si>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</si>
  <si>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</si>
  <si>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</si>
  <si>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</si>
  <si>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</si>
  <si>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</si>
  <si>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</si>
  <si>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</si>
  <si>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</si>
  <si>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</si>
  <si>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</si>
  <si>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</si>
  <si>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</si>
  <si>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</si>
  <si>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</si>
  <si>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</si>
  <si>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</si>
  <si>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</si>
  <si>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</si>
  <si>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</si>
  <si>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</si>
  <si>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</si>
  <si>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</si>
  <si>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</si>
  <si>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</si>
  <si>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</si>
  <si>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</si>
  <si>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</si>
  <si>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</si>
  <si>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</si>
  <si>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</si>
  <si>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</si>
  <si>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</si>
  <si>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</si>
  <si>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</si>
  <si>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</si>
  <si>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</si>
  <si>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</si>
  <si>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</si>
  <si>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</si>
  <si>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</si>
  <si>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</si>
  <si>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</si>
  <si>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</si>
  <si>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</si>
  <si>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</si>
  <si>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</si>
  <si>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</si>
  <si>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</si>
  <si>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</si>
  <si>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</si>
  <si>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</si>
  <si>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</si>
  <si>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</si>
  <si>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</si>
  <si>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</si>
  <si>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</si>
  <si>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</si>
  <si>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</si>
  <si>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</si>
  <si>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</si>
  <si>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</si>
  <si>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</si>
  <si>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</si>
  <si>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</si>
  <si>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</si>
  <si>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</si>
  <si>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</si>
  <si>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</si>
  <si>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</si>
  <si>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</si>
  <si>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</si>
  <si>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</si>
  <si>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</si>
  <si>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</si>
  <si>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</si>
  <si>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</si>
  <si>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</si>
  <si>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</si>
  <si>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</si>
  <si>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</si>
  <si>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</si>
  <si>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</si>
  <si>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</si>
  <si>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</si>
  <si>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</si>
  <si>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</si>
  <si>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</si>
  <si>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</si>
  <si>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</si>
  <si>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</si>
  <si>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</si>
  <si>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</si>
  <si>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</si>
  <si>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</si>
  <si>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</si>
  <si>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</si>
  <si>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</si>
  <si>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</si>
  <si>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</si>
  <si>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</si>
  <si>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</si>
  <si>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</si>
  <si>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</si>
  <si>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</si>
  <si>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</si>
  <si>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</si>
  <si>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</si>
  <si>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</si>
  <si>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</si>
  <si>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</si>
  <si>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</si>
  <si>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</si>
  <si>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</si>
  <si>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</si>
  <si>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</si>
  <si>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</si>
  <si>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</si>
  <si>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</si>
  <si>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</si>
  <si>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</si>
  <si>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</si>
  <si>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</si>
  <si>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</si>
  <si>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</si>
  <si>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</si>
  <si>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</si>
  <si>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</si>
  <si>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</si>
  <si>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</si>
  <si>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</si>
  <si>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</si>
  <si>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</si>
  <si>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</si>
  <si>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</si>
  <si>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</si>
  <si>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</si>
  <si>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</si>
  <si>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</si>
  <si>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</si>
  <si>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</si>
  <si>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</si>
  <si>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</si>
  <si>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</si>
  <si>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</si>
  <si>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</si>
  <si>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</si>
  <si>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</si>
  <si>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</si>
  <si>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</si>
  <si>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</si>
  <si>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</si>
  <si>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</si>
  <si>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</si>
  <si>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</si>
  <si>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</si>
  <si>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</si>
  <si>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</si>
  <si>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</si>
  <si>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</si>
  <si>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</si>
  <si>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</si>
  <si>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</si>
  <si>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</si>
  <si>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</si>
  <si>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</si>
  <si>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</si>
  <si>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</si>
  <si>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</si>
  <si>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</si>
  <si>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</si>
  <si>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</si>
  <si>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</si>
  <si>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</si>
  <si>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</si>
  <si>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</si>
  <si>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</si>
  <si>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</si>
  <si>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</si>
  <si>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</si>
  <si>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</si>
  <si>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</si>
  <si>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</si>
  <si>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</si>
  <si>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</si>
  <si>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</si>
  <si>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</si>
  <si>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</si>
  <si>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</si>
  <si>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</si>
  <si>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</si>
  <si>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</si>
  <si>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</si>
  <si>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</si>
  <si>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</si>
  <si>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</si>
  <si>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</si>
  <si>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</si>
  <si>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</si>
  <si>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</si>
  <si>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</si>
  <si>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</si>
  <si>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</si>
  <si>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</si>
  <si>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</si>
  <si>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</si>
  <si>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</si>
  <si>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</si>
  <si>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</si>
  <si>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</si>
  <si>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</si>
  <si>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</si>
  <si>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</si>
  <si>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</si>
  <si>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</si>
  <si>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</si>
  <si>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</si>
  <si>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</si>
  <si>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</si>
  <si>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</si>
  <si>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</si>
  <si>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</si>
  <si>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</si>
  <si>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</si>
  <si>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</si>
  <si>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</si>
  <si>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</si>
  <si>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</si>
  <si>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</si>
  <si>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</si>
  <si>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</si>
  <si>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</si>
  <si>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</si>
  <si>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</si>
  <si>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</si>
  <si>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</si>
  <si>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</si>
  <si>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</si>
  <si>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</si>
  <si>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</si>
  <si>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</si>
  <si>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</si>
  <si>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</si>
  <si>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</si>
  <si>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</si>
  <si>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</si>
  <si>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</si>
  <si>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</si>
  <si>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</si>
  <si>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</si>
  <si>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</si>
  <si>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</si>
  <si>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</si>
  <si>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</si>
  <si>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</si>
  <si>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</si>
  <si>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</si>
  <si>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</si>
  <si>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</si>
  <si>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</si>
  <si>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</si>
  <si>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</si>
  <si>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</si>
  <si>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</si>
  <si>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</si>
  <si>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</si>
  <si>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</si>
  <si>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</si>
  <si>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</si>
  <si>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</si>
  <si>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</si>
  <si>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</si>
  <si>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</si>
  <si>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</si>
  <si>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</si>
  <si>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</si>
  <si>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</si>
  <si>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</si>
  <si>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</si>
  <si>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</si>
  <si>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</si>
  <si>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</si>
  <si>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</si>
  <si>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</si>
  <si>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</si>
  <si>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</si>
  <si>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</si>
  <si>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</si>
  <si>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</si>
  <si>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</si>
  <si>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</si>
  <si>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</si>
  <si>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</si>
  <si>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</si>
  <si>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</si>
  <si>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</si>
  <si>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</si>
  <si>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</si>
  <si>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</si>
  <si>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</si>
  <si>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</si>
  <si>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</si>
  <si>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</si>
  <si>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</si>
  <si>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</si>
  <si>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</si>
  <si>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</si>
  <si>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</si>
  <si>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</si>
  <si>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</si>
  <si>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</si>
  <si>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</si>
  <si>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</si>
  <si>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</si>
  <si>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</si>
  <si>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</si>
  <si>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</si>
  <si>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</si>
  <si>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</si>
  <si>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</si>
  <si>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</si>
  <si>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</si>
  <si>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</si>
  <si>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</si>
  <si>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</si>
  <si>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</si>
  <si>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</si>
  <si>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</si>
  <si>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</si>
  <si>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</si>
  <si>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</si>
  <si>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</si>
  <si>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</si>
  <si>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</si>
  <si>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</si>
  <si>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</si>
  <si>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</si>
  <si>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</si>
  <si>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</si>
  <si>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</si>
  <si>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</si>
  <si>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</si>
  <si>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</si>
  <si>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</si>
  <si>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</si>
  <si>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</si>
  <si>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</si>
  <si>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</si>
  <si>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</si>
  <si>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</si>
  <si>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</si>
  <si>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</si>
  <si>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</si>
  <si>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</si>
  <si>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</si>
  <si>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</si>
  <si>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</si>
  <si>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</si>
  <si>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</si>
  <si>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</si>
  <si>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</si>
  <si>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</si>
  <si>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</si>
  <si>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</si>
  <si>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</si>
  <si>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</si>
  <si>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</si>
  <si>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</si>
  <si>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</si>
  <si>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</si>
  <si>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</si>
  <si>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</si>
  <si>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</si>
  <si>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</si>
  <si>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</si>
  <si>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</si>
  <si>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</si>
  <si>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</si>
  <si>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</si>
  <si>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</si>
  <si>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</si>
  <si>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</si>
  <si>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</si>
  <si>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</si>
  <si>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</si>
  <si>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</si>
  <si>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</si>
  <si>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</si>
  <si>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</si>
  <si>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</si>
  <si>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</si>
  <si>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</si>
  <si>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</si>
  <si>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</si>
  <si>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</si>
  <si>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</si>
  <si>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</si>
  <si>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</si>
  <si>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</si>
  <si>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</si>
  <si>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</si>
  <si>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</si>
  <si>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</si>
  <si>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</si>
  <si>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</si>
  <si>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</si>
  <si>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</si>
  <si>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</si>
  <si>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</si>
  <si>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</si>
  <si>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</si>
  <si>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</si>
  <si>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</si>
  <si>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</si>
  <si>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</si>
  <si>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</si>
  <si>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</si>
  <si>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</si>
  <si>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</si>
  <si>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</si>
  <si>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</si>
  <si>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</si>
  <si>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</si>
  <si>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</si>
  <si>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</si>
  <si>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</si>
  <si>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</si>
  <si>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</si>
  <si>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</si>
  <si>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</si>
  <si>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</si>
  <si>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</si>
  <si>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</si>
  <si>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</si>
  <si>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</si>
  <si>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</si>
  <si>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</si>
  <si>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</si>
  <si>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</si>
  <si>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</si>
  <si>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</si>
  <si>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</si>
  <si>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</si>
  <si>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</si>
  <si>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</si>
  <si>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</si>
  <si>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</si>
  <si>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</si>
  <si>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</si>
  <si>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</si>
  <si>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</si>
  <si>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</si>
  <si>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</si>
  <si>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</si>
  <si>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</si>
  <si>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</si>
  <si>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</si>
  <si>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</si>
  <si>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</si>
  <si>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</si>
  <si>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</si>
  <si>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</si>
  <si>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</si>
  <si>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</si>
  <si>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</si>
  <si>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</si>
  <si>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</si>
  <si>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</si>
  <si>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</si>
  <si>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</si>
  <si>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</si>
  <si>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</si>
  <si>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</si>
  <si>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</si>
  <si>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</si>
  <si>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</si>
  <si>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</si>
  <si>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</si>
  <si>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</si>
  <si>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</si>
  <si>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</si>
  <si>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</si>
  <si>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</si>
  <si>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</si>
  <si>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</si>
  <si>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</si>
  <si>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</si>
  <si>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</si>
  <si>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</si>
  <si>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</si>
  <si>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</si>
  <si>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</si>
  <si>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</si>
  <si>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</si>
  <si>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</si>
  <si>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</si>
  <si>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</si>
  <si>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</si>
  <si>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</si>
  <si>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</si>
  <si>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</si>
  <si>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</si>
  <si>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</si>
  <si>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</si>
  <si>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</si>
  <si>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</si>
  <si>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</si>
  <si>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</si>
  <si>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</si>
  <si>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</si>
  <si>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</si>
  <si>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</si>
  <si>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</si>
  <si>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</si>
  <si>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</si>
  <si>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</si>
  <si>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</si>
  <si>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</si>
  <si>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</si>
  <si>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</si>
  <si>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</si>
  <si>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</si>
  <si>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</si>
  <si>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</si>
  <si>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</si>
  <si>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</si>
  <si>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</si>
  <si>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</si>
  <si>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</si>
  <si>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</si>
  <si>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</si>
  <si>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</si>
  <si>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</si>
  <si>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</si>
  <si>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</si>
  <si>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</si>
  <si>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</si>
  <si>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</si>
  <si>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</si>
  <si>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</si>
  <si>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</si>
  <si>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</si>
  <si>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</si>
  <si>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</si>
  <si>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</si>
  <si>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</si>
  <si>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</si>
  <si>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</si>
  <si>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</si>
  <si>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</si>
  <si>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</si>
  <si>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</si>
  <si>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</si>
  <si>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</si>
  <si>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</si>
  <si>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</si>
  <si>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</si>
  <si>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</si>
  <si>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</si>
  <si>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</si>
  <si>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</si>
  <si>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</si>
  <si>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</si>
  <si>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</si>
  <si>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</si>
  <si>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</si>
  <si>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</si>
  <si>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</si>
  <si>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</si>
  <si>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</si>
  <si>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</si>
  <si>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</si>
  <si>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</si>
  <si>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</si>
  <si>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</si>
  <si>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</si>
  <si>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</si>
  <si>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</si>
  <si>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</si>
  <si>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</si>
  <si>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</si>
  <si>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</si>
  <si>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</si>
  <si>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</si>
  <si>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</si>
  <si>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</si>
  <si>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</si>
  <si>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</si>
  <si>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</si>
  <si>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</si>
  <si>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</si>
  <si>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</si>
  <si>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</si>
  <si>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</si>
  <si>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</si>
  <si>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</si>
  <si>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</si>
  <si>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</si>
  <si>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</si>
  <si>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</si>
  <si>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</si>
  <si>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</si>
  <si>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</si>
  <si>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</si>
  <si>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</si>
  <si>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</si>
  <si>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</si>
  <si>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</si>
  <si>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</si>
  <si>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</si>
  <si>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</si>
  <si>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</si>
  <si>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</si>
  <si>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</si>
  <si>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</si>
  <si>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</si>
  <si>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</si>
  <si>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</si>
  <si>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</si>
  <si>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</si>
  <si>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</si>
  <si>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</si>
  <si>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</si>
  <si>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</si>
  <si>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</si>
  <si>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</si>
  <si>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</si>
  <si>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</si>
  <si>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</si>
  <si>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</si>
  <si>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</si>
  <si>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</si>
  <si>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</si>
  <si>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</si>
  <si>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</si>
  <si>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</si>
  <si>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</si>
  <si>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</si>
  <si>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</si>
  <si>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</si>
  <si>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</si>
  <si>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</si>
  <si>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</si>
  <si>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</si>
  <si>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</si>
  <si>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</si>
  <si>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</si>
  <si>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</si>
  <si>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</si>
  <si>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</si>
  <si>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</si>
  <si>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</si>
  <si>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</si>
  <si>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</si>
  <si>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</si>
  <si>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</si>
  <si>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</si>
  <si>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</si>
  <si>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</si>
  <si>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</si>
  <si>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</si>
  <si>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</si>
  <si>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</si>
  <si>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</si>
  <si>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</si>
  <si>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</si>
  <si>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</si>
  <si>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</si>
  <si>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</si>
  <si>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</si>
  <si>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</si>
  <si>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</si>
  <si>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</si>
  <si>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</si>
  <si>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</si>
  <si>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</si>
  <si>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</si>
  <si>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</si>
  <si>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</si>
  <si>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</si>
  <si>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</si>
  <si>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</si>
  <si>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</si>
  <si>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</si>
  <si>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</si>
  <si>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</si>
  <si>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</si>
  <si>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</si>
  <si>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</si>
  <si>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</si>
  <si>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</si>
  <si>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</si>
  <si>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</si>
  <si>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</si>
  <si>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</si>
  <si>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</si>
  <si>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</si>
  <si>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</si>
  <si>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</si>
  <si>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</si>
  <si>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</si>
  <si>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</si>
  <si>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</si>
  <si>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</si>
  <si>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</si>
  <si>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</si>
  <si>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</si>
  <si>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</si>
  <si>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</si>
  <si>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</si>
  <si>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</si>
  <si>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</si>
  <si>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</si>
  <si>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</si>
  <si>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</si>
  <si>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</si>
  <si>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</si>
  <si>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</si>
  <si>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</si>
  <si>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</si>
  <si>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</si>
  <si>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</si>
  <si>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</si>
  <si>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</si>
  <si>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</si>
  <si>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</si>
  <si>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</si>
  <si>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</si>
  <si>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</si>
  <si>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</si>
  <si>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</si>
  <si>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</si>
  <si>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</si>
  <si>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</si>
  <si>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</si>
  <si>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</si>
  <si>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</si>
  <si>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</si>
  <si>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</si>
  <si>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</si>
  <si>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</si>
  <si>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</si>
  <si>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</si>
  <si>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</si>
  <si>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</si>
  <si>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</si>
  <si>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</si>
  <si>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</si>
  <si>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</si>
  <si>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</si>
  <si>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</si>
  <si>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</si>
  <si>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</si>
  <si>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</si>
  <si>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</si>
  <si>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</si>
  <si>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</si>
  <si>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</si>
  <si>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</si>
  <si>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</si>
  <si>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</si>
  <si>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</si>
  <si>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</si>
  <si>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</si>
  <si>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</si>
  <si>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</si>
  <si>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</si>
  <si>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</si>
  <si>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</si>
  <si>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</si>
  <si>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</si>
  <si>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</si>
  <si>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</si>
  <si>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</si>
  <si>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</si>
  <si>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</si>
  <si>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</si>
  <si>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</si>
  <si>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</si>
  <si>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</si>
  <si>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</si>
  <si>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</si>
  <si>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</si>
  <si>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</si>
  <si>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</si>
  <si>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</si>
  <si>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</si>
  <si>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</si>
  <si>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</si>
  <si>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</si>
  <si>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</si>
  <si>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</si>
  <si>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</si>
  <si>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</si>
  <si>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</si>
  <si>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</si>
  <si>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</si>
  <si>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</si>
  <si>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</si>
  <si>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</si>
  <si>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</si>
  <si>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</si>
  <si>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</si>
  <si>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</si>
  <si>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</si>
  <si>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</si>
  <si>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</si>
  <si>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</si>
  <si>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</si>
  <si>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</si>
  <si>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</si>
  <si>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</si>
  <si>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</si>
  <si>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</si>
  <si>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</si>
  <si>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</si>
  <si>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</si>
  <si>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</si>
  <si>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</si>
  <si>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</si>
  <si>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</si>
  <si>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</si>
  <si>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</si>
  <si>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</si>
  <si>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</si>
  <si>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</si>
  <si>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</si>
  <si>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</si>
  <si>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</si>
  <si>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</si>
  <si>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</si>
  <si>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</si>
  <si>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</si>
  <si>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</si>
  <si>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</si>
  <si>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</si>
  <si>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</si>
  <si>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</si>
  <si>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</si>
  <si>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</si>
  <si>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</si>
  <si>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</si>
  <si>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</si>
  <si>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</si>
  <si>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</si>
  <si>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</si>
  <si>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</si>
  <si>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</si>
  <si>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</si>
  <si>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</si>
  <si>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</si>
  <si>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</si>
  <si>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</si>
  <si>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</si>
  <si>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</si>
  <si>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</si>
  <si>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</si>
  <si>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</si>
  <si>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</si>
  <si>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</si>
  <si>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</si>
  <si>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</si>
  <si>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</si>
  <si>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</si>
  <si>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</si>
  <si>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</si>
  <si>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</si>
  <si>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</si>
  <si>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</si>
  <si>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</si>
  <si>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</si>
  <si>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</si>
  <si>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</si>
  <si>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</si>
  <si>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</si>
  <si>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</si>
  <si>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</si>
  <si>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</si>
  <si>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</si>
  <si>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</si>
  <si>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</si>
  <si>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</si>
  <si>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</si>
  <si>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</si>
  <si>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</si>
  <si>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</si>
  <si>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</si>
  <si>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</si>
  <si>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</si>
  <si>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</si>
  <si>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</si>
  <si>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</si>
  <si>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</si>
  <si>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</si>
  <si>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</si>
  <si>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</si>
  <si>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</si>
  <si>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</si>
  <si>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</si>
  <si>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</si>
  <si>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</si>
  <si>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</si>
  <si>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</si>
  <si>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</si>
  <si>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</si>
  <si>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</si>
  <si>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</si>
  <si>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</si>
  <si>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</si>
  <si>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</si>
  <si>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</si>
  <si>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</si>
  <si>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</si>
  <si>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</si>
  <si>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</si>
  <si>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</si>
  <si>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</si>
  <si>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</si>
  <si>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</si>
  <si>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</si>
  <si>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</si>
  <si>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</si>
  <si>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</si>
  <si>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</si>
  <si>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</si>
  <si>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</si>
  <si>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</si>
  <si>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</si>
  <si>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</si>
  <si>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</si>
  <si>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</si>
  <si>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</si>
  <si>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</si>
  <si>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</si>
  <si>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</si>
  <si>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</si>
  <si>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</si>
  <si>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</si>
  <si>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</si>
  <si>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</si>
  <si>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</si>
  <si>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</si>
  <si>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</si>
  <si>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</si>
  <si>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</si>
  <si>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</si>
  <si>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</si>
  <si>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</si>
  <si>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</si>
  <si>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</si>
  <si>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</si>
  <si>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</si>
  <si>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</si>
  <si>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</si>
  <si>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</si>
  <si>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</si>
  <si>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</si>
  <si>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</si>
  <si>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</si>
  <si>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</si>
  <si>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</si>
  <si>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</si>
  <si>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</si>
  <si>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</si>
  <si>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</si>
  <si>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</si>
  <si>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</si>
  <si>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</si>
  <si>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</si>
  <si>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</si>
  <si>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</si>
  <si>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</si>
  <si>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</si>
  <si>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</si>
  <si>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</si>
  <si>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</si>
  <si>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</si>
  <si>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</si>
  <si>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</si>
  <si>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</si>
  <si>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</si>
  <si>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</si>
  <si>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</si>
  <si>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</si>
  <si>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</si>
  <si>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</si>
  <si>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</si>
  <si>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</si>
  <si>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</si>
  <si>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</si>
  <si>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</si>
  <si>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</si>
  <si>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</si>
  <si>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</si>
  <si>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</si>
  <si>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</si>
  <si>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</si>
  <si>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</si>
  <si>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</si>
  <si>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</si>
  <si>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</si>
  <si>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</si>
  <si>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</si>
  <si>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</si>
  <si>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</si>
  <si>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</si>
  <si>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</si>
  <si>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</si>
  <si>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</si>
  <si>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</si>
  <si>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</si>
  <si>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</si>
  <si>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</si>
  <si>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</si>
  <si>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</si>
  <si>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</si>
  <si>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</si>
  <si>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</si>
  <si>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</si>
  <si>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</si>
  <si>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</si>
  <si>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</si>
  <si>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</si>
  <si>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</si>
  <si>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</si>
  <si>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</si>
  <si>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</si>
  <si>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</si>
  <si>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</si>
  <si>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</si>
  <si>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</si>
  <si>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</si>
  <si>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</si>
  <si>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</si>
  <si>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</si>
  <si>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</si>
  <si>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</si>
  <si>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</si>
  <si>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</si>
  <si>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</si>
  <si>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</si>
  <si>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</si>
  <si>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</si>
  <si>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</si>
  <si>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</si>
  <si>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</si>
  <si>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</si>
  <si>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</si>
  <si>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</si>
  <si>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</si>
  <si>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</si>
  <si>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</si>
  <si>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</si>
  <si>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</si>
  <si>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</si>
  <si>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</si>
  <si>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</si>
  <si>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</si>
  <si>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</si>
  <si>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</si>
  <si>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</si>
  <si>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</si>
  <si>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</si>
  <si>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</si>
  <si>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</si>
  <si>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</si>
  <si>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</si>
  <si>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</si>
  <si>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</si>
  <si>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</si>
  <si>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</si>
  <si>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</si>
  <si>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</si>
  <si>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</si>
  <si>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</si>
  <si>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</si>
  <si>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</si>
  <si>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</si>
  <si>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</si>
  <si>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</si>
  <si>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</si>
  <si>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</si>
  <si>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</si>
  <si>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</si>
  <si>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</si>
  <si>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</si>
  <si>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</si>
  <si>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</si>
  <si>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</si>
  <si>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</si>
  <si>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</si>
  <si>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</si>
  <si>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</si>
  <si>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</si>
  <si>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</si>
  <si>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</si>
  <si>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</si>
  <si>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</si>
  <si>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</si>
  <si>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</si>
  <si>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</si>
  <si>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</si>
  <si>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</si>
  <si>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</si>
  <si>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</si>
  <si>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</si>
  <si>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</si>
  <si>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</si>
  <si>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</si>
  <si>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</si>
  <si>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</si>
  <si>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</si>
  <si>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</si>
  <si>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</si>
  <si>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</si>
  <si>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</si>
  <si>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</si>
  <si>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</si>
  <si>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</si>
  <si>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</si>
  <si>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</si>
  <si>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</si>
  <si>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</si>
  <si>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</si>
  <si>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</si>
  <si>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</si>
  <si>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</si>
  <si>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</si>
  <si>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</si>
  <si>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</si>
  <si>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</si>
  <si>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</si>
  <si>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</si>
  <si>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</si>
  <si>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</si>
  <si>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</si>
  <si>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</si>
  <si>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</si>
  <si>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</si>
  <si>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</si>
  <si>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</si>
  <si>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</si>
  <si>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</si>
  <si>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</si>
  <si>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</si>
  <si>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</si>
  <si>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</si>
  <si>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</si>
  <si>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</si>
  <si>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</si>
  <si>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</si>
  <si>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</si>
  <si>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</si>
  <si>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</si>
  <si>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</si>
  <si>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</si>
  <si>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</si>
  <si>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</si>
  <si>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</si>
  <si>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</si>
  <si>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</si>
  <si>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</si>
  <si>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</si>
  <si>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</si>
  <si>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</si>
  <si>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</si>
  <si>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</si>
  <si>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</si>
  <si>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</si>
  <si>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</si>
  <si>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</si>
  <si>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</si>
  <si>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</si>
  <si>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</si>
  <si>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</si>
  <si>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</si>
  <si>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</si>
  <si>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</si>
  <si>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</si>
  <si>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</si>
  <si>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</si>
  <si>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</si>
  <si>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</si>
  <si>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</si>
  <si>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</si>
  <si>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</si>
  <si>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</si>
  <si>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</si>
  <si>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</si>
  <si>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</si>
  <si>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</si>
  <si>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</si>
  <si>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</si>
  <si>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</si>
  <si>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</si>
  <si>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</si>
  <si>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</si>
  <si>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</si>
  <si>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</si>
  <si>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</si>
  <si>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</si>
  <si>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</si>
  <si>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</si>
  <si>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</si>
  <si>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</si>
  <si>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</si>
  <si>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</si>
  <si>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</si>
  <si>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</si>
  <si>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</si>
  <si>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</si>
  <si>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</si>
  <si>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</si>
  <si>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</si>
  <si>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</si>
  <si>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</si>
  <si>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</si>
  <si>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</si>
  <si>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</si>
  <si>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</si>
  <si>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</si>
  <si>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</si>
  <si>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</si>
  <si>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</si>
  <si>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</si>
  <si>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</si>
  <si>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</si>
  <si>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</si>
  <si>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</si>
  <si>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</si>
  <si>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</si>
  <si>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</si>
  <si>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</si>
  <si>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</si>
  <si>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</si>
  <si>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</si>
  <si>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</si>
  <si>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</si>
  <si>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</si>
  <si>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</si>
  <si>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</si>
  <si>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</si>
  <si>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</si>
  <si>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</si>
  <si>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</si>
  <si>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</si>
  <si>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</si>
  <si>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</si>
  <si>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</si>
  <si>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</si>
  <si>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</si>
  <si>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</si>
  <si>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</si>
  <si>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</si>
  <si>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</si>
  <si>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</si>
  <si>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</si>
  <si>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</si>
  <si>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</si>
  <si>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</si>
  <si>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</si>
  <si>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</si>
  <si>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</si>
  <si>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</si>
  <si>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</si>
  <si>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</si>
  <si>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</si>
  <si>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</si>
  <si>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</si>
  <si>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</si>
  <si>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</si>
  <si>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</si>
  <si>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</si>
  <si>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</si>
  <si>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</si>
  <si>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</si>
  <si>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</si>
  <si>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</si>
  <si>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</si>
  <si>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</si>
  <si>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</si>
  <si>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</si>
  <si>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</si>
  <si>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</si>
  <si>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</si>
  <si>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</si>
  <si>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</si>
  <si>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</si>
  <si>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</si>
  <si>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</si>
  <si>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</si>
  <si>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</si>
  <si>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</si>
  <si>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</si>
  <si>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</si>
  <si>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</si>
  <si>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</si>
  <si>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</si>
  <si>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</si>
  <si>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</si>
  <si>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</si>
  <si>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</si>
  <si>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</si>
  <si>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</si>
  <si>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</si>
  <si>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</si>
  <si>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</si>
  <si>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</si>
  <si>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</si>
  <si>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</si>
  <si>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</si>
  <si>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</si>
  <si>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</si>
  <si>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</si>
  <si>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</si>
  <si>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</si>
  <si>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</si>
  <si>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</si>
  <si>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</si>
  <si>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</si>
  <si>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</si>
  <si>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</si>
  <si>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</si>
  <si>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</si>
  <si>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</si>
  <si>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</si>
  <si>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</si>
  <si>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</si>
  <si>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</si>
  <si>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</si>
  <si>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</si>
  <si>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</si>
  <si>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</si>
  <si>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</si>
  <si>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</si>
  <si>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</si>
  <si>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</si>
  <si>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</si>
  <si>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</si>
  <si>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</si>
  <si>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</si>
  <si>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</si>
  <si>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</si>
  <si>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</si>
  <si>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</si>
  <si>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</si>
  <si>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</si>
  <si>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</si>
  <si>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</si>
  <si>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</si>
  <si>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</si>
  <si>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</si>
  <si>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</si>
  <si>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</si>
  <si>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</si>
  <si>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</si>
  <si>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</si>
  <si>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</si>
  <si>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</si>
  <si>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</si>
  <si>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</si>
  <si>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</si>
  <si>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</si>
  <si>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</si>
  <si>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</si>
  <si>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</si>
  <si>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</si>
  <si>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</si>
  <si>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</si>
  <si>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</si>
  <si>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</si>
  <si>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</si>
  <si>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</si>
  <si>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</si>
  <si>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</si>
  <si>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</si>
  <si>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</si>
  <si>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</si>
  <si>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</si>
  <si>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</si>
  <si>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</si>
  <si>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</si>
  <si>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</si>
  <si>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</si>
  <si>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</si>
  <si>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</si>
  <si>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</si>
  <si>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</si>
  <si>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</si>
  <si>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</si>
  <si>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</si>
  <si>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</si>
  <si>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</si>
  <si>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</si>
  <si>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</si>
  <si>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</si>
  <si>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</si>
  <si>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</si>
  <si>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</si>
  <si>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</si>
  <si>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</si>
  <si>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</si>
  <si>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</si>
  <si>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</si>
  <si>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</si>
  <si>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</si>
  <si>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</si>
  <si>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</si>
  <si>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</si>
  <si>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</si>
  <si>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</si>
  <si>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</si>
  <si>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</si>
  <si>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</si>
  <si>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</si>
  <si>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</si>
  <si>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</si>
  <si>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</si>
  <si>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</si>
  <si>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</si>
  <si>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</si>
  <si>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</si>
  <si>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</si>
  <si>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</si>
  <si>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</si>
  <si>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</si>
  <si>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</si>
  <si>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</si>
  <si>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</si>
  <si>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</si>
  <si>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</si>
  <si>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</si>
  <si>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</si>
  <si>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</si>
  <si>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</si>
  <si>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</si>
  <si>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</si>
  <si>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</si>
  <si>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</si>
  <si>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</si>
  <si>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</si>
  <si>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</si>
  <si>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</si>
  <si>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</si>
  <si>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</si>
  <si>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</si>
  <si>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</si>
  <si>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</si>
  <si>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</si>
  <si>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</si>
  <si>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</si>
  <si>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</si>
  <si>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</si>
  <si>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</si>
  <si>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</si>
  <si>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</si>
  <si>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</si>
  <si>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</si>
  <si>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</si>
  <si>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</si>
  <si>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</si>
  <si>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</si>
  <si>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</si>
  <si>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</si>
  <si>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</si>
  <si>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</si>
  <si>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</si>
  <si>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</si>
  <si>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</si>
  <si>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</si>
  <si>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</si>
  <si>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</si>
  <si>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</si>
  <si>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</si>
  <si>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</si>
  <si>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</si>
  <si>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</si>
  <si>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</si>
  <si>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</si>
  <si>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</si>
  <si>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</si>
  <si>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</si>
  <si>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</si>
  <si>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</si>
  <si>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</si>
  <si>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</si>
  <si>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</si>
  <si>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</si>
  <si>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</si>
  <si>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</si>
  <si>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</si>
  <si>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</si>
  <si>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</si>
  <si>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</si>
  <si>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</si>
  <si>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</si>
  <si>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</si>
  <si>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</si>
  <si>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</si>
  <si>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</si>
  <si>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</si>
  <si>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</si>
  <si>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</si>
  <si>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</si>
  <si>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</si>
  <si>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</si>
  <si>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</si>
  <si>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</si>
  <si>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</si>
  <si>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</si>
  <si>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</si>
  <si>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</si>
  <si>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</si>
  <si>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</si>
  <si>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</si>
  <si>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</si>
  <si>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</si>
  <si>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</si>
  <si>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</si>
  <si>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</si>
  <si>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</si>
  <si>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</si>
  <si>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</si>
  <si>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</si>
  <si>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</si>
  <si>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</si>
  <si>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</si>
  <si>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</si>
  <si>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</si>
  <si>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</si>
  <si>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</si>
  <si>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</si>
  <si>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</si>
  <si>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</si>
  <si>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</si>
  <si>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</si>
  <si>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</si>
  <si>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</si>
  <si>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</si>
  <si>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</si>
  <si>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</si>
  <si>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</si>
  <si>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</si>
  <si>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</si>
  <si>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</si>
  <si>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</si>
  <si>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</si>
  <si>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</si>
  <si>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</si>
  <si>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</si>
  <si>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</si>
  <si>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</si>
  <si>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</si>
  <si>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</si>
  <si>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</si>
  <si>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</si>
  <si>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</si>
  <si>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</si>
  <si>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</si>
  <si>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</si>
  <si>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</si>
  <si>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</si>
  <si>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</si>
  <si>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</si>
  <si>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</si>
  <si>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</si>
  <si>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</si>
  <si>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</si>
  <si>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</si>
  <si>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</si>
  <si>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</si>
  <si>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</si>
  <si>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</si>
  <si>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</si>
  <si>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</si>
  <si>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</si>
  <si>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</si>
  <si>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</si>
  <si>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</si>
  <si>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</si>
  <si>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</si>
  <si>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</si>
  <si>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</si>
  <si>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</si>
  <si>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</si>
  <si>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</si>
  <si>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</si>
  <si>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</si>
  <si>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</si>
  <si>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</si>
  <si>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</si>
  <si>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</si>
  <si>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</si>
  <si>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</si>
  <si>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</si>
  <si>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</si>
  <si>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</si>
  <si>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</si>
  <si>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</si>
  <si>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</si>
  <si>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</si>
  <si>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</si>
  <si>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</si>
  <si>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</si>
  <si>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</si>
  <si>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</si>
  <si>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</si>
  <si>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</si>
  <si>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</si>
  <si>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</si>
  <si>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</si>
  <si>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</si>
  <si>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</si>
  <si>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</si>
  <si>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</si>
  <si>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</si>
  <si>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</si>
  <si>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</si>
  <si>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</si>
  <si>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</si>
  <si>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</si>
  <si>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</si>
  <si>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</si>
  <si>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</si>
  <si>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</si>
  <si>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</si>
  <si>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</si>
  <si>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</si>
  <si>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</si>
  <si>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</si>
  <si>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</si>
  <si>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</si>
  <si>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</si>
  <si>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</si>
  <si>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</si>
  <si>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</si>
  <si>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</si>
  <si>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</si>
  <si>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</si>
  <si>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</si>
  <si>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</si>
  <si>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</si>
  <si>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</si>
  <si>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</si>
  <si>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</si>
  <si>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</si>
  <si>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</si>
  <si>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</si>
  <si>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</si>
  <si>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</si>
  <si>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</si>
  <si>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</si>
  <si>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</si>
  <si>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</si>
  <si>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</si>
  <si>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</si>
  <si>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</si>
  <si>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</si>
  <si>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</si>
  <si>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</si>
  <si>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</si>
  <si>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</si>
  <si>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</si>
  <si>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</si>
  <si>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</si>
  <si>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</si>
  <si>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</si>
  <si>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</si>
  <si>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</si>
  <si>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</si>
  <si>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</si>
  <si>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</si>
  <si>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</si>
  <si>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</si>
  <si>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</si>
  <si>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</si>
  <si>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</si>
  <si>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</si>
  <si>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</si>
  <si>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</si>
  <si>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</si>
  <si>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</si>
  <si>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</si>
  <si>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</si>
  <si>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</si>
  <si>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</si>
  <si>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</si>
  <si>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</si>
  <si>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</si>
  <si>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</si>
  <si>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</si>
  <si>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</si>
  <si>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</si>
  <si>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</si>
  <si>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</si>
  <si>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</si>
  <si>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</si>
  <si>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</si>
  <si>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</si>
  <si>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</si>
  <si>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</si>
  <si>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</si>
  <si>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</si>
  <si>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</si>
  <si>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</si>
  <si>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</si>
  <si>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</si>
  <si>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</si>
  <si>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</si>
  <si>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</si>
  <si>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</si>
  <si>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</si>
  <si>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</si>
  <si>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</si>
  <si>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</si>
  <si>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</si>
  <si>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</si>
  <si>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</si>
  <si>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</si>
  <si>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</si>
  <si>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</si>
  <si>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</si>
  <si>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</si>
  <si>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</si>
  <si>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</si>
  <si>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</si>
  <si>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</si>
  <si>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</si>
  <si>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</si>
  <si>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</si>
  <si>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</si>
  <si>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</si>
  <si>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</si>
  <si>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</si>
  <si>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</si>
  <si>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</si>
  <si>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</si>
  <si>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</si>
  <si>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</si>
  <si>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</si>
  <si>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</si>
  <si>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</si>
  <si>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</si>
  <si>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</si>
  <si>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</si>
  <si>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</si>
  <si>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</si>
  <si>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</si>
  <si>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</si>
  <si>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</si>
  <si>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</si>
  <si>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</si>
  <si>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</si>
  <si>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</si>
  <si>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</si>
  <si>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</si>
  <si>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</si>
  <si>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</si>
  <si>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</si>
  <si>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</si>
  <si>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</si>
  <si>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</si>
  <si>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</si>
  <si>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</si>
  <si>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</si>
  <si>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</si>
  <si>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</si>
  <si>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</si>
  <si>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</si>
  <si>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</si>
  <si>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</si>
  <si>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</si>
  <si>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</si>
  <si>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</si>
  <si>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</si>
  <si>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</si>
  <si>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</si>
  <si>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</si>
  <si>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</si>
  <si>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</si>
  <si>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</si>
  <si>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</si>
  <si>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</si>
  <si>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</si>
  <si>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</si>
  <si>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</si>
  <si>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</si>
  <si>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</si>
  <si>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</si>
  <si>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</si>
  <si>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</si>
  <si>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</si>
  <si>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</si>
  <si>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</si>
  <si>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</si>
  <si>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</si>
  <si>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</si>
  <si>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</si>
  <si>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</si>
  <si>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</si>
  <si>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</si>
  <si>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</si>
  <si>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</si>
  <si>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</si>
  <si>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</si>
  <si>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</si>
  <si>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</si>
  <si>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</si>
  <si>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</si>
  <si>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</si>
  <si>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</si>
  <si>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</si>
  <si>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</si>
  <si>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</si>
  <si>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</si>
  <si>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</si>
  <si>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</si>
  <si>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</si>
  <si>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</si>
  <si>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</si>
  <si>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</si>
  <si>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</si>
  <si>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</si>
  <si>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</si>
  <si>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</si>
  <si>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</si>
  <si>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</si>
  <si>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</si>
  <si>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</si>
  <si>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</si>
  <si>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</si>
  <si>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</si>
  <si>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</si>
  <si>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</si>
  <si>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</si>
  <si>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</si>
  <si>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</si>
  <si>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</si>
  <si>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</si>
  <si>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</si>
  <si>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</si>
  <si>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</si>
  <si>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</si>
  <si>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</si>
  <si>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</si>
  <si>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</si>
  <si>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</si>
  <si>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</si>
  <si>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</si>
  <si>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</si>
  <si>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</si>
  <si>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</si>
  <si>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</si>
  <si>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</si>
  <si>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</si>
  <si>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</si>
  <si>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</si>
  <si>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</si>
  <si>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</si>
  <si>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</si>
  <si>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</si>
  <si>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</si>
  <si>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</si>
  <si>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</si>
  <si>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</si>
  <si>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</si>
  <si>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</si>
  <si>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</si>
  <si>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</si>
  <si>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</si>
  <si>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</si>
  <si>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</si>
  <si>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</si>
  <si>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</si>
  <si>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</si>
  <si>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</si>
  <si>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</si>
  <si>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</si>
  <si>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</si>
  <si>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</si>
  <si>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</si>
  <si>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</si>
  <si>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</si>
  <si>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</si>
  <si>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</si>
  <si>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</si>
  <si>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</si>
  <si>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</si>
  <si>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</si>
  <si>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</si>
  <si>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</si>
  <si>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</si>
  <si>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</si>
  <si>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</si>
  <si>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</si>
  <si>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</si>
  <si>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</si>
  <si>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</si>
  <si>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</si>
  <si>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</si>
  <si>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</si>
  <si>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</si>
  <si>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</si>
  <si>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</si>
  <si>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</si>
  <si>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</si>
  <si>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</si>
  <si>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</si>
  <si>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</si>
  <si>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</si>
  <si>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</si>
  <si>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</si>
  <si>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</si>
  <si>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</si>
  <si>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</si>
  <si>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</si>
  <si>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</si>
  <si>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</si>
  <si>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</si>
  <si>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</si>
  <si>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</si>
  <si>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</si>
  <si>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</si>
  <si>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</si>
  <si>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</si>
  <si>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</si>
  <si>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</si>
  <si>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</si>
  <si>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</si>
  <si>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</si>
  <si>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</si>
  <si>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</si>
  <si>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</si>
  <si>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</si>
  <si>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</si>
  <si>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</si>
  <si>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</si>
  <si>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</si>
  <si>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</si>
  <si>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</si>
  <si>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</si>
  <si>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</si>
  <si>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</si>
  <si>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</si>
  <si>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</si>
  <si>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</si>
  <si>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</si>
  <si>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</si>
  <si>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</si>
  <si>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</si>
  <si>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</si>
  <si>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</si>
  <si>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</si>
  <si>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</si>
  <si>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</si>
  <si>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</si>
  <si>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</si>
  <si>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</si>
  <si>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</si>
  <si>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</si>
  <si>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</si>
  <si>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</si>
  <si>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</si>
  <si>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</si>
  <si>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</si>
  <si>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</si>
  <si>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</si>
  <si>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</si>
  <si>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</si>
  <si>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</si>
  <si>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</si>
  <si>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</si>
  <si>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</si>
  <si>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</si>
  <si>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</si>
  <si>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</si>
  <si>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</si>
  <si>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</si>
  <si>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</si>
  <si>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</si>
  <si>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</si>
  <si>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</si>
  <si>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</si>
  <si>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</si>
  <si>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</si>
  <si>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</si>
  <si>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</si>
  <si>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</si>
  <si>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</si>
  <si>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</si>
  <si>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</si>
  <si>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</si>
  <si>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</si>
  <si>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</si>
  <si>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</si>
  <si>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</si>
  <si>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</si>
  <si>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</si>
  <si>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</si>
  <si>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</si>
  <si>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</si>
  <si>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</si>
  <si>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</si>
  <si>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</si>
  <si>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</si>
  <si>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</si>
  <si>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</si>
  <si>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</si>
  <si>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</si>
  <si>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</si>
  <si>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</si>
  <si>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</si>
  <si>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</si>
  <si>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</si>
  <si>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</si>
  <si>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</si>
  <si>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</si>
  <si>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</si>
  <si>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</si>
  <si>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</si>
  <si>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</si>
  <si>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</si>
  <si>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</si>
  <si>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</si>
  <si>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</si>
  <si>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</si>
  <si>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</si>
  <si>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</si>
  <si>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</si>
  <si>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</si>
  <si>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</si>
  <si>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</si>
  <si>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</si>
  <si>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</si>
  <si>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</si>
  <si>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</si>
  <si>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</si>
  <si>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</si>
  <si>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</si>
  <si>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</si>
  <si>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</si>
  <si>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</si>
  <si>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</si>
  <si>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</si>
  <si>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</si>
  <si>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</si>
  <si>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</si>
  <si>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</si>
  <si>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</si>
  <si>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</si>
  <si>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</si>
  <si>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</si>
  <si>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</si>
  <si>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</si>
  <si>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</si>
  <si>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</si>
  <si>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</si>
  <si>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</si>
  <si>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</si>
  <si>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</si>
  <si>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</si>
  <si>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</si>
  <si>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</si>
  <si>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</si>
  <si>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</si>
  <si>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</si>
  <si>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</si>
  <si>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</si>
  <si>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</si>
  <si>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</si>
  <si>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</si>
  <si>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</si>
  <si>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</si>
  <si>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</si>
  <si>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</si>
  <si>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</si>
  <si>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</si>
  <si>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</si>
  <si>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</si>
  <si>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</si>
  <si>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</si>
  <si>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</si>
  <si>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</si>
  <si>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</si>
  <si>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</si>
  <si>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</si>
  <si>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</si>
  <si>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</si>
  <si>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</si>
  <si>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</si>
  <si>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</si>
  <si>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</si>
  <si>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</si>
  <si>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</si>
  <si>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</si>
  <si>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</si>
  <si>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</si>
  <si>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</si>
  <si>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</si>
  <si>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</si>
  <si>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</si>
  <si>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</si>
  <si>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</si>
  <si>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</si>
  <si>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</si>
  <si>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</si>
  <si>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</si>
  <si>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</si>
  <si>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</si>
  <si>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</si>
  <si>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</si>
  <si>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</si>
  <si>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</si>
  <si>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</si>
  <si>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</si>
  <si>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</si>
  <si>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</si>
  <si>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</si>
  <si>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</si>
  <si>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</si>
  <si>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</si>
  <si>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</si>
  <si>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</si>
  <si>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</si>
  <si>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</si>
  <si>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</si>
  <si>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</si>
  <si>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</si>
  <si>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</si>
  <si>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</si>
  <si>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</si>
  <si>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</si>
  <si>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</si>
  <si>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</si>
  <si>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</si>
  <si>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</si>
  <si>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</si>
  <si>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</si>
  <si>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</si>
  <si>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</si>
  <si>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</si>
  <si>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</si>
  <si>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</si>
  <si>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</si>
  <si>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</si>
  <si>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</si>
  <si>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</si>
  <si>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</si>
  <si>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</si>
  <si>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</si>
  <si>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</si>
  <si>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</si>
  <si>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</si>
  <si>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</si>
  <si>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</si>
  <si>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</si>
  <si>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</si>
  <si>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</si>
  <si>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</si>
  <si>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</si>
  <si>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</si>
  <si>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</si>
  <si>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</si>
  <si>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</si>
  <si>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</si>
  <si>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</si>
  <si>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</si>
  <si>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</si>
  <si>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</si>
  <si>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</si>
  <si>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</si>
  <si>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</si>
  <si>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</si>
  <si>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</si>
  <si>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</si>
  <si>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</si>
  <si>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</si>
  <si>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</si>
  <si>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</si>
  <si>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</si>
  <si>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</si>
  <si>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</si>
  <si>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</si>
  <si>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</si>
  <si>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</si>
  <si>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</si>
  <si>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</si>
  <si>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</si>
  <si>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</si>
  <si>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</si>
  <si>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</si>
  <si>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</si>
  <si>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</si>
  <si>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</si>
  <si>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</si>
  <si>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</si>
  <si>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</si>
  <si>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</si>
  <si>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</si>
  <si>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</si>
  <si>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</si>
  <si>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</si>
  <si>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</si>
  <si>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</si>
  <si>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</si>
  <si>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</si>
  <si>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</si>
  <si>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</si>
  <si>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</si>
  <si>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</si>
  <si>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</si>
  <si>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</si>
  <si>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</si>
  <si>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</si>
  <si>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</si>
  <si>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</si>
  <si>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</si>
  <si>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</si>
  <si>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</si>
  <si>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</si>
  <si>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</si>
  <si>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</si>
  <si>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</si>
  <si>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</si>
  <si>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</si>
  <si>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</si>
  <si>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</si>
  <si>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</si>
  <si>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</si>
  <si>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</si>
  <si>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</si>
  <si>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</si>
  <si>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</si>
  <si>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</si>
  <si>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</si>
  <si>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</si>
  <si>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</si>
  <si>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</si>
  <si>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</si>
  <si>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</si>
  <si>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</si>
  <si>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</si>
  <si>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</si>
  <si>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</si>
  <si>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</si>
  <si>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</si>
  <si>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</si>
  <si>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</si>
  <si>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</si>
  <si>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</si>
  <si>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</si>
  <si>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</si>
  <si>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</si>
  <si>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</si>
  <si>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</si>
  <si>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</si>
  <si>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</si>
  <si>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</si>
  <si>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</si>
  <si>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</si>
  <si>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</si>
  <si>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</si>
  <si>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</si>
  <si>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</si>
  <si>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</si>
  <si>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</si>
  <si>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</si>
  <si>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</si>
  <si>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</si>
  <si>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</si>
  <si>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</si>
  <si>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</si>
  <si>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</si>
  <si>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</si>
  <si>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</si>
  <si>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</si>
  <si>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</si>
  <si>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</si>
  <si>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</si>
  <si>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</si>
  <si>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</si>
  <si>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</si>
  <si>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</si>
  <si>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</si>
  <si>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</si>
  <si>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</si>
  <si>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</si>
  <si>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</si>
  <si>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</si>
  <si>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</si>
  <si>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</si>
  <si>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</si>
  <si>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</si>
  <si>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</si>
  <si>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</si>
  <si>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</si>
  <si>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</si>
  <si>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</si>
  <si>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</si>
  <si>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</si>
  <si>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</si>
  <si>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</si>
  <si>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</si>
  <si>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</si>
  <si>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</si>
  <si>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</si>
  <si>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</si>
  <si>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</si>
  <si>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</si>
  <si>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</si>
  <si>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</si>
  <si>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</si>
  <si>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</si>
  <si>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</si>
  <si>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</si>
  <si>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</si>
  <si>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</si>
  <si>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</si>
  <si>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</si>
  <si>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</si>
  <si>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</si>
  <si>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</si>
  <si>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</si>
  <si>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</si>
  <si>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</si>
  <si>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</si>
  <si>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</si>
  <si>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</si>
  <si>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</si>
  <si>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</si>
  <si>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</si>
  <si>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</si>
  <si>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</si>
  <si>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</si>
  <si>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</si>
  <si>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</si>
  <si>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</si>
  <si>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</si>
  <si>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</si>
  <si>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</si>
  <si>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</si>
  <si>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</si>
  <si>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</si>
  <si>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</si>
  <si>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</si>
  <si>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</si>
  <si>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</si>
  <si>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</si>
  <si>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</si>
  <si>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</si>
  <si>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</si>
  <si>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</si>
  <si>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</si>
  <si>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</si>
  <si>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</si>
  <si>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</si>
  <si>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</si>
  <si>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</si>
  <si>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</si>
  <si>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</si>
  <si>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</si>
  <si>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</si>
  <si>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</si>
  <si>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</si>
  <si>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</si>
  <si>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</si>
  <si>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</si>
  <si>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</si>
  <si>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</si>
  <si>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</si>
  <si>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</si>
  <si>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</si>
  <si>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</si>
  <si>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</si>
  <si>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</si>
  <si>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</si>
  <si>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</si>
  <si>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</si>
  <si>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</si>
  <si>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</si>
  <si>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</si>
  <si>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</si>
  <si>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</si>
  <si>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</si>
  <si>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</si>
  <si>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</si>
  <si>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</si>
  <si>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</si>
  <si>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</si>
  <si>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</si>
  <si>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</si>
  <si>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</si>
  <si>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</si>
  <si>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</si>
  <si>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</si>
  <si>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</si>
  <si>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</si>
  <si>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</si>
  <si>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</si>
  <si>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</si>
  <si>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</si>
  <si>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</si>
  <si>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</si>
  <si>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</si>
  <si>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</si>
  <si>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</si>
  <si>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</si>
  <si>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</si>
  <si>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</si>
  <si>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</si>
  <si>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</si>
  <si>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</si>
  <si>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</si>
  <si>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</si>
  <si>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</si>
  <si>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</si>
  <si>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</si>
  <si>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</si>
  <si>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</si>
  <si>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</si>
  <si>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</si>
  <si>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</si>
  <si>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</si>
  <si>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</si>
  <si>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</si>
  <si>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</si>
  <si>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</si>
  <si>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</si>
  <si>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</si>
  <si>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</si>
  <si>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</si>
  <si>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</si>
  <si>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</si>
  <si>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</si>
  <si>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</si>
  <si>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</si>
  <si>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</si>
  <si>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</si>
  <si>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</si>
  <si>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</si>
  <si>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</si>
  <si>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</si>
  <si>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</si>
  <si>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</si>
  <si>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</si>
  <si>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</si>
  <si>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</si>
  <si>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</si>
  <si>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</si>
  <si>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</si>
  <si>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</si>
  <si>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</si>
  <si>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</si>
  <si>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</si>
  <si>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</si>
  <si>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</si>
  <si>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</si>
  <si>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</si>
  <si>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</si>
  <si>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</si>
  <si>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</si>
  <si>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</si>
  <si>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</si>
  <si>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</si>
  <si>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</si>
  <si>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</si>
  <si>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</si>
  <si>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</si>
  <si>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</si>
  <si>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</si>
  <si>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</si>
  <si>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</si>
  <si>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</si>
  <si>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</si>
  <si>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</si>
  <si>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</si>
  <si>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</si>
  <si>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</si>
  <si>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</si>
  <si>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</si>
  <si>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</si>
  <si>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</si>
  <si>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</si>
  <si>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</si>
  <si>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</si>
  <si>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</si>
  <si>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</si>
  <si>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</si>
  <si>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</si>
  <si>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</si>
  <si>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</si>
  <si>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</si>
  <si>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</si>
  <si>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</si>
  <si>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</si>
  <si>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</si>
  <si>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</si>
  <si>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</si>
  <si>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</si>
  <si>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</si>
  <si>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</si>
  <si>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</si>
  <si>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</si>
  <si>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</si>
  <si>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</si>
  <si>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</si>
  <si>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</si>
  <si>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</si>
  <si>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</si>
  <si>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</si>
  <si>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</si>
  <si>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</si>
  <si>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</si>
  <si>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</si>
  <si>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</si>
  <si>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</si>
  <si>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</si>
  <si>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</si>
  <si>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</si>
  <si>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</si>
  <si>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</si>
  <si>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</si>
  <si>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</si>
  <si>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</si>
  <si>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</si>
  <si>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</si>
  <si>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</si>
  <si>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</si>
  <si>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</si>
  <si>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</si>
  <si>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</si>
  <si>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</si>
  <si>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</si>
  <si>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</si>
  <si>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</si>
  <si>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</si>
  <si>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</si>
  <si>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</si>
  <si>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</si>
  <si>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</si>
  <si>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</si>
  <si>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</si>
  <si>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</si>
  <si>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</si>
  <si>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</si>
  <si>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</si>
  <si>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</si>
  <si>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</si>
  <si>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</si>
  <si>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</si>
  <si>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</si>
  <si>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</si>
  <si>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</si>
  <si>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</si>
  <si>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</si>
  <si>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</si>
  <si>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</si>
  <si>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</si>
  <si>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</si>
  <si>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</si>
  <si>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</si>
  <si>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</si>
  <si>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</si>
  <si>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</si>
  <si>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</si>
  <si>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</si>
  <si>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</si>
  <si>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</si>
  <si>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</si>
  <si>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</si>
  <si>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</si>
  <si>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</si>
  <si>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</si>
  <si>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</si>
  <si>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</si>
  <si>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</si>
  <si>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</si>
  <si>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</si>
  <si>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</si>
  <si>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</si>
  <si>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</si>
  <si>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</si>
  <si>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</si>
  <si>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</si>
  <si>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</si>
  <si>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</si>
  <si>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</si>
  <si>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</si>
  <si>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</si>
  <si>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</si>
  <si>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</si>
  <si>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</si>
  <si>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</si>
  <si>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</si>
  <si>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</si>
  <si>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</si>
  <si>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</si>
  <si>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</si>
  <si>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</si>
  <si>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</si>
  <si>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</si>
  <si>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</si>
  <si>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</si>
  <si>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</si>
  <si>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</si>
  <si>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</si>
  <si>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</si>
  <si>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</si>
  <si>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</si>
  <si>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</si>
  <si>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</si>
  <si>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</si>
  <si>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</si>
  <si>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</si>
  <si>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</si>
  <si>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</si>
  <si>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</si>
  <si>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</si>
  <si>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</si>
  <si>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</si>
  <si>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</si>
  <si>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</si>
  <si>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</si>
  <si>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</si>
  <si>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</si>
  <si>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</si>
  <si>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</si>
  <si>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</si>
  <si>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</si>
  <si>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</si>
  <si>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</si>
  <si>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</si>
  <si>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</si>
  <si>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</si>
  <si>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</si>
  <si>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</si>
  <si>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</si>
  <si>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</si>
  <si>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</si>
  <si>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</si>
  <si>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</si>
  <si>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</si>
  <si>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</si>
  <si>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</si>
  <si>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</si>
  <si>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</si>
  <si>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</si>
  <si>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</si>
  <si>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</si>
  <si>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</si>
  <si>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</si>
  <si>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</si>
  <si>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</si>
  <si>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</si>
  <si>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</si>
  <si>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</si>
  <si>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</si>
  <si>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</si>
  <si>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</si>
  <si>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</si>
  <si>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</si>
  <si>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</si>
  <si>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</si>
  <si>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</si>
  <si>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</si>
  <si>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</si>
  <si>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</si>
  <si>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</si>
  <si>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</si>
  <si>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</si>
  <si>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</si>
  <si>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</si>
  <si>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</si>
  <si>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</si>
  <si>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</si>
  <si>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</si>
  <si>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</si>
  <si>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</si>
  <si>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</si>
  <si>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</si>
  <si>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</si>
  <si>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</si>
  <si>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</si>
  <si>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</si>
  <si>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</si>
  <si>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</si>
  <si>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</si>
  <si>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</si>
  <si>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</si>
  <si>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</si>
  <si>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</si>
  <si>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</si>
  <si>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</si>
  <si>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</si>
  <si>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</si>
  <si>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</si>
  <si>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</si>
  <si>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</si>
  <si>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</si>
  <si>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</si>
  <si>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</si>
  <si>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</si>
  <si>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</si>
  <si>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</si>
  <si>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</si>
  <si>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</si>
  <si>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</si>
  <si>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</si>
  <si>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</si>
  <si>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</si>
  <si>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</si>
  <si>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</si>
  <si>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</si>
  <si>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</si>
  <si>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</si>
  <si>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</si>
  <si>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</si>
  <si>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</si>
  <si>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</si>
  <si>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</si>
  <si>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</si>
  <si>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</si>
  <si>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</si>
  <si>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</si>
  <si>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</si>
  <si>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</si>
  <si>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</si>
  <si>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</si>
  <si>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</si>
  <si>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</si>
  <si>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</si>
  <si>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</si>
  <si>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</si>
  <si>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</si>
  <si>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</si>
  <si>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</si>
  <si>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</si>
  <si>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</si>
  <si>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</si>
  <si>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</si>
  <si>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</si>
  <si>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</si>
  <si>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</si>
  <si>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</si>
  <si>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</si>
  <si>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</si>
  <si>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</si>
  <si>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</si>
  <si>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</si>
  <si>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</si>
  <si>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</si>
  <si>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</si>
  <si>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</si>
  <si>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</si>
  <si>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</si>
  <si>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</si>
  <si>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</si>
  <si>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</si>
  <si>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</si>
  <si>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</si>
  <si>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</si>
  <si>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</si>
  <si>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</si>
  <si>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</si>
  <si>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</si>
  <si>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</si>
  <si>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</si>
  <si>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</si>
  <si>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</si>
  <si>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</si>
  <si>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</si>
  <si>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</si>
  <si>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</si>
  <si>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</si>
  <si>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</si>
  <si>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</si>
  <si>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</si>
  <si>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</si>
  <si>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</si>
  <si>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</si>
  <si>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</si>
  <si>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</si>
  <si>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</si>
  <si>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</si>
  <si>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</si>
  <si>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</si>
  <si>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</si>
  <si>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</si>
  <si>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</si>
  <si>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</si>
  <si>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</si>
  <si>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</si>
  <si>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</si>
  <si>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</si>
  <si>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</si>
  <si>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</si>
  <si>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</si>
  <si>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</si>
  <si>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</si>
  <si>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</si>
  <si>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</si>
  <si>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</si>
  <si>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</si>
  <si>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</si>
  <si>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</si>
  <si>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</si>
  <si>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</si>
  <si>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</si>
  <si>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</si>
  <si>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</si>
  <si>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</si>
  <si>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</si>
  <si>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</si>
  <si>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</si>
  <si>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</si>
  <si>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</si>
  <si>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</si>
  <si>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</si>
  <si>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</si>
  <si>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</si>
  <si>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</si>
  <si>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</si>
  <si>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</si>
  <si>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</si>
  <si>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</si>
  <si>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</si>
  <si>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</si>
  <si>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</si>
  <si>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</si>
  <si>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</si>
  <si>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</si>
  <si>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</si>
  <si>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</si>
  <si>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</si>
  <si>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</si>
  <si>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</si>
  <si>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</si>
  <si>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</si>
  <si>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</si>
  <si>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</si>
  <si>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</si>
  <si>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</si>
  <si>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</si>
  <si>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</si>
  <si>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</si>
  <si>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</si>
  <si>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</si>
  <si>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</si>
  <si>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</si>
  <si>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</si>
  <si>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</si>
  <si>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</si>
  <si>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</si>
  <si>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</si>
  <si>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</si>
  <si>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</si>
  <si>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</si>
  <si>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</si>
  <si>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</si>
  <si>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</si>
  <si>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</si>
  <si>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</si>
  <si>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</si>
  <si>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</si>
  <si>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</si>
  <si>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</si>
  <si>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</si>
  <si>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</si>
  <si>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</si>
  <si>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</si>
  <si>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</si>
  <si>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</si>
  <si>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</si>
  <si>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</si>
  <si>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</si>
  <si>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</si>
  <si>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</si>
  <si>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</si>
  <si>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</si>
  <si>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</si>
  <si>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</si>
  <si>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</si>
  <si>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</si>
  <si>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</si>
  <si>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</si>
  <si>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</si>
  <si>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</si>
  <si>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</si>
  <si>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</si>
  <si>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</si>
  <si>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</si>
  <si>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</si>
  <si>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</si>
  <si>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</si>
  <si>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</si>
  <si>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</si>
  <si>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</si>
  <si>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</si>
  <si>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</si>
  <si>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</si>
  <si>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</si>
  <si>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</si>
  <si>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</si>
  <si>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</si>
  <si>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</si>
  <si>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</si>
  <si>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</si>
  <si>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</si>
  <si>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</si>
  <si>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</si>
  <si>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</si>
  <si>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</si>
  <si>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</si>
  <si>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</si>
  <si>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</si>
  <si>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</si>
  <si>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</si>
  <si>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</si>
  <si>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</si>
  <si>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</si>
  <si>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</si>
  <si>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</si>
  <si>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</si>
  <si>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</si>
  <si>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</si>
  <si>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</si>
  <si>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</si>
  <si>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</si>
  <si>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</si>
  <si>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</si>
  <si>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</si>
  <si>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</si>
  <si>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</si>
  <si>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</si>
  <si>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</si>
  <si>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</si>
  <si>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</si>
  <si>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</si>
  <si>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</si>
  <si>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</si>
  <si>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</si>
  <si>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</si>
  <si>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</si>
  <si>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</si>
  <si>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</si>
  <si>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</si>
  <si>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</si>
  <si>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</si>
  <si>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</si>
  <si>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</si>
  <si>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</si>
  <si>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</si>
  <si>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</si>
  <si>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</si>
  <si>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</si>
  <si>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</si>
  <si>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</si>
  <si>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</si>
  <si>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</si>
  <si>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</si>
  <si>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</si>
  <si>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</si>
  <si>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</si>
  <si>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</si>
  <si>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</si>
  <si>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</si>
  <si>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</si>
  <si>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</si>
  <si>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</si>
  <si>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</si>
  <si>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</si>
  <si>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</si>
  <si>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</si>
  <si>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</si>
  <si>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</si>
  <si>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</si>
  <si>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</si>
  <si>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</si>
  <si>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</si>
  <si>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</si>
  <si>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</si>
  <si>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</si>
  <si>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</si>
  <si>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</si>
  <si>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</si>
  <si>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</si>
  <si>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</si>
  <si>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</si>
  <si>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</si>
  <si>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</si>
  <si>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</si>
  <si>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</si>
  <si>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</si>
  <si>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</si>
  <si>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</si>
  <si>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</si>
  <si>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</si>
  <si>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</si>
  <si>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</si>
  <si>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</si>
  <si>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</si>
  <si>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</si>
  <si>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</si>
  <si>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</si>
  <si>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</si>
  <si>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</si>
  <si>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</si>
  <si>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</si>
  <si>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</si>
  <si>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</si>
  <si>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</si>
  <si>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</si>
  <si>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</si>
  <si>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</si>
  <si>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</si>
  <si>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</si>
  <si>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</si>
  <si>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</si>
  <si>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</si>
  <si>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</si>
  <si>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</si>
  <si>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</si>
  <si>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</si>
  <si>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</si>
  <si>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</si>
  <si>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</si>
  <si>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</si>
  <si>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</si>
  <si>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</si>
  <si>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</si>
  <si>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</si>
  <si>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</si>
  <si>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</si>
  <si>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</si>
  <si>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</si>
  <si>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</si>
  <si>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</si>
  <si>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</si>
  <si>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</si>
  <si>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</si>
  <si>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</si>
  <si>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</si>
  <si>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</si>
  <si>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</si>
  <si>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</si>
  <si>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</si>
  <si>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</si>
  <si>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</si>
  <si>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</si>
  <si>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</si>
  <si>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</si>
  <si>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</si>
  <si>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</si>
  <si>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</si>
  <si>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</si>
  <si>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</si>
  <si>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</si>
  <si>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</si>
  <si>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</si>
  <si>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</si>
  <si>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</si>
  <si>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</si>
  <si>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</si>
  <si>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</si>
  <si>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</si>
  <si>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</si>
  <si>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</si>
  <si>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</si>
  <si>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</si>
  <si>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</si>
  <si>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</si>
  <si>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</si>
  <si>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</si>
  <si>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</si>
  <si>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</si>
  <si>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</si>
  <si>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</si>
  <si>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</si>
  <si>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</si>
  <si>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</si>
  <si>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</si>
  <si>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</si>
  <si>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</si>
  <si>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</si>
  <si>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</si>
  <si>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</si>
  <si>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</si>
  <si>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</si>
  <si>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</si>
  <si>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</si>
  <si>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</si>
  <si>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</si>
  <si>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</si>
  <si>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</si>
  <si>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</si>
  <si>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</si>
  <si>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</si>
  <si>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</si>
  <si>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</si>
  <si>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</si>
  <si>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</si>
  <si>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</si>
  <si>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</si>
  <si>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</si>
  <si>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</si>
  <si>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</si>
  <si>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</si>
  <si>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</si>
  <si>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</si>
  <si>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</si>
  <si>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</si>
  <si>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</si>
  <si>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</si>
  <si>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</si>
  <si>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</si>
  <si>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</si>
  <si>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</si>
  <si>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</si>
  <si>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</si>
  <si>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</si>
  <si>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</si>
  <si>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</si>
  <si>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</si>
  <si>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</si>
  <si>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</si>
  <si>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</si>
  <si>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</si>
  <si>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</si>
  <si>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</si>
  <si>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</si>
  <si>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</si>
  <si>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</si>
  <si>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</si>
  <si>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</si>
  <si>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</si>
  <si>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</si>
  <si>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</si>
  <si>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</si>
  <si>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</si>
  <si>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</si>
  <si>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</si>
  <si>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</si>
  <si>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</si>
  <si>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</si>
  <si>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</si>
  <si>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</si>
  <si>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</si>
  <si>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</si>
  <si>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</si>
  <si>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</si>
  <si>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</si>
  <si>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</si>
  <si>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</si>
  <si>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</si>
  <si>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</si>
  <si>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</si>
  <si>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</si>
  <si>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</si>
  <si>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</si>
  <si>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</si>
  <si>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</si>
  <si>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</si>
  <si>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</si>
  <si>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</si>
  <si>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</si>
  <si>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</si>
  <si>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</si>
  <si>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</si>
  <si>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</si>
  <si>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</si>
  <si>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</si>
  <si>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</si>
  <si>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</si>
  <si>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</si>
  <si>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</si>
  <si>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</si>
  <si>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</si>
  <si>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</si>
  <si>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</si>
  <si>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</si>
  <si>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</si>
  <si>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</si>
  <si>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</si>
  <si>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</si>
  <si>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</si>
  <si>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</si>
  <si>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</si>
  <si>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</si>
  <si>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</si>
  <si>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</si>
  <si>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</si>
  <si>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</si>
  <si>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</si>
  <si>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</si>
  <si>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</si>
  <si>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</si>
  <si>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</si>
  <si>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</si>
  <si>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</si>
  <si>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</si>
  <si>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</si>
  <si>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</si>
  <si>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</si>
  <si>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</si>
  <si>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</si>
  <si>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</si>
  <si>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</si>
  <si>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</si>
  <si>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</si>
  <si>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</si>
  <si>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</si>
  <si>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</si>
  <si>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</si>
  <si>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</si>
  <si>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</si>
  <si>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</si>
  <si>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</si>
  <si>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</si>
  <si>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</si>
  <si>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</si>
  <si>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</si>
  <si>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</si>
  <si>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</si>
  <si>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</si>
  <si>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</si>
  <si>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</si>
  <si>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</si>
  <si>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</si>
  <si>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</si>
  <si>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</si>
  <si>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</si>
  <si>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</si>
  <si>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</si>
  <si>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</si>
  <si>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</si>
  <si>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</si>
  <si>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</si>
  <si>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</si>
  <si>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</si>
  <si>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</si>
  <si>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</si>
  <si>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</si>
  <si>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</si>
  <si>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</si>
  <si>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</si>
  <si>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</si>
  <si>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</si>
  <si>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</si>
  <si>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</si>
  <si>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</si>
  <si>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</si>
  <si>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</si>
  <si>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</si>
  <si>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</si>
  <si>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</si>
  <si>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</si>
  <si>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</si>
  <si>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</si>
  <si>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</si>
  <si>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</si>
  <si>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</si>
  <si>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</si>
  <si>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</si>
  <si>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</si>
  <si>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</si>
  <si>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</si>
  <si>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</si>
  <si>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</si>
  <si>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</si>
  <si>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</si>
  <si>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</si>
  <si>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</si>
  <si>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</si>
  <si>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</si>
  <si>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</si>
  <si>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</si>
  <si>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</si>
  <si>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</si>
  <si>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</si>
  <si>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</si>
  <si>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</si>
  <si>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</si>
  <si>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</si>
  <si>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</si>
  <si>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</si>
  <si>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</si>
  <si>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</si>
  <si>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</si>
  <si>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</si>
  <si>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</si>
  <si>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</si>
  <si>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</si>
  <si>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</si>
  <si>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</si>
  <si>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</si>
  <si>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</si>
  <si>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</si>
  <si>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</si>
  <si>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</si>
  <si>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</si>
  <si>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</si>
  <si>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</si>
  <si>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</si>
  <si>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</si>
  <si>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</si>
  <si>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</si>
  <si>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</si>
  <si>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</si>
  <si>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</si>
  <si>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</si>
  <si>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</si>
  <si>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</si>
  <si>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</si>
  <si>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</si>
  <si>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</si>
  <si>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</si>
  <si>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</si>
  <si>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</si>
  <si>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</si>
  <si>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</si>
  <si>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</si>
  <si>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</si>
  <si>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</si>
  <si>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</si>
  <si>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</si>
  <si>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</si>
  <si>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</si>
  <si>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</si>
  <si>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</si>
  <si>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</si>
  <si>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</si>
  <si>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</si>
  <si>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</si>
  <si>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</si>
  <si>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</si>
  <si>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</si>
  <si>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</si>
  <si>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</si>
  <si>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</si>
  <si>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</si>
  <si>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</si>
  <si>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</si>
  <si>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</si>
  <si>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</si>
  <si>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</si>
  <si>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</si>
  <si>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</si>
  <si>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</si>
  <si>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</si>
  <si>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</si>
  <si>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</si>
  <si>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</si>
  <si>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</si>
  <si>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</si>
  <si>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</si>
  <si>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</si>
  <si>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</si>
  <si>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</si>
  <si>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</si>
  <si>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</si>
  <si>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</si>
  <si>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</si>
  <si>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</si>
  <si>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</si>
  <si>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</si>
  <si>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</si>
  <si>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</si>
  <si>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</si>
  <si>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</si>
  <si>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</si>
  <si>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</si>
  <si>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</si>
  <si>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</si>
  <si>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</si>
  <si>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</si>
  <si>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</si>
  <si>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</si>
  <si>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</si>
  <si>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</si>
  <si>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</si>
  <si>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</si>
  <si>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</si>
  <si>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</si>
  <si>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</si>
  <si>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</si>
  <si>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</si>
  <si>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</si>
  <si>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</si>
  <si>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</si>
  <si>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</si>
  <si>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</si>
  <si>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</si>
  <si>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</si>
  <si>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</si>
  <si>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</si>
  <si>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</si>
  <si>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</si>
  <si>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</si>
  <si>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</si>
  <si>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</si>
  <si>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</si>
  <si>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</si>
  <si>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</si>
  <si>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</si>
  <si>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</si>
  <si>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</si>
  <si>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</si>
  <si>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</si>
  <si>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</si>
  <si>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</si>
  <si>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</si>
  <si>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</si>
  <si>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</si>
  <si>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</si>
  <si>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</si>
  <si>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</si>
  <si>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</si>
  <si>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</si>
  <si>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</si>
  <si>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</si>
  <si>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</si>
  <si>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</si>
  <si>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</si>
  <si>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</si>
  <si>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</si>
  <si>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</si>
  <si>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</si>
  <si>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</si>
  <si>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</si>
  <si>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</si>
  <si>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</si>
  <si>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</si>
  <si>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</si>
  <si>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</si>
  <si>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</si>
  <si>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</si>
  <si>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</si>
  <si>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</si>
  <si>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</si>
  <si>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</si>
  <si>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</si>
  <si>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</si>
  <si>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</si>
  <si>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</si>
  <si>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</si>
  <si>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</si>
  <si>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</si>
  <si>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</si>
  <si>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</si>
  <si>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</si>
  <si>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</si>
  <si>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</si>
  <si>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</si>
  <si>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</si>
  <si>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</si>
  <si>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</si>
  <si>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</si>
  <si>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</si>
  <si>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</si>
  <si>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</si>
  <si>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</si>
  <si>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</si>
  <si>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</si>
  <si>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</si>
  <si>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</si>
  <si>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</si>
  <si>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</si>
  <si>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</si>
  <si>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</si>
  <si>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</si>
  <si>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</si>
  <si>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</si>
  <si>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</si>
  <si>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</si>
  <si>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</si>
  <si>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</si>
  <si>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</si>
  <si>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</si>
  <si>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</si>
  <si>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</si>
  <si>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</si>
  <si>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</si>
  <si>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</si>
  <si>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</si>
  <si>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</si>
  <si>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</si>
  <si>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</si>
  <si>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</si>
  <si>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</si>
  <si>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</si>
  <si>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</si>
  <si>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</si>
  <si>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</si>
  <si>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</si>
  <si>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</si>
  <si>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</si>
  <si>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</si>
  <si>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</si>
  <si>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</si>
  <si>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</si>
  <si>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</si>
  <si>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</si>
  <si>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</si>
  <si>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</si>
  <si>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</si>
  <si>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</si>
  <si>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</si>
  <si>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</si>
  <si>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</si>
  <si>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</si>
  <si>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</si>
  <si>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</si>
  <si>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</si>
  <si>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</si>
  <si>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</si>
  <si>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</si>
  <si>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</si>
  <si>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</si>
  <si>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</si>
  <si>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</si>
  <si>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</si>
  <si>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</si>
  <si>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</si>
  <si>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</si>
  <si>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</si>
  <si>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</si>
  <si>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</si>
  <si>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</si>
  <si>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</si>
  <si>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</si>
  <si>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</si>
  <si>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</si>
  <si>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</si>
  <si>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</si>
  <si>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</si>
  <si>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</si>
  <si>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</si>
  <si>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</si>
  <si>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</si>
  <si>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</si>
  <si>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</si>
  <si>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</si>
  <si>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</si>
  <si>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</si>
  <si>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</si>
  <si>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</si>
  <si>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</si>
  <si>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</si>
  <si>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</si>
  <si>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</si>
  <si>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</si>
  <si>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</si>
  <si>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</si>
  <si>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</si>
  <si>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</si>
  <si>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</si>
  <si>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</si>
  <si>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</si>
  <si>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</si>
  <si>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</si>
  <si>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</si>
  <si>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</si>
  <si>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</si>
  <si>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</si>
  <si>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</si>
  <si>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</si>
  <si>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</si>
  <si>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</si>
  <si>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</si>
  <si>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</si>
  <si>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</si>
  <si>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</si>
  <si>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</si>
  <si>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</si>
  <si>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</si>
  <si>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</si>
  <si>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</si>
  <si>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</si>
  <si>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</si>
  <si>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</si>
  <si>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</si>
  <si>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</si>
  <si>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</si>
  <si>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</si>
  <si>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</si>
  <si>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</si>
  <si>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</si>
  <si>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</si>
  <si>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</si>
  <si>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</si>
  <si>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</si>
  <si>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</si>
  <si>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</si>
  <si>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</si>
  <si>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</si>
  <si>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</si>
  <si>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</si>
  <si>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</si>
  <si>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</si>
  <si>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</si>
  <si>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</si>
  <si>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</si>
  <si>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</si>
  <si>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</si>
  <si>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</si>
  <si>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</si>
  <si>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</si>
  <si>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</si>
  <si>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</si>
  <si>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</si>
  <si>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</si>
  <si>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</si>
  <si>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</si>
  <si>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</si>
  <si>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</si>
  <si>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</si>
  <si>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</si>
  <si>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</si>
  <si>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</si>
  <si>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</si>
  <si>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</si>
  <si>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</si>
  <si>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</si>
  <si>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</si>
  <si>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</si>
  <si>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</si>
  <si>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</si>
  <si>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</si>
  <si>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</si>
  <si>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</si>
  <si>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</si>
  <si>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</si>
  <si>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</si>
  <si>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</si>
  <si>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</si>
  <si>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</si>
  <si>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</si>
  <si>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</si>
  <si>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</si>
  <si>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</si>
  <si>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</si>
  <si>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</si>
  <si>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</si>
  <si>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</si>
  <si>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</si>
  <si>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</si>
  <si>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</si>
  <si>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</si>
  <si>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</si>
  <si>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</si>
  <si>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</si>
  <si>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</si>
  <si>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</si>
  <si>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</si>
  <si>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</si>
  <si>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</si>
  <si>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</si>
  <si>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</si>
  <si>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</si>
  <si>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</si>
  <si>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</si>
  <si>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</si>
  <si>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</si>
  <si>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</si>
  <si>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</si>
  <si>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</si>
  <si>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</si>
  <si>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</si>
  <si>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</si>
  <si>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</si>
  <si>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</si>
  <si>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</si>
  <si>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</si>
  <si>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</si>
  <si>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</si>
  <si>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</si>
  <si>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</si>
  <si>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</si>
  <si>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</si>
  <si>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</si>
  <si>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</si>
  <si>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</si>
  <si>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</si>
  <si>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</si>
  <si>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</si>
  <si>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</si>
  <si>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</si>
  <si>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</si>
  <si>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</si>
  <si>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</si>
  <si>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</si>
  <si>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</si>
  <si>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</si>
  <si>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</si>
  <si>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</si>
  <si>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</si>
  <si>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</si>
  <si>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</si>
  <si>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</si>
  <si>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</si>
  <si>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</si>
  <si>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</si>
  <si>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</si>
  <si>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</si>
  <si>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</si>
  <si>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</si>
  <si>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</si>
  <si>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</si>
  <si>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</si>
  <si>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</si>
  <si>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</si>
  <si>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</si>
  <si>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</si>
  <si>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</si>
  <si>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</si>
  <si>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</si>
  <si>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</si>
  <si>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</si>
  <si>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</si>
  <si>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</si>
  <si>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</si>
  <si>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</si>
  <si>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</si>
  <si>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</si>
  <si>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</si>
  <si>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</si>
  <si>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</si>
  <si>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</si>
  <si>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</si>
  <si>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</si>
  <si>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</si>
  <si>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</si>
  <si>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</si>
  <si>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</si>
  <si>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</si>
  <si>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</si>
  <si>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</si>
  <si>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</si>
  <si>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</si>
  <si>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</si>
  <si>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</si>
  <si>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</si>
  <si>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</si>
  <si>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</si>
  <si>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</si>
  <si>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</si>
  <si>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</si>
  <si>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</si>
  <si>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</si>
  <si>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</si>
  <si>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</si>
  <si>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</si>
  <si>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</si>
  <si>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</si>
  <si>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</si>
  <si>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</si>
  <si>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</si>
  <si>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</si>
  <si>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</si>
  <si>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</si>
  <si>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</si>
  <si>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</si>
  <si>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</si>
  <si>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</si>
  <si>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</si>
  <si>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</si>
  <si>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</si>
  <si>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</si>
  <si>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</si>
  <si>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</si>
  <si>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</si>
  <si>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</si>
  <si>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</si>
  <si>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</si>
  <si>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</si>
  <si>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</si>
  <si>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</si>
  <si>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</si>
  <si>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</si>
  <si>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</si>
  <si>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</si>
  <si>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</si>
  <si>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</si>
  <si>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</si>
  <si>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</si>
  <si>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</si>
  <si>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</si>
  <si>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</si>
  <si>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</si>
  <si>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</si>
  <si>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</si>
  <si>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</si>
  <si>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</si>
  <si>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</si>
  <si>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</si>
  <si>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</si>
  <si>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</si>
  <si>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</si>
  <si>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</si>
  <si>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</si>
  <si>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</si>
  <si>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</si>
  <si>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</si>
  <si>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</si>
  <si>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</si>
  <si>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</si>
  <si>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</si>
  <si>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</si>
  <si>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</si>
  <si>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</si>
  <si>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</si>
  <si>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</si>
  <si>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</si>
  <si>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</si>
  <si>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</si>
  <si>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</si>
  <si>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</si>
  <si>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</si>
  <si>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</si>
  <si>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</si>
  <si>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</si>
  <si>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</si>
  <si>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</si>
  <si>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</si>
  <si>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</si>
  <si>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</si>
  <si>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</si>
  <si>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</si>
  <si>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</si>
  <si>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</si>
  <si>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</si>
  <si>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</si>
  <si>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</si>
  <si>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</si>
  <si>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</si>
  <si>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</si>
  <si>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</si>
  <si>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</si>
  <si>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</si>
  <si>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</si>
  <si>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</si>
  <si>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</si>
  <si>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</si>
  <si>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</si>
  <si>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</si>
  <si>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</si>
  <si>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</si>
  <si>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</si>
  <si>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</si>
  <si>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</si>
  <si>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</si>
  <si>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</si>
  <si>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</si>
  <si>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</si>
  <si>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</si>
  <si>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</si>
  <si>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</si>
  <si>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</si>
  <si>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</si>
  <si>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</si>
  <si>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</si>
  <si>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</si>
  <si>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</si>
  <si>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</si>
  <si>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</si>
  <si>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</si>
  <si>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</si>
  <si>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</si>
  <si>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</si>
  <si>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</si>
  <si>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</si>
  <si>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</si>
  <si>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</si>
  <si>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</si>
  <si>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</si>
  <si>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</si>
  <si>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</si>
  <si>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</si>
  <si>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</si>
  <si>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</si>
  <si>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</si>
  <si>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</si>
  <si>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</si>
  <si>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</si>
  <si>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</si>
  <si>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</si>
  <si>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</si>
  <si>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</si>
  <si>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</si>
  <si>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</si>
  <si>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</si>
  <si>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</si>
  <si>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</si>
  <si>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</si>
  <si>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</si>
  <si>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</si>
  <si>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</si>
  <si>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</si>
  <si>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</si>
  <si>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</si>
  <si>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</si>
  <si>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</si>
  <si>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</si>
  <si>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</si>
  <si>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</si>
  <si>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</si>
  <si>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</si>
  <si>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</si>
  <si>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</si>
  <si>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</si>
  <si>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</si>
  <si>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</si>
  <si>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</si>
  <si>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</si>
  <si>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</si>
  <si>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</si>
  <si>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</si>
  <si>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</si>
  <si>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</si>
  <si>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</si>
  <si>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</si>
  <si>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</si>
  <si>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</si>
  <si>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</si>
  <si>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</si>
  <si>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</si>
  <si>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</si>
  <si>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</si>
  <si>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</si>
  <si>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</si>
  <si>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</si>
  <si>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</si>
  <si>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</si>
  <si>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</si>
  <si>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</si>
  <si>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</si>
  <si>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</si>
  <si>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</si>
  <si>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</si>
  <si>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</si>
  <si>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</si>
  <si>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</si>
  <si>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</si>
  <si>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</si>
  <si>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</si>
  <si>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</si>
  <si>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</si>
  <si>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</si>
  <si>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</si>
  <si>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</si>
  <si>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</si>
  <si>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</si>
  <si>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</si>
  <si>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</si>
  <si>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</si>
  <si>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</si>
  <si>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</si>
  <si>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</si>
  <si>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</si>
  <si>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</si>
  <si>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</si>
  <si>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</si>
  <si>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</si>
  <si>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</si>
  <si>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</si>
  <si>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</si>
  <si>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</si>
  <si>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</si>
  <si>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</si>
  <si>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</si>
  <si>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</si>
  <si>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</si>
  <si>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</si>
  <si>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</si>
  <si>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</si>
  <si>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</si>
  <si>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</si>
  <si>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</si>
  <si>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</si>
  <si>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</si>
  <si>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</si>
  <si>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</si>
  <si>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</si>
  <si>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</si>
  <si>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</si>
  <si>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</si>
  <si>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</si>
  <si>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</si>
  <si>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</si>
  <si>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</si>
  <si>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</si>
  <si>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</si>
  <si>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</si>
  <si>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</si>
  <si>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</si>
  <si>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</si>
  <si>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</si>
  <si>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</si>
  <si>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</si>
  <si>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</si>
  <si>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</si>
  <si>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</si>
  <si>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</si>
  <si>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</si>
  <si>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</si>
  <si>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</si>
  <si>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</si>
  <si>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</si>
  <si>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</si>
  <si>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</si>
  <si>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</si>
  <si>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</si>
  <si>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</si>
  <si>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</si>
  <si>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</si>
  <si>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</si>
  <si>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</si>
  <si>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</si>
  <si>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</si>
  <si>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</si>
  <si>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</si>
  <si>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</si>
  <si>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</si>
  <si>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</si>
  <si>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</si>
  <si>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</si>
  <si>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</si>
  <si>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</si>
  <si>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</si>
  <si>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</si>
  <si>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</si>
  <si>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</si>
  <si>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</si>
  <si>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</si>
  <si>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</si>
  <si>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</si>
  <si>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</si>
  <si>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</si>
  <si>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</si>
  <si>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</si>
  <si>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</si>
  <si>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</si>
  <si>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</si>
  <si>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</si>
  <si>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</si>
  <si>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</si>
  <si>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</si>
  <si>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</si>
  <si>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</si>
  <si>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</si>
  <si>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</si>
  <si>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</si>
  <si>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</si>
  <si>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</si>
  <si>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</si>
  <si>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</si>
  <si>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</si>
  <si>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</si>
  <si>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</si>
  <si>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</si>
  <si>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</si>
  <si>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</si>
  <si>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</si>
  <si>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</si>
  <si>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</si>
  <si>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</si>
  <si>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</si>
  <si>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</si>
  <si>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</si>
  <si>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</si>
  <si>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</si>
  <si>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</si>
  <si>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</si>
  <si>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</si>
  <si>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</si>
  <si>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</si>
  <si>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</si>
  <si>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</si>
  <si>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</si>
  <si>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</si>
  <si>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</si>
  <si>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</si>
  <si>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</si>
  <si>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</si>
  <si>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</si>
  <si>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</si>
  <si>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</si>
  <si>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</si>
  <si>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</si>
  <si>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</si>
  <si>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</si>
  <si>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</si>
  <si>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</si>
  <si>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</si>
  <si>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</si>
  <si>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</si>
  <si>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</si>
  <si>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</si>
  <si>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</si>
  <si>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</si>
  <si>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</si>
  <si>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</si>
  <si>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</si>
  <si>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</si>
  <si>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</si>
  <si>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</si>
  <si>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</si>
  <si>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</si>
  <si>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</si>
  <si>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</si>
  <si>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</si>
  <si>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</si>
  <si>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</si>
  <si>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</si>
  <si>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</si>
  <si>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</si>
  <si>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</si>
  <si>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</si>
  <si>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</si>
  <si>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</si>
  <si>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</si>
  <si>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</si>
  <si>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</si>
  <si>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</si>
  <si>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</si>
  <si>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</si>
  <si>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</si>
  <si>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</si>
  <si>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</si>
  <si>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</si>
  <si>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</si>
  <si>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</si>
  <si>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</si>
  <si>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</si>
  <si>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</si>
  <si>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</si>
  <si>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</si>
  <si>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</si>
  <si>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</si>
  <si>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</si>
  <si>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</si>
  <si>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</si>
  <si>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</si>
  <si>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</si>
  <si>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</si>
  <si>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</si>
  <si>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</si>
  <si>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</si>
  <si>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</si>
  <si>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</si>
  <si>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</si>
  <si>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</si>
  <si>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</si>
  <si>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</si>
  <si>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</si>
  <si>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</si>
  <si>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</si>
  <si>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</si>
  <si>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</si>
  <si>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</si>
  <si>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</si>
  <si>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</si>
  <si>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</si>
  <si>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</si>
  <si>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</si>
  <si>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</si>
  <si>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</si>
  <si>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</si>
  <si>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</si>
  <si>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</si>
  <si>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</si>
  <si>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</si>
  <si>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</si>
  <si>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</si>
  <si>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</si>
  <si>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</si>
  <si>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</si>
  <si>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</si>
  <si>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</si>
  <si>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</si>
  <si>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</si>
  <si>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</si>
  <si>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</si>
  <si>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</si>
  <si>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</si>
  <si>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</si>
  <si>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</si>
  <si>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</si>
  <si>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</si>
  <si>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</si>
  <si>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</si>
  <si>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</si>
  <si>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</si>
  <si>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</si>
  <si>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</si>
  <si>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</si>
  <si>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</si>
  <si>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</si>
  <si>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</si>
  <si>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</si>
  <si>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</si>
  <si>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</si>
  <si>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</si>
  <si>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</si>
  <si>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</si>
  <si>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</si>
  <si>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</si>
  <si>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</si>
  <si>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</si>
  <si>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</si>
  <si>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</si>
  <si>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</si>
  <si>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</si>
  <si>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</si>
  <si>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</si>
  <si>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</si>
  <si>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</si>
  <si>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</si>
  <si>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</si>
  <si>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</si>
  <si>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</si>
  <si>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</si>
  <si>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</si>
  <si>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</si>
  <si>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</si>
  <si>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</si>
  <si>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</si>
  <si>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</si>
  <si>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</si>
  <si>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</si>
  <si>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</si>
  <si>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</si>
  <si>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</si>
  <si>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</si>
  <si>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</si>
  <si>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</si>
  <si>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</si>
  <si>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</si>
  <si>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</si>
  <si>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</si>
  <si>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</si>
  <si>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</si>
  <si>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</si>
  <si>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</si>
  <si>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</si>
  <si>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</si>
  <si>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</si>
  <si>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</si>
  <si>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</si>
  <si>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</si>
  <si>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</si>
  <si>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</si>
  <si>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</si>
  <si>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</si>
  <si>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</si>
  <si>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</si>
  <si>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</si>
  <si>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</si>
  <si>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</si>
  <si>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</si>
  <si>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</si>
  <si>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</si>
  <si>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</si>
  <si>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</si>
  <si>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</si>
  <si>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</si>
  <si>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</si>
  <si>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</si>
  <si>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</si>
  <si>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</si>
  <si>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</si>
  <si>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</si>
  <si>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</si>
  <si>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</si>
  <si>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</si>
  <si>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</si>
  <si>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</si>
  <si>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</si>
  <si>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</si>
  <si>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</si>
  <si>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</si>
  <si>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</si>
  <si>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</si>
  <si>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</si>
  <si>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</si>
  <si>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</si>
  <si>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</si>
  <si>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</si>
  <si>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</si>
  <si>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</si>
  <si>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</si>
  <si>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</si>
  <si>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</si>
  <si>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</si>
  <si>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</si>
  <si>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</si>
  <si>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</si>
  <si>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</si>
  <si>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</si>
  <si>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</si>
  <si>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</si>
  <si>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</si>
  <si>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</si>
  <si>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</si>
  <si>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</si>
  <si>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</si>
  <si>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</si>
  <si>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</si>
  <si>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</si>
  <si>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</si>
  <si>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</si>
  <si>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</si>
  <si>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</si>
  <si>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</si>
  <si>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</si>
  <si>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</si>
  <si>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</si>
  <si>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</si>
  <si>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</si>
  <si>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</si>
  <si>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</si>
  <si>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</si>
  <si>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</si>
  <si>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</si>
  <si>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</si>
  <si>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</si>
  <si>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</si>
  <si>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</si>
  <si>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</si>
  <si>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</si>
  <si>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</si>
  <si>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</si>
  <si>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</si>
  <si>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</si>
  <si>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</si>
  <si>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</si>
  <si>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</si>
  <si>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</si>
  <si>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</si>
  <si>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</si>
  <si>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</si>
  <si>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</si>
  <si>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</si>
  <si>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</si>
  <si>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</si>
  <si>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</si>
  <si>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</si>
  <si>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</si>
  <si>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</si>
  <si>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</si>
  <si>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</si>
  <si>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</si>
  <si>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</si>
  <si>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</si>
  <si>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</si>
  <si>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</si>
  <si>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</si>
  <si>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</si>
  <si>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</si>
  <si>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</si>
  <si>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</si>
  <si>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</si>
  <si>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</si>
  <si>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</si>
  <si>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</si>
  <si>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</si>
  <si>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</si>
  <si>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</si>
  <si>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</si>
  <si>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</si>
  <si>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</si>
  <si>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</si>
  <si>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</si>
  <si>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</si>
  <si>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</si>
  <si>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</si>
  <si>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</si>
  <si>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</si>
  <si>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</si>
  <si>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</si>
  <si>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</si>
  <si>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</si>
  <si>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</si>
  <si>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</si>
  <si>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</si>
  <si>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</si>
  <si>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</si>
  <si>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</si>
  <si>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</si>
  <si>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</si>
  <si>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</si>
  <si>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</si>
  <si>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</si>
  <si>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</si>
  <si>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</si>
  <si>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</si>
  <si>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</si>
  <si>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</si>
  <si>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</si>
  <si>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</si>
  <si>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</si>
  <si>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</si>
  <si>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</si>
  <si>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</si>
  <si>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</si>
  <si>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</si>
  <si>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</si>
  <si>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</si>
  <si>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</si>
  <si>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</si>
  <si>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</si>
  <si>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</si>
  <si>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</si>
  <si>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</si>
  <si>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</si>
  <si>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</si>
  <si>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</si>
  <si>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</si>
  <si>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</si>
  <si>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</si>
  <si>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</si>
  <si>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</si>
  <si>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</si>
  <si>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</si>
  <si>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</si>
  <si>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</si>
  <si>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</si>
  <si>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</si>
  <si>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</si>
  <si>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</si>
  <si>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</si>
  <si>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</si>
  <si>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</si>
  <si>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</si>
  <si>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</si>
  <si>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</si>
  <si>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</si>
  <si>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</si>
  <si>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</si>
  <si>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</si>
  <si>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</si>
  <si>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</si>
  <si>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</si>
  <si>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</si>
  <si>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</si>
  <si>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</si>
  <si>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</si>
  <si>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</si>
  <si>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</si>
  <si>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</si>
  <si>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</si>
  <si>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</si>
  <si>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</si>
  <si>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</si>
  <si>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</si>
  <si>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</si>
  <si>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</si>
  <si>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</si>
  <si>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</si>
  <si>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</si>
  <si>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</si>
  <si>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</si>
  <si>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</si>
  <si>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</si>
  <si>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</si>
  <si>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</si>
  <si>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</si>
  <si>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</si>
  <si>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</si>
  <si>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</si>
  <si>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</si>
  <si>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</si>
  <si>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</si>
  <si>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</si>
  <si>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</si>
  <si>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</si>
  <si>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</si>
  <si>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</si>
  <si>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</si>
  <si>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</si>
  <si>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</si>
  <si>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</si>
  <si>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</si>
  <si>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</si>
  <si>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</si>
  <si>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</si>
  <si>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</si>
  <si>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</si>
  <si>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</si>
  <si>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</si>
  <si>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</si>
  <si>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</si>
  <si>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</si>
  <si>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</si>
  <si>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</si>
  <si>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</si>
  <si>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</si>
  <si>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</si>
  <si>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</si>
  <si>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</si>
  <si>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</si>
  <si>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</si>
  <si>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</si>
  <si>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</si>
  <si>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</si>
  <si>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</si>
  <si>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</si>
  <si>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</si>
  <si>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</si>
  <si>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</si>
  <si>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</si>
  <si>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</si>
  <si>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</si>
  <si>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</si>
  <si>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</si>
  <si>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</si>
  <si>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</si>
  <si>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</si>
  <si>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</si>
  <si>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</si>
  <si>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</si>
  <si>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</si>
  <si>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</si>
  <si>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</si>
  <si>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</si>
  <si>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</si>
  <si>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</si>
  <si>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</si>
  <si>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</si>
  <si>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</si>
  <si>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</si>
  <si>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</si>
  <si>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</si>
  <si>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</si>
  <si>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</si>
  <si>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</si>
  <si>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</si>
  <si>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</si>
  <si>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</si>
  <si>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</si>
  <si>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</si>
  <si>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</si>
  <si>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</si>
  <si>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</si>
  <si>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</si>
  <si>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</si>
  <si>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</si>
  <si>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</si>
  <si>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</si>
  <si>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</si>
  <si>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</si>
  <si>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</si>
  <si>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</si>
  <si>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</si>
  <si>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</si>
  <si>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</si>
  <si>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</si>
  <si>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</si>
  <si>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</si>
  <si>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</si>
  <si>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</si>
  <si>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</si>
  <si>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</si>
  <si>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</si>
  <si>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</si>
  <si>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</si>
  <si>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</si>
  <si>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</si>
  <si>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</si>
  <si>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</si>
  <si>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</si>
  <si>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</si>
  <si>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</si>
  <si>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</si>
  <si>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</si>
  <si>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</si>
  <si>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</si>
  <si>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</si>
  <si>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</si>
  <si>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</si>
  <si>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</si>
  <si>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</si>
  <si>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</si>
  <si>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</si>
  <si>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</si>
  <si>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</si>
  <si>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</si>
  <si>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</si>
  <si>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</si>
  <si>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</si>
  <si>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</si>
  <si>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</si>
  <si>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</si>
  <si>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</si>
  <si>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</si>
  <si>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</si>
  <si>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</si>
  <si>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</si>
  <si>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</si>
  <si>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</si>
  <si>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</si>
  <si>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</si>
  <si>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</si>
  <si>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</si>
  <si>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</si>
  <si>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</si>
  <si>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</si>
  <si>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</si>
  <si>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</si>
  <si>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</si>
  <si>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</si>
  <si>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</si>
  <si>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</si>
  <si>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</si>
  <si>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</si>
  <si>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</si>
  <si>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</si>
  <si>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</si>
  <si>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</si>
  <si>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</si>
  <si>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</si>
  <si>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</si>
  <si>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</si>
  <si>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</si>
  <si>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</si>
  <si>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</si>
  <si>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</si>
  <si>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</si>
  <si>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</si>
  <si>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</si>
  <si>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</si>
  <si>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</si>
  <si>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</si>
  <si>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</si>
  <si>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</si>
  <si>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</si>
  <si>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</si>
  <si>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</si>
  <si>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</si>
  <si>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</si>
  <si>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</si>
  <si>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</si>
  <si>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</si>
  <si>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</si>
  <si>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</si>
  <si>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</si>
  <si>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</si>
  <si>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</si>
  <si>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</si>
  <si>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</si>
  <si>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</si>
  <si>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</si>
  <si>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</si>
  <si>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</si>
  <si>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</si>
  <si>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</si>
  <si>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</si>
  <si>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</si>
  <si>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</si>
  <si>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</si>
  <si>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</si>
  <si>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</si>
  <si>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</si>
  <si>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</si>
  <si>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</si>
  <si>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</si>
  <si>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</si>
  <si>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</si>
  <si>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</si>
  <si>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</si>
  <si>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</si>
  <si>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</si>
  <si>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</si>
  <si>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</si>
  <si>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</si>
  <si>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</si>
  <si>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</si>
  <si>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</si>
  <si>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</si>
  <si>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</si>
  <si>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</si>
  <si>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</si>
  <si>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</si>
  <si>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</si>
  <si>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</si>
  <si>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</si>
  <si>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</si>
  <si>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</si>
  <si>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</si>
  <si>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</si>
  <si>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</si>
  <si>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</si>
  <si>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</si>
  <si>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</si>
  <si>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</si>
  <si>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</si>
  <si>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</si>
  <si>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</si>
  <si>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</si>
  <si>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</si>
  <si>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</si>
  <si>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</si>
  <si>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</si>
  <si>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</si>
  <si>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</si>
  <si>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</si>
  <si>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</si>
  <si>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</si>
  <si>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</si>
  <si>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</si>
  <si>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</si>
  <si>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</si>
  <si>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</si>
  <si>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</si>
  <si>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</si>
  <si>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</si>
  <si>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</si>
  <si>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</si>
  <si>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</si>
  <si>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</si>
  <si>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</si>
  <si>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</si>
  <si>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</si>
  <si>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</si>
  <si>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</si>
  <si>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</si>
  <si>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</si>
  <si>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</si>
  <si>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</si>
  <si>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</si>
  <si>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</si>
  <si>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</si>
  <si>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</si>
  <si>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</si>
  <si>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</si>
  <si>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</si>
  <si>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</si>
  <si>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</si>
  <si>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</si>
  <si>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</si>
  <si>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</si>
  <si>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</si>
  <si>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</si>
  <si>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</si>
  <si>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</si>
  <si>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</si>
  <si>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</si>
  <si>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</si>
  <si>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</si>
  <si>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</si>
  <si>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</si>
  <si>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</si>
  <si>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</si>
  <si>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</si>
  <si>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</si>
  <si>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</si>
  <si>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</si>
  <si>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</si>
  <si>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</si>
  <si>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</si>
  <si>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</si>
  <si>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</si>
  <si>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</si>
  <si>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</si>
  <si>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</si>
  <si>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</si>
  <si>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</si>
  <si>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</si>
  <si>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</si>
  <si>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</si>
  <si>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</si>
  <si>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</si>
  <si>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</si>
  <si>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</si>
  <si>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</si>
  <si>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</si>
  <si>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</si>
  <si>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</si>
  <si>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</si>
  <si>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</si>
  <si>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</si>
  <si>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</si>
  <si>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</si>
  <si>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</si>
  <si>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</si>
  <si>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</si>
  <si>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</si>
  <si>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</si>
  <si>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</si>
  <si>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</si>
  <si>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</si>
  <si>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</si>
  <si>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</si>
  <si>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</si>
  <si>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</si>
  <si>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</si>
  <si>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</si>
  <si>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</si>
  <si>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</si>
  <si>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</si>
  <si>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</si>
  <si>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</si>
  <si>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</si>
  <si>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</si>
  <si>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</si>
  <si>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</si>
  <si>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</si>
  <si>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</si>
  <si>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</si>
  <si>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</si>
  <si>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</si>
  <si>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</si>
  <si>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</si>
  <si>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</si>
  <si>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</si>
  <si>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</si>
  <si>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</si>
  <si>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</si>
  <si>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</si>
  <si>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</si>
  <si>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</si>
  <si>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</si>
  <si>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</si>
  <si>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</si>
  <si>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</si>
  <si>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</si>
  <si>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</si>
  <si>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</si>
  <si>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</si>
  <si>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</si>
  <si>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</si>
  <si>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</si>
  <si>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</si>
  <si>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</si>
  <si>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</si>
  <si>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</si>
  <si>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</si>
  <si>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</si>
  <si>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</si>
  <si>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</si>
  <si>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</si>
  <si>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</si>
  <si>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</si>
  <si>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</si>
  <si>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</si>
  <si>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</si>
  <si>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</si>
  <si>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</si>
  <si>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</si>
  <si>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</si>
  <si>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</si>
  <si>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</si>
  <si>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</si>
  <si>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</si>
  <si>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</si>
  <si>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</si>
  <si>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</si>
  <si>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</si>
  <si>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</si>
  <si>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</si>
  <si>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</si>
  <si>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</si>
  <si>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</si>
  <si>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</si>
  <si>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</si>
  <si>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</si>
  <si>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</si>
  <si>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</si>
  <si>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</si>
  <si>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</si>
  <si>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</si>
  <si>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</si>
  <si>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</si>
  <si>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</si>
  <si>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</si>
  <si>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</si>
  <si>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</si>
  <si>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</si>
  <si>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</si>
  <si>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</si>
  <si>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</si>
  <si>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</si>
  <si>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</si>
  <si>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</si>
  <si>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</si>
  <si>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</si>
  <si>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</si>
  <si>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</si>
  <si>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</si>
  <si>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</si>
  <si>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</si>
  <si>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</si>
  <si>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</si>
  <si>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</si>
  <si>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</si>
  <si>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</si>
  <si>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</si>
  <si>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</si>
  <si>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</si>
  <si>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</si>
  <si>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</si>
  <si>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</si>
  <si>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</si>
  <si>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</si>
  <si>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</si>
  <si>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</si>
  <si>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</si>
  <si>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</si>
  <si>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</si>
  <si>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</si>
  <si>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</si>
  <si>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</si>
  <si>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</si>
  <si>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</si>
  <si>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</si>
  <si>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</si>
  <si>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</si>
  <si>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</si>
  <si>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</si>
  <si>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</si>
  <si>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</si>
  <si>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</si>
  <si>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</si>
  <si>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</si>
  <si>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</si>
  <si>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</si>
  <si>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</si>
  <si>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</si>
  <si>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</si>
  <si>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</si>
  <si>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</si>
  <si>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</si>
  <si>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</si>
  <si>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</si>
  <si>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</si>
  <si>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</si>
  <si>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</si>
  <si>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</si>
  <si>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</si>
  <si>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</si>
  <si>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</si>
  <si>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</si>
  <si>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</si>
  <si>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</si>
  <si>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</si>
  <si>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</si>
  <si>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</si>
  <si>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</si>
  <si>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</si>
  <si>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</si>
  <si>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</si>
  <si>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</si>
  <si>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</si>
  <si>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</si>
  <si>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</si>
  <si>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</si>
  <si>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</si>
  <si>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</si>
  <si>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</si>
  <si>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</si>
  <si>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</si>
  <si>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</si>
  <si>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</si>
  <si>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</si>
  <si>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</si>
  <si>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</si>
  <si>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</si>
  <si>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</si>
  <si>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</si>
  <si>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</si>
  <si>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</si>
  <si>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</si>
  <si>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</si>
  <si>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</si>
  <si>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</si>
  <si>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</si>
  <si>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</si>
  <si>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</si>
  <si>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</si>
  <si>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</si>
  <si>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</si>
  <si>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</si>
  <si>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</si>
  <si>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</si>
  <si>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</si>
  <si>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</si>
  <si>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</si>
  <si>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</si>
  <si>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</si>
  <si>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</si>
  <si>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</si>
  <si>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</si>
  <si>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</si>
  <si>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</si>
  <si>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</si>
  <si>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</si>
  <si>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</si>
  <si>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</si>
  <si>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</si>
  <si>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</si>
  <si>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</si>
  <si>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</si>
  <si>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</si>
  <si>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</si>
  <si>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</si>
  <si>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</si>
  <si>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</si>
  <si>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</si>
  <si>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</si>
  <si>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</si>
  <si>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</si>
  <si>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</si>
  <si>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</si>
  <si>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</si>
  <si>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</si>
  <si>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</si>
  <si>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</si>
  <si>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</si>
  <si>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</si>
  <si>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</si>
  <si>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</si>
  <si>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</si>
  <si>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</si>
  <si>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</si>
  <si>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</si>
  <si>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</si>
  <si>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</si>
  <si>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</si>
  <si>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</si>
  <si>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</si>
  <si>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</si>
  <si>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</si>
  <si>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</si>
  <si>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</si>
  <si>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</si>
  <si>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</si>
  <si>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</si>
  <si>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</si>
  <si>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</si>
  <si>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</si>
  <si>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</si>
  <si>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</si>
  <si>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</si>
  <si>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</si>
  <si>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</si>
  <si>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</si>
  <si>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</si>
  <si>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</si>
  <si>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</si>
  <si>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</si>
  <si>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</si>
  <si>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</si>
  <si>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</si>
  <si>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</si>
  <si>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</si>
  <si>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</si>
  <si>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</si>
  <si>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</si>
  <si>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</si>
  <si>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</si>
  <si>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</si>
  <si>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</si>
  <si>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</si>
  <si>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</si>
  <si>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</si>
  <si>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</si>
  <si>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</si>
  <si>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</si>
  <si>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</si>
  <si>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</si>
  <si>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</si>
  <si>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</si>
  <si>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</si>
  <si>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</si>
  <si>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</si>
  <si>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</si>
  <si>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</si>
  <si>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</si>
  <si>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</si>
  <si>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</si>
  <si>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</si>
  <si>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</si>
  <si>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</si>
  <si>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</si>
  <si>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</si>
  <si>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</si>
  <si>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</si>
  <si>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</si>
  <si>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</si>
  <si>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</si>
  <si>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</si>
  <si>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</si>
  <si>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</si>
  <si>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</si>
  <si>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</si>
  <si>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</si>
  <si>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</si>
  <si>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</si>
  <si>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</si>
  <si>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</si>
  <si>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</si>
  <si>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</si>
  <si>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</si>
  <si>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</si>
  <si>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</si>
  <si>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</si>
  <si>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</si>
  <si>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</si>
  <si>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</si>
  <si>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</si>
  <si>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</si>
  <si>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</si>
  <si>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</si>
  <si>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</si>
  <si>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</si>
  <si>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</si>
  <si>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</si>
  <si>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</si>
  <si>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</si>
  <si>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</si>
  <si>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</si>
  <si>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</si>
  <si>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</si>
  <si>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</si>
  <si>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</si>
  <si>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</si>
  <si>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</si>
  <si>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</si>
  <si>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</si>
  <si>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</si>
  <si>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</si>
  <si>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</si>
  <si>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</si>
  <si>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</si>
  <si>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</si>
  <si>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</si>
  <si>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</si>
  <si>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</si>
  <si>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</si>
  <si>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</si>
  <si>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</si>
  <si>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</si>
  <si>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</si>
  <si>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</si>
  <si>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</si>
  <si>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</si>
  <si>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</si>
  <si>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</si>
  <si>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</si>
  <si>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</si>
  <si>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</si>
  <si>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</si>
  <si>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</si>
  <si>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</si>
  <si>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</si>
  <si>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</si>
  <si>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</si>
  <si>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</si>
  <si>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</si>
  <si>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</si>
  <si>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</si>
  <si>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</si>
  <si>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</si>
  <si>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</si>
  <si>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</si>
  <si>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</si>
  <si>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</si>
  <si>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</si>
  <si>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</si>
  <si>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</si>
  <si>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</si>
  <si>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</si>
  <si>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</si>
  <si>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</si>
  <si>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</si>
  <si>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</si>
  <si>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</si>
  <si>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</si>
  <si>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</si>
  <si>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</si>
  <si>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</si>
  <si>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</si>
  <si>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</si>
  <si>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</si>
  <si>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</si>
  <si>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</si>
  <si>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</si>
  <si>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</si>
  <si>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</si>
  <si>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</si>
  <si>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</si>
  <si>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</si>
  <si>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</si>
  <si>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</si>
  <si>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</si>
  <si>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</si>
  <si>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</si>
  <si>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</si>
  <si>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</si>
  <si>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</si>
  <si>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</si>
  <si>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</si>
  <si>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</si>
  <si>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</si>
  <si>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</si>
  <si>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</si>
  <si>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</si>
  <si>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</si>
  <si>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</si>
  <si>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</si>
  <si>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</si>
  <si>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</si>
  <si>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</si>
  <si>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</si>
  <si>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</si>
  <si>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</si>
  <si>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</si>
  <si>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</si>
  <si>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</si>
  <si>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</si>
  <si>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</si>
  <si>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</si>
  <si>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</si>
  <si>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</si>
  <si>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</si>
  <si>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</si>
  <si>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</si>
  <si>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</si>
  <si>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</si>
  <si>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</si>
  <si>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</si>
  <si>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</si>
  <si>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</si>
  <si>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</si>
  <si>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</si>
  <si>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</si>
  <si>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</si>
  <si>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</si>
  <si>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</si>
  <si>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</si>
  <si>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</si>
  <si>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</si>
  <si>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</si>
  <si>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</si>
  <si>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</si>
  <si>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</si>
  <si>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</si>
  <si>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</si>
  <si>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</si>
  <si>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</si>
  <si>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</si>
  <si>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</si>
  <si>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</si>
  <si>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</si>
  <si>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</si>
  <si>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</si>
  <si>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</si>
  <si>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</si>
  <si>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</si>
  <si>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</si>
  <si>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</si>
  <si>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</si>
  <si>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</si>
  <si>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</si>
  <si>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</si>
  <si>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</si>
  <si>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</si>
  <si>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</si>
  <si>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</si>
  <si>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</si>
  <si>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</si>
  <si>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</si>
  <si>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</si>
  <si>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</si>
  <si>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</si>
  <si>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</si>
  <si>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</si>
  <si>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</si>
  <si>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</si>
  <si>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</si>
  <si>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</si>
  <si>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</si>
  <si>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</si>
  <si>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</si>
  <si>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</si>
  <si>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</si>
  <si>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</si>
  <si>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</si>
  <si>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</si>
  <si>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</si>
  <si>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</si>
  <si>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</si>
  <si>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</si>
  <si>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</si>
  <si>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</si>
  <si>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</si>
  <si>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</si>
  <si>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</si>
  <si>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</si>
  <si>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</si>
  <si>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</si>
  <si>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</si>
  <si>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</si>
  <si>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</si>
  <si>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</si>
  <si>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</si>
  <si>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</si>
  <si>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</si>
  <si>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</si>
  <si>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</si>
  <si>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</si>
  <si>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</si>
  <si>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</si>
  <si>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</si>
  <si>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</si>
  <si>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</si>
  <si>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</si>
  <si>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</si>
  <si>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</si>
  <si>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</si>
  <si>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</si>
  <si>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</si>
  <si>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</si>
  <si>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</si>
  <si>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</si>
  <si>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</si>
  <si>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</si>
  <si>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</si>
  <si>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</si>
  <si>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</si>
  <si>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</si>
  <si>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</si>
  <si>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</si>
  <si>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</si>
  <si>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</si>
  <si>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</si>
  <si>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</si>
  <si>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</si>
  <si>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</si>
  <si>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</si>
  <si>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</si>
  <si>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</si>
  <si>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</si>
  <si>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</si>
  <si>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</si>
  <si>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</si>
  <si>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</si>
  <si>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</si>
  <si>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</si>
  <si>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</si>
  <si>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</si>
  <si>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</si>
  <si>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</si>
  <si>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</si>
  <si>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</si>
  <si>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</si>
  <si>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</si>
  <si>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</si>
  <si>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</si>
  <si>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</si>
  <si>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</si>
  <si>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</si>
  <si>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</si>
  <si>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</si>
  <si>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</si>
  <si>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</si>
  <si>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</si>
  <si>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</si>
  <si>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</si>
  <si>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</si>
  <si>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</si>
  <si>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</si>
  <si>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</si>
  <si>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</si>
  <si>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</si>
  <si>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</si>
  <si>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</si>
  <si>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</si>
  <si>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</si>
  <si>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</si>
  <si>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</si>
  <si>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</si>
  <si>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</si>
  <si>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</si>
  <si>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</si>
  <si>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</si>
  <si>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</si>
  <si>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</si>
  <si>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</si>
  <si>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</si>
  <si>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</si>
  <si>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</si>
  <si>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</si>
  <si>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</si>
  <si>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</si>
  <si>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</si>
  <si>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</si>
  <si>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</si>
  <si>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</si>
  <si>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</si>
  <si>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</si>
  <si>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</si>
  <si>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</si>
  <si>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</si>
  <si>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</si>
  <si>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</si>
  <si>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</si>
  <si>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</si>
  <si>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</si>
  <si>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</si>
  <si>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</si>
  <si>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</si>
  <si>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</si>
  <si>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</si>
  <si>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</si>
  <si>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</si>
  <si>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</si>
  <si>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</si>
  <si>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</si>
  <si>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</si>
  <si>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</si>
  <si>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</si>
  <si>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</si>
  <si>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</si>
  <si>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</si>
  <si>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</si>
  <si>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</si>
  <si>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</si>
  <si>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</si>
  <si>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</si>
  <si>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</si>
  <si>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</si>
  <si>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</si>
  <si>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</si>
  <si>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</si>
  <si>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</si>
  <si>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</si>
  <si>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</si>
  <si>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</si>
  <si>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</si>
  <si>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</si>
  <si>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</si>
  <si>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</si>
  <si>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</si>
  <si>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</si>
  <si>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</si>
  <si>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</si>
  <si>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</si>
  <si>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</si>
  <si>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</si>
  <si>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</si>
  <si>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</si>
  <si>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</si>
  <si>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</si>
  <si>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</si>
  <si>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</si>
  <si>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</si>
  <si>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</si>
  <si>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</si>
  <si>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</si>
  <si>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</si>
  <si>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</si>
  <si>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</si>
  <si>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</si>
  <si>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</si>
  <si>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</si>
  <si>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</si>
  <si>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</si>
  <si>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</si>
  <si>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</si>
  <si>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</si>
  <si>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</si>
  <si>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</si>
  <si>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</si>
  <si>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</si>
  <si>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</si>
  <si>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</si>
  <si>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</si>
  <si>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</si>
  <si>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</si>
  <si>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</si>
  <si>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</si>
  <si>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</si>
  <si>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</si>
  <si>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</si>
  <si>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</si>
  <si>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</si>
  <si>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</si>
  <si>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</si>
  <si>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</si>
  <si>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</si>
  <si>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</si>
  <si>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</si>
  <si>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</si>
  <si>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</si>
  <si>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</si>
  <si>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</si>
  <si>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</si>
  <si>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</si>
  <si>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</si>
  <si>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</si>
  <si>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</si>
  <si>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</si>
  <si>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</si>
  <si>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</si>
  <si>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</si>
  <si>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</si>
  <si>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</si>
  <si>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</si>
  <si>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</si>
  <si>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</si>
  <si>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</si>
  <si>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</si>
  <si>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</si>
  <si>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</si>
  <si>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</si>
  <si>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</si>
  <si>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</si>
  <si>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</si>
  <si>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</si>
  <si>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</si>
  <si>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</si>
  <si>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</si>
  <si>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</si>
  <si>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</si>
  <si>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</si>
  <si>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</si>
  <si>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</si>
  <si>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</si>
  <si>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</si>
  <si>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</si>
  <si>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</si>
  <si>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</si>
  <si>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</si>
  <si>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</si>
  <si>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</si>
  <si>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</si>
  <si>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</si>
  <si>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</si>
  <si>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</si>
  <si>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</si>
  <si>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</si>
  <si>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</si>
  <si>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</si>
  <si>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</si>
  <si>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</si>
  <si>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</si>
  <si>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</si>
  <si>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</si>
  <si>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</si>
  <si>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</si>
  <si>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</si>
  <si>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</si>
  <si>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</si>
  <si>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</si>
  <si>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</si>
  <si>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</si>
  <si>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</si>
  <si>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</si>
  <si>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</si>
  <si>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</si>
  <si>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</si>
  <si>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</si>
  <si>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</si>
  <si>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</si>
  <si>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</si>
  <si>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</si>
  <si>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</si>
  <si>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</si>
  <si>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</si>
  <si>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</si>
  <si>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</si>
  <si>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</si>
  <si>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</si>
  <si>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</si>
  <si>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</si>
  <si>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</si>
  <si>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</si>
  <si>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</si>
  <si>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</si>
  <si>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</si>
  <si>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</si>
  <si>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</si>
  <si>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</si>
  <si>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</si>
  <si>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</si>
  <si>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</si>
  <si>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</si>
  <si>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</si>
  <si>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</si>
  <si>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</si>
  <si>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</si>
  <si>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</si>
  <si>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</si>
  <si>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</si>
  <si>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</si>
  <si>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</si>
  <si>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</si>
  <si>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</si>
  <si>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</si>
  <si>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</si>
  <si>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</si>
  <si>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</si>
  <si>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</si>
  <si>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</si>
  <si>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</si>
  <si>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</si>
  <si>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</si>
  <si>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</si>
  <si>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</si>
  <si>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</si>
  <si>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</si>
  <si>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</si>
  <si>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</si>
  <si>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</si>
  <si>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</si>
  <si>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</si>
  <si>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</si>
  <si>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</si>
  <si>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</si>
  <si>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</si>
  <si>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</si>
  <si>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</si>
  <si>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</si>
  <si>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</si>
  <si>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</si>
  <si>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</si>
  <si>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</si>
  <si>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</si>
  <si>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</si>
  <si>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</si>
  <si>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</si>
  <si>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</si>
  <si>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</si>
  <si>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</si>
  <si>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</si>
  <si>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</si>
  <si>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</si>
  <si>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</si>
  <si>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</si>
  <si>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</si>
  <si>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</si>
  <si>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</si>
  <si>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</si>
  <si>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</si>
  <si>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</si>
  <si>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</si>
  <si>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</si>
  <si>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</si>
  <si>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</si>
  <si>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</si>
  <si>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</si>
  <si>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</si>
  <si>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</si>
  <si>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</si>
  <si>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</si>
  <si>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</si>
  <si>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</si>
  <si>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</si>
  <si>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</si>
  <si>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</si>
  <si>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</si>
  <si>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</si>
  <si>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</si>
  <si>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</si>
  <si>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</si>
  <si>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</si>
  <si>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</si>
  <si>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</si>
  <si>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</si>
  <si>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</si>
  <si>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</si>
  <si>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</si>
  <si>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</si>
  <si>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</si>
  <si>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</si>
  <si>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</si>
  <si>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</si>
  <si>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</si>
  <si>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</si>
  <si>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</si>
  <si>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</si>
  <si>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</si>
  <si>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</si>
  <si>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</si>
  <si>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</si>
  <si>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</si>
  <si>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</si>
  <si>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</si>
  <si>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</si>
  <si>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</si>
  <si>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</si>
  <si>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</si>
  <si>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</si>
  <si>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</si>
  <si>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</si>
  <si>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</si>
  <si>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</si>
  <si>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</si>
  <si>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</si>
  <si>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</si>
  <si>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</si>
  <si>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</si>
  <si>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</si>
  <si>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</si>
  <si>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</si>
  <si>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</si>
  <si>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</si>
  <si>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</si>
  <si>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</si>
  <si>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</si>
  <si>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</si>
  <si>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</si>
  <si>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</si>
  <si>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</si>
  <si>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</si>
  <si>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</si>
  <si>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</si>
  <si>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</si>
  <si>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</si>
  <si>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</si>
  <si>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</si>
  <si>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</si>
  <si>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</si>
  <si>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</si>
  <si>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</si>
  <si>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</si>
  <si>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</si>
  <si>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</si>
  <si>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</si>
  <si>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</si>
  <si>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</si>
  <si>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</si>
  <si>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</si>
  <si>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</si>
  <si>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</si>
  <si>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</si>
  <si>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</si>
  <si>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</si>
  <si>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</si>
  <si>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</si>
  <si>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</si>
  <si>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</si>
  <si>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</si>
  <si>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</si>
  <si>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</si>
  <si>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</si>
  <si>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</si>
  <si>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</si>
  <si>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</si>
  <si>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</si>
  <si>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</si>
  <si>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</si>
  <si>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</si>
  <si>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</si>
  <si>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</si>
  <si>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</si>
  <si>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</si>
  <si>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</si>
  <si>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</si>
  <si>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</si>
  <si>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</si>
  <si>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</si>
  <si>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</si>
  <si>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</si>
  <si>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</si>
  <si>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</si>
  <si>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</si>
  <si>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</si>
  <si>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</si>
  <si>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</si>
  <si>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</si>
  <si>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</si>
  <si>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</si>
  <si>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</si>
  <si>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</si>
  <si>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</si>
  <si>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</si>
  <si>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</si>
  <si>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</si>
  <si>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</si>
  <si>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</si>
  <si>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</si>
  <si>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</si>
  <si>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</si>
  <si>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</si>
  <si>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</si>
  <si>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</si>
  <si>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</si>
  <si>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</si>
  <si>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</si>
  <si>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</si>
  <si>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</si>
  <si>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</si>
  <si>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</si>
  <si>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</si>
  <si>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</si>
  <si>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</si>
  <si>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</si>
  <si>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</si>
  <si>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</si>
  <si>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</si>
  <si>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</si>
  <si>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</si>
  <si>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</si>
  <si>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</si>
  <si>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</si>
  <si>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</si>
  <si>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</si>
  <si>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</si>
  <si>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</si>
  <si>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</si>
  <si>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</si>
  <si>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</si>
  <si>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</si>
  <si>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</si>
  <si>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</si>
  <si>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</si>
  <si>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</si>
  <si>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</si>
  <si>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</si>
  <si>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</si>
  <si>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</si>
  <si>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</si>
  <si>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</si>
  <si>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</si>
  <si>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</si>
  <si>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</si>
  <si>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</si>
  <si>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</si>
  <si>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</si>
  <si>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</si>
  <si>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</si>
  <si>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</si>
  <si>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</si>
  <si>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</si>
  <si>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</si>
  <si>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</si>
  <si>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</si>
  <si>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</si>
  <si>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</si>
  <si>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</si>
  <si>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</si>
  <si>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</si>
  <si>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</si>
  <si>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</si>
  <si>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</si>
  <si>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</si>
  <si>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</si>
  <si>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</si>
  <si>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</si>
  <si>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</si>
  <si>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</si>
  <si>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</si>
  <si>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</si>
  <si>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</si>
  <si>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</si>
  <si>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</si>
  <si>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</si>
  <si>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</si>
  <si>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</si>
  <si>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</si>
  <si>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</si>
  <si>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</si>
  <si>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</si>
  <si>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</si>
  <si>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</si>
  <si>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</si>
  <si>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</si>
  <si>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</si>
  <si>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</si>
  <si>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</si>
  <si>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</si>
  <si>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</si>
  <si>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</si>
  <si>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</si>
  <si>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</si>
  <si>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</si>
  <si>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</si>
  <si>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</si>
  <si>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</si>
  <si>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</si>
  <si>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</si>
  <si>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</si>
  <si>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</si>
  <si>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</si>
  <si>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</si>
  <si>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</si>
  <si>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</si>
  <si>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</si>
  <si>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</si>
  <si>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</si>
  <si>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</si>
  <si>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</si>
  <si>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</si>
  <si>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</si>
  <si>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</si>
  <si>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</si>
  <si>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</si>
  <si>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</si>
  <si>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</si>
  <si>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</si>
  <si>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</si>
  <si>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</si>
  <si>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</si>
  <si>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</si>
  <si>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</si>
  <si>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</si>
  <si>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</si>
  <si>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</si>
  <si>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</si>
  <si>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</si>
  <si>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</si>
  <si>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</si>
  <si>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</si>
  <si>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</si>
  <si>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</si>
  <si>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</si>
  <si>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</si>
  <si>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</si>
  <si>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</si>
  <si>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</si>
  <si>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</si>
  <si>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</si>
  <si>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</si>
  <si>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</si>
  <si>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</si>
  <si>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</si>
  <si>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</si>
  <si>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</si>
  <si>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</si>
  <si>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</si>
  <si>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</si>
  <si>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</si>
  <si>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</si>
  <si>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</si>
  <si>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</si>
  <si>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</si>
  <si>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</si>
  <si>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</si>
  <si>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</si>
  <si>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</si>
  <si>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</si>
  <si>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</si>
  <si>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</si>
  <si>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</si>
  <si>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</si>
  <si>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</si>
  <si>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</si>
  <si>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</si>
  <si>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</si>
  <si>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</si>
  <si>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</si>
  <si>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</si>
  <si>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</si>
  <si>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</si>
  <si>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</si>
  <si>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</si>
  <si>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</si>
  <si>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</si>
  <si>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</si>
  <si>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</si>
  <si>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</si>
  <si>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</si>
  <si>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</si>
  <si>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</si>
  <si>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</si>
  <si>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</si>
  <si>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</si>
  <si>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</si>
  <si>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</si>
  <si>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</si>
  <si>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</si>
  <si>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</si>
  <si>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</si>
  <si>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</si>
  <si>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</si>
  <si>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</si>
  <si>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</si>
  <si>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</si>
  <si>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</si>
  <si>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</si>
  <si>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</si>
  <si>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</si>
  <si>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</si>
  <si>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</si>
  <si>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</si>
  <si>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</si>
  <si>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</si>
  <si>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</si>
  <si>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</si>
  <si>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</si>
  <si>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</si>
  <si>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</si>
  <si>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</si>
  <si>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</si>
  <si>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</si>
  <si>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</si>
  <si>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</si>
  <si>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</si>
  <si>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</si>
  <si>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</si>
  <si>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</si>
  <si>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</si>
  <si>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</si>
  <si>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</si>
  <si>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</si>
  <si>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</si>
  <si>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</si>
  <si>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</si>
  <si>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</si>
  <si>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</si>
  <si>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</si>
  <si>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</si>
  <si>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</si>
  <si>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</si>
  <si>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</si>
  <si>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</si>
  <si>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</si>
  <si>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</si>
  <si>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</si>
  <si>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</si>
  <si>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</si>
  <si>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</si>
  <si>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</si>
  <si>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</si>
  <si>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</si>
  <si>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</si>
  <si>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</si>
  <si>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</si>
  <si>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</si>
  <si>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</si>
  <si>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</si>
  <si>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</si>
  <si>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</si>
  <si>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</si>
  <si>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</si>
  <si>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</si>
  <si>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</si>
  <si>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</si>
  <si>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</si>
  <si>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</si>
  <si>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</si>
  <si>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</si>
  <si>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</si>
  <si>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</si>
  <si>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</si>
  <si>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</si>
  <si>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</si>
  <si>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</si>
  <si>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</si>
  <si>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</si>
  <si>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</si>
  <si>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</si>
  <si>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</si>
  <si>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</si>
  <si>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</si>
  <si>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</si>
  <si>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</si>
  <si>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</si>
  <si>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</si>
  <si>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</si>
  <si>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</si>
  <si>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</si>
  <si>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</si>
  <si>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</si>
  <si>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</si>
  <si>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</si>
  <si>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</si>
  <si>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</si>
  <si>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</si>
  <si>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</si>
  <si>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</si>
  <si>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</si>
  <si>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</si>
  <si>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</si>
  <si>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</si>
  <si>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</si>
  <si>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</si>
  <si>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</si>
  <si>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</si>
  <si>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</si>
  <si>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</si>
  <si>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</si>
  <si>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</si>
  <si>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</si>
  <si>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</si>
  <si>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</si>
  <si>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</si>
  <si>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</si>
  <si>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</si>
  <si>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</si>
  <si>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</si>
  <si>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</si>
  <si>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</si>
  <si>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</si>
  <si>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</si>
  <si>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</si>
  <si>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</si>
  <si>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</si>
  <si>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</si>
  <si>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</si>
  <si>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</si>
  <si>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</si>
  <si>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</si>
  <si>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</si>
  <si>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</si>
  <si>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</si>
  <si>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</si>
  <si>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</si>
  <si>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</si>
  <si>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</si>
  <si>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</si>
  <si>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</si>
  <si>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</si>
  <si>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</si>
  <si>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</si>
  <si>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</si>
  <si>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</si>
  <si>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</si>
  <si>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</si>
  <si>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</si>
  <si>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</si>
  <si>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</si>
  <si>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</si>
  <si>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</si>
  <si>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</si>
  <si>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</si>
  <si>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</si>
  <si>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</si>
  <si>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</si>
  <si>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</si>
  <si>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</si>
  <si>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</si>
  <si>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</si>
  <si>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</si>
  <si>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</si>
  <si>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</si>
  <si>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</si>
  <si>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</si>
  <si>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</si>
  <si>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</si>
  <si>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</si>
  <si>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</si>
  <si>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</si>
  <si>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</si>
  <si>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</si>
  <si>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</si>
  <si>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</si>
  <si>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</si>
  <si>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</si>
  <si>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</si>
  <si>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</si>
  <si>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</si>
  <si>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</si>
  <si>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</si>
  <si>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</si>
  <si>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</si>
  <si>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</si>
  <si>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</si>
  <si>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</si>
  <si>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</si>
  <si>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</si>
  <si>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</si>
  <si>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</si>
  <si>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</si>
  <si>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</si>
  <si>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</si>
  <si>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</si>
  <si>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</si>
  <si>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</si>
  <si>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</si>
  <si>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</si>
  <si>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</si>
  <si>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</si>
  <si>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</si>
  <si>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</si>
  <si>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</si>
  <si>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</si>
  <si>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</si>
  <si>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</si>
  <si>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</si>
  <si>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</si>
  <si>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</si>
  <si>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</si>
  <si>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</si>
  <si>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</si>
  <si>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</si>
  <si>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</si>
  <si>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</si>
  <si>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</si>
  <si>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</si>
  <si>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</si>
  <si>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</si>
  <si>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</si>
  <si>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</si>
  <si>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</si>
  <si>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</si>
  <si>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</si>
  <si>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</si>
  <si>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</si>
  <si>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</si>
  <si>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</si>
  <si>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</si>
  <si>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</si>
  <si>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</si>
  <si>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</si>
  <si>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</si>
  <si>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</si>
  <si>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</si>
  <si>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</si>
  <si>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</si>
  <si>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</si>
  <si>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</si>
  <si>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</si>
  <si>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</si>
  <si>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</si>
  <si>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</si>
  <si>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</si>
  <si>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</si>
  <si>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</si>
  <si>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</si>
  <si>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</si>
  <si>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</si>
  <si>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</si>
  <si>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</si>
  <si>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</si>
  <si>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</si>
  <si>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</si>
  <si>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</si>
  <si>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</si>
  <si>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</si>
  <si>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</si>
  <si>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</si>
  <si>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</si>
  <si>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</si>
  <si>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</si>
  <si>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</si>
  <si>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</si>
  <si>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</si>
  <si>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</si>
  <si>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</si>
  <si>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</si>
  <si>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</si>
  <si>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</si>
  <si>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</si>
  <si>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</si>
  <si>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</si>
  <si>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</si>
  <si>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</si>
  <si>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</si>
  <si>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</si>
  <si>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</si>
  <si>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</si>
  <si>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</si>
  <si>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</si>
  <si>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</si>
  <si>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</si>
  <si>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</si>
  <si>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</si>
  <si>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</si>
  <si>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</si>
  <si>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</si>
  <si>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</si>
  <si>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</si>
  <si>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</si>
  <si>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</si>
  <si>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</si>
  <si>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</si>
  <si>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</si>
  <si>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</si>
  <si>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</si>
  <si>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</si>
  <si>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</si>
  <si>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</si>
  <si>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</si>
  <si>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</si>
  <si>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</si>
  <si>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</si>
  <si>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</si>
  <si>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</si>
  <si>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</si>
  <si>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</si>
  <si>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</si>
  <si>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</si>
  <si>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</si>
  <si>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</si>
  <si>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</si>
  <si>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</si>
  <si>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</si>
  <si>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</si>
  <si>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</si>
  <si>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</si>
  <si>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</si>
  <si>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</si>
  <si>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</si>
  <si>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</si>
  <si>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</si>
  <si>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</si>
  <si>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</si>
  <si>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</si>
  <si>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</si>
  <si>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</si>
  <si>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</si>
  <si>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</si>
  <si>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</si>
  <si>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</si>
  <si>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</si>
  <si>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</si>
  <si>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</si>
  <si>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</si>
  <si>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</si>
  <si>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</si>
  <si>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</si>
  <si>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</si>
  <si>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</si>
  <si>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</si>
  <si>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</si>
  <si>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</si>
  <si>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</si>
  <si>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</si>
  <si>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</si>
  <si>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</si>
  <si>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</si>
  <si>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</si>
  <si>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</si>
  <si>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</si>
  <si>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</si>
  <si>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</si>
  <si>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</si>
  <si>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</si>
  <si>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</si>
  <si>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</si>
  <si>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</si>
  <si>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</si>
  <si>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</si>
  <si>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</si>
  <si>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</si>
  <si>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</si>
  <si>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</si>
  <si>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</si>
  <si>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</si>
  <si>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</si>
  <si>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</si>
  <si>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</si>
  <si>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</si>
  <si>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</si>
  <si>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</si>
  <si>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</si>
  <si>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</si>
  <si>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</si>
  <si>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</si>
  <si>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</si>
  <si>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</si>
  <si>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</si>
  <si>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</si>
  <si>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</si>
  <si>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</si>
  <si>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</si>
  <si>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</si>
  <si>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</si>
  <si>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</si>
  <si>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</si>
  <si>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</si>
  <si>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</si>
  <si>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</si>
  <si>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</si>
  <si>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</si>
  <si>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</si>
  <si>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</si>
  <si>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</si>
  <si>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</si>
  <si>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</si>
  <si>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</si>
  <si>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</si>
  <si>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</si>
  <si>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</si>
  <si>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</si>
  <si>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</si>
  <si>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</si>
  <si>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</si>
  <si>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</si>
  <si>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</si>
  <si>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</si>
  <si>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</si>
  <si>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</si>
  <si>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</si>
  <si>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</si>
  <si>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</si>
  <si>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</si>
  <si>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</si>
  <si>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</si>
  <si>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</si>
  <si>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</si>
  <si>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</si>
  <si>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</si>
  <si>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</si>
  <si>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</si>
  <si>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</si>
  <si>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</si>
  <si>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</si>
  <si>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</si>
  <si>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</si>
  <si>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</si>
  <si>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</si>
  <si>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</si>
  <si>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</si>
  <si>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</si>
  <si>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</si>
  <si>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</si>
  <si>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</si>
  <si>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</si>
  <si>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</si>
  <si>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</si>
  <si>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</si>
  <si>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</si>
  <si>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</si>
  <si>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</si>
  <si>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</si>
  <si>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</si>
  <si>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</si>
  <si>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</si>
  <si>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</si>
  <si>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</si>
  <si>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</si>
  <si>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</si>
  <si>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</si>
  <si>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</si>
  <si>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</si>
  <si>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</si>
  <si>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</si>
  <si>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</si>
  <si>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</si>
  <si>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</si>
  <si>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</si>
  <si>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</si>
  <si>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</si>
  <si>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</si>
  <si>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</si>
  <si>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</si>
  <si>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</si>
  <si>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</si>
  <si>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</si>
  <si>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</si>
  <si>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</si>
  <si>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</si>
  <si>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</si>
  <si>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</si>
  <si>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</si>
  <si>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</si>
  <si>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</si>
  <si>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</si>
  <si>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</si>
  <si>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</si>
  <si>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</si>
  <si>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</si>
  <si>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</si>
  <si>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</si>
  <si>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</si>
  <si>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</si>
  <si>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</si>
  <si>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</si>
  <si>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</si>
  <si>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</si>
  <si>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</si>
  <si>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</si>
  <si>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</si>
  <si>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</si>
  <si>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</si>
  <si>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</si>
  <si>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</si>
  <si>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</si>
  <si>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</si>
  <si>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</si>
  <si>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</si>
  <si>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</si>
  <si>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</si>
  <si>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</si>
  <si>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</si>
  <si>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</si>
  <si>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</si>
  <si>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</si>
  <si>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</si>
  <si>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</si>
  <si>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</si>
  <si>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</si>
  <si>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</si>
  <si>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</si>
  <si>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</si>
  <si>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</si>
  <si>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</si>
  <si>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</si>
  <si>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</si>
  <si>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</si>
  <si>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</si>
  <si>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</si>
  <si>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</si>
  <si>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</si>
  <si>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</si>
  <si>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</si>
  <si>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</si>
  <si>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</si>
  <si>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</si>
  <si>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</si>
  <si>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</si>
  <si>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</si>
  <si>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</si>
  <si>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</si>
  <si>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</si>
  <si>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</si>
  <si>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</si>
  <si>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</si>
  <si>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</si>
  <si>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</si>
  <si>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</si>
  <si>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</si>
  <si>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</si>
  <si>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</si>
  <si>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</si>
  <si>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</si>
  <si>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</si>
  <si>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</si>
  <si>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</si>
  <si>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</si>
  <si>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</si>
  <si>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</si>
  <si>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</si>
  <si>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</si>
  <si>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</si>
  <si>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</si>
  <si>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</si>
  <si>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</si>
  <si>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</si>
  <si>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</si>
  <si>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</si>
  <si>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</si>
  <si>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</si>
  <si>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</si>
  <si>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</si>
  <si>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</si>
  <si>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</si>
  <si>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</si>
  <si>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</si>
  <si>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</si>
  <si>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</si>
  <si>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</si>
  <si>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</si>
  <si>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</si>
  <si>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</si>
  <si>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</si>
  <si>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</si>
  <si>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</si>
  <si>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</si>
  <si>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</si>
  <si>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</si>
  <si>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</si>
  <si>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</si>
  <si>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</si>
  <si>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</si>
  <si>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</si>
  <si>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</si>
  <si>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</si>
  <si>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</si>
  <si>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</si>
  <si>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</si>
  <si>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</si>
  <si>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</si>
  <si>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</si>
  <si>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</si>
  <si>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</si>
  <si>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</si>
  <si>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</si>
  <si>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</si>
  <si>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</si>
  <si>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</si>
  <si>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</si>
  <si>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</si>
  <si>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</si>
  <si>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</si>
  <si>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</si>
  <si>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</si>
  <si>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</si>
  <si>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</si>
  <si>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</si>
  <si>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</si>
  <si>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</si>
  <si>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</si>
  <si>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</si>
  <si>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</si>
  <si>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</si>
  <si>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</si>
  <si>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</si>
  <si>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</si>
  <si>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</si>
  <si>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</si>
  <si>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</si>
  <si>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</si>
  <si>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</si>
  <si>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</si>
  <si>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</si>
  <si>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</si>
  <si>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</si>
  <si>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</si>
  <si>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</si>
  <si>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</si>
  <si>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</si>
  <si>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</si>
  <si>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</si>
  <si>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</si>
  <si>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</si>
  <si>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</si>
  <si>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</si>
  <si>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</si>
  <si>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</si>
  <si>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</si>
  <si>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</si>
  <si>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</si>
  <si>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</si>
  <si>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</si>
  <si>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</si>
  <si>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</si>
  <si>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</si>
  <si>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</si>
  <si>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</si>
  <si>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</si>
  <si>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</si>
  <si>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</si>
  <si>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</si>
  <si>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</si>
  <si>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</si>
  <si>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</si>
  <si>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</si>
  <si>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</si>
  <si>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</si>
  <si>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</si>
  <si>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</si>
  <si>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</si>
  <si>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</si>
  <si>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</si>
  <si>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</si>
  <si>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</si>
  <si>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</si>
  <si>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</si>
  <si>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</si>
  <si>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</si>
  <si>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</si>
  <si>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</si>
  <si>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</si>
  <si>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</si>
  <si>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</si>
  <si>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</si>
  <si>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</si>
  <si>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</si>
  <si>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</si>
  <si>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</si>
  <si>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</si>
  <si>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</si>
  <si>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</si>
  <si>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</si>
  <si>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</si>
  <si>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</si>
  <si>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</si>
  <si>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</si>
  <si>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</si>
  <si>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</si>
  <si>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</si>
  <si>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</si>
  <si>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</si>
  <si>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</si>
  <si>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</si>
  <si>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</si>
  <si>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</si>
  <si>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</si>
  <si>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</si>
  <si>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</si>
  <si>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</si>
  <si>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</si>
  <si>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</si>
  <si>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</si>
  <si>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</si>
  <si>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</si>
  <si>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</si>
  <si>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</si>
  <si>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</si>
  <si>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</si>
  <si>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</si>
  <si>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</si>
  <si>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</si>
  <si>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</si>
  <si>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</si>
  <si>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</si>
  <si>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</si>
  <si>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</si>
  <si>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</si>
  <si>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</si>
  <si>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</si>
  <si>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</si>
  <si>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</si>
  <si>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</si>
  <si>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</si>
  <si>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</si>
  <si>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</si>
  <si>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</si>
  <si>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</si>
  <si>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</si>
  <si>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</si>
  <si>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</si>
  <si>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</si>
  <si>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</si>
  <si>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</si>
  <si>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</si>
  <si>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</si>
  <si>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</si>
  <si>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</si>
  <si>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</si>
  <si>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</si>
  <si>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</si>
  <si>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</si>
  <si>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</si>
  <si>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</si>
  <si>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</si>
  <si>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</si>
  <si>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</si>
  <si>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</si>
  <si>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</si>
  <si>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</si>
  <si>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</si>
  <si>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</si>
  <si>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</si>
  <si>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</si>
  <si>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</si>
  <si>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</si>
  <si>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</si>
  <si>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</si>
  <si>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</si>
  <si>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</si>
  <si>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</si>
  <si>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</si>
  <si>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</si>
  <si>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</si>
  <si>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</si>
  <si>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</si>
  <si>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</si>
  <si>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</si>
  <si>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</si>
  <si>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</si>
  <si>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</si>
  <si>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</si>
  <si>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</si>
  <si>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</si>
  <si>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</si>
  <si>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</si>
  <si>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</si>
  <si>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</si>
  <si>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</si>
  <si>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</si>
  <si>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</si>
  <si>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</si>
  <si>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</si>
  <si>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</si>
  <si>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</si>
  <si>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</si>
  <si>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</si>
  <si>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</si>
  <si>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</si>
  <si>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</si>
  <si>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</si>
  <si>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</si>
  <si>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</si>
  <si>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</si>
  <si>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</si>
  <si>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</si>
  <si>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</si>
  <si>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</si>
  <si>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</si>
  <si>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</si>
  <si>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</si>
  <si>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</si>
  <si>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</si>
  <si>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</si>
  <si>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</si>
  <si>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</si>
  <si>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</si>
  <si>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</si>
  <si>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</si>
  <si>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</si>
  <si>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</si>
  <si>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</si>
  <si>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</si>
  <si>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</si>
  <si>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</si>
  <si>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</si>
  <si>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</si>
  <si>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</si>
  <si>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</si>
  <si>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</si>
  <si>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</si>
  <si>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</si>
  <si>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</si>
  <si>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</si>
  <si>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</si>
  <si>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</si>
  <si>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</si>
  <si>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</si>
  <si>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</si>
  <si>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</si>
  <si>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</si>
  <si>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</si>
  <si>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</si>
  <si>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</si>
  <si>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</si>
  <si>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</si>
  <si>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</si>
  <si>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</si>
  <si>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</si>
  <si>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</si>
  <si>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</si>
  <si>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</si>
  <si>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</si>
  <si>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</si>
  <si>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</si>
  <si>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</si>
  <si>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</si>
  <si>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</si>
  <si>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</si>
  <si>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</si>
  <si>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</si>
  <si>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</si>
  <si>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</si>
  <si>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</si>
  <si>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</si>
  <si>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</si>
  <si>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</si>
  <si>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</si>
  <si>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</si>
  <si>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</si>
  <si>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</si>
  <si>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</si>
  <si>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</si>
  <si>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</si>
  <si>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</si>
  <si>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</si>
  <si>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</si>
  <si>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</si>
  <si>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</si>
  <si>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</si>
  <si>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</si>
  <si>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</si>
  <si>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</si>
  <si>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</si>
  <si>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</si>
  <si>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</si>
  <si>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</si>
  <si>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</si>
  <si>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</si>
  <si>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</si>
  <si>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</si>
  <si>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</si>
  <si>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</si>
  <si>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</si>
  <si>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</si>
  <si>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</si>
  <si>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</si>
  <si>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</si>
  <si>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</si>
  <si>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</si>
  <si>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</si>
  <si>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</si>
  <si>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</si>
  <si>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</si>
  <si>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</si>
  <si>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</si>
  <si>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</si>
  <si>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</si>
  <si>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</si>
  <si>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</si>
  <si>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</si>
  <si>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</si>
  <si>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</si>
  <si>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</si>
  <si>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</si>
  <si>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</si>
  <si>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</si>
  <si>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</si>
  <si>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</si>
  <si>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</si>
  <si>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</si>
  <si>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</si>
  <si>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</si>
  <si>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</si>
  <si>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</si>
  <si>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</si>
  <si>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</si>
  <si>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</si>
  <si>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</si>
  <si>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</si>
  <si>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</si>
  <si>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</si>
  <si>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</si>
  <si>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</si>
  <si>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</si>
  <si>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</si>
  <si>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</si>
  <si>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</si>
  <si>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</si>
  <si>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</si>
  <si>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</si>
  <si>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</si>
  <si>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</si>
  <si>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</si>
  <si>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</si>
  <si>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</si>
  <si>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</si>
  <si>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</si>
  <si>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</si>
  <si>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</si>
  <si>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</si>
  <si>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</si>
  <si>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</si>
  <si>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</si>
  <si>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</si>
  <si>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</si>
  <si>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</si>
  <si>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</si>
  <si>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</si>
  <si>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</si>
  <si>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</si>
  <si>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</si>
  <si>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</si>
  <si>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</si>
  <si>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</si>
  <si>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</si>
  <si>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</si>
  <si>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</si>
  <si>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</si>
  <si>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</si>
  <si>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</si>
  <si>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</si>
  <si>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</si>
  <si>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</si>
  <si>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</si>
  <si>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</si>
  <si>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</si>
  <si>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</si>
  <si>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</si>
  <si>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</si>
  <si>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</si>
  <si>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</si>
  <si>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</si>
  <si>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</si>
  <si>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</si>
  <si>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</si>
  <si>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</si>
  <si>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</si>
  <si>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</si>
  <si>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</si>
  <si>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</si>
  <si>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</si>
  <si>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</si>
  <si>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</si>
  <si>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</si>
  <si>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</si>
  <si>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</si>
  <si>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</si>
  <si>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</si>
  <si>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</si>
  <si>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</si>
  <si>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</si>
  <si>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</si>
  <si>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</si>
  <si>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</si>
  <si>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</si>
  <si>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</si>
  <si>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</si>
  <si>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</si>
  <si>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</si>
  <si>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</si>
  <si>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</si>
  <si>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</si>
  <si>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</si>
  <si>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</si>
  <si>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</si>
  <si>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</si>
  <si>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</si>
  <si>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</si>
  <si>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</si>
  <si>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</si>
  <si>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</si>
  <si>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</si>
  <si>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</si>
  <si>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</si>
  <si>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</si>
  <si>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</si>
  <si>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</si>
  <si>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</si>
  <si>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</si>
  <si>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</si>
  <si>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</si>
  <si>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</si>
  <si>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</si>
  <si>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</si>
  <si>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</si>
  <si>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</si>
  <si>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</si>
  <si>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</si>
  <si>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</si>
  <si>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</si>
  <si>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</si>
  <si>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</si>
  <si>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</si>
  <si>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</si>
  <si>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</si>
  <si>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</si>
  <si>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</si>
  <si>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</si>
  <si>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</si>
  <si>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</si>
  <si>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</si>
  <si>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</si>
  <si>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</si>
  <si>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</si>
  <si>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</si>
  <si>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</si>
  <si>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</si>
  <si>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</si>
  <si>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</si>
  <si>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</si>
  <si>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</si>
  <si>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</si>
  <si>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</si>
  <si>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</si>
  <si>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</si>
  <si>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</si>
  <si>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</si>
  <si>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</si>
  <si>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</si>
  <si>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</si>
  <si>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</si>
  <si>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</si>
  <si>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</si>
  <si>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</si>
  <si>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</si>
  <si>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</si>
  <si>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</si>
  <si>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</si>
  <si>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</si>
  <si>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</si>
  <si>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</si>
  <si>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</si>
  <si>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</si>
  <si>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</si>
  <si>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</si>
  <si>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</si>
  <si>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</si>
  <si>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</si>
  <si>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</si>
  <si>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</si>
  <si>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</si>
  <si>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</si>
  <si>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</si>
  <si>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</si>
  <si>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</si>
  <si>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</si>
  <si>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</si>
  <si>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</si>
  <si>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</si>
  <si>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</si>
  <si>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</si>
  <si>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</si>
  <si>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</si>
  <si>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</si>
  <si>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</si>
  <si>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</si>
  <si>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</si>
  <si>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</si>
  <si>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</si>
  <si>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</si>
  <si>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</si>
  <si>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</si>
  <si>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</si>
  <si>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</si>
  <si>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</si>
  <si>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</si>
  <si>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</si>
  <si>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</si>
  <si>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</si>
  <si>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</si>
  <si>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</si>
  <si>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</si>
  <si>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</si>
  <si>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</si>
  <si>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</si>
  <si>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</si>
  <si>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</si>
  <si>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</si>
  <si>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</si>
  <si>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</si>
  <si>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</si>
  <si>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</si>
  <si>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</si>
  <si>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</si>
  <si>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</si>
  <si>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</si>
  <si>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</si>
  <si>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</si>
  <si>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</si>
  <si>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</si>
  <si>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</si>
  <si>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</si>
  <si>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</si>
  <si>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</si>
  <si>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</si>
  <si>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</si>
  <si>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</si>
  <si>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</si>
  <si>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</si>
  <si>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</si>
  <si>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</si>
  <si>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</si>
  <si>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</si>
  <si>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</si>
  <si>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</si>
  <si>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</si>
  <si>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</si>
  <si>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</si>
  <si>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</si>
  <si>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</si>
  <si>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</si>
  <si>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</si>
  <si>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</si>
  <si>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</si>
  <si>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</si>
  <si>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</si>
  <si>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</si>
  <si>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</si>
  <si>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</si>
  <si>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</si>
  <si>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</si>
  <si>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</si>
  <si>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</si>
  <si>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</si>
  <si>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</si>
  <si>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</si>
  <si>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</si>
  <si>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</si>
  <si>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</si>
  <si>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</si>
  <si>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</si>
  <si>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</si>
  <si>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</si>
  <si>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</si>
  <si>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</si>
  <si>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</si>
  <si>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</si>
  <si>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</si>
  <si>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</si>
  <si>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</si>
  <si>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</si>
  <si>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</si>
  <si>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</si>
  <si>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</si>
  <si>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</si>
  <si>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</si>
  <si>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</si>
  <si>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</si>
  <si>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</si>
  <si>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</si>
  <si>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</si>
  <si>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</si>
  <si>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</si>
  <si>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</si>
  <si>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</si>
  <si>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</si>
  <si>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</si>
  <si>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</si>
  <si>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</si>
  <si>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</si>
  <si>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</si>
  <si>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</si>
  <si>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</si>
  <si>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</si>
  <si>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</si>
  <si>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</si>
  <si>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</si>
  <si>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</si>
  <si>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</si>
  <si>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</si>
  <si>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</si>
  <si>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</si>
  <si>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</si>
  <si>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</si>
  <si>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</si>
  <si>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</si>
  <si>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</si>
  <si>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</si>
  <si>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</si>
  <si>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</si>
  <si>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</si>
  <si>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</si>
  <si>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</si>
  <si>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</si>
  <si>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</si>
  <si>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</si>
  <si>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</si>
  <si>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</si>
  <si>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</si>
  <si>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</si>
  <si>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</si>
  <si>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</si>
  <si>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</si>
  <si>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</si>
  <si>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</si>
  <si>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</si>
  <si>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</si>
  <si>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</si>
  <si>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</si>
  <si>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</si>
  <si>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</si>
  <si>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</si>
  <si>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</si>
  <si>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</si>
  <si>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</si>
  <si>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</si>
  <si>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</si>
  <si>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</si>
  <si>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</si>
  <si>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</si>
  <si>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</si>
  <si>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</si>
  <si>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</si>
  <si>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</si>
  <si>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</si>
  <si>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</si>
  <si>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</si>
  <si>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</si>
  <si>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</si>
  <si>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</si>
  <si>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</si>
  <si>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</si>
  <si>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</si>
  <si>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</si>
  <si>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</si>
  <si>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</si>
  <si>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</si>
  <si>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</si>
  <si>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</si>
  <si>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</si>
  <si>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</si>
  <si>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</si>
  <si>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</si>
  <si>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</si>
  <si>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</si>
  <si>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</si>
  <si>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</si>
  <si>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</si>
  <si>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</si>
  <si>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</si>
  <si>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</si>
  <si>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</si>
  <si>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</si>
  <si>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</si>
  <si>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</si>
  <si>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</si>
  <si>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</si>
  <si>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</si>
  <si>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</si>
  <si>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</si>
  <si>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</si>
  <si>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</si>
  <si>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</si>
  <si>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</si>
  <si>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</si>
  <si>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</si>
  <si>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</si>
  <si>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</si>
  <si>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</si>
  <si>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</si>
  <si>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</si>
  <si>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</si>
  <si>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</si>
  <si>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</si>
  <si>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</si>
  <si>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</si>
  <si>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</si>
  <si>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</si>
  <si>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</si>
  <si>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</si>
  <si>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</si>
  <si>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</si>
  <si>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</si>
  <si>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</si>
  <si>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</si>
  <si>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</si>
  <si>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</si>
  <si>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</si>
  <si>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</si>
  <si>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</si>
  <si>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</si>
  <si>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</si>
  <si>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</si>
  <si>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</si>
  <si>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</si>
  <si>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</si>
  <si>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</si>
  <si>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</si>
  <si>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</si>
  <si>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</si>
  <si>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</si>
  <si>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</si>
  <si>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</si>
  <si>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</si>
  <si>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</si>
  <si>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</si>
  <si>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</si>
  <si>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</si>
  <si>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</si>
  <si>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</si>
  <si>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</si>
  <si>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</si>
  <si>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</si>
  <si>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</si>
  <si>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</si>
  <si>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</si>
  <si>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</si>
  <si>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</si>
  <si>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</si>
  <si>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</si>
  <si>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</si>
  <si>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</si>
  <si>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</si>
  <si>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</si>
  <si>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</si>
  <si>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</si>
  <si>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</si>
  <si>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</si>
  <si>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</si>
  <si>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</si>
  <si>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</si>
  <si>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</si>
  <si>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</si>
  <si>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</si>
  <si>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</si>
  <si>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</si>
  <si>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</si>
  <si>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</si>
  <si>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</si>
  <si>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</si>
  <si>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</si>
  <si>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</si>
  <si>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</si>
  <si>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</si>
  <si>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</si>
  <si>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</si>
  <si>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</si>
  <si>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</si>
  <si>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</si>
  <si>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</si>
  <si>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</si>
  <si>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</si>
  <si>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</si>
  <si>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</si>
  <si>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</si>
  <si>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</si>
  <si>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</si>
  <si>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</si>
  <si>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</si>
  <si>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</si>
  <si>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</si>
  <si>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</si>
  <si>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</si>
  <si>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</si>
  <si>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</si>
  <si>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</si>
  <si>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</si>
  <si>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</si>
  <si>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</si>
  <si>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</si>
  <si>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</si>
  <si>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</si>
  <si>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</si>
  <si>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</si>
  <si>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</si>
  <si>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</si>
  <si>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</si>
  <si>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</si>
  <si>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</si>
  <si>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</si>
  <si>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</si>
  <si>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</si>
  <si>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</si>
  <si>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</si>
  <si>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</si>
  <si>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</si>
  <si>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</si>
  <si>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</si>
  <si>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</si>
  <si>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</si>
  <si>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</si>
  <si>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</si>
  <si>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</si>
  <si>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</si>
  <si>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</si>
  <si>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</si>
  <si>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</si>
  <si>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</si>
  <si>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</si>
  <si>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</si>
  <si>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</si>
  <si>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</si>
  <si>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</si>
  <si>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</si>
  <si>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</si>
  <si>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</si>
  <si>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</si>
  <si>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</si>
  <si>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</si>
  <si>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</si>
  <si>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</si>
  <si>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</si>
  <si>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</si>
  <si>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</si>
  <si>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</si>
  <si>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</si>
  <si>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</si>
  <si>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</si>
  <si>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</si>
  <si>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</si>
  <si>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</si>
  <si>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</si>
  <si>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</si>
  <si>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</si>
  <si>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</si>
  <si>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</si>
  <si>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</si>
  <si>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</si>
  <si>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</si>
  <si>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</si>
  <si>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</si>
  <si>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</si>
  <si>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</si>
  <si>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</si>
  <si>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</si>
  <si>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</si>
  <si>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</si>
  <si>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</si>
  <si>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</si>
  <si>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</si>
  <si>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</si>
  <si>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</si>
  <si>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</si>
  <si>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</si>
  <si>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</si>
  <si>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</si>
  <si>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</si>
  <si>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</si>
  <si>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</si>
  <si>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</si>
  <si>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</si>
  <si>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</si>
  <si>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</si>
  <si>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</si>
  <si>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</si>
  <si>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</si>
  <si>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</si>
  <si>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</si>
  <si>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</si>
  <si>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</si>
  <si>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</si>
  <si>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</si>
  <si>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</si>
  <si>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</si>
  <si>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</si>
  <si>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</si>
  <si>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</si>
  <si>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</si>
  <si>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</si>
  <si>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</si>
  <si>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</si>
  <si>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</si>
  <si>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</si>
  <si>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</si>
  <si>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</si>
  <si>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</si>
  <si>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</si>
  <si>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</si>
  <si>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</si>
  <si>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</si>
  <si>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</si>
  <si>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</si>
  <si>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</si>
  <si>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</si>
  <si>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</si>
  <si>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</si>
  <si>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</si>
  <si>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</si>
  <si>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</si>
  <si>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</si>
  <si>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</si>
  <si>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</si>
  <si>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</si>
  <si>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</si>
  <si>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</si>
  <si>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</si>
  <si>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</si>
  <si>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</si>
  <si>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</si>
  <si>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</si>
  <si>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</si>
  <si>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</si>
  <si>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</si>
  <si>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</si>
  <si>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</si>
  <si>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</si>
  <si>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</si>
  <si>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</si>
  <si>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</si>
  <si>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</si>
  <si>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</si>
  <si>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</si>
  <si>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</si>
  <si>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</si>
  <si>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</si>
  <si>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</si>
  <si>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</si>
  <si>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</si>
  <si>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</si>
  <si>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</si>
  <si>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</si>
  <si>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</si>
  <si>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</si>
  <si>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</si>
  <si>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</si>
  <si>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</si>
  <si>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</si>
  <si>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</si>
  <si>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</si>
  <si>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</si>
  <si>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</si>
  <si>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</si>
  <si>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</si>
  <si>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</si>
  <si>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</si>
  <si>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</si>
  <si>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</si>
  <si>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</si>
  <si>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</si>
  <si>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</si>
  <si>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</si>
  <si>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</si>
  <si>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</si>
  <si>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</si>
  <si>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</si>
  <si>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</si>
  <si>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</si>
  <si>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</si>
  <si>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</si>
  <si>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</si>
  <si>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</si>
  <si>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</si>
  <si>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</si>
  <si>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</si>
  <si>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</si>
  <si>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</si>
  <si>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</si>
  <si>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</si>
  <si>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</si>
  <si>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</si>
  <si>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</si>
  <si>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</si>
  <si>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</si>
  <si>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</si>
  <si>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</si>
  <si>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</si>
  <si>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</si>
  <si>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</si>
  <si>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</si>
  <si>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</si>
  <si>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</si>
  <si>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</si>
  <si>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</si>
  <si>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</si>
  <si>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</si>
  <si>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</si>
  <si>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</si>
  <si>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</si>
  <si>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</si>
  <si>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</si>
  <si>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</si>
  <si>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</si>
  <si>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</si>
  <si>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</si>
  <si>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</si>
  <si>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</si>
  <si>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</si>
  <si>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</si>
  <si>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</si>
  <si>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</si>
  <si>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</si>
  <si>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</si>
  <si>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</si>
  <si>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</si>
  <si>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</si>
  <si>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</si>
  <si>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</si>
  <si>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</si>
  <si>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</si>
  <si>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</si>
  <si>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</si>
  <si>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</si>
  <si>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</si>
  <si>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</si>
  <si>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</si>
  <si>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</si>
  <si>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</si>
  <si>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</si>
  <si>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</si>
  <si>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</si>
  <si>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</si>
  <si>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</si>
  <si>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</si>
  <si>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</si>
  <si>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</si>
  <si>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</si>
  <si>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</si>
  <si>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</si>
  <si>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</si>
  <si>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</si>
  <si>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</si>
  <si>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</si>
  <si>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</si>
  <si>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</si>
  <si>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</si>
  <si>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</si>
  <si>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</si>
  <si>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</si>
  <si>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</si>
  <si>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</si>
  <si>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</si>
  <si>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</si>
  <si>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</si>
  <si>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</si>
  <si>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</si>
  <si>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</si>
  <si>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</si>
  <si>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</si>
  <si>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</si>
  <si>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</si>
  <si>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</si>
  <si>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</si>
  <si>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</si>
  <si>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</si>
  <si>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</si>
  <si>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</si>
  <si>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</si>
  <si>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</si>
  <si>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</si>
  <si>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</si>
  <si>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</si>
  <si>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</si>
  <si>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</si>
  <si>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</si>
  <si>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</si>
  <si>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</si>
  <si>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</si>
  <si>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</si>
  <si>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</si>
  <si>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</si>
  <si>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</si>
  <si>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</si>
  <si>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</si>
  <si>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</si>
  <si>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</si>
  <si>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</si>
  <si>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</si>
  <si>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</si>
  <si>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</si>
  <si>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</si>
  <si>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</si>
  <si>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</si>
  <si>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</si>
  <si>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</si>
  <si>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</si>
  <si>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</si>
  <si>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</si>
  <si>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</si>
  <si>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</si>
  <si>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</si>
  <si>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</si>
  <si>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</si>
  <si>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</si>
  <si>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</si>
  <si>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</si>
  <si>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</si>
  <si>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</si>
  <si>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</si>
  <si>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</si>
  <si>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</si>
  <si>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</si>
  <si>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</si>
  <si>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</si>
  <si>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</si>
  <si>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</si>
  <si>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</si>
  <si>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</si>
  <si>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</si>
  <si>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</si>
  <si>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</si>
  <si>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</si>
  <si>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</si>
  <si>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</si>
  <si>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</si>
  <si>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</si>
  <si>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</si>
  <si>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</si>
  <si>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</si>
  <si>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</si>
  <si>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</si>
  <si>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</si>
  <si>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</si>
  <si>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</si>
  <si>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</si>
  <si>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</si>
  <si>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</si>
  <si>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</si>
  <si>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</si>
  <si>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</si>
  <si>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</si>
  <si>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</si>
  <si>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</si>
  <si>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</si>
  <si>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</si>
  <si>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</si>
  <si>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</si>
  <si>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</si>
  <si>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</si>
  <si>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</si>
  <si>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</si>
  <si>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</si>
  <si>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</si>
  <si>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</si>
  <si>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</si>
  <si>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</si>
  <si>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</si>
  <si>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</si>
  <si>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</si>
  <si>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</si>
  <si>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</si>
  <si>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</si>
  <si>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</si>
  <si>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</si>
  <si>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</si>
  <si>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</si>
  <si>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</si>
  <si>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</si>
  <si>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</si>
  <si>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</si>
  <si>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</si>
  <si>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</si>
  <si>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</si>
  <si>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</si>
  <si>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</si>
  <si>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</si>
  <si>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</si>
  <si>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</si>
  <si>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</si>
  <si>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</si>
  <si>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</si>
  <si>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</si>
  <si>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</si>
  <si>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</si>
  <si>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</si>
  <si>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</si>
  <si>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</si>
  <si>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</si>
  <si>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</si>
  <si>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</si>
  <si>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</si>
  <si>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</si>
  <si>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</si>
  <si>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</si>
  <si>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</si>
  <si>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</si>
  <si>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</si>
  <si>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</si>
  <si>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</si>
  <si>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</si>
  <si>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</si>
  <si>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</si>
  <si>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</si>
  <si>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</si>
  <si>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</si>
  <si>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</si>
  <si>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</si>
  <si>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</si>
  <si>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</si>
  <si>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</si>
  <si>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</si>
  <si>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</si>
  <si>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</si>
  <si>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</si>
  <si>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</si>
  <si>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</si>
  <si>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</si>
  <si>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</si>
  <si>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</si>
  <si>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</si>
  <si>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</si>
  <si>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</si>
  <si>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</si>
  <si>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</si>
  <si>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</si>
  <si>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</si>
  <si>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</si>
  <si>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</si>
  <si>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</si>
  <si>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</si>
  <si>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</si>
  <si>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</si>
  <si>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</si>
  <si>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</si>
  <si>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</si>
  <si>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</si>
  <si>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</si>
  <si>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</si>
  <si>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</si>
  <si>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</si>
  <si>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</si>
  <si>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</si>
  <si>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</si>
  <si>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</si>
  <si>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</si>
  <si>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</si>
  <si>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</si>
  <si>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</si>
  <si>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</si>
  <si>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</si>
  <si>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</si>
  <si>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</si>
  <si>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</si>
  <si>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</si>
  <si>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</si>
  <si>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</si>
  <si>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</si>
  <si>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</si>
  <si>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</si>
  <si>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</si>
  <si>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</si>
  <si>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</si>
  <si>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</si>
  <si>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</si>
  <si>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</si>
  <si>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</si>
  <si>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</si>
  <si>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</si>
  <si>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</si>
  <si>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</si>
  <si>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</si>
  <si>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</si>
  <si>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</si>
  <si>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</si>
  <si>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</si>
  <si>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</si>
  <si>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</si>
  <si>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</si>
  <si>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</si>
  <si>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</si>
  <si>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</si>
  <si>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</si>
  <si>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</si>
  <si>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</si>
  <si>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</si>
  <si>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</si>
  <si>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</si>
  <si>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</si>
  <si>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</si>
  <si>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</si>
  <si>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</si>
  <si>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</si>
  <si>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</si>
  <si>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</si>
  <si>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</si>
  <si>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</si>
  <si>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</si>
  <si>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</si>
  <si>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</si>
  <si>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</si>
  <si>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</si>
  <si>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</si>
  <si>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</si>
  <si>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</si>
  <si>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</si>
  <si>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</si>
  <si>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</si>
  <si>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</si>
  <si>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</si>
  <si>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</si>
  <si>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</si>
  <si>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</si>
  <si>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</si>
  <si>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</si>
  <si>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</si>
  <si>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</si>
  <si>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</si>
  <si>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</si>
  <si>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</si>
  <si>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</si>
  <si>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</si>
  <si>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</si>
  <si>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</si>
  <si>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</si>
  <si>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</si>
  <si>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</si>
  <si>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</si>
  <si>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</si>
  <si>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</si>
  <si>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</si>
  <si>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</si>
  <si>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</si>
  <si>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</si>
  <si>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</si>
  <si>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</si>
  <si>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</si>
  <si>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</si>
  <si>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</si>
  <si>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</si>
  <si>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</si>
  <si>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</si>
  <si>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</si>
  <si>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</si>
  <si>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</si>
  <si>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</si>
  <si>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</si>
  <si>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</si>
  <si>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</si>
  <si>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</si>
  <si>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</si>
  <si>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</si>
  <si>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</si>
  <si>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</si>
  <si>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</si>
  <si>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</si>
  <si>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</si>
  <si>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</si>
  <si>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</si>
  <si>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</si>
  <si>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</si>
  <si>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</si>
  <si>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</si>
  <si>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</si>
  <si>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</si>
  <si>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</si>
  <si>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</si>
  <si>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</si>
  <si>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</si>
  <si>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</si>
  <si>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</si>
  <si>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</si>
  <si>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</si>
  <si>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</si>
  <si>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</si>
  <si>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</si>
  <si>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</si>
  <si>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</si>
  <si>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</si>
  <si>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</si>
  <si>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</si>
  <si>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</si>
  <si>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</si>
  <si>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</si>
  <si>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</si>
  <si>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</si>
  <si>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</si>
  <si>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</si>
  <si>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</si>
  <si>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</si>
  <si>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</si>
  <si>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</si>
  <si>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</si>
  <si>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</si>
  <si>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</si>
  <si>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</si>
  <si>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</si>
  <si>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</si>
  <si>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</si>
  <si>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</si>
  <si>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</si>
  <si>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</si>
  <si>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</si>
  <si>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</si>
  <si>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</si>
  <si>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</si>
  <si>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</si>
  <si>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</si>
  <si>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</si>
  <si>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</si>
  <si>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</si>
  <si>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</si>
  <si>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</si>
  <si>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</si>
  <si>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</si>
  <si>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</si>
  <si>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</si>
  <si>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</si>
  <si>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</si>
  <si>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</si>
  <si>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</si>
  <si>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</si>
  <si>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</si>
  <si>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</si>
  <si>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</si>
  <si>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</si>
  <si>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</si>
  <si>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</si>
  <si>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</si>
  <si>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</si>
  <si>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</si>
  <si>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</si>
  <si>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</si>
  <si>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</si>
  <si>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</si>
  <si>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</si>
  <si>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</si>
  <si>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</si>
  <si>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</si>
  <si>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</si>
  <si>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</si>
  <si>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</si>
  <si>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</si>
  <si>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</si>
  <si>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</si>
  <si>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</si>
  <si>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</si>
  <si>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</si>
  <si>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</si>
  <si>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</si>
  <si>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</si>
  <si>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</si>
  <si>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</si>
  <si>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</si>
  <si>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</si>
  <si>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</si>
  <si>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</si>
  <si>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</si>
  <si>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</si>
  <si>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</si>
  <si>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</si>
  <si>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</si>
  <si>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</si>
  <si>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</si>
  <si>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</si>
  <si>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</si>
  <si>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</si>
  <si>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</si>
  <si>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</si>
  <si>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</si>
  <si>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</si>
  <si>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</si>
  <si>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</si>
  <si>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</si>
  <si>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</si>
  <si>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</si>
  <si>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</si>
  <si>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</si>
  <si>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</si>
  <si>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</si>
  <si>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</si>
  <si>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</si>
  <si>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</si>
  <si>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</si>
  <si>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</si>
  <si>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</si>
  <si>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</si>
  <si>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</si>
  <si>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</si>
  <si>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</si>
  <si>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</si>
  <si>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</si>
  <si>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</si>
  <si>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</si>
  <si>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</si>
  <si>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</si>
  <si>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</si>
  <si>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</si>
  <si>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</si>
  <si>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</si>
  <si>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</si>
  <si>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</si>
  <si>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</si>
  <si>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</si>
  <si>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</si>
  <si>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</si>
  <si>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</si>
  <si>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</si>
  <si>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</si>
  <si>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</si>
  <si>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</si>
  <si>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</si>
  <si>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</si>
  <si>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</si>
  <si>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</si>
  <si>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</si>
  <si>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</si>
  <si>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</si>
  <si>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</si>
  <si>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</si>
  <si>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</si>
  <si>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</si>
  <si>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</si>
  <si>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</si>
  <si>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</si>
  <si>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</si>
  <si>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</si>
  <si>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</si>
  <si>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</si>
  <si>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</si>
  <si>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</si>
  <si>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</si>
  <si>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</si>
  <si>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</si>
  <si>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</si>
  <si>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</si>
  <si>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</si>
  <si>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</si>
  <si>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</si>
  <si>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</si>
  <si>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</si>
  <si>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</si>
  <si>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</si>
  <si>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</si>
  <si>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</si>
  <si>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</si>
  <si>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</si>
  <si>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</si>
  <si>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</si>
  <si>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</si>
  <si>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</si>
  <si>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</si>
  <si>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</si>
  <si>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</si>
  <si>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</si>
  <si>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</si>
  <si>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</si>
  <si>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</si>
  <si>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</si>
  <si>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</si>
  <si>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</si>
  <si>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</si>
  <si>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</si>
  <si>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</si>
  <si>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</si>
  <si>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</si>
  <si>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</si>
  <si>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</si>
  <si>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</si>
  <si>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</si>
  <si>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</si>
  <si>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</si>
  <si>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</si>
  <si>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</si>
  <si>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</si>
  <si>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</si>
  <si>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</si>
  <si>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</si>
  <si>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</si>
  <si>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</si>
  <si>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</si>
  <si>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</si>
  <si>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</si>
  <si>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</si>
  <si>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</si>
  <si>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</si>
  <si>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</si>
  <si>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</si>
  <si>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</si>
  <si>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</si>
  <si>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</si>
  <si>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</si>
  <si>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</si>
  <si>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</si>
  <si>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</si>
  <si>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</si>
  <si>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</si>
  <si>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</si>
  <si>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</si>
  <si>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</si>
  <si>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</si>
  <si>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</si>
  <si>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</si>
  <si>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</si>
  <si>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</si>
  <si>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</si>
  <si>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</si>
  <si>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</si>
  <si>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</si>
  <si>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</si>
  <si>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</si>
  <si>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</si>
  <si>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</si>
  <si>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</si>
  <si>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</si>
  <si>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</si>
  <si>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</si>
  <si>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</si>
  <si>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</si>
  <si>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</si>
  <si>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</si>
  <si>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</si>
  <si>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</si>
  <si>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</si>
  <si>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</si>
  <si>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</si>
  <si>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</si>
  <si>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</si>
  <si>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</si>
  <si>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</si>
  <si>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</si>
  <si>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</si>
  <si>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</si>
  <si>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</si>
  <si>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</si>
  <si>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</si>
  <si>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</si>
  <si>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</si>
  <si>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</si>
  <si>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</si>
  <si>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</si>
  <si>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</si>
  <si>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</si>
  <si>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</si>
  <si>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</si>
  <si>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</si>
  <si>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</si>
  <si>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</si>
  <si>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</si>
  <si>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</si>
  <si>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</si>
  <si>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</si>
  <si>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</si>
  <si>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</si>
  <si>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</si>
  <si>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</si>
  <si>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</si>
  <si>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</si>
  <si>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</si>
  <si>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</si>
  <si>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</si>
  <si>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</si>
  <si>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</si>
  <si>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</si>
  <si>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</si>
  <si>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</si>
  <si>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</si>
  <si>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</si>
  <si>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</si>
  <si>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</si>
  <si>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</si>
  <si>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</si>
  <si>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</si>
  <si>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</si>
  <si>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</si>
  <si>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</si>
  <si>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</si>
  <si>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</si>
  <si>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</si>
  <si>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</si>
  <si>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</si>
  <si>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</si>
  <si>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</si>
  <si>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</si>
  <si>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</si>
  <si>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</si>
  <si>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</si>
  <si>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</si>
  <si>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</si>
  <si>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</si>
  <si>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</si>
  <si>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</si>
  <si>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</si>
  <si>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</si>
  <si>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</si>
  <si>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</si>
  <si>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</si>
  <si>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</si>
  <si>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</si>
  <si>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</si>
  <si>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</si>
  <si>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</si>
  <si>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</si>
  <si>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</si>
  <si>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</si>
  <si>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</si>
  <si>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</si>
  <si>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</si>
  <si>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</si>
  <si>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</si>
  <si>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</si>
  <si>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</si>
  <si>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</si>
  <si>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</si>
  <si>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</si>
  <si>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</si>
  <si>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</si>
  <si>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</si>
  <si>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</si>
  <si>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</si>
  <si>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</si>
  <si>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</si>
  <si>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</si>
  <si>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</si>
  <si>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</si>
  <si>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</si>
  <si>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</si>
  <si>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</si>
  <si>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</si>
  <si>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</si>
  <si>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</si>
  <si>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</si>
  <si>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</si>
  <si>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</si>
  <si>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</si>
  <si>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</si>
  <si>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</si>
  <si>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</si>
  <si>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</si>
  <si>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</si>
  <si>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</si>
  <si>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</si>
  <si>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</si>
  <si>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</si>
  <si>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</si>
  <si>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</si>
  <si>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</si>
  <si>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</si>
  <si>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</si>
  <si>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</si>
  <si>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</si>
  <si>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</si>
  <si>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</si>
  <si>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</si>
  <si>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</si>
  <si>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</si>
  <si>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</si>
  <si>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</si>
  <si>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</si>
  <si>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</si>
  <si>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</si>
  <si>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</si>
  <si>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</si>
  <si>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</si>
  <si>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</si>
  <si>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</si>
  <si>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</si>
  <si>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</si>
  <si>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</si>
  <si>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</si>
  <si>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</si>
  <si>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</si>
  <si>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</si>
  <si>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</si>
  <si>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</si>
  <si>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</si>
  <si>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</si>
  <si>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</si>
  <si>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</si>
  <si>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</si>
  <si>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</si>
  <si>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</si>
  <si>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</si>
  <si>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</si>
  <si>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</si>
  <si>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</si>
  <si>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</si>
  <si>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</si>
  <si>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</si>
  <si>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</si>
  <si>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</si>
  <si>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</si>
  <si>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</si>
  <si>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</si>
  <si>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</si>
  <si>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</si>
  <si>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</si>
  <si>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</si>
  <si>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</si>
  <si>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</si>
  <si>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</si>
  <si>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</si>
  <si>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</si>
  <si>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</si>
  <si>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</si>
  <si>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</si>
  <si>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</si>
  <si>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</si>
  <si>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</si>
  <si>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</si>
  <si>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</si>
  <si>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</si>
  <si>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</si>
  <si>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</si>
  <si>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</si>
  <si>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</si>
  <si>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</si>
  <si>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</si>
  <si>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</si>
  <si>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</si>
  <si>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</si>
  <si>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</si>
  <si>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</si>
  <si>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</si>
  <si>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</si>
  <si>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</si>
  <si>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</si>
  <si>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</si>
  <si>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</si>
  <si>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</si>
  <si>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</si>
  <si>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</si>
  <si>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</si>
  <si>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</si>
  <si>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</si>
  <si>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</si>
  <si>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</si>
  <si>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</si>
  <si>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</si>
  <si>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</si>
  <si>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</si>
  <si>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</si>
  <si>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</si>
  <si>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</si>
  <si>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</si>
  <si>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</si>
  <si>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</si>
  <si>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</si>
  <si>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</si>
  <si>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</si>
  <si>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</si>
  <si>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</si>
  <si>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</si>
  <si>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</si>
  <si>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</si>
  <si>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</si>
  <si>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</si>
  <si>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</si>
  <si>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</si>
  <si>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</si>
  <si>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</si>
  <si>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</si>
  <si>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</si>
  <si>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</si>
  <si>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</si>
  <si>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</si>
  <si>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</si>
  <si>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</si>
  <si>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</si>
  <si>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</si>
  <si>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</si>
  <si>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</si>
  <si>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</si>
  <si>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</si>
  <si>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</si>
  <si>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</si>
  <si>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</si>
  <si>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</si>
  <si>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</si>
  <si>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</si>
  <si>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</si>
  <si>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</si>
  <si>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</si>
  <si>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</si>
  <si>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</si>
  <si>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</si>
  <si>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</si>
  <si>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</si>
  <si>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</si>
  <si>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</si>
  <si>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</si>
  <si>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</si>
  <si>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</si>
  <si>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</si>
  <si>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</si>
  <si>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</si>
  <si>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</si>
  <si>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</si>
  <si>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</si>
  <si>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</si>
  <si>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</si>
  <si>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</si>
  <si>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</si>
  <si>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</si>
  <si>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</si>
  <si>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</si>
  <si>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</si>
  <si>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</si>
  <si>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</si>
  <si>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</si>
  <si>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</si>
  <si>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</si>
  <si>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</si>
  <si>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</si>
  <si>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</si>
  <si>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</si>
  <si>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</si>
  <si>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</si>
  <si>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</si>
  <si>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</si>
  <si>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</si>
  <si>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</si>
  <si>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</si>
  <si>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</si>
  <si>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</si>
  <si>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</si>
  <si>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</si>
  <si>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</si>
  <si>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</si>
  <si>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</si>
  <si>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</si>
  <si>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</si>
  <si>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</si>
  <si>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</si>
  <si>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</si>
  <si>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</si>
  <si>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</si>
  <si>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</si>
  <si>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</si>
  <si>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</si>
  <si>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</si>
  <si>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</si>
  <si>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</si>
  <si>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</si>
  <si>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</si>
  <si>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</si>
  <si>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</si>
  <si>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</si>
  <si>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</si>
  <si>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</si>
  <si>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</si>
  <si>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</si>
  <si>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</si>
  <si>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</si>
  <si>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</si>
  <si>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</si>
  <si>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</si>
  <si>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</si>
  <si>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</si>
  <si>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</si>
  <si>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</si>
  <si>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</si>
  <si>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</si>
  <si>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</si>
  <si>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</si>
  <si>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</si>
  <si>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</si>
  <si>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</si>
  <si>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</si>
  <si>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</si>
  <si>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</si>
  <si>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</si>
  <si>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</si>
  <si>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</si>
  <si>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</si>
  <si>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</si>
  <si>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</si>
  <si>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</si>
  <si>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</si>
  <si>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</si>
  <si>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</si>
  <si>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</si>
  <si>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</si>
  <si>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</si>
  <si>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</si>
  <si>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</si>
  <si>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</si>
  <si>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</si>
  <si>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</si>
  <si>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</si>
  <si>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</si>
  <si>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</si>
  <si>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</si>
  <si>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</si>
  <si>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</si>
  <si>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</si>
  <si>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</si>
  <si>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</si>
  <si>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</si>
  <si>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</si>
  <si>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</si>
  <si>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</si>
  <si>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</si>
  <si>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</si>
  <si>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</si>
  <si>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</si>
  <si>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</si>
  <si>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</si>
  <si>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</si>
  <si>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</si>
  <si>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</si>
  <si>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</si>
  <si>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</si>
  <si>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</si>
  <si>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</si>
  <si>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</si>
  <si>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</si>
  <si>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</si>
  <si>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</si>
  <si>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</si>
  <si>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</si>
  <si>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</si>
  <si>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</si>
  <si>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</si>
  <si>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</si>
  <si>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</si>
  <si>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</si>
  <si>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</si>
  <si>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</si>
  <si>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</si>
  <si>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</si>
  <si>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</si>
  <si>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</si>
  <si>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</si>
  <si>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</si>
  <si>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</si>
  <si>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</si>
  <si>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</si>
  <si>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</si>
  <si>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</si>
  <si>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</si>
  <si>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</si>
  <si>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</si>
  <si>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</si>
  <si>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</si>
  <si>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</si>
  <si>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</si>
  <si>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</si>
  <si>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</si>
  <si>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</si>
  <si>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</si>
  <si>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</si>
  <si>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</si>
  <si>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</si>
  <si>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</si>
  <si>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</si>
  <si>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</si>
  <si>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</si>
  <si>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</si>
  <si>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</si>
  <si>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</si>
  <si>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</si>
  <si>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</si>
  <si>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</si>
  <si>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</si>
  <si>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</si>
  <si>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</si>
  <si>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</si>
  <si>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</si>
  <si>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</si>
  <si>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</si>
  <si>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</si>
  <si>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</si>
  <si>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</si>
  <si>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</si>
  <si>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</si>
  <si>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</si>
  <si>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</si>
  <si>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</si>
  <si>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</si>
  <si>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</si>
  <si>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</si>
  <si>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</si>
  <si>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</si>
  <si>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</si>
  <si>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</si>
  <si>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</si>
  <si>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</si>
  <si>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</si>
  <si>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</si>
  <si>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</si>
  <si>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</si>
  <si>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</si>
  <si>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</si>
  <si>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</si>
  <si>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</si>
  <si>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</si>
  <si>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</si>
  <si>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</si>
  <si>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</si>
  <si>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</si>
  <si>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</si>
  <si>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</si>
  <si>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</si>
  <si>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</si>
  <si>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</si>
  <si>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</si>
  <si>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</si>
  <si>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</si>
  <si>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</si>
  <si>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</si>
  <si>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</si>
  <si>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</si>
  <si>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</si>
  <si>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</si>
  <si>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</si>
  <si>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</si>
  <si>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</si>
  <si>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</si>
  <si>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</si>
  <si>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</si>
  <si>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</si>
  <si>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</si>
  <si>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</si>
  <si>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</si>
  <si>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</si>
  <si>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</si>
  <si>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</si>
  <si>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</si>
  <si>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</si>
  <si>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</si>
  <si>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</si>
  <si>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</si>
  <si>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</si>
  <si>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</si>
  <si>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</si>
  <si>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</si>
  <si>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</si>
  <si>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</si>
  <si>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</si>
  <si>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</si>
  <si>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</si>
  <si>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</si>
  <si>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</si>
  <si>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</si>
  <si>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</si>
  <si>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</si>
  <si>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</si>
  <si>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</si>
  <si>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</si>
  <si>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</si>
  <si>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</si>
  <si>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</si>
  <si>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</si>
  <si>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</si>
  <si>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</si>
  <si>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</si>
  <si>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</si>
  <si>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</si>
  <si>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</si>
  <si>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</si>
  <si>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</si>
  <si>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</si>
  <si>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</si>
  <si>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</si>
  <si>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</si>
  <si>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</si>
  <si>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</si>
  <si>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</si>
  <si>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</si>
  <si>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</si>
  <si>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</si>
  <si>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</si>
  <si>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</si>
  <si>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</si>
  <si>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</si>
  <si>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</si>
  <si>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</si>
  <si>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</si>
  <si>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</si>
  <si>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</si>
  <si>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</si>
  <si>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</si>
  <si>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</si>
  <si>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</si>
  <si>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</si>
  <si>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</si>
  <si>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</si>
  <si>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</si>
  <si>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</si>
  <si>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</si>
  <si>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</si>
  <si>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</si>
  <si>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</si>
  <si>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</si>
  <si>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</si>
  <si>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</si>
  <si>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</si>
  <si>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</si>
  <si>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</si>
  <si>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</si>
  <si>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</si>
  <si>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</si>
  <si>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</si>
  <si>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</si>
  <si>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</si>
  <si>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</si>
  <si>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</si>
  <si>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</si>
  <si>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</si>
  <si>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</si>
  <si>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</si>
  <si>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</si>
  <si>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</si>
  <si>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</si>
  <si>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</si>
  <si>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</si>
  <si>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</si>
  <si>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</si>
  <si>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</si>
  <si>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</si>
  <si>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</si>
  <si>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</si>
  <si>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</si>
  <si>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</si>
  <si>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</si>
  <si>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</si>
  <si>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</si>
  <si>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</si>
  <si>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</si>
  <si>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</si>
  <si>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</si>
  <si>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</si>
  <si>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</si>
  <si>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</si>
  <si>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</si>
  <si>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</si>
  <si>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</si>
  <si>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</si>
  <si>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</si>
  <si>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</si>
  <si>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</si>
  <si>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</si>
  <si>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</si>
  <si>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</si>
  <si>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</si>
  <si>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</si>
  <si>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</si>
  <si>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</si>
  <si>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</si>
  <si>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</si>
  <si>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</si>
  <si>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</si>
  <si>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</si>
  <si>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</si>
  <si>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</si>
  <si>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</si>
  <si>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</si>
  <si>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</si>
  <si>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</si>
  <si>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</si>
  <si>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</si>
  <si>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</si>
  <si>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</si>
  <si>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</si>
  <si>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</si>
  <si>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</si>
  <si>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</si>
  <si>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</si>
  <si>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</si>
  <si>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</si>
  <si>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</si>
  <si>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</si>
  <si>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</si>
  <si>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</si>
  <si>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</si>
  <si>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</si>
  <si>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</si>
  <si>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</si>
  <si>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</si>
  <si>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</si>
  <si>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</si>
  <si>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</si>
  <si>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</si>
  <si>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</si>
  <si>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</si>
  <si>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</si>
  <si>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</si>
  <si>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</si>
  <si>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</si>
  <si>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</si>
  <si>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</si>
  <si>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</si>
  <si>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</si>
  <si>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</si>
  <si>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</si>
  <si>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</si>
  <si>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</si>
  <si>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</si>
  <si>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</si>
  <si>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</si>
  <si>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</si>
  <si>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</si>
  <si>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</si>
  <si>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</si>
  <si>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</si>
  <si>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</si>
  <si>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</si>
  <si>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</si>
  <si>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</si>
  <si>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</si>
  <si>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</si>
  <si>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</si>
  <si>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</si>
  <si>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</si>
  <si>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</si>
  <si>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</si>
  <si>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</si>
  <si>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</si>
  <si>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</si>
  <si>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</si>
  <si>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</si>
  <si>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</si>
  <si>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</si>
  <si>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</si>
  <si>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</si>
  <si>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</si>
  <si>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</si>
  <si>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</si>
  <si>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</si>
  <si>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</si>
  <si>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</si>
  <si>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</si>
  <si>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</si>
  <si>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</si>
  <si>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</si>
  <si>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</si>
  <si>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</si>
  <si>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</si>
  <si>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</si>
  <si>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</si>
  <si>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</si>
  <si>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</si>
  <si>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</si>
  <si>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</si>
  <si>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</si>
  <si>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</si>
  <si>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</si>
  <si>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</si>
  <si>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</si>
  <si>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</si>
  <si>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</si>
  <si>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</si>
  <si>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</si>
  <si>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</si>
  <si>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</si>
  <si>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</si>
  <si>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</si>
  <si>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</si>
  <si>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</si>
  <si>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</si>
  <si>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</si>
  <si>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</si>
  <si>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</si>
  <si>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</si>
  <si>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</si>
  <si>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</si>
  <si>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</si>
  <si>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</si>
  <si>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</si>
  <si>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</si>
  <si>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</si>
  <si>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</si>
  <si>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</si>
  <si>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</si>
  <si>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</si>
  <si>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</si>
  <si>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</si>
  <si>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</si>
  <si>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</si>
  <si>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</si>
  <si>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</si>
  <si>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</si>
  <si>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</si>
  <si>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</si>
  <si>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</si>
  <si>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</si>
  <si>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</si>
  <si>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</si>
  <si>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</si>
  <si>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</si>
  <si>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</si>
  <si>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</si>
  <si>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</si>
  <si>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</si>
  <si>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</si>
  <si>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</si>
  <si>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</si>
  <si>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</si>
  <si>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</si>
  <si>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</si>
  <si>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</si>
  <si>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</si>
  <si>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</si>
  <si>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</si>
  <si>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</si>
  <si>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</si>
  <si>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</si>
  <si>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</si>
  <si>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</si>
  <si>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</si>
  <si>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</si>
  <si>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</si>
  <si>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</si>
  <si>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</si>
  <si>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</si>
  <si>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</si>
  <si>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</si>
  <si>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</si>
  <si>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</si>
  <si>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</si>
  <si>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</si>
  <si>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</si>
  <si>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</si>
  <si>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</si>
  <si>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</si>
  <si>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</si>
  <si>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</si>
  <si>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</si>
  <si>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</si>
  <si>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</si>
  <si>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</si>
  <si>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</si>
  <si>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</si>
  <si>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</si>
  <si>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</si>
  <si>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</si>
  <si>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</si>
  <si>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</si>
  <si>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</si>
  <si>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</si>
  <si>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</si>
  <si>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</si>
  <si>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</si>
  <si>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</si>
  <si>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</si>
  <si>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</si>
  <si>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</si>
  <si>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</si>
  <si>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</si>
  <si>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</si>
  <si>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</si>
  <si>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</si>
  <si>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</si>
  <si>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</si>
  <si>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</si>
  <si>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</si>
  <si>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</si>
  <si>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</si>
  <si>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</si>
  <si>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</si>
  <si>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</si>
  <si>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</si>
  <si>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</si>
  <si>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</si>
  <si>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</si>
  <si>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</si>
  <si>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</si>
  <si>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</si>
  <si>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</si>
  <si>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</si>
  <si>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</si>
  <si>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</si>
  <si>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</si>
  <si>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</si>
  <si>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</si>
  <si>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</si>
  <si>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</si>
  <si>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</si>
  <si>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</si>
  <si>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</si>
  <si>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</si>
  <si>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</si>
  <si>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</si>
  <si>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</si>
  <si>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</si>
  <si>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</si>
  <si>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</si>
  <si>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</si>
  <si>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</si>
  <si>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</si>
  <si>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</si>
  <si>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</si>
  <si>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</si>
  <si>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</si>
  <si>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</si>
  <si>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</si>
  <si>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</si>
  <si>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</si>
  <si>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</si>
  <si>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</si>
  <si>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</si>
  <si>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</si>
  <si>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</si>
  <si>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</si>
  <si>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</si>
  <si>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</si>
  <si>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</si>
  <si>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</si>
  <si>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</si>
  <si>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</si>
  <si>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</si>
  <si>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</si>
  <si>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</si>
  <si>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</si>
  <si>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</si>
  <si>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</si>
  <si>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</si>
  <si>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</si>
  <si>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</si>
  <si>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</si>
  <si>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</si>
  <si>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</si>
  <si>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</si>
  <si>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</si>
  <si>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</si>
  <si>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</si>
  <si>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</si>
  <si>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</si>
  <si>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</si>
  <si>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</si>
  <si>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</si>
  <si>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</si>
  <si>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</si>
  <si>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</si>
  <si>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</si>
  <si>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</si>
  <si>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</si>
  <si>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</si>
  <si>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</si>
  <si>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</si>
  <si>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</si>
  <si>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</si>
  <si>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</si>
  <si>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</si>
  <si>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</si>
  <si>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</si>
  <si>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</si>
  <si>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</si>
  <si>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</si>
  <si>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</si>
  <si>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</si>
  <si>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</si>
  <si>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</si>
  <si>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</si>
  <si>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</si>
  <si>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</si>
  <si>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</si>
  <si>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</si>
  <si>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</si>
  <si>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</si>
  <si>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</si>
  <si>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</si>
  <si>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</si>
  <si>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</si>
  <si>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</si>
  <si>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</si>
  <si>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</si>
  <si>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</si>
  <si>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</si>
  <si>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</si>
  <si>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</si>
  <si>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</si>
  <si>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</si>
  <si>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</si>
  <si>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</si>
  <si>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</si>
  <si>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</si>
  <si>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</si>
  <si>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</si>
  <si>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</si>
  <si>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</si>
  <si>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</si>
  <si>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</si>
  <si>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</si>
  <si>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</si>
  <si>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</si>
  <si>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</si>
  <si>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</si>
  <si>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</si>
  <si>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</si>
  <si>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</si>
  <si>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</si>
  <si>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</si>
  <si>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</si>
  <si>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</si>
  <si>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</si>
  <si>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</si>
  <si>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</si>
  <si>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</si>
  <si>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</si>
  <si>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</si>
  <si>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</si>
  <si>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</si>
  <si>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</si>
  <si>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</si>
  <si>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</si>
  <si>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</si>
  <si>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</si>
  <si>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</si>
  <si>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</si>
  <si>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</si>
  <si>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</si>
  <si>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</si>
  <si>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</si>
  <si>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</si>
  <si>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</si>
  <si>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</si>
  <si>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</si>
  <si>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</si>
  <si>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</si>
  <si>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</si>
  <si>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</si>
  <si>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</si>
  <si>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</si>
  <si>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</si>
  <si>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</si>
  <si>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</si>
  <si>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</si>
  <si>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</si>
  <si>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</si>
  <si>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</si>
  <si>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</si>
  <si>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</si>
  <si>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</si>
  <si>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</si>
  <si>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</si>
  <si>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</si>
  <si>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</si>
  <si>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</si>
  <si>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</si>
  <si>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</si>
  <si>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</si>
  <si>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</si>
  <si>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</si>
  <si>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</si>
  <si>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</si>
  <si>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</si>
  <si>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</si>
  <si>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</si>
  <si>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</si>
  <si>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</si>
  <si>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</si>
  <si>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</si>
  <si>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</si>
  <si>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</si>
  <si>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</si>
  <si>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</si>
  <si>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</si>
  <si>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</si>
  <si>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</si>
  <si>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</si>
  <si>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</si>
  <si>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</si>
  <si>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</si>
  <si>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</si>
  <si>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</si>
  <si>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</si>
  <si>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</si>
  <si>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</si>
  <si>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</si>
  <si>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</si>
  <si>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</si>
  <si>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</si>
  <si>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</si>
  <si>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</si>
  <si>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</si>
  <si>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</si>
  <si>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</si>
  <si>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</si>
  <si>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</si>
  <si>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</si>
  <si>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</si>
  <si>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</si>
  <si>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</si>
  <si>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</si>
  <si>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</si>
  <si>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</si>
  <si>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</si>
  <si>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</si>
  <si>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</si>
  <si>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</si>
  <si>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</si>
  <si>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</si>
  <si>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</si>
  <si>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</si>
  <si>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</si>
  <si>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</si>
  <si>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</si>
  <si>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</si>
  <si>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</si>
  <si>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</si>
  <si>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</si>
  <si>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</si>
  <si>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</si>
  <si>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</si>
  <si>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</si>
  <si>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</si>
  <si>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</si>
  <si>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</si>
  <si>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</si>
  <si>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</si>
  <si>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</si>
  <si>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</si>
  <si>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</si>
  <si>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</si>
  <si>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</si>
  <si>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</si>
  <si>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</si>
  <si>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</si>
  <si>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</si>
  <si>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</si>
  <si>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</si>
  <si>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</si>
  <si>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</si>
  <si>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</si>
  <si>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</si>
  <si>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</si>
  <si>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</si>
  <si>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</si>
  <si>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</si>
  <si>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</si>
  <si>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</si>
  <si>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</si>
  <si>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</si>
  <si>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</si>
  <si>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</si>
  <si>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</si>
  <si>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</si>
  <si>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</si>
  <si>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</si>
  <si>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</si>
  <si>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</si>
  <si>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</si>
  <si>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</si>
  <si>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</si>
  <si>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</si>
  <si>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</si>
  <si>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</si>
  <si>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</si>
  <si>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</si>
  <si>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</si>
  <si>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</si>
  <si>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</si>
  <si>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</si>
  <si>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</si>
  <si>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</si>
  <si>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</si>
  <si>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</si>
  <si>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</si>
  <si>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</si>
  <si>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</si>
  <si>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</si>
  <si>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</si>
  <si>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</si>
  <si>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</si>
  <si>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</si>
  <si>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</si>
  <si>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</si>
  <si>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</si>
  <si>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</si>
  <si>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</si>
  <si>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</si>
  <si>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</si>
  <si>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</si>
  <si>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</si>
  <si>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</si>
  <si>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</si>
  <si>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</si>
  <si>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</si>
  <si>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</si>
  <si>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</si>
  <si>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</si>
  <si>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</si>
  <si>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</si>
  <si>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</si>
  <si>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</si>
  <si>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</si>
  <si>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</si>
  <si>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</si>
  <si>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</si>
  <si>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</si>
  <si>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</si>
  <si>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</si>
  <si>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</si>
  <si>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</si>
  <si>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</si>
  <si>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</si>
  <si>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</si>
  <si>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</si>
  <si>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</si>
  <si>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</si>
  <si>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</si>
  <si>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</si>
  <si>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</si>
  <si>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</si>
  <si>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</si>
  <si>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</si>
  <si>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</si>
  <si>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</si>
  <si>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</si>
  <si>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</si>
  <si>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</si>
  <si>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</si>
  <si>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</si>
  <si>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</si>
  <si>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</si>
  <si>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</si>
  <si>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</si>
  <si>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</si>
  <si>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</si>
  <si>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</si>
  <si>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</si>
  <si>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</si>
  <si>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</si>
  <si>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</si>
  <si>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</si>
  <si>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</si>
  <si>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</si>
  <si>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</si>
  <si>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</si>
  <si>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</si>
  <si>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</si>
  <si>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</si>
  <si>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</si>
  <si>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</si>
  <si>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</si>
  <si>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</si>
  <si>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</si>
  <si>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</si>
  <si>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</si>
  <si>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</si>
  <si>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</si>
  <si>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</si>
  <si>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</si>
  <si>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</si>
  <si>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</si>
  <si>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</si>
  <si>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</si>
  <si>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</si>
  <si>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</si>
  <si>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</si>
  <si>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</si>
  <si>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</si>
  <si>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</si>
  <si>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</si>
  <si>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</si>
  <si>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</si>
  <si>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</si>
  <si>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</si>
  <si>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</si>
  <si>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</si>
  <si>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</si>
  <si>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</si>
  <si>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</si>
  <si>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</si>
  <si>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</si>
  <si>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</si>
  <si>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</si>
  <si>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</si>
  <si>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</si>
  <si>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</si>
  <si>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</si>
  <si>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</si>
  <si>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</si>
  <si>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</si>
  <si>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</si>
  <si>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</si>
  <si>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</si>
  <si>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</si>
  <si>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</si>
  <si>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</si>
  <si>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</si>
  <si>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</si>
  <si>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</si>
  <si>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</si>
  <si>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</si>
  <si>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</si>
  <si>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</si>
  <si>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</si>
  <si>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</si>
  <si>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</si>
  <si>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</si>
  <si>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</si>
  <si>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</si>
  <si>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</si>
  <si>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</si>
  <si>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</si>
  <si>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</si>
  <si>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</si>
  <si>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</si>
  <si>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</si>
  <si>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</si>
  <si>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</si>
  <si>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</si>
  <si>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</si>
  <si>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</si>
  <si>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</si>
  <si>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</si>
  <si>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</si>
  <si>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</si>
  <si>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</si>
  <si>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</si>
  <si>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</si>
  <si>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</si>
  <si>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</si>
  <si>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</si>
  <si>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</si>
  <si>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</si>
  <si>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</si>
  <si>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</si>
  <si>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</si>
  <si>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</si>
  <si>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</si>
  <si>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</si>
  <si>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</si>
  <si>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</si>
  <si>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</si>
  <si>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</si>
  <si>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</si>
  <si>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</si>
  <si>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</si>
  <si>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</si>
  <si>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</si>
  <si>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</si>
  <si>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</si>
  <si>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</si>
  <si>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</si>
  <si>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</si>
  <si>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</si>
  <si>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</si>
  <si>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</si>
  <si>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</si>
  <si>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</si>
  <si>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</si>
  <si>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</si>
  <si>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</si>
  <si>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</si>
  <si>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</si>
  <si>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</si>
  <si>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</si>
  <si>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</si>
  <si>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</si>
  <si>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</si>
  <si>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</si>
  <si>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</si>
  <si>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</si>
  <si>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</si>
  <si>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</si>
  <si>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</si>
  <si>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</si>
  <si>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</si>
  <si>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</si>
  <si>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</si>
  <si>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</si>
  <si>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</si>
  <si>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</si>
  <si>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</si>
  <si>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</si>
  <si>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</si>
  <si>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</si>
  <si>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</si>
  <si>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</si>
  <si>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</si>
  <si>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</si>
  <si>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</si>
  <si>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</si>
  <si>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</si>
  <si>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</si>
  <si>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</si>
  <si>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</si>
  <si>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</si>
  <si>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</si>
  <si>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</si>
  <si>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</si>
  <si>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</si>
  <si>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</si>
  <si>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</si>
  <si>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</si>
  <si>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</si>
  <si>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</si>
  <si>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</si>
  <si>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</si>
  <si>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</si>
  <si>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</si>
  <si>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</si>
  <si>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</si>
  <si>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</si>
  <si>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</si>
  <si>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</si>
  <si>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</si>
  <si>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</si>
  <si>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</si>
  <si>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</si>
  <si>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</si>
  <si>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</si>
  <si>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</si>
  <si>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</si>
  <si>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</si>
  <si>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</si>
  <si>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</si>
  <si>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</si>
  <si>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</si>
  <si>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</si>
  <si>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</si>
  <si>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</si>
  <si>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</si>
  <si>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</si>
  <si>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</si>
  <si>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</si>
  <si>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</si>
  <si>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</si>
  <si>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</si>
  <si>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</si>
  <si>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</si>
  <si>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</si>
  <si>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</si>
  <si>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</si>
  <si>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</si>
  <si>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</si>
  <si>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</si>
  <si>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</si>
  <si>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</si>
  <si>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</si>
  <si>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</si>
  <si>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</si>
  <si>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</si>
  <si>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</si>
  <si>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</si>
  <si>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</si>
  <si>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</si>
  <si>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</si>
  <si>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</si>
  <si>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</si>
  <si>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</si>
  <si>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</si>
  <si>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</si>
  <si>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</si>
  <si>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</si>
  <si>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</si>
  <si>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</si>
  <si>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</si>
  <si>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</si>
  <si>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</si>
  <si>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</si>
  <si>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</si>
  <si>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</si>
  <si>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</si>
  <si>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</si>
  <si>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</si>
  <si>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</si>
  <si>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</si>
  <si>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</si>
  <si>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</si>
  <si>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</si>
  <si>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</si>
  <si>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</si>
  <si>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</si>
  <si>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</si>
  <si>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</si>
  <si>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</si>
  <si>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</si>
  <si>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</si>
  <si>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</si>
  <si>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</si>
  <si>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</si>
  <si>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</si>
  <si>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</si>
  <si>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</si>
  <si>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</si>
  <si>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</si>
  <si>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</si>
  <si>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</si>
  <si>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</si>
  <si>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</si>
  <si>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</si>
  <si>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</si>
  <si>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</si>
  <si>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</si>
  <si>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</si>
  <si>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</si>
  <si>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</si>
  <si>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</si>
  <si>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</si>
  <si>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</si>
  <si>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</si>
  <si>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</si>
  <si>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</si>
  <si>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</si>
  <si>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</si>
  <si>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</si>
  <si>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</si>
  <si>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</si>
  <si>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</si>
  <si>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</si>
  <si>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</si>
  <si>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</si>
  <si>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</si>
  <si>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</si>
  <si>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</si>
  <si>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</si>
  <si>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</si>
  <si>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</si>
  <si>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</si>
  <si>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</si>
  <si>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</si>
  <si>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</si>
  <si>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</si>
  <si>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</si>
  <si>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</si>
  <si>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</si>
  <si>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</si>
  <si>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</si>
  <si>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</si>
  <si>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</si>
  <si>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</si>
  <si>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</si>
  <si>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</si>
  <si>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</si>
  <si>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</si>
  <si>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</si>
  <si>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</si>
  <si>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</si>
  <si>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</si>
  <si>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</si>
  <si>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</si>
  <si>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</si>
  <si>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</si>
  <si>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</si>
  <si>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</si>
  <si>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</si>
  <si>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</si>
  <si>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</si>
  <si>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</si>
  <si>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</si>
  <si>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</si>
  <si>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</si>
  <si>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</si>
  <si>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</si>
  <si>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</si>
  <si>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</si>
  <si>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</si>
  <si>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</si>
  <si>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</si>
  <si>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</si>
  <si>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</si>
  <si>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</si>
  <si>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</si>
  <si>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</si>
  <si>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</si>
  <si>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</si>
  <si>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</si>
  <si>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</si>
  <si>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</si>
  <si>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</si>
  <si>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</si>
  <si>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</si>
  <si>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</si>
  <si>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</si>
  <si>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</si>
  <si>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</si>
  <si>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</si>
  <si>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</si>
  <si>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</si>
  <si>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</si>
  <si>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</si>
  <si>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</si>
  <si>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</si>
  <si>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</si>
  <si>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</si>
  <si>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</si>
  <si>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</si>
  <si>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</si>
  <si>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</si>
  <si>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</si>
  <si>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</si>
  <si>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</si>
  <si>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</si>
  <si>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</si>
  <si>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</si>
  <si>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</si>
  <si>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</si>
  <si>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</si>
  <si>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</si>
  <si>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</si>
  <si>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</si>
  <si>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</si>
  <si>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</si>
  <si>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</si>
  <si>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</si>
  <si>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</si>
  <si>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</si>
  <si>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</si>
  <si>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</si>
  <si>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</si>
  <si>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</si>
  <si>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</si>
  <si>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</si>
  <si>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</si>
  <si>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</si>
  <si>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</si>
  <si>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</si>
  <si>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</si>
  <si>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</si>
  <si>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</si>
  <si>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</si>
  <si>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</si>
  <si>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</si>
  <si>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</si>
  <si>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</si>
  <si>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</si>
  <si>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</si>
  <si>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</si>
  <si>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</si>
  <si>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</si>
  <si>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</si>
  <si>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</si>
  <si>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</si>
  <si>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</si>
  <si>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</si>
  <si>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</si>
  <si>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</si>
  <si>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</si>
  <si>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</si>
  <si>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</si>
  <si>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</si>
  <si>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</si>
  <si>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</si>
  <si>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</si>
  <si>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</si>
  <si>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</si>
  <si>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</si>
  <si>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</si>
  <si>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</si>
  <si>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</si>
  <si>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</si>
  <si>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</si>
  <si>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</si>
  <si>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</si>
  <si>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</si>
  <si>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</si>
  <si>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</si>
  <si>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</si>
  <si>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</si>
  <si>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</si>
  <si>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</si>
  <si>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</si>
  <si>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</si>
  <si>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</si>
  <si>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</si>
  <si>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</si>
  <si>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</si>
  <si>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</si>
  <si>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</si>
  <si>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</si>
  <si>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</si>
  <si>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</si>
  <si>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</si>
  <si>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</si>
  <si>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</si>
  <si>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</si>
  <si>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</si>
  <si>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</si>
  <si>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</si>
  <si>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</si>
  <si>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</si>
  <si>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</si>
  <si>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</si>
  <si>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</si>
  <si>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</si>
  <si>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</si>
  <si>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</si>
  <si>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</si>
  <si>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</si>
  <si>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</si>
  <si>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</si>
  <si>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</si>
  <si>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</si>
  <si>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</si>
  <si>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</si>
  <si>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</si>
  <si>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</si>
  <si>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</si>
  <si>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</si>
  <si>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</si>
  <si>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</si>
  <si>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</si>
  <si>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</si>
  <si>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</si>
  <si>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</si>
  <si>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</si>
  <si>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</si>
  <si>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</si>
  <si>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</si>
  <si>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</si>
  <si>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</si>
  <si>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</si>
  <si>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</si>
  <si>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</si>
  <si>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</si>
  <si>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</si>
  <si>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</si>
  <si>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</si>
  <si>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</si>
  <si>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</si>
  <si>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</si>
  <si>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</si>
  <si>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</si>
  <si>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</si>
  <si>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</si>
  <si>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</si>
  <si>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</si>
  <si>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</si>
  <si>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</si>
  <si>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</si>
  <si>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</si>
  <si>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</si>
  <si>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</si>
  <si>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</si>
  <si>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</si>
  <si>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</si>
  <si>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</si>
  <si>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</si>
  <si>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</si>
  <si>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</si>
  <si>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</si>
  <si>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</si>
  <si>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</si>
  <si>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</si>
  <si>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</si>
  <si>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</si>
  <si>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</si>
  <si>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</si>
  <si>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</si>
  <si>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</si>
  <si>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</si>
  <si>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</si>
  <si>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</si>
  <si>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</si>
  <si>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</si>
  <si>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</si>
  <si>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</si>
  <si>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</si>
  <si>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</si>
  <si>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</si>
  <si>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</si>
  <si>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</si>
  <si>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</si>
  <si>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</si>
  <si>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</si>
  <si>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</si>
  <si>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</si>
  <si>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</si>
  <si>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</si>
  <si>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</si>
  <si>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</si>
  <si>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</si>
  <si>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</si>
  <si>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</si>
  <si>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</si>
  <si>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</si>
  <si>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</si>
  <si>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</si>
  <si>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</si>
  <si>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</si>
  <si>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</si>
  <si>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</si>
  <si>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</si>
  <si>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</si>
  <si>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</si>
  <si>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</si>
  <si>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</si>
  <si>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</si>
  <si>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</si>
  <si>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</si>
  <si>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</si>
  <si>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</si>
  <si>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</si>
  <si>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</si>
  <si>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</si>
  <si>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</si>
  <si>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</si>
  <si>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</si>
  <si>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</si>
  <si>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</si>
  <si>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</si>
  <si>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</si>
  <si>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</si>
  <si>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</si>
  <si>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</si>
  <si>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</si>
  <si>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</si>
  <si>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</si>
  <si>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</si>
  <si>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</si>
  <si>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</si>
  <si>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</si>
  <si>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</si>
  <si>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</si>
  <si>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</si>
  <si>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</si>
  <si>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</si>
  <si>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</si>
  <si>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</si>
  <si>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</si>
  <si>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</si>
  <si>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</si>
  <si>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</si>
  <si>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</si>
  <si>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</si>
  <si>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</si>
  <si>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</si>
  <si>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</si>
  <si>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</si>
  <si>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</si>
  <si>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</si>
  <si>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</si>
  <si>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</si>
  <si>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</si>
  <si>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</si>
  <si>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</si>
  <si>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</si>
  <si>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</si>
  <si>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</si>
  <si>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</si>
  <si>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</si>
  <si>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</si>
  <si>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</si>
  <si>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</si>
  <si>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</si>
  <si>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</si>
  <si>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</si>
  <si>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</si>
  <si>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</si>
  <si>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</si>
  <si>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</si>
  <si>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</si>
  <si>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</si>
  <si>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</si>
  <si>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</si>
  <si>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</si>
  <si>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</si>
  <si>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</si>
  <si>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</si>
  <si>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</si>
  <si>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</si>
  <si>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</si>
  <si>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</si>
  <si>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</si>
  <si>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</si>
  <si>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</si>
  <si>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</si>
  <si>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</si>
  <si>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</si>
  <si>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</si>
  <si>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</si>
  <si>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</si>
  <si>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</si>
  <si>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</si>
  <si>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</si>
  <si>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</si>
  <si>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</si>
  <si>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</si>
  <si>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</si>
  <si>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</si>
  <si>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</si>
  <si>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</si>
  <si>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</si>
  <si>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</si>
  <si>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</si>
  <si>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</si>
  <si>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</si>
  <si>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</si>
  <si>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</si>
  <si>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</si>
  <si>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</si>
  <si>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</si>
  <si>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</si>
  <si>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</si>
  <si>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</si>
  <si>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</si>
  <si>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</si>
  <si>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</si>
  <si>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</si>
  <si>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</si>
  <si>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</si>
  <si>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</si>
  <si>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</si>
  <si>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</si>
  <si>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</si>
  <si>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</si>
  <si>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</si>
  <si>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</si>
  <si>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</si>
  <si>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</si>
  <si>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</si>
  <si>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</si>
  <si>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</si>
  <si>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</si>
  <si>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</si>
  <si>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</si>
  <si>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</si>
  <si>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</si>
  <si>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</si>
  <si>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</si>
  <si>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</si>
  <si>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</si>
  <si>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</si>
  <si>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</si>
  <si>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</si>
  <si>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</si>
  <si>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</si>
  <si>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</si>
  <si>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</si>
  <si>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</si>
  <si>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</si>
  <si>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</si>
  <si>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</si>
  <si>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</si>
  <si>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</si>
  <si>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</si>
  <si>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</si>
  <si>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</si>
  <si>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</si>
  <si>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</si>
  <si>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</si>
  <si>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</si>
  <si>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</si>
  <si>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</si>
  <si>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</si>
  <si>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</si>
  <si>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</si>
  <si>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</si>
  <si>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</si>
  <si>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</si>
  <si>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</si>
  <si>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</si>
  <si>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</si>
  <si>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</si>
  <si>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</si>
  <si>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</si>
  <si>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</si>
  <si>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</si>
  <si>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</si>
  <si>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</si>
  <si>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</si>
  <si>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</si>
  <si>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</si>
  <si>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</si>
  <si>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</si>
  <si>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</si>
  <si>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</si>
  <si>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</si>
  <si>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</si>
  <si>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</si>
  <si>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</si>
  <si>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</si>
  <si>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</si>
  <si>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</si>
  <si>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</si>
  <si>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</si>
  <si>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</si>
  <si>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</si>
  <si>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</si>
  <si>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</si>
  <si>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</si>
  <si>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</si>
  <si>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</si>
  <si>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</si>
  <si>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</si>
  <si>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</si>
  <si>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</si>
  <si>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</si>
  <si>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</si>
  <si>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</si>
  <si>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</si>
  <si>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</si>
  <si>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</si>
  <si>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</si>
  <si>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</si>
  <si>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</si>
  <si>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</si>
  <si>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</si>
  <si>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</si>
  <si>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</si>
  <si>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</si>
  <si>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</si>
  <si>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</si>
  <si>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</si>
  <si>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</si>
  <si>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</si>
  <si>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</si>
  <si>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</si>
  <si>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</si>
  <si>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</si>
  <si>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</si>
  <si>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</si>
  <si>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</si>
  <si>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</si>
  <si>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</si>
  <si>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</si>
  <si>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</si>
  <si>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</si>
  <si>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</si>
  <si>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</si>
  <si>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</si>
  <si>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</si>
  <si>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</si>
  <si>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</si>
  <si>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</si>
  <si>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</si>
  <si>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</si>
  <si>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</si>
  <si>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</si>
  <si>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</si>
  <si>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</si>
  <si>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</si>
  <si>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</si>
  <si>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</si>
  <si>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</si>
  <si>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</si>
  <si>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</si>
  <si>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</si>
  <si>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</si>
  <si>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</si>
  <si>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</si>
  <si>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</si>
  <si>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</si>
  <si>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</si>
  <si>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</si>
  <si>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</si>
  <si>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</si>
  <si>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</si>
  <si>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</si>
  <si>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</si>
  <si>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</si>
  <si>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</si>
  <si>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</si>
  <si>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</si>
  <si>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</si>
  <si>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</si>
  <si>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</si>
  <si>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</si>
  <si>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</si>
  <si>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</si>
  <si>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</si>
  <si>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</si>
  <si>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</si>
  <si>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</si>
  <si>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</si>
  <si>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</si>
  <si>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</si>
  <si>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</si>
  <si>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</si>
  <si>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</si>
  <si>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</si>
  <si>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</si>
  <si>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</si>
  <si>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</si>
  <si>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</si>
  <si>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</si>
  <si>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</si>
  <si>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</si>
  <si>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</si>
  <si>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</si>
  <si>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</si>
  <si>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</si>
  <si>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</si>
  <si>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</si>
  <si>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</si>
  <si>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</si>
  <si>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</si>
  <si>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</si>
  <si>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</si>
  <si>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</si>
  <si>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</si>
  <si>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</si>
  <si>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</si>
  <si>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</si>
  <si>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</si>
  <si>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</si>
  <si>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</si>
  <si>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</si>
  <si>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</si>
  <si>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</si>
  <si>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</si>
  <si>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</si>
  <si>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</si>
  <si>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</si>
  <si>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</si>
  <si>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</si>
  <si>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</si>
  <si>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</si>
  <si>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</si>
  <si>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</si>
  <si>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</si>
  <si>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</si>
  <si>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</si>
  <si>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</si>
  <si>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</si>
  <si>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</si>
  <si>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</si>
  <si>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</si>
  <si>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</si>
  <si>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</si>
  <si>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</si>
  <si>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</si>
  <si>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</si>
  <si>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</si>
  <si>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</si>
  <si>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</si>
  <si>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</si>
  <si>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</si>
  <si>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</si>
  <si>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</si>
  <si>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</si>
  <si>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</si>
  <si>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</si>
  <si>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</si>
  <si>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</si>
  <si>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</si>
  <si>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</si>
  <si>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</si>
  <si>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</si>
  <si>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</si>
  <si>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</si>
  <si>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</si>
  <si>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</si>
  <si>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</si>
  <si>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</si>
  <si>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</si>
  <si>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</si>
  <si>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</si>
  <si>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</si>
  <si>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</si>
  <si>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</si>
  <si>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</si>
  <si>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</si>
  <si>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</si>
  <si>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</si>
  <si>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</si>
  <si>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</si>
  <si>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</si>
  <si>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</si>
  <si>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</si>
  <si>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</si>
  <si>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</si>
  <si>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</si>
  <si>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</si>
  <si>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</si>
  <si>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</si>
  <si>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</si>
  <si>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</si>
  <si>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</si>
  <si>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</si>
  <si>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</si>
  <si>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</si>
  <si>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</si>
  <si>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</si>
  <si>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</si>
  <si>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</si>
  <si>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</si>
  <si>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</si>
  <si>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</si>
  <si>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</si>
  <si>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</si>
  <si>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</si>
  <si>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</si>
  <si>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</si>
  <si>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</si>
  <si>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</si>
  <si>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</si>
  <si>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</si>
  <si>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</si>
  <si>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</si>
  <si>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</si>
  <si>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</si>
  <si>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</si>
  <si>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</si>
  <si>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</si>
  <si>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</si>
  <si>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</si>
  <si>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</si>
  <si>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</si>
  <si>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</si>
  <si>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</si>
  <si>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</si>
  <si>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</si>
  <si>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</si>
  <si>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</si>
  <si>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</si>
  <si>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</si>
  <si>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</si>
  <si>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</si>
  <si>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</si>
  <si>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</si>
  <si>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</si>
  <si>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</si>
  <si>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</si>
  <si>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</si>
  <si>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</si>
  <si>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</si>
  <si>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</si>
  <si>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</si>
  <si>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</si>
  <si>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</si>
  <si>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</si>
  <si>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</si>
  <si>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</si>
  <si>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</si>
  <si>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</si>
  <si>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</si>
  <si>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</si>
  <si>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</si>
  <si>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</si>
  <si>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</si>
  <si>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</si>
  <si>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</si>
  <si>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</si>
  <si>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</si>
  <si>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</si>
  <si>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</si>
  <si>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</si>
  <si>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</si>
  <si>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</si>
  <si>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</si>
  <si>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</si>
  <si>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</si>
  <si>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</si>
  <si>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</si>
  <si>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</si>
  <si>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</si>
  <si>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</si>
  <si>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</si>
  <si>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</si>
  <si>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</si>
  <si>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</si>
  <si>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</si>
  <si>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</si>
  <si>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</si>
  <si>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</si>
  <si>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</si>
  <si>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</si>
  <si>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</si>
  <si>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</si>
  <si>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</si>
  <si>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</si>
  <si>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</si>
  <si>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</si>
  <si>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</si>
  <si>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</si>
  <si>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</si>
  <si>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</si>
  <si>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</si>
  <si>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</si>
  <si>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</si>
  <si>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</si>
  <si>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</si>
  <si>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</si>
  <si>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</si>
  <si>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</si>
  <si>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</si>
  <si>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</si>
  <si>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</si>
  <si>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</si>
  <si>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</si>
  <si>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</si>
  <si>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</si>
  <si>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</si>
  <si>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</si>
  <si>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</si>
  <si>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</si>
  <si>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</si>
  <si>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</si>
  <si>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</si>
  <si>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</si>
  <si>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</si>
  <si>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</si>
  <si>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</si>
  <si>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</si>
  <si>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</si>
  <si>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</si>
  <si>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</si>
  <si>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</si>
  <si>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</si>
  <si>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</si>
  <si>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</si>
  <si>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</si>
  <si>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</si>
  <si>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</si>
  <si>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</si>
  <si>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</si>
  <si>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</si>
  <si>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</si>
  <si>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</si>
  <si>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</si>
  <si>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</si>
  <si>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</si>
  <si>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</si>
  <si>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</si>
  <si>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</si>
  <si>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</si>
  <si>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</si>
  <si>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</si>
  <si>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</si>
  <si>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</si>
  <si>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</si>
  <si>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</si>
  <si>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</si>
  <si>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</si>
  <si>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</si>
  <si>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</si>
  <si>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</si>
  <si>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</si>
  <si>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</si>
  <si>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</si>
  <si>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</si>
  <si>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</si>
  <si>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</si>
  <si>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</si>
  <si>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</si>
  <si>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</si>
  <si>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</si>
  <si>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</si>
  <si>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</si>
  <si>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</si>
  <si>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</si>
  <si>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</si>
  <si>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</si>
  <si>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</si>
  <si>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</si>
  <si>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</si>
  <si>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</si>
  <si>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</si>
  <si>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</si>
  <si>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</si>
  <si>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</si>
  <si>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</si>
  <si>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</si>
  <si>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</si>
  <si>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</si>
  <si>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</si>
  <si>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</si>
  <si>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</si>
  <si>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</si>
  <si>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</si>
  <si>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</si>
  <si>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</si>
  <si>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</si>
  <si>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</si>
  <si>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</si>
  <si>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</si>
  <si>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</si>
  <si>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</si>
  <si>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</si>
  <si>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</si>
  <si>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</si>
  <si>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</si>
  <si>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</si>
  <si>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</si>
  <si>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</si>
  <si>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</si>
  <si>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</si>
  <si>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</si>
  <si>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</si>
  <si>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</si>
  <si>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</si>
  <si>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</si>
  <si>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</si>
  <si>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</si>
  <si>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</si>
  <si>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</si>
  <si>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</si>
  <si>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</si>
  <si>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</si>
  <si>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</si>
  <si>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</si>
  <si>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</si>
  <si>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</si>
  <si>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</si>
  <si>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</si>
  <si>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</si>
  <si>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</si>
  <si>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</si>
  <si>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</si>
  <si>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</si>
  <si>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</si>
  <si>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</si>
  <si>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</si>
  <si>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</si>
  <si>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</si>
  <si>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</si>
  <si>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</si>
  <si>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</si>
  <si>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</si>
  <si>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</si>
  <si>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</si>
  <si>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</si>
  <si>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</si>
  <si>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</si>
  <si>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</si>
  <si>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</si>
  <si>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</si>
  <si>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</si>
  <si>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</si>
  <si>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</si>
  <si>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</si>
  <si>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</si>
  <si>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</si>
  <si>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</si>
  <si>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</si>
  <si>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</si>
  <si>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</si>
  <si>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</si>
  <si>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</si>
  <si>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</si>
  <si>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</si>
  <si>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</si>
  <si>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</si>
  <si>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</si>
  <si>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</si>
  <si>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</si>
  <si>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</si>
  <si>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</si>
  <si>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</si>
  <si>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</si>
  <si>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</si>
  <si>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</si>
  <si>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</si>
  <si>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</si>
  <si>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</si>
  <si>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</si>
  <si>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</si>
  <si>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</si>
  <si>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</si>
  <si>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</si>
  <si>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</si>
  <si>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</si>
  <si>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</si>
  <si>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</si>
  <si>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</si>
  <si>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</si>
  <si>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</si>
  <si>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</si>
  <si>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</si>
  <si>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</si>
  <si>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</si>
  <si>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</si>
  <si>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</si>
  <si>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</si>
  <si>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</si>
  <si>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</si>
  <si>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</si>
  <si>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</si>
  <si>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</si>
  <si>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</si>
  <si>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</si>
  <si>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</si>
  <si>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</si>
  <si>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</si>
  <si>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</si>
  <si>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</si>
  <si>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</si>
  <si>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</si>
  <si>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</si>
  <si>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</si>
  <si>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</si>
  <si>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</si>
  <si>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</si>
  <si>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</si>
  <si>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</si>
  <si>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</si>
  <si>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</si>
  <si>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</si>
  <si>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</si>
  <si>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</si>
  <si>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</si>
  <si>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</si>
  <si>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</si>
  <si>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</si>
  <si>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</si>
  <si>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</si>
  <si>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</si>
  <si>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</si>
  <si>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</si>
  <si>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</si>
  <si>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</si>
  <si>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</si>
  <si>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</si>
  <si>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</si>
  <si>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</si>
  <si>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</si>
  <si>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</si>
  <si>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</si>
  <si>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</si>
  <si>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</si>
  <si>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</si>
  <si>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</si>
  <si>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</si>
  <si>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</si>
  <si>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</si>
  <si>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</si>
  <si>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</si>
  <si>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</si>
  <si>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</si>
  <si>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</si>
  <si>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</si>
  <si>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</si>
  <si>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</si>
  <si>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</si>
  <si>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</si>
  <si>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</si>
  <si>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</si>
  <si>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</si>
  <si>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</si>
  <si>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</si>
  <si>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</si>
  <si>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</si>
  <si>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</si>
  <si>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</si>
  <si>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</si>
  <si>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</si>
  <si>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</si>
  <si>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</si>
  <si>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</si>
  <si>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</si>
  <si>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</si>
  <si>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</si>
  <si>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</si>
  <si>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</si>
  <si>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</si>
  <si>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</si>
  <si>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</si>
  <si>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</si>
  <si>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</si>
  <si>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</si>
  <si>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</si>
  <si>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</si>
  <si>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</si>
  <si>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</si>
  <si>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</si>
  <si>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</si>
  <si>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</si>
  <si>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</si>
  <si>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</si>
  <si>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</si>
  <si>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</si>
  <si>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</si>
  <si>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</si>
  <si>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</si>
  <si>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</si>
  <si>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</si>
  <si>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</si>
  <si>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</si>
  <si>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</si>
  <si>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</si>
  <si>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</si>
  <si>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</si>
  <si>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</si>
  <si>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</si>
  <si>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</si>
  <si>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</si>
  <si>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</si>
  <si>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</si>
  <si>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</si>
  <si>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</si>
  <si>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</si>
  <si>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</si>
  <si>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</si>
  <si>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</si>
  <si>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</si>
  <si>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</si>
  <si>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</si>
  <si>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</si>
  <si>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</si>
  <si>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</si>
  <si>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</si>
  <si>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</si>
  <si>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</si>
  <si>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</si>
  <si>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</si>
  <si>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</si>
  <si>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</si>
  <si>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</si>
  <si>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</si>
  <si>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</si>
  <si>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</si>
  <si>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</si>
  <si>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</si>
  <si>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</si>
  <si>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</si>
  <si>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</si>
  <si>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</si>
  <si>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</si>
  <si>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</si>
  <si>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</si>
  <si>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</si>
  <si>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</si>
  <si>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</si>
  <si>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</si>
  <si>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</si>
  <si>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</si>
  <si>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</si>
  <si>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</si>
  <si>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</si>
  <si>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</si>
  <si>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</si>
  <si>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</si>
  <si>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</si>
  <si>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</si>
  <si>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</si>
  <si>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</si>
  <si>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</si>
  <si>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</si>
  <si>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</si>
  <si>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</si>
  <si>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</si>
  <si>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</si>
  <si>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</si>
  <si>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</si>
  <si>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</si>
  <si>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</si>
  <si>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</si>
  <si>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</si>
  <si>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</si>
  <si>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</si>
  <si>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</si>
  <si>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</si>
  <si>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</si>
  <si>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</si>
  <si>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</si>
  <si>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</si>
  <si>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</si>
  <si>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</si>
  <si>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</si>
  <si>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</si>
  <si>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</si>
  <si>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</si>
  <si>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</si>
  <si>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</si>
  <si>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</si>
  <si>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</si>
  <si>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</si>
  <si>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</si>
  <si>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</si>
  <si>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</si>
  <si>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</si>
  <si>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</si>
  <si>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</si>
  <si>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</si>
  <si>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</si>
  <si>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</si>
  <si>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</si>
  <si>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</si>
  <si>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</si>
  <si>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</si>
  <si>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</si>
  <si>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</si>
  <si>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</si>
  <si>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</si>
  <si>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</si>
  <si>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</si>
  <si>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</si>
  <si>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</si>
  <si>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</si>
  <si>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</si>
  <si>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</si>
  <si>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</si>
  <si>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</si>
  <si>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</si>
  <si>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</si>
  <si>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</si>
  <si>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</si>
  <si>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</si>
  <si>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</si>
  <si>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</si>
  <si>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</si>
  <si>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</si>
  <si>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</si>
  <si>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</si>
  <si>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</si>
  <si>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</si>
  <si>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</si>
  <si>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</si>
  <si>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</si>
  <si>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</si>
  <si>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</si>
  <si>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</si>
  <si>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</si>
  <si>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</si>
  <si>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</si>
  <si>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</si>
  <si>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</si>
  <si>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</si>
  <si>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</si>
  <si>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</si>
  <si>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</si>
  <si>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</si>
  <si>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</si>
  <si>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</si>
  <si>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</si>
  <si>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</si>
  <si>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</si>
  <si>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</si>
  <si>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</si>
  <si>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</si>
  <si>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</si>
  <si>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</si>
  <si>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</si>
  <si>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</si>
  <si>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</si>
  <si>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</si>
  <si>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</si>
  <si>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</si>
  <si>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</si>
  <si>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</si>
  <si>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</si>
  <si>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</si>
  <si>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</si>
  <si>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</si>
  <si>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</si>
  <si>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</si>
  <si>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</si>
  <si>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</si>
  <si>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</si>
  <si>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</si>
  <si>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</si>
  <si>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</si>
  <si>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</si>
  <si>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</si>
  <si>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</si>
  <si>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</si>
  <si>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</si>
  <si>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</si>
  <si>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</si>
  <si>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</si>
  <si>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</si>
  <si>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</si>
  <si>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</si>
  <si>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</si>
  <si>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</si>
  <si>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</si>
  <si>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</si>
  <si>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</si>
  <si>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</si>
  <si>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</si>
  <si>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</si>
  <si>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</si>
  <si>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</si>
  <si>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</si>
  <si>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</si>
  <si>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</si>
  <si>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</si>
  <si>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</si>
  <si>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</si>
  <si>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</si>
  <si>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</si>
  <si>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</si>
  <si>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</si>
  <si>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</si>
  <si>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</si>
  <si>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</si>
  <si>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</si>
  <si>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</si>
  <si>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</si>
  <si>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</si>
  <si>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</si>
  <si>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</si>
  <si>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</si>
  <si>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</si>
  <si>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</si>
  <si>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</si>
  <si>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</si>
  <si>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</si>
  <si>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</si>
  <si>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</si>
  <si>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</si>
  <si>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</si>
  <si>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</si>
  <si>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</si>
  <si>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</si>
  <si>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</si>
  <si>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</si>
  <si>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</si>
  <si>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</si>
  <si>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</si>
  <si>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</si>
  <si>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</si>
  <si>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</si>
  <si>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</si>
  <si>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</si>
  <si>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</si>
  <si>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</si>
  <si>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</si>
  <si>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</si>
  <si>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</si>
  <si>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</si>
  <si>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</si>
  <si>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</si>
  <si>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</si>
  <si>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</si>
  <si>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</si>
  <si>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</si>
  <si>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</si>
  <si>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</si>
  <si>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</si>
  <si>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</si>
  <si>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</si>
  <si>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</si>
  <si>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</si>
  <si>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</si>
  <si>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</si>
  <si>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</si>
  <si>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</si>
  <si>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</si>
  <si>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</si>
  <si>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</si>
  <si>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</si>
  <si>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</si>
  <si>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</si>
  <si>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</si>
  <si>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</si>
  <si>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</si>
  <si>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</si>
  <si>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</si>
  <si>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</si>
  <si>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</si>
  <si>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</si>
  <si>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</si>
  <si>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</si>
  <si>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</si>
  <si>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</si>
  <si>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</si>
  <si>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</si>
  <si>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</si>
  <si>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</si>
  <si>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</si>
  <si>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</si>
  <si>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</si>
  <si>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</si>
  <si>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</si>
  <si>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</si>
  <si>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</si>
  <si>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</si>
  <si>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</si>
  <si>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</si>
  <si>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</si>
  <si>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</si>
  <si>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</si>
  <si>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</si>
  <si>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</si>
  <si>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</si>
  <si>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</si>
  <si>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</si>
  <si>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</si>
  <si>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</si>
  <si>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</si>
  <si>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</si>
  <si>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</si>
  <si>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</si>
  <si>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</si>
  <si>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</si>
  <si>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</si>
  <si>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</si>
  <si>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</si>
  <si>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</si>
  <si>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</si>
  <si>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</si>
  <si>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</si>
  <si>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</si>
  <si>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</si>
  <si>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</si>
  <si>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</si>
  <si>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</si>
  <si>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</si>
  <si>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</si>
  <si>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</si>
  <si>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</si>
  <si>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</si>
  <si>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</si>
  <si>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</si>
  <si>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</si>
  <si>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</si>
  <si>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</si>
  <si>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</si>
  <si>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</si>
  <si>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</si>
  <si>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</si>
  <si>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</si>
  <si>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</si>
  <si>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</si>
  <si>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</si>
  <si>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</si>
  <si>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</si>
  <si>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</si>
  <si>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</si>
  <si>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</si>
  <si>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</si>
  <si>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</si>
  <si>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</si>
  <si>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</si>
  <si>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</si>
  <si>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</si>
  <si>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</si>
  <si>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</si>
  <si>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</si>
  <si>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</si>
  <si>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</si>
  <si>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</si>
  <si>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</si>
  <si>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</si>
  <si>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</si>
  <si>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</si>
  <si>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</si>
  <si>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</si>
  <si>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</si>
  <si>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</si>
  <si>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</si>
  <si>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</si>
  <si>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</si>
  <si>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</si>
  <si>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</si>
  <si>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</si>
  <si>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</si>
  <si>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</si>
  <si>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</si>
  <si>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</si>
  <si>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</si>
  <si>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</si>
  <si>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</si>
  <si>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</si>
  <si>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</si>
  <si>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</si>
  <si>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</si>
  <si>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</si>
  <si>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</si>
  <si>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</si>
  <si>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</si>
  <si>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</si>
  <si>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</si>
  <si>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</si>
  <si>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</si>
  <si>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</si>
  <si>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</si>
  <si>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</si>
  <si>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</si>
  <si>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</si>
  <si>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</si>
  <si>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</si>
  <si>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</si>
  <si>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</si>
  <si>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</si>
  <si>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</si>
  <si>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</si>
  <si>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</si>
  <si>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</si>
  <si>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</si>
  <si>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</si>
  <si>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</si>
  <si>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</si>
  <si>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</si>
  <si>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</si>
  <si>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</si>
  <si>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</si>
  <si>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</si>
  <si>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</si>
  <si>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</si>
  <si>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</si>
  <si>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</si>
  <si>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</si>
  <si>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</si>
  <si>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</si>
  <si>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</si>
  <si>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</si>
  <si>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</si>
  <si>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</si>
  <si>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</si>
  <si>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</si>
  <si>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</si>
  <si>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</si>
  <si>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</si>
  <si>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</si>
  <si>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</si>
  <si>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</si>
  <si>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</si>
  <si>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</si>
  <si>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</si>
  <si>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</si>
  <si>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</si>
  <si>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</si>
  <si>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</si>
  <si>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</si>
  <si>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</si>
  <si>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</si>
  <si>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</si>
  <si>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</si>
  <si>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</si>
  <si>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</si>
  <si>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</si>
  <si>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</si>
  <si>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</si>
  <si>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</si>
  <si>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</si>
  <si>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</si>
  <si>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</si>
  <si>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</si>
  <si>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</si>
  <si>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</si>
  <si>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</si>
  <si>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</si>
  <si>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</si>
  <si>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</si>
  <si>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</si>
  <si>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</si>
  <si>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</si>
  <si>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</si>
  <si>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</si>
  <si>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</si>
  <si>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</si>
  <si>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</si>
  <si>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</si>
  <si>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</si>
  <si>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</si>
  <si>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</si>
  <si>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</si>
  <si>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</si>
  <si>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</si>
  <si>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</si>
  <si>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</si>
  <si>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</si>
  <si>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</si>
  <si>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</si>
  <si>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</si>
  <si>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</si>
  <si>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</si>
  <si>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</si>
  <si>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</si>
  <si>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</si>
  <si>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</si>
  <si>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</si>
  <si>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</si>
  <si>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</si>
  <si>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</si>
  <si>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</si>
  <si>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</si>
  <si>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</si>
  <si>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</si>
  <si>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</si>
  <si>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</si>
  <si>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</si>
  <si>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</si>
  <si>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</si>
  <si>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</si>
  <si>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</si>
  <si>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</si>
  <si>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</si>
  <si>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</si>
  <si>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</si>
  <si>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</si>
  <si>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</si>
  <si>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</si>
  <si>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</si>
  <si>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</si>
  <si>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</si>
  <si>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</si>
  <si>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</si>
  <si>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</si>
  <si>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</si>
  <si>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</si>
  <si>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</si>
  <si>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</si>
  <si>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</si>
  <si>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</si>
  <si>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</si>
  <si>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</si>
  <si>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</si>
  <si>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</si>
  <si>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</si>
  <si>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</si>
  <si>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</si>
  <si>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</si>
  <si>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</si>
  <si>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</si>
  <si>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</si>
  <si>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</si>
  <si>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</si>
  <si>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</si>
  <si>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</si>
  <si>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</si>
  <si>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</si>
  <si>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</si>
  <si>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</si>
  <si>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</si>
  <si>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</si>
  <si>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</si>
  <si>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</si>
  <si>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</si>
  <si>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</si>
  <si>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</si>
  <si>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</si>
  <si>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</si>
  <si>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</si>
  <si>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</si>
  <si>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</si>
  <si>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</si>
  <si>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</si>
  <si>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</si>
  <si>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</si>
  <si>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</si>
  <si>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</si>
  <si>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</si>
  <si>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</si>
  <si>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</si>
  <si>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</si>
  <si>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</si>
  <si>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</si>
  <si>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</si>
  <si>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</si>
  <si>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</si>
  <si>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</si>
  <si>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</si>
  <si>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</si>
  <si>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</si>
  <si>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</si>
  <si>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</si>
  <si>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</si>
  <si>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</si>
  <si>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</si>
  <si>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</si>
  <si>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</si>
  <si>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</si>
  <si>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</si>
  <si>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</si>
  <si>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</si>
  <si>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</si>
  <si>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</si>
  <si>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</si>
  <si>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</si>
  <si>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</si>
  <si>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</si>
  <si>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</si>
  <si>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</si>
  <si>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</si>
  <si>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</si>
  <si>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</si>
  <si>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</si>
  <si>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</si>
  <si>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</si>
  <si>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</si>
  <si>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</si>
  <si>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</si>
  <si>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</si>
  <si>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</si>
  <si>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</si>
  <si>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</si>
  <si>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</si>
  <si>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</si>
  <si>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</si>
  <si>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</si>
  <si>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</si>
  <si>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</si>
  <si>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</si>
  <si>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</si>
  <si>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</si>
  <si>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</si>
  <si>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</si>
  <si>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</si>
  <si>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</si>
  <si>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</si>
  <si>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</si>
  <si>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</si>
  <si>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</si>
  <si>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</si>
  <si>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</si>
  <si>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</si>
  <si>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</si>
  <si>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</si>
  <si>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</si>
  <si>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</si>
  <si>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</si>
  <si>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</si>
  <si>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</si>
  <si>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</si>
  <si>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</si>
  <si>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</si>
  <si>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</si>
  <si>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</si>
  <si>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</si>
  <si>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</si>
  <si>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</si>
  <si>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</si>
  <si>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</si>
  <si>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</si>
  <si>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</si>
  <si>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</si>
  <si>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</si>
  <si>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</si>
  <si>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</si>
  <si>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</si>
  <si>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</si>
  <si>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</si>
  <si>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</si>
  <si>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</si>
  <si>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</si>
  <si>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</si>
  <si>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</si>
  <si>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</si>
  <si>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</si>
  <si>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</si>
  <si>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</si>
  <si>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</si>
  <si>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</si>
  <si>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</si>
  <si>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</si>
  <si>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</si>
  <si>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</si>
  <si>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</si>
  <si>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</si>
  <si>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</si>
  <si>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</si>
  <si>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</si>
  <si>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</si>
  <si>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</si>
  <si>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</si>
  <si>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</si>
  <si>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</si>
  <si>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</si>
  <si>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</si>
  <si>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</si>
  <si>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</si>
  <si>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</si>
  <si>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</si>
  <si>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</si>
  <si>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</si>
  <si>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</si>
  <si>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</si>
  <si>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</si>
  <si>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</si>
  <si>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</si>
  <si>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</si>
  <si>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</si>
  <si>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</si>
  <si>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</si>
  <si>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</si>
  <si>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</si>
  <si>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</si>
  <si>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</si>
  <si>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</si>
  <si>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</si>
  <si>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</si>
  <si>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</si>
  <si>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</si>
  <si>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</si>
  <si>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</si>
  <si>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</si>
  <si>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</si>
  <si>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</si>
  <si>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</si>
  <si>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</si>
  <si>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</si>
  <si>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</si>
  <si>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</si>
  <si>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</si>
  <si>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</si>
  <si>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</si>
  <si>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</si>
  <si>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</si>
  <si>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</si>
  <si>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</si>
  <si>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</si>
  <si>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</si>
  <si>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</si>
  <si>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</si>
  <si>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</si>
  <si>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</si>
  <si>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</si>
  <si>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</si>
  <si>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</si>
  <si>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</si>
  <si>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</si>
  <si>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</si>
  <si>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</si>
  <si>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</si>
  <si>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</si>
  <si>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</si>
  <si>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</si>
  <si>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</si>
  <si>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</si>
  <si>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</si>
  <si>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</si>
  <si>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</si>
  <si>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</si>
  <si>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</si>
  <si>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</si>
  <si>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</si>
  <si>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</si>
  <si>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</si>
  <si>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</si>
  <si>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</si>
  <si>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</si>
  <si>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</si>
  <si>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</si>
  <si>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</si>
  <si>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</si>
  <si>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</si>
  <si>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</si>
  <si>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</si>
  <si>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</si>
  <si>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</si>
  <si>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</si>
  <si>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</si>
  <si>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</si>
  <si>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</si>
  <si>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</si>
  <si>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</si>
  <si>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</si>
  <si>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</si>
  <si>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</si>
  <si>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</si>
  <si>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</si>
  <si>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</si>
  <si>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</si>
  <si>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</si>
  <si>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</si>
  <si>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</si>
  <si>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</si>
  <si>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</si>
  <si>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</si>
  <si>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</si>
  <si>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</si>
  <si>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</si>
  <si>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</si>
  <si>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</si>
  <si>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</si>
  <si>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</si>
  <si>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</si>
  <si>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</si>
  <si>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</si>
  <si>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</si>
  <si>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</si>
  <si>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</si>
  <si>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</si>
  <si>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</si>
  <si>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</si>
  <si>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</si>
  <si>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</si>
  <si>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</si>
  <si>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</si>
  <si>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</si>
  <si>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</si>
  <si>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</si>
  <si>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</si>
  <si>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</si>
  <si>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</si>
  <si>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</si>
  <si>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</si>
  <si>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</si>
  <si>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</si>
  <si>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</si>
  <si>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</si>
  <si>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</si>
  <si>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</si>
  <si>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</si>
  <si>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</si>
  <si>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</si>
  <si>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</si>
  <si>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</si>
  <si>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</si>
  <si>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</si>
  <si>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</si>
  <si>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</si>
  <si>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</si>
  <si>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</si>
  <si>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</si>
  <si>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</si>
  <si>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</si>
  <si>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</si>
  <si>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</si>
  <si>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</si>
  <si>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</si>
  <si>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</si>
  <si>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</si>
  <si>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</si>
  <si>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</si>
  <si>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</si>
  <si>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</si>
  <si>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</si>
  <si>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</si>
  <si>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</si>
  <si>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</si>
  <si>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</si>
  <si>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</si>
  <si>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</si>
  <si>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</si>
  <si>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</si>
  <si>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</si>
  <si>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</si>
  <si>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</si>
  <si>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</si>
  <si>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</si>
  <si>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</si>
  <si>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</si>
  <si>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</si>
  <si>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</si>
  <si>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</si>
  <si>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</si>
  <si>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</si>
  <si>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</si>
  <si>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</si>
  <si>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</si>
  <si>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</si>
  <si>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</si>
  <si>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</si>
  <si>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</si>
  <si>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</si>
  <si>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</si>
  <si>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</si>
  <si>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</si>
  <si>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</si>
  <si>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</si>
  <si>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</si>
  <si>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</si>
  <si>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</si>
  <si>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</si>
  <si>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</si>
  <si>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</si>
  <si>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</si>
  <si>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</si>
  <si>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</si>
  <si>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</si>
  <si>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</si>
  <si>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</si>
  <si>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</si>
  <si>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</si>
  <si>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</si>
  <si>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</si>
  <si>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</si>
  <si>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</si>
  <si>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</si>
  <si>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</si>
  <si>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</si>
  <si>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</si>
  <si>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</si>
  <si>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</si>
  <si>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</si>
  <si>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</si>
  <si>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</si>
  <si>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</si>
  <si>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</si>
  <si>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</si>
  <si>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</si>
  <si>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</si>
  <si>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</si>
  <si>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</si>
  <si>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</si>
  <si>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</si>
  <si>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</si>
  <si>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</si>
  <si>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</si>
  <si>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</si>
  <si>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</si>
  <si>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</si>
  <si>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</si>
  <si>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</si>
  <si>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</si>
  <si>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</si>
  <si>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</si>
  <si>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</si>
  <si>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</si>
  <si>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</si>
  <si>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</si>
  <si>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</si>
  <si>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</si>
  <si>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</si>
  <si>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</si>
  <si>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</si>
  <si>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</si>
  <si>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</si>
  <si>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</si>
  <si>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</si>
  <si>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</si>
  <si>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</si>
  <si>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</si>
  <si>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</si>
  <si>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</si>
  <si>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</si>
  <si>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</si>
  <si>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</si>
  <si>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</si>
  <si>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</si>
  <si>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</si>
  <si>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</si>
  <si>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</si>
  <si>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</si>
  <si>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</si>
  <si>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</si>
  <si>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</si>
  <si>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</si>
  <si>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</si>
  <si>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</si>
  <si>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</si>
  <si>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</si>
  <si>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</si>
  <si>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</si>
  <si>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</si>
  <si>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</si>
  <si>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</si>
  <si>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</si>
  <si>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</si>
  <si>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</si>
  <si>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</si>
  <si>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</si>
  <si>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</si>
  <si>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</si>
  <si>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</si>
  <si>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</si>
  <si>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</si>
  <si>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</si>
  <si>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</si>
  <si>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</si>
  <si>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</si>
  <si>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</si>
  <si>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</si>
  <si>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</si>
  <si>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</si>
  <si>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</si>
  <si>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</si>
  <si>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</si>
  <si>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</si>
  <si>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</si>
  <si>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</si>
  <si>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</si>
  <si>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</si>
  <si>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</si>
  <si>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</si>
  <si>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</si>
  <si>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</si>
  <si>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</si>
  <si>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</si>
  <si>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</si>
  <si>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</si>
  <si>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</si>
  <si>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</si>
  <si>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</si>
  <si>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</si>
  <si>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</si>
  <si>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</si>
  <si>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</si>
  <si>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</si>
  <si>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</si>
  <si>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</si>
  <si>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</si>
  <si>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</si>
  <si>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</si>
  <si>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</si>
  <si>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</si>
  <si>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</si>
  <si>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</si>
  <si>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</si>
  <si>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</si>
  <si>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</si>
  <si>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</si>
  <si>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</si>
  <si>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</si>
  <si>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</si>
  <si>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</si>
  <si>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</si>
  <si>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</si>
  <si>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</si>
  <si>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</si>
  <si>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</si>
  <si>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</si>
  <si>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</si>
  <si>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</si>
  <si>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</si>
  <si>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</si>
  <si>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</si>
  <si>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</si>
  <si>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</si>
  <si>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</si>
  <si>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</si>
  <si>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</si>
  <si>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</si>
  <si>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</si>
  <si>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</si>
  <si>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</si>
  <si>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</si>
  <si>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</si>
  <si>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</si>
  <si>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</si>
  <si>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</si>
  <si>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</si>
  <si>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</si>
  <si>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</si>
  <si>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</si>
  <si>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</si>
  <si>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</si>
  <si>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</si>
  <si>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</si>
  <si>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</si>
  <si>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</si>
  <si>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</si>
  <si>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</si>
  <si>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</si>
  <si>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</si>
  <si>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</si>
  <si>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</si>
  <si>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</si>
  <si>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</si>
  <si>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</si>
  <si>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</si>
  <si>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</si>
  <si>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</si>
  <si>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</si>
  <si>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</si>
  <si>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</si>
  <si>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</si>
  <si>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</si>
  <si>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</si>
  <si>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</si>
  <si>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</si>
  <si>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</si>
  <si>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</si>
  <si>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</si>
  <si>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</si>
  <si>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</si>
  <si>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</si>
  <si>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</si>
  <si>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</si>
  <si>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</si>
  <si>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</si>
  <si>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</si>
  <si>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</si>
  <si>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</si>
  <si>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</si>
  <si>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</si>
  <si>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</si>
  <si>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</si>
  <si>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</si>
  <si>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</si>
  <si>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</si>
  <si>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</si>
  <si>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</si>
  <si>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</si>
  <si>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</si>
  <si>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</si>
  <si>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</si>
  <si>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</si>
  <si>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</si>
  <si>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</si>
  <si>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</si>
  <si>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</si>
  <si>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</si>
  <si>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</si>
  <si>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</si>
  <si>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</si>
  <si>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</si>
  <si>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</si>
  <si>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</si>
  <si>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</si>
  <si>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</si>
  <si>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</si>
  <si>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</si>
  <si>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</si>
  <si>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</si>
  <si>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</si>
  <si>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</si>
  <si>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</si>
  <si>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</si>
  <si>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</si>
  <si>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</si>
  <si>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</si>
  <si>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</si>
  <si>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</si>
  <si>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</si>
  <si>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</si>
  <si>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</si>
  <si>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</si>
  <si>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</si>
  <si>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</si>
  <si>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</si>
  <si>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</si>
  <si>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</si>
  <si>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</si>
  <si>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</si>
  <si>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</si>
  <si>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</si>
  <si>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</si>
  <si>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</si>
  <si>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</si>
  <si>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</si>
  <si>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</si>
  <si>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</si>
  <si>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</si>
  <si>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</si>
  <si>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</si>
  <si>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</si>
  <si>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</si>
  <si>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</si>
  <si>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</si>
  <si>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</si>
  <si>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</si>
  <si>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</si>
  <si>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</si>
  <si>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</si>
  <si>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</si>
  <si>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</si>
  <si>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</si>
  <si>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</si>
  <si>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</si>
  <si>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</si>
  <si>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</si>
  <si>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</si>
  <si>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</si>
  <si>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</si>
  <si>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</si>
  <si>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</si>
  <si>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</si>
  <si>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</si>
  <si>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</si>
  <si>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</si>
  <si>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</si>
  <si>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</si>
  <si>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</si>
  <si>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</si>
  <si>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</si>
  <si>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</si>
  <si>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</si>
  <si>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</si>
  <si>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</si>
  <si>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</si>
  <si>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</si>
  <si>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</si>
  <si>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</si>
  <si>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</si>
  <si>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</si>
  <si>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</si>
  <si>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</si>
  <si>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</si>
  <si>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</si>
  <si>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</si>
  <si>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</si>
  <si>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</si>
  <si>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</si>
  <si>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</si>
  <si>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</si>
  <si>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</si>
  <si>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</si>
  <si>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</si>
  <si>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</si>
  <si>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</si>
  <si>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</si>
  <si>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</si>
  <si>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</si>
  <si>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</si>
  <si>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</si>
  <si>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</si>
  <si>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</si>
  <si>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</si>
  <si>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</si>
  <si>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</si>
  <si>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</si>
  <si>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</si>
  <si>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</si>
  <si>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</si>
  <si>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</si>
  <si>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</si>
  <si>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</si>
  <si>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</si>
  <si>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</si>
  <si>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</si>
  <si>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</si>
  <si>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</si>
  <si>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</si>
  <si>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</si>
  <si>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</si>
  <si>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</si>
  <si>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</si>
  <si>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</si>
  <si>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</si>
  <si>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</si>
  <si>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</si>
  <si>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</si>
  <si>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</si>
  <si>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</si>
  <si>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</si>
  <si>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</si>
  <si>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</si>
  <si>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</si>
  <si>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</si>
  <si>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</si>
  <si>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</si>
  <si>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</si>
  <si>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</si>
  <si>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</si>
  <si>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</si>
  <si>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</si>
  <si>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</si>
  <si>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</si>
  <si>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</si>
  <si>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</si>
  <si>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</si>
  <si>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</si>
  <si>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</si>
  <si>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</si>
  <si>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</si>
  <si>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</si>
  <si>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</si>
  <si>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</si>
  <si>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</si>
  <si>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</si>
  <si>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</si>
  <si>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</si>
  <si>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</si>
  <si>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</si>
  <si>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</si>
  <si>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</si>
  <si>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</si>
  <si>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</si>
  <si>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</si>
  <si>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</si>
  <si>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</si>
  <si>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</si>
  <si>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</si>
  <si>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</si>
  <si>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</si>
  <si>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</si>
  <si>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</si>
  <si>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</si>
  <si>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</si>
  <si>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</si>
  <si>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</si>
  <si>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</si>
  <si>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</si>
  <si>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</si>
  <si>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</si>
  <si>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</si>
  <si>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</si>
  <si>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</si>
  <si>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</si>
  <si>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</si>
  <si>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</si>
  <si>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</si>
  <si>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</si>
  <si>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</si>
  <si>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</si>
  <si>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</si>
  <si>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</si>
  <si>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</si>
  <si>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</si>
  <si>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</si>
  <si>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</si>
  <si>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</si>
  <si>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</si>
  <si>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</si>
  <si>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</si>
  <si>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</si>
  <si>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</si>
  <si>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</si>
  <si>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</si>
  <si>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</si>
  <si>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</si>
  <si>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</si>
  <si>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</si>
  <si>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</si>
  <si>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</si>
  <si>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</si>
  <si>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</si>
  <si>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</si>
  <si>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</si>
  <si>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</si>
  <si>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</si>
  <si>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</si>
  <si>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</si>
  <si>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</si>
  <si>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</si>
  <si>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</si>
  <si>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</si>
  <si>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</si>
  <si>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</si>
  <si>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</si>
  <si>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</si>
  <si>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</si>
  <si>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</si>
  <si>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</si>
  <si>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</si>
  <si>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</si>
  <si>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</si>
  <si>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</si>
  <si>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</si>
  <si>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</si>
  <si>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</si>
  <si>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</si>
  <si>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</si>
  <si>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</si>
  <si>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</si>
  <si>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</si>
  <si>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</si>
  <si>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</si>
  <si>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</si>
  <si>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</si>
  <si>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</si>
  <si>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</si>
  <si>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</si>
  <si>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</si>
  <si>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</si>
  <si>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</si>
  <si>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</si>
  <si>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</si>
  <si>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</si>
  <si>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</si>
  <si>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</si>
  <si>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</si>
  <si>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</si>
  <si>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</si>
  <si>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</si>
  <si>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</si>
  <si>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</si>
  <si>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</si>
  <si>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</si>
  <si>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</si>
  <si>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</si>
  <si>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</si>
  <si>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</si>
  <si>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</si>
  <si>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</si>
  <si>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</si>
  <si>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</si>
  <si>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</si>
  <si>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</si>
  <si>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</si>
  <si>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</si>
  <si>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</si>
  <si>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</si>
  <si>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</si>
  <si>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</si>
  <si>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</si>
  <si>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</si>
  <si>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</si>
  <si>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</si>
  <si>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</si>
  <si>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</si>
  <si>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</si>
  <si>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</si>
  <si>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</si>
  <si>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</si>
  <si>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</si>
  <si>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</si>
  <si>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</si>
  <si>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</si>
  <si>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</si>
  <si>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</si>
  <si>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</si>
  <si>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</si>
  <si>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</si>
  <si>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</si>
  <si>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</si>
  <si>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</si>
  <si>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</si>
  <si>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</si>
  <si>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</si>
  <si>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</si>
  <si>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</si>
  <si>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</si>
  <si>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</si>
  <si>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</si>
  <si>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</si>
  <si>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</si>
  <si>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</si>
  <si>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</si>
  <si>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</si>
  <si>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</si>
  <si>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</si>
  <si>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</si>
  <si>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</si>
  <si>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</si>
  <si>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</si>
  <si>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</si>
  <si>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</si>
  <si>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</si>
  <si>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</si>
  <si>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</si>
  <si>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</si>
  <si>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</si>
  <si>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</si>
  <si>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</si>
  <si>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</si>
  <si>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</si>
  <si>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</si>
  <si>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</si>
  <si>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</si>
  <si>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</si>
  <si>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</si>
  <si>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</si>
  <si>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</si>
  <si>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</si>
  <si>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</si>
  <si>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</si>
  <si>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</si>
  <si>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</si>
  <si>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</si>
  <si>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</si>
  <si>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</si>
  <si>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</si>
  <si>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</si>
  <si>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</si>
  <si>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</si>
  <si>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</si>
  <si>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</si>
  <si>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</si>
  <si>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</si>
  <si>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</si>
  <si>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</si>
  <si>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</si>
  <si>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</si>
  <si>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</si>
  <si>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</si>
  <si>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</si>
  <si>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</si>
  <si>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</si>
  <si>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</si>
  <si>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</si>
  <si>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</si>
  <si>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</si>
  <si>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</si>
  <si>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</si>
  <si>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</si>
  <si>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</si>
  <si>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</si>
  <si>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</si>
  <si>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</si>
  <si>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</si>
  <si>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</si>
  <si>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</si>
  <si>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</si>
  <si>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</si>
  <si>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</si>
  <si>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</si>
  <si>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</si>
  <si>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</si>
  <si>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</si>
  <si>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</si>
  <si>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</si>
  <si>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</si>
  <si>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</si>
  <si>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</si>
  <si>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</si>
  <si>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</si>
  <si>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</si>
  <si>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</si>
  <si>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</si>
  <si>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</si>
  <si>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</si>
  <si>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</si>
  <si>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</si>
  <si>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</si>
  <si>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</si>
  <si>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</si>
  <si>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</si>
  <si>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</si>
  <si>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</si>
  <si>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</si>
  <si>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</si>
  <si>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</si>
  <si>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</si>
  <si>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</si>
  <si>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</si>
  <si>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</si>
  <si>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</si>
  <si>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</si>
  <si>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</si>
  <si>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</si>
  <si>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</si>
  <si>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</si>
  <si>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</si>
  <si>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</si>
  <si>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</si>
  <si>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</si>
  <si>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</si>
  <si>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</si>
  <si>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</si>
  <si>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</si>
  <si>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</si>
  <si>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</si>
  <si>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</si>
  <si>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</si>
  <si>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</si>
  <si>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</si>
  <si>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</si>
  <si>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</si>
  <si>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</si>
  <si>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</si>
  <si>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</si>
  <si>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</si>
  <si>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</si>
  <si>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</si>
  <si>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</si>
  <si>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</si>
  <si>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</si>
  <si>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</si>
  <si>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</si>
  <si>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</si>
  <si>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</si>
  <si>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</si>
  <si>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</si>
  <si>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</si>
  <si>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</si>
  <si>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</si>
  <si>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</si>
  <si>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</si>
  <si>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</si>
  <si>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</si>
  <si>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</si>
  <si>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</si>
  <si>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</si>
  <si>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</si>
  <si>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</si>
  <si>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</si>
  <si>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</si>
  <si>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</si>
  <si>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</si>
  <si>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</si>
  <si>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</si>
  <si>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</si>
  <si>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</si>
  <si>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</si>
  <si>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</si>
  <si>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</si>
  <si>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</si>
  <si>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</si>
  <si>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</si>
  <si>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</si>
  <si>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</si>
  <si>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</si>
  <si>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</si>
  <si>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</si>
  <si>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</si>
  <si>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</si>
  <si>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</si>
  <si>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</si>
  <si>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</si>
  <si>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</si>
  <si>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</si>
  <si>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</si>
  <si>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</si>
  <si>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</si>
  <si>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</si>
  <si>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</si>
  <si>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</si>
  <si>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</si>
  <si>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</si>
  <si>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</si>
  <si>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</si>
  <si>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</si>
  <si>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</si>
  <si>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</si>
  <si>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</si>
  <si>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</si>
  <si>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</si>
  <si>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</si>
  <si>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</si>
  <si>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</si>
  <si>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</si>
  <si>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</si>
  <si>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</si>
  <si>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</si>
  <si>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</si>
  <si>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</si>
  <si>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</si>
  <si>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</si>
  <si>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</si>
  <si>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</si>
  <si>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</si>
  <si>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</si>
  <si>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</si>
  <si>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</si>
  <si>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</si>
  <si>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</si>
  <si>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</si>
  <si>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</si>
  <si>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</si>
  <si>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</si>
  <si>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</si>
  <si>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</si>
  <si>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</si>
  <si>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</si>
  <si>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</si>
  <si>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</si>
  <si>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</si>
  <si>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</si>
  <si>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</si>
  <si>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</si>
  <si>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</si>
  <si>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</si>
  <si>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</si>
  <si>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</si>
  <si>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</si>
  <si>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</si>
  <si>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</si>
  <si>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</si>
  <si>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</si>
  <si>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</si>
  <si>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</si>
  <si>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</si>
  <si>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</si>
  <si>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</si>
  <si>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</si>
  <si>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</si>
  <si>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</si>
  <si>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</si>
  <si>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</si>
  <si>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</si>
  <si>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</si>
  <si>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</si>
  <si>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</si>
  <si>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</si>
  <si>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</si>
  <si>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</si>
  <si>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</si>
  <si>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</si>
  <si>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</si>
  <si>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</si>
  <si>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</si>
  <si>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</si>
  <si>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</si>
  <si>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</si>
  <si>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</si>
  <si>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</si>
  <si>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</si>
  <si>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</si>
  <si>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</si>
  <si>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</si>
  <si>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</si>
  <si>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</si>
  <si>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</si>
  <si>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</si>
  <si>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</si>
  <si>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</si>
  <si>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</si>
  <si>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</si>
  <si>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</si>
  <si>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</si>
  <si>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</si>
  <si>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</si>
  <si>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</si>
  <si>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</si>
  <si>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</si>
  <si>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</si>
  <si>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</si>
  <si>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</si>
  <si>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</si>
  <si>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</si>
  <si>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</si>
  <si>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</si>
  <si>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</si>
  <si>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</si>
  <si>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</si>
  <si>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</si>
  <si>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</si>
  <si>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</si>
  <si>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</si>
  <si>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</si>
  <si>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</si>
  <si>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</si>
  <si>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</si>
  <si>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</si>
  <si>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</si>
  <si>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</si>
  <si>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</si>
  <si>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</si>
  <si>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</si>
  <si>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</si>
  <si>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</si>
  <si>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</si>
  <si>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</si>
  <si>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</si>
  <si>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</si>
  <si>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</si>
  <si>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</si>
  <si>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</si>
  <si>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</si>
  <si>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</si>
  <si>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</si>
  <si>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</si>
  <si>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</si>
  <si>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</si>
  <si>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</si>
  <si>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</si>
  <si>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</si>
  <si>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</si>
  <si>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</si>
  <si>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</si>
  <si>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</si>
  <si>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</si>
  <si>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</si>
  <si>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</si>
  <si>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</si>
  <si>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</si>
  <si>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</si>
  <si>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</si>
  <si>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</si>
  <si>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</si>
  <si>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</si>
  <si>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</si>
  <si>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</si>
  <si>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</si>
  <si>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</si>
  <si>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</si>
  <si>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</si>
  <si>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</si>
  <si>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</si>
  <si>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</si>
  <si>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</si>
  <si>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</si>
  <si>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</si>
  <si>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</si>
  <si>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</si>
  <si>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</si>
  <si>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</si>
  <si>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</si>
  <si>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</si>
  <si>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</si>
  <si>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</si>
  <si>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</si>
  <si>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</si>
  <si>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</si>
  <si>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</si>
  <si>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</si>
  <si>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</si>
  <si>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</si>
  <si>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</si>
  <si>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</si>
  <si>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</si>
  <si>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</si>
  <si>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</si>
  <si>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</si>
  <si>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</si>
  <si>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</si>
  <si>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</si>
  <si>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</si>
  <si>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</si>
  <si>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</si>
  <si>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</si>
  <si>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</si>
  <si>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</si>
  <si>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</si>
  <si>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</si>
  <si>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</si>
  <si>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</si>
  <si>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</si>
  <si>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</si>
  <si>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</si>
  <si>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</si>
  <si>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</si>
  <si>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</si>
  <si>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</si>
  <si>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</si>
  <si>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</si>
  <si>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</si>
  <si>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</si>
  <si>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</si>
  <si>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</si>
  <si>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</si>
  <si>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</si>
  <si>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</si>
  <si>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</si>
  <si>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</si>
  <si>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</si>
  <si>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</si>
  <si>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</si>
  <si>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</si>
  <si>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</si>
  <si>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</si>
  <si>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</si>
  <si>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</si>
  <si>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</si>
  <si>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</si>
  <si>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</si>
  <si>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</si>
  <si>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</si>
  <si>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</si>
  <si>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</si>
  <si>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</si>
  <si>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</si>
  <si>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</si>
  <si>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</si>
  <si>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</si>
  <si>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</si>
  <si>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</si>
  <si>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</si>
  <si>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</si>
  <si>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</si>
  <si>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</si>
  <si>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</si>
  <si>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</si>
  <si>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</si>
  <si>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</si>
  <si>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</si>
  <si>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</si>
  <si>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</si>
  <si>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</si>
  <si>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</si>
  <si>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</si>
  <si>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</si>
  <si>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</si>
  <si>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</si>
  <si>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</si>
  <si>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</si>
  <si>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</si>
  <si>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</si>
  <si>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</si>
  <si>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</si>
  <si>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</si>
  <si>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</si>
  <si>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</si>
  <si>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</si>
  <si>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</si>
  <si>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</si>
  <si>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</si>
  <si>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</si>
  <si>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</si>
  <si>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</si>
  <si>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</si>
  <si>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</si>
  <si>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</si>
  <si>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</si>
  <si>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</si>
  <si>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</si>
  <si>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</si>
  <si>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</si>
  <si>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</si>
  <si>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</si>
  <si>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</si>
  <si>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</si>
  <si>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</si>
  <si>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</si>
  <si>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</si>
  <si>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</si>
  <si>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</si>
  <si>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</si>
  <si>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</si>
  <si>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</si>
  <si>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</si>
  <si>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</si>
  <si>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</si>
  <si>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</si>
  <si>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</si>
  <si>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</si>
  <si>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</si>
  <si>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</si>
  <si>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</si>
  <si>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</si>
  <si>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</si>
  <si>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</si>
  <si>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</si>
  <si>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</si>
  <si>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</si>
  <si>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</si>
  <si>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</si>
  <si>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</si>
  <si>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</si>
  <si>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</si>
  <si>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</si>
  <si>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</si>
  <si>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</si>
  <si>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</si>
  <si>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</si>
  <si>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</si>
  <si>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</si>
  <si>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</si>
  <si>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</si>
  <si>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</si>
  <si>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</si>
  <si>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</si>
  <si>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</si>
  <si>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</si>
  <si>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</si>
  <si>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</si>
  <si>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</si>
  <si>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</si>
  <si>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</si>
  <si>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</si>
  <si>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</si>
  <si>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</si>
  <si>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</si>
  <si>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</si>
  <si>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</si>
  <si>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</si>
  <si>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</si>
  <si>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</si>
  <si>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</si>
  <si>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</si>
  <si>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</si>
  <si>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</si>
  <si>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</si>
  <si>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</si>
  <si>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</si>
  <si>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</si>
  <si>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</si>
  <si>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</si>
  <si>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</si>
  <si>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</si>
  <si>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</si>
  <si>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</si>
  <si>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</si>
  <si>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</si>
  <si>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</si>
  <si>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</si>
  <si>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</si>
  <si>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</si>
  <si>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</si>
  <si>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</si>
  <si>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</si>
  <si>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</si>
  <si>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</si>
  <si>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</si>
  <si>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</si>
  <si>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</si>
  <si>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</si>
  <si>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</si>
  <si>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</si>
  <si>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</si>
  <si>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</si>
  <si>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</si>
  <si>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</si>
  <si>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</si>
  <si>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</si>
  <si>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</si>
  <si>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</si>
  <si>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</si>
  <si>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</si>
  <si>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</si>
  <si>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</si>
  <si>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</si>
  <si>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</si>
  <si>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</si>
  <si>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</si>
  <si>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</si>
  <si>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</si>
  <si>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</si>
  <si>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</si>
  <si>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</si>
  <si>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</si>
  <si>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</si>
  <si>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</si>
  <si>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</si>
  <si>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</si>
  <si>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</si>
  <si>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</si>
  <si>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</si>
  <si>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</si>
  <si>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</si>
  <si>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</si>
  <si>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</si>
  <si>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</si>
  <si>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</si>
  <si>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</si>
  <si>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</si>
  <si>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</si>
  <si>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</si>
  <si>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</si>
  <si>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</si>
  <si>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</si>
  <si>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</si>
  <si>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</si>
  <si>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</si>
  <si>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</si>
  <si>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</si>
  <si>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</si>
  <si>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</si>
  <si>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</si>
  <si>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</si>
  <si>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</si>
  <si>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</si>
  <si>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</si>
  <si>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</si>
  <si>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</si>
  <si>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</si>
  <si>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</si>
  <si>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</si>
  <si>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</si>
  <si>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</si>
  <si>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</si>
  <si>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</si>
  <si>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</si>
  <si>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</si>
  <si>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</si>
  <si>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</si>
  <si>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</si>
  <si>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</si>
  <si>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</si>
  <si>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</si>
  <si>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</si>
  <si>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</si>
  <si>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</si>
  <si>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</si>
  <si>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</si>
  <si>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</si>
  <si>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</si>
  <si>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</si>
  <si>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</si>
  <si>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</si>
  <si>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</si>
  <si>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</si>
  <si>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</si>
  <si>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</si>
  <si>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</si>
  <si>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</si>
  <si>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</si>
  <si>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</si>
  <si>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</si>
  <si>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</si>
  <si>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</si>
  <si>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</si>
  <si>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</si>
  <si>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</si>
  <si>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</si>
  <si>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</si>
  <si>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</si>
  <si>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</si>
  <si>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</si>
  <si>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</si>
  <si>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</si>
  <si>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</si>
  <si>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</si>
  <si>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</si>
  <si>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</si>
  <si>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</si>
  <si>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</si>
  <si>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</si>
  <si>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</si>
  <si>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</si>
  <si>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</si>
  <si>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</si>
  <si>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</si>
  <si>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</si>
  <si>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</si>
  <si>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</si>
  <si>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</si>
  <si>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</si>
  <si>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</si>
  <si>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</si>
  <si>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</si>
  <si>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</si>
  <si>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</si>
  <si>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</si>
  <si>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</si>
  <si>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</si>
  <si>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</si>
  <si>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</si>
  <si>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</si>
  <si>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</si>
  <si>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</si>
  <si>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</si>
  <si>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</si>
  <si>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</si>
  <si>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</si>
  <si>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</si>
  <si>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</si>
  <si>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</si>
  <si>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</si>
  <si>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</si>
  <si>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</si>
  <si>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</si>
  <si>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</si>
  <si>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</si>
  <si>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</si>
  <si>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</si>
  <si>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</si>
  <si>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</si>
  <si>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</si>
  <si>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</si>
  <si>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</si>
  <si>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</si>
  <si>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</si>
  <si>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</si>
  <si>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</si>
  <si>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</si>
  <si>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</si>
  <si>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</si>
  <si>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</si>
  <si>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</si>
  <si>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</si>
  <si>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</si>
  <si>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</si>
  <si>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</si>
  <si>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</si>
  <si>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</si>
  <si>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</si>
  <si>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</si>
  <si>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</si>
  <si>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</si>
  <si>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</si>
  <si>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</si>
  <si>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</si>
  <si>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</si>
  <si>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</si>
  <si>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</si>
  <si>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</si>
  <si>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</si>
  <si>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</si>
  <si>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</si>
  <si>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</si>
  <si>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</si>
  <si>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</si>
  <si>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</si>
  <si>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</si>
  <si>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</si>
  <si>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</si>
  <si>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</si>
  <si>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</si>
  <si>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</si>
  <si>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</si>
  <si>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</si>
  <si>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</si>
  <si>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</si>
  <si>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</si>
  <si>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</si>
  <si>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</si>
  <si>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</si>
  <si>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</si>
  <si>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</si>
  <si>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</si>
  <si>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</si>
  <si>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</si>
  <si>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</si>
  <si>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</si>
  <si>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</si>
  <si>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</si>
  <si>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</si>
  <si>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</si>
  <si>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</si>
  <si>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</si>
  <si>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</si>
  <si>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</si>
  <si>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</si>
  <si>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</si>
  <si>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</si>
  <si>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</si>
  <si>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</si>
  <si>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</si>
  <si>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</si>
  <si>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</si>
  <si>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</si>
  <si>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</si>
  <si>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</si>
  <si>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</si>
  <si>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</si>
  <si>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</si>
  <si>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</si>
  <si>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</si>
  <si>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</si>
  <si>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</si>
  <si>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</si>
  <si>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</si>
  <si>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</si>
  <si>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</si>
  <si>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</si>
  <si>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</si>
  <si>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</si>
  <si>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</si>
  <si>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</si>
  <si>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</si>
  <si>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</si>
  <si>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</si>
  <si>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</si>
  <si>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</si>
  <si>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</si>
  <si>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</si>
  <si>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</si>
  <si>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</si>
  <si>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</si>
  <si>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</si>
  <si>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</si>
  <si>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</si>
  <si>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</si>
  <si>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</si>
  <si>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</si>
  <si>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</si>
  <si>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</si>
  <si>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</si>
  <si>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</si>
  <si>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</si>
  <si>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</si>
  <si>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</si>
  <si>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</si>
  <si>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</si>
  <si>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</si>
  <si>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</si>
  <si>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</si>
  <si>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</si>
  <si>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</si>
  <si>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</si>
  <si>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</si>
  <si>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</si>
  <si>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</si>
  <si>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</si>
  <si>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</si>
  <si>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</si>
  <si>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</si>
  <si>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</si>
  <si>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</si>
  <si>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</si>
  <si>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</si>
  <si>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</si>
  <si>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</si>
  <si>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</si>
  <si>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</si>
  <si>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</si>
  <si>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</si>
  <si>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</si>
  <si>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</si>
  <si>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</si>
  <si>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</si>
  <si>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</si>
  <si>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</si>
  <si>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</si>
  <si>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</si>
  <si>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</si>
  <si>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</si>
  <si>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</si>
  <si>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</si>
  <si>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</si>
  <si>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</si>
  <si>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</si>
  <si>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</si>
  <si>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</si>
  <si>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</si>
  <si>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</si>
  <si>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</si>
  <si>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</si>
  <si>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</si>
  <si>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</si>
  <si>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</si>
  <si>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</si>
  <si>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</si>
  <si>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</si>
  <si>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</si>
  <si>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</si>
  <si>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</si>
  <si>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</si>
  <si>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</si>
  <si>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</si>
  <si>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</si>
  <si>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</si>
  <si>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</si>
  <si>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</si>
  <si>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</si>
  <si>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</si>
  <si>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</si>
  <si>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</si>
  <si>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</si>
  <si>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</si>
  <si>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</si>
  <si>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</si>
  <si>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</si>
  <si>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</si>
  <si>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</si>
  <si>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</si>
  <si>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</si>
  <si>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</si>
  <si>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</si>
  <si>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</si>
  <si>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</si>
  <si>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</si>
  <si>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</si>
  <si>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</si>
  <si>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</si>
  <si>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</si>
  <si>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</si>
  <si>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</si>
  <si>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</si>
  <si>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</si>
  <si>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</si>
  <si>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</si>
  <si>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</si>
  <si>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</si>
  <si>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</si>
  <si>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</si>
  <si>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</si>
  <si>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</si>
  <si>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</si>
  <si>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</si>
  <si>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</si>
  <si>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</si>
  <si>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</si>
  <si>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</si>
  <si>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</si>
  <si>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</si>
  <si>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</si>
  <si>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</si>
  <si>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</si>
  <si>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</si>
  <si>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</si>
  <si>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</si>
  <si>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</si>
  <si>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</si>
  <si>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</si>
  <si>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</si>
  <si>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</si>
  <si>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</si>
  <si>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</si>
  <si>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</si>
  <si>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</si>
  <si>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</si>
  <si>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</si>
  <si>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</si>
  <si>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</si>
  <si>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</si>
  <si>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</si>
  <si>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</si>
  <si>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</si>
  <si>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</si>
  <si>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</si>
  <si>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</si>
  <si>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</si>
  <si>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</si>
  <si>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</si>
  <si>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</si>
  <si>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</si>
  <si>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</si>
  <si>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</si>
  <si>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</si>
  <si>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</si>
  <si>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</si>
  <si>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</si>
  <si>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</si>
  <si>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</si>
  <si>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</si>
  <si>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</si>
  <si>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</si>
  <si>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</si>
  <si>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</si>
  <si>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</si>
  <si>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</si>
  <si>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</si>
  <si>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</si>
  <si>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</si>
  <si>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</si>
  <si>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</si>
  <si>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</si>
  <si>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</si>
  <si>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</si>
  <si>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</si>
  <si>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</si>
  <si>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</si>
  <si>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</si>
  <si>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</si>
  <si>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</si>
  <si>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</si>
  <si>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</si>
  <si>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</si>
  <si>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</si>
  <si>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</si>
  <si>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</si>
  <si>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</si>
  <si>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</si>
  <si>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</si>
  <si>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</si>
  <si>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</si>
  <si>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</si>
  <si>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</si>
  <si>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</si>
  <si>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</si>
  <si>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</si>
  <si>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</si>
  <si>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</si>
  <si>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</si>
  <si>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</si>
  <si>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</si>
  <si>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</si>
  <si>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</si>
  <si>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</si>
  <si>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</si>
  <si>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</si>
  <si>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</si>
  <si>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</si>
  <si>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</si>
  <si>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</si>
  <si>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</si>
  <si>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</si>
  <si>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</si>
  <si>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</si>
  <si>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</si>
  <si>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</si>
  <si>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</si>
  <si>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</si>
  <si>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</si>
  <si>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</si>
  <si>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</si>
  <si>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</si>
  <si>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</si>
  <si>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</si>
  <si>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</si>
  <si>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</si>
  <si>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</si>
  <si>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</si>
  <si>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</si>
  <si>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</si>
  <si>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</si>
  <si>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</si>
  <si>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</si>
  <si>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</si>
  <si>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</si>
  <si>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</si>
  <si>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</si>
  <si>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</si>
  <si>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</si>
  <si>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</si>
  <si>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</si>
  <si>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</si>
  <si>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</si>
  <si>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</si>
  <si>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</si>
  <si>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</si>
  <si>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</si>
  <si>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</si>
  <si>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</si>
  <si>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</si>
  <si>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</si>
  <si>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</si>
  <si>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</si>
  <si>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</si>
  <si>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</si>
  <si>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</si>
  <si>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</si>
  <si>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</si>
  <si>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</si>
  <si>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</si>
  <si>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</si>
  <si>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</si>
  <si>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</si>
  <si>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</si>
  <si>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</si>
  <si>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</si>
  <si>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</si>
  <si>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</si>
  <si>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</si>
  <si>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</si>
  <si>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</si>
  <si>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</si>
  <si>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</si>
  <si>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</si>
  <si>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</si>
  <si>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</si>
  <si>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</si>
  <si>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</si>
  <si>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</si>
  <si>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</si>
  <si>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</si>
  <si>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</si>
  <si>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</si>
  <si>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</si>
  <si>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</si>
  <si>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</si>
  <si>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</si>
  <si>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</si>
  <si>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</si>
  <si>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</si>
  <si>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</si>
  <si>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</si>
  <si>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</si>
  <si>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</si>
  <si>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</si>
  <si>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</si>
  <si>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</si>
  <si>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</si>
  <si>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</si>
  <si>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</si>
  <si>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</si>
  <si>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</si>
  <si>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</si>
  <si>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</si>
  <si>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</si>
  <si>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</si>
  <si>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</si>
  <si>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</si>
  <si>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</si>
  <si>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</si>
  <si>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</si>
  <si>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</si>
  <si>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</si>
  <si>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</si>
  <si>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</si>
  <si>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</si>
  <si>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</si>
  <si>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</si>
  <si>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</si>
  <si>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</si>
  <si>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</si>
  <si>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</si>
  <si>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</si>
  <si>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</si>
  <si>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</si>
  <si>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</si>
  <si>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</si>
  <si>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</si>
  <si>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</si>
  <si>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</si>
  <si>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</si>
  <si>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</si>
  <si>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</si>
  <si>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</si>
  <si>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</si>
  <si>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</si>
  <si>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</si>
  <si>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</si>
  <si>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</si>
  <si>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</si>
  <si>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</si>
  <si>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</si>
  <si>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</si>
  <si>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</si>
  <si>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</si>
  <si>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</si>
  <si>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</si>
  <si>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</si>
  <si>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</si>
  <si>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</si>
  <si>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</si>
  <si>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</si>
  <si>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</si>
  <si>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</si>
  <si>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</si>
  <si>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</si>
  <si>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</si>
  <si>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</si>
  <si>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</si>
  <si>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</si>
  <si>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</si>
  <si>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</si>
  <si>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</si>
  <si>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</si>
  <si>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</si>
  <si>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</si>
  <si>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</si>
  <si>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</si>
  <si>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</si>
  <si>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</si>
  <si>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</si>
  <si>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</si>
  <si>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</si>
  <si>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</si>
  <si>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</si>
  <si>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</si>
  <si>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</si>
  <si>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</si>
  <si>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</si>
  <si>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</si>
  <si>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</si>
  <si>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</si>
  <si>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</si>
  <si>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</si>
  <si>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</si>
  <si>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</si>
  <si>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</si>
  <si>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</si>
  <si>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</si>
  <si>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</si>
  <si>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</si>
  <si>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</si>
  <si>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</si>
  <si>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</si>
  <si>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</si>
  <si>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</si>
  <si>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</si>
  <si>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</si>
  <si>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</si>
  <si>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</si>
  <si>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</si>
  <si>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</si>
  <si>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</si>
  <si>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</si>
  <si>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</si>
  <si>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</si>
  <si>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</si>
  <si>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</si>
  <si>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</si>
  <si>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</si>
  <si>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</si>
  <si>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</si>
  <si>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</si>
  <si>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</si>
  <si>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</si>
  <si>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</si>
  <si>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</si>
  <si>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</si>
  <si>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</si>
  <si>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</si>
  <si>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</si>
  <si>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</si>
  <si>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</si>
  <si>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</si>
  <si>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</si>
  <si>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</si>
  <si>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</si>
  <si>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</si>
  <si>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</si>
  <si>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</si>
  <si>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</si>
  <si>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</si>
  <si>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</si>
  <si>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</si>
  <si>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</si>
  <si>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</si>
  <si>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</si>
  <si>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</si>
  <si>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</si>
  <si>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</si>
  <si>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</si>
  <si>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</si>
  <si>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</si>
  <si>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</si>
  <si>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</si>
  <si>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</si>
  <si>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</si>
  <si>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</si>
  <si>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</si>
  <si>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</si>
  <si>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</si>
  <si>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</si>
  <si>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</si>
  <si>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</si>
  <si>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</si>
  <si>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</si>
  <si>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</si>
  <si>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</si>
  <si>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</si>
  <si>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</si>
  <si>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</si>
  <si>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</si>
  <si>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</si>
  <si>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</si>
  <si>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</si>
  <si>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</si>
  <si>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</si>
  <si>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</si>
  <si>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</si>
  <si>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</si>
  <si>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</si>
  <si>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</si>
  <si>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</si>
  <si>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</si>
  <si>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</si>
  <si>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</si>
  <si>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</si>
  <si>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</si>
  <si>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</si>
  <si>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</si>
  <si>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</si>
  <si>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</si>
  <si>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</si>
  <si>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</si>
  <si>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</si>
  <si>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</si>
  <si>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</si>
  <si>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</si>
  <si>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</si>
  <si>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</si>
  <si>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</si>
  <si>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</si>
  <si>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</si>
  <si>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</si>
  <si>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</si>
  <si>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</si>
  <si>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</si>
  <si>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</si>
  <si>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</si>
  <si>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</si>
  <si>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</si>
  <si>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</si>
  <si>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</si>
  <si>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</si>
  <si>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</si>
  <si>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</si>
  <si>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</si>
  <si>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</si>
  <si>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</si>
  <si>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</si>
  <si>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</si>
  <si>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</si>
  <si>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</si>
  <si>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</si>
  <si>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</si>
  <si>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</si>
  <si>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</si>
  <si>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</si>
  <si>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</si>
  <si>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</si>
  <si>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</si>
  <si>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</si>
  <si>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</si>
  <si>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</si>
  <si>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</si>
  <si>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</si>
  <si>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</si>
  <si>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</si>
  <si>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</si>
  <si>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</si>
  <si>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</si>
  <si>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</si>
  <si>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</si>
  <si>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</si>
  <si>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</si>
  <si>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</si>
  <si>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</si>
  <si>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</si>
  <si>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</si>
  <si>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</si>
  <si>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</si>
  <si>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</si>
  <si>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</si>
  <si>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</si>
  <si>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</si>
  <si>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</si>
  <si>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</si>
  <si>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</si>
  <si>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</si>
  <si>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</si>
  <si>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</si>
  <si>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</si>
  <si>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</si>
  <si>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</si>
  <si>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</si>
  <si>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</si>
  <si>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</si>
  <si>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</si>
  <si>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</si>
  <si>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</si>
  <si>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</si>
  <si>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</si>
  <si>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</si>
  <si>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</si>
  <si>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</si>
  <si>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</si>
  <si>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</si>
  <si>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</si>
  <si>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</si>
  <si>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</si>
  <si>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</si>
  <si>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</si>
  <si>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</si>
  <si>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</si>
  <si>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</si>
  <si>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</si>
  <si>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</si>
  <si>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</si>
  <si>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</si>
  <si>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</si>
  <si>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</si>
  <si>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</si>
  <si>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</si>
  <si>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</si>
  <si>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</si>
  <si>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</si>
  <si>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</si>
  <si>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</si>
  <si>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</si>
  <si>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</si>
  <si>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</si>
  <si>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</si>
  <si>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</si>
  <si>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</si>
  <si>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</si>
  <si>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</si>
  <si>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</si>
  <si>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</si>
  <si>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</si>
  <si>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</si>
  <si>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</si>
  <si>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</si>
  <si>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</si>
  <si>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</si>
  <si>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</si>
  <si>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</si>
  <si>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</si>
  <si>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</si>
  <si>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</si>
  <si>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</si>
  <si>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</si>
  <si>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</si>
  <si>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</si>
  <si>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</si>
  <si>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</si>
  <si>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</si>
  <si>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</si>
  <si>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</si>
  <si>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</si>
  <si>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</si>
  <si>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</si>
  <si>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</si>
  <si>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</si>
  <si>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</si>
  <si>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</si>
  <si>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</si>
  <si>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</si>
  <si>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</si>
  <si>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</si>
  <si>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</si>
  <si>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</si>
  <si>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</si>
  <si>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</si>
  <si>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</si>
  <si>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</si>
  <si>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</si>
  <si>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</si>
  <si>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</si>
  <si>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</si>
  <si>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</si>
  <si>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</si>
  <si>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</si>
  <si>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</si>
  <si>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</si>
  <si>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</si>
  <si>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</si>
  <si>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</si>
  <si>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</si>
  <si>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</si>
  <si>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</si>
  <si>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</si>
  <si>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</si>
  <si>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</si>
  <si>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</si>
  <si>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</si>
  <si>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</si>
  <si>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</si>
  <si>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</si>
  <si>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</si>
  <si>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</si>
  <si>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</si>
  <si>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</si>
  <si>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</si>
  <si>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</si>
  <si>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</si>
  <si>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</si>
  <si>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</si>
  <si>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</si>
  <si>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</si>
  <si>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</si>
  <si>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</si>
  <si>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</si>
  <si>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</si>
  <si>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</si>
  <si>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</si>
  <si>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</si>
  <si>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</si>
  <si>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</si>
  <si>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</si>
  <si>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</si>
  <si>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</si>
  <si>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</si>
  <si>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</si>
  <si>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</si>
  <si>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</si>
  <si>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</si>
  <si>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</si>
  <si>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</si>
  <si>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</si>
  <si>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</si>
  <si>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</si>
  <si>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</si>
  <si>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</si>
  <si>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</si>
  <si>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</si>
  <si>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</si>
  <si>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</si>
  <si>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</si>
  <si>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</si>
  <si>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</si>
  <si>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</si>
  <si>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</si>
  <si>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</si>
  <si>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</si>
  <si>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</si>
  <si>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</si>
  <si>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</si>
  <si>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</si>
  <si>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</si>
  <si>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</si>
  <si>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</si>
  <si>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</si>
  <si>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</si>
  <si>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</si>
  <si>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</si>
  <si>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</si>
  <si>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</si>
  <si>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</si>
  <si>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</si>
  <si>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</si>
  <si>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</si>
  <si>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</si>
  <si>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</si>
  <si>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</si>
  <si>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</si>
  <si>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</si>
  <si>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</si>
  <si>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</si>
  <si>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</si>
  <si>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</si>
  <si>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</si>
  <si>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</si>
  <si>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</si>
  <si>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</si>
  <si>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</si>
  <si>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</si>
  <si>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</si>
  <si>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</si>
  <si>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</si>
  <si>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</si>
  <si>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</si>
  <si>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</si>
  <si>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</si>
  <si>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</si>
  <si>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</si>
  <si>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</si>
  <si>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</si>
  <si>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</si>
  <si>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</si>
  <si>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</si>
  <si>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</si>
  <si>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</si>
  <si>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</si>
  <si>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</si>
  <si>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</si>
  <si>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</si>
  <si>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</si>
  <si>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</si>
  <si>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</si>
  <si>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</si>
  <si>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</si>
  <si>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</si>
  <si>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</si>
  <si>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</si>
  <si>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</si>
  <si>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</si>
  <si>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</si>
  <si>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</si>
  <si>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</si>
  <si>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</si>
  <si>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</si>
  <si>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</si>
  <si>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</si>
  <si>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</si>
  <si>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</si>
  <si>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</si>
  <si>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</si>
  <si>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</si>
  <si>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</si>
  <si>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</si>
  <si>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</si>
  <si>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</si>
  <si>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</si>
  <si>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</si>
  <si>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</si>
  <si>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</si>
  <si>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</si>
  <si>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</si>
  <si>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</si>
  <si>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</si>
  <si>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</si>
  <si>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</si>
  <si>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</si>
  <si>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</si>
  <si>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</si>
  <si>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</si>
  <si>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</si>
  <si>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</si>
  <si>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</si>
  <si>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</si>
  <si>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</si>
  <si>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</si>
  <si>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</si>
  <si>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</si>
  <si>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</si>
  <si>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</si>
  <si>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</si>
  <si>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</si>
  <si>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</si>
  <si>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</si>
  <si>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</si>
  <si>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</si>
  <si>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</si>
  <si>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</si>
  <si>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</si>
  <si>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</si>
  <si>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</si>
  <si>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</si>
  <si>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</si>
  <si>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</si>
  <si>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</si>
  <si>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</si>
  <si>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</si>
  <si>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</si>
  <si>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</si>
  <si>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</si>
  <si>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</si>
  <si>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</si>
  <si>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</si>
  <si>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</si>
  <si>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</si>
  <si>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</si>
  <si>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</si>
  <si>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</si>
  <si>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</si>
  <si>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</si>
  <si>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</si>
  <si>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</si>
  <si>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</si>
  <si>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</si>
  <si>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</si>
  <si>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</si>
  <si>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</si>
  <si>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</si>
  <si>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</si>
  <si>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</si>
  <si>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</si>
  <si>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</si>
  <si>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</si>
  <si>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</si>
  <si>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</si>
  <si>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</si>
  <si>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</si>
  <si>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</si>
  <si>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</si>
  <si>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</si>
  <si>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</si>
  <si>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</si>
  <si>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</si>
  <si>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</si>
  <si>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</si>
  <si>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</si>
  <si>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</si>
  <si>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</si>
  <si>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</si>
  <si>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</si>
  <si>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</si>
  <si>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</si>
  <si>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</si>
  <si>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</si>
  <si>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</si>
  <si>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</si>
  <si>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</si>
  <si>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</si>
  <si>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</si>
  <si>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</si>
  <si>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</si>
  <si>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</si>
  <si>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</si>
  <si>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</si>
  <si>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</si>
  <si>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</si>
  <si>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</si>
  <si>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</si>
  <si>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</si>
  <si>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</si>
  <si>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</si>
  <si>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</si>
  <si>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</si>
  <si>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</si>
  <si>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</si>
  <si>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</si>
  <si>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</si>
  <si>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</si>
  <si>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</si>
  <si>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</si>
  <si>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</si>
  <si>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</si>
  <si>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</si>
  <si>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</si>
  <si>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</si>
  <si>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</si>
  <si>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</si>
  <si>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</si>
  <si>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</si>
  <si>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</si>
  <si>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</si>
  <si>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</si>
  <si>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</si>
  <si>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</si>
  <si>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</si>
  <si>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</si>
  <si>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</si>
  <si>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</si>
  <si>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</si>
  <si>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</si>
  <si>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</si>
  <si>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</si>
  <si>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</si>
  <si>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</si>
  <si>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</si>
  <si>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</si>
  <si>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</si>
  <si>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</si>
  <si>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</si>
  <si>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</si>
  <si>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</si>
  <si>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</si>
  <si>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</si>
  <si>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</si>
  <si>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</si>
  <si>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</si>
  <si>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</si>
  <si>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</si>
  <si>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</si>
  <si>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</si>
  <si>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</si>
  <si>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</si>
  <si>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</si>
  <si>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</si>
  <si>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</si>
  <si>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</si>
  <si>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</si>
  <si>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</si>
  <si>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</si>
  <si>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</si>
  <si>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</si>
  <si>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</si>
  <si>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</si>
  <si>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</si>
  <si>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</si>
  <si>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</si>
  <si>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</si>
  <si>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</si>
  <si>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</si>
  <si>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</si>
  <si>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</si>
  <si>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</si>
  <si>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</si>
  <si>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</si>
  <si>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</si>
  <si>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</si>
  <si>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</si>
  <si>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</si>
  <si>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</si>
  <si>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</si>
  <si>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</si>
  <si>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</si>
  <si>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</si>
  <si>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</si>
  <si>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</si>
  <si>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</si>
  <si>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</si>
  <si>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</si>
  <si>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</si>
  <si>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</si>
  <si>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</si>
  <si>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</si>
  <si>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</si>
  <si>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</si>
  <si>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</si>
  <si>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</si>
  <si>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</si>
  <si>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</si>
  <si>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</si>
  <si>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</si>
  <si>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</si>
  <si>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</si>
  <si>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</si>
  <si>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</si>
  <si>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</si>
  <si>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</si>
  <si>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</si>
  <si>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</si>
  <si>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</si>
  <si>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</si>
  <si>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</si>
  <si>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</si>
  <si>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</si>
  <si>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</si>
  <si>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</si>
  <si>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</si>
  <si>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</si>
  <si>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</si>
  <si>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</si>
  <si>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</si>
  <si>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</si>
  <si>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</si>
  <si>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</si>
  <si>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</si>
  <si>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</si>
  <si>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</si>
  <si>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</si>
  <si>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</si>
  <si>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</si>
  <si>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</si>
  <si>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</si>
  <si>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</si>
  <si>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</si>
  <si>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</si>
  <si>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</si>
  <si>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</si>
  <si>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</si>
  <si>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</si>
  <si>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</si>
  <si>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</si>
  <si>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</si>
  <si>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</si>
  <si>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</si>
  <si>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</si>
  <si>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</si>
  <si>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</si>
  <si>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</si>
  <si>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</si>
  <si>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</si>
  <si>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</si>
  <si>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</si>
  <si>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</si>
  <si>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</si>
  <si>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</si>
  <si>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</si>
  <si>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</si>
  <si>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</si>
  <si>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</si>
  <si>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</si>
  <si>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</si>
  <si>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</si>
  <si>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</si>
  <si>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</si>
  <si>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</si>
  <si>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</si>
  <si>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</si>
  <si>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</si>
  <si>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</si>
  <si>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</si>
  <si>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</si>
  <si>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</si>
  <si>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</si>
  <si>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</si>
  <si>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</si>
  <si>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</si>
  <si>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</si>
  <si>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</si>
  <si>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</si>
  <si>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</si>
  <si>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</si>
  <si>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</si>
  <si>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</si>
  <si>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</si>
  <si>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</si>
  <si>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</si>
  <si>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</si>
  <si>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</si>
  <si>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</si>
  <si>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</si>
  <si>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</si>
  <si>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</si>
  <si>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</si>
  <si>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</si>
  <si>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</si>
  <si>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</si>
  <si>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</si>
  <si>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</si>
  <si>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</si>
  <si>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</si>
  <si>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</si>
  <si>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</si>
  <si>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</si>
  <si>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</si>
  <si>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</si>
  <si>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</si>
  <si>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</si>
  <si>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</si>
  <si>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</si>
  <si>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</si>
  <si>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</si>
  <si>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</si>
  <si>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</si>
  <si>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</si>
  <si>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</si>
  <si>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</si>
  <si>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</si>
  <si>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</si>
  <si>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</si>
  <si>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</si>
  <si>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</si>
  <si>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</si>
  <si>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</si>
  <si>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</si>
  <si>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</si>
  <si>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</si>
  <si>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</si>
  <si>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</si>
  <si>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</si>
  <si>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</si>
  <si>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</si>
  <si>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</si>
  <si>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</si>
  <si>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</si>
  <si>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</si>
  <si>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</si>
  <si>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</si>
  <si>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</si>
  <si>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</si>
  <si>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</si>
  <si>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</si>
  <si>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</si>
  <si>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</si>
  <si>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</si>
  <si>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</si>
  <si>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</si>
  <si>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</si>
  <si>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</si>
  <si>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</si>
  <si>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</si>
  <si>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</si>
  <si>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</si>
  <si>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</si>
  <si>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</si>
  <si>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</si>
  <si>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</si>
  <si>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</si>
  <si>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</si>
  <si>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</si>
  <si>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</si>
  <si>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</si>
  <si>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</si>
  <si>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</si>
  <si>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</si>
  <si>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</si>
  <si>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</si>
  <si>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</si>
  <si>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</si>
  <si>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</si>
  <si>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</si>
  <si>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</si>
  <si>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</si>
  <si>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</si>
  <si>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</si>
  <si>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</si>
  <si>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</si>
  <si>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</si>
  <si>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</si>
  <si>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</si>
  <si>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</si>
  <si>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</si>
  <si>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</si>
  <si>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</si>
  <si>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</si>
  <si>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</si>
  <si>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</si>
  <si>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</si>
  <si>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</si>
  <si>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</si>
  <si>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</si>
  <si>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</si>
  <si>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</si>
  <si>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</si>
  <si>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</si>
  <si>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</si>
  <si>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</si>
  <si>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</si>
  <si>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</si>
  <si>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</si>
  <si>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</si>
  <si>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</si>
  <si>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</si>
  <si>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</si>
  <si>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</si>
  <si>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</si>
  <si>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</si>
  <si>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</si>
  <si>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</si>
  <si>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</si>
  <si>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</si>
  <si>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</si>
  <si>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</si>
  <si>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</si>
  <si>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</si>
  <si>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</si>
  <si>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</si>
  <si>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</si>
  <si>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</si>
  <si>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</si>
  <si>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</si>
  <si>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</si>
  <si>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</si>
  <si>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</si>
  <si>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</si>
  <si>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</si>
  <si>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</si>
  <si>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</si>
  <si>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</si>
  <si>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</si>
  <si>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</si>
  <si>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</si>
  <si>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</si>
  <si>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</si>
  <si>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</si>
  <si>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</si>
  <si>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</si>
  <si>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</si>
  <si>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</si>
  <si>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</si>
  <si>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</si>
  <si>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</si>
  <si>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</si>
  <si>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</si>
  <si>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</si>
  <si>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</si>
  <si>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</si>
  <si>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</si>
  <si>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</si>
  <si>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</si>
  <si>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</si>
  <si>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</si>
  <si>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</si>
  <si>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</si>
  <si>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</si>
  <si>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</si>
  <si>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</si>
  <si>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</si>
  <si>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</si>
  <si>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</si>
  <si>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</si>
  <si>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</si>
  <si>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</si>
  <si>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</si>
  <si>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</si>
  <si>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</si>
  <si>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</si>
  <si>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</si>
  <si>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</si>
  <si>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</si>
  <si>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</si>
  <si>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</si>
  <si>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</si>
  <si>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</si>
  <si>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</si>
  <si>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</si>
  <si>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</si>
  <si>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</si>
  <si>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</si>
  <si>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</si>
  <si>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</si>
  <si>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</si>
  <si>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</si>
  <si>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</si>
  <si>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</si>
  <si>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</si>
  <si>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</si>
  <si>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</si>
  <si>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</si>
  <si>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</si>
  <si>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</si>
  <si>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</si>
  <si>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</si>
  <si>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</si>
  <si>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</si>
  <si>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</si>
  <si>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</si>
  <si>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</si>
  <si>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</si>
  <si>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</si>
  <si>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</si>
  <si>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</si>
  <si>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</si>
  <si>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</si>
  <si>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</si>
  <si>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</si>
  <si>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</si>
  <si>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</si>
  <si>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</si>
  <si>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</si>
  <si>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</si>
  <si>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</si>
  <si>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</si>
  <si>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</si>
  <si>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</si>
  <si>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</si>
  <si>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</si>
  <si>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</si>
  <si>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</si>
  <si>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</si>
  <si>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</si>
  <si>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</si>
  <si>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</si>
  <si>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</si>
  <si>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</si>
  <si>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</si>
  <si>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</si>
  <si>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</si>
  <si>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</si>
  <si>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</si>
  <si>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</si>
  <si>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</si>
  <si>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</si>
  <si>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</si>
  <si>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</si>
  <si>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</si>
  <si>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</si>
  <si>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</si>
  <si>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</si>
  <si>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</si>
  <si>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</si>
  <si>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</si>
  <si>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</si>
  <si>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</si>
  <si>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</si>
  <si>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</si>
  <si>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</si>
  <si>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</si>
  <si>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</si>
  <si>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</si>
  <si>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</si>
  <si>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</si>
  <si>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</si>
  <si>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</si>
  <si>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</si>
  <si>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</si>
  <si>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</si>
  <si>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</si>
  <si>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</si>
  <si>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</si>
  <si>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</si>
  <si>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</si>
  <si>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</si>
  <si>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</si>
  <si>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</si>
  <si>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</si>
  <si>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</si>
  <si>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</si>
  <si>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</si>
  <si>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</si>
  <si>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</si>
  <si>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</si>
  <si>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</si>
  <si>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</si>
  <si>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</si>
  <si>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</si>
  <si>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</si>
  <si>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</si>
  <si>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</si>
  <si>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</si>
  <si>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</si>
  <si>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</si>
  <si>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</si>
  <si>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</si>
  <si>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</si>
  <si>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</si>
  <si>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</si>
  <si>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</si>
  <si>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</si>
  <si>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</si>
  <si>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</si>
  <si>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</si>
  <si>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</si>
  <si>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</si>
  <si>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</si>
  <si>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</si>
  <si>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</si>
  <si>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</si>
  <si>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</si>
  <si>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</si>
  <si>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</si>
  <si>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</si>
  <si>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</si>
  <si>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</si>
  <si>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</si>
  <si>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</si>
  <si>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</si>
  <si>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</si>
  <si>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</si>
  <si>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</si>
  <si>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</si>
  <si>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</si>
  <si>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</si>
  <si>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</si>
  <si>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</si>
  <si>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</si>
  <si>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</si>
  <si>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</si>
  <si>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</si>
  <si>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</si>
  <si>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</si>
  <si>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</si>
  <si>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</si>
  <si>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</si>
  <si>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</si>
  <si>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</si>
  <si>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</si>
  <si>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</si>
  <si>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</si>
  <si>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</si>
  <si>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</si>
  <si>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</si>
  <si>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</si>
  <si>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</si>
  <si>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</si>
  <si>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</si>
  <si>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</si>
  <si>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</si>
  <si>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</si>
  <si>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</si>
  <si>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</si>
  <si>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</si>
  <si>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</si>
  <si>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</si>
  <si>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</si>
  <si>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</si>
  <si>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</si>
  <si>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</si>
  <si>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</si>
  <si>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</si>
  <si>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</si>
  <si>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</si>
  <si>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</si>
  <si>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</si>
  <si>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</si>
  <si>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</si>
  <si>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</si>
  <si>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</si>
  <si>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</si>
  <si>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</si>
  <si>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</si>
  <si>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</si>
  <si>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</si>
  <si>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</si>
  <si>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</si>
  <si>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</si>
  <si>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</si>
  <si>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</si>
  <si>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</si>
  <si>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</si>
  <si>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</si>
  <si>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</si>
  <si>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</si>
  <si>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</si>
  <si>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</si>
  <si>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</si>
  <si>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</si>
  <si>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</si>
  <si>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</si>
  <si>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</si>
  <si>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</si>
  <si>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</si>
  <si>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</si>
  <si>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</si>
  <si>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</si>
  <si>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</si>
  <si>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</si>
  <si>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</si>
  <si>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</si>
  <si>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</si>
  <si>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</si>
  <si>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</si>
  <si>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</si>
  <si>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</si>
  <si>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</si>
  <si>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</si>
  <si>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</si>
  <si>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</si>
  <si>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</si>
  <si>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</si>
  <si>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</si>
  <si>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</si>
  <si>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</si>
  <si>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</si>
  <si>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</si>
  <si>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</si>
  <si>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</si>
  <si>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</si>
  <si>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</si>
  <si>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</si>
  <si>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</si>
  <si>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</si>
  <si>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</si>
  <si>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</si>
  <si>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</si>
  <si>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</si>
  <si>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</si>
  <si>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</si>
  <si>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</si>
  <si>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</si>
  <si>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</si>
  <si>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</si>
  <si>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</si>
  <si>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</si>
  <si>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</si>
  <si>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</si>
  <si>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</si>
  <si>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</si>
  <si>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</si>
  <si>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</si>
  <si>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</si>
  <si>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</si>
  <si>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</si>
  <si>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</si>
  <si>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</si>
  <si>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</si>
  <si>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</si>
  <si>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</si>
  <si>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</si>
  <si>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</si>
  <si>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</si>
  <si>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</si>
  <si>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</si>
  <si>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</si>
  <si>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</si>
  <si>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</si>
  <si>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</si>
  <si>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</si>
  <si>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</si>
  <si>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</si>
  <si>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</si>
  <si>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</si>
  <si>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</si>
  <si>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</si>
  <si>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</si>
  <si>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</si>
  <si>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</si>
  <si>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</si>
  <si>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</si>
  <si>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</si>
  <si>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</si>
  <si>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</si>
  <si>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</si>
  <si>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</si>
  <si>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</si>
  <si>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</si>
  <si>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</si>
  <si>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</si>
  <si>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</si>
  <si>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</si>
  <si>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</si>
  <si>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</si>
  <si>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</si>
  <si>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</si>
  <si>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</si>
  <si>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</si>
  <si>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</si>
  <si>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</si>
  <si>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</si>
  <si>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</si>
  <si>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</si>
  <si>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</si>
  <si>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</si>
  <si>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</si>
  <si>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</si>
  <si>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</si>
  <si>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</si>
  <si>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</si>
  <si>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</si>
  <si>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</si>
  <si>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</si>
  <si>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</si>
  <si>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</si>
  <si>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</si>
  <si>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</si>
  <si>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</si>
  <si>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</si>
  <si>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</si>
  <si>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</si>
  <si>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</si>
  <si>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</si>
  <si>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</si>
  <si>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</si>
  <si>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</si>
  <si>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</si>
  <si>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</si>
  <si>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</si>
  <si>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</si>
  <si>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</si>
  <si>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</si>
  <si>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</si>
  <si>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</si>
  <si>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</si>
  <si>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</si>
  <si>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</si>
  <si>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</si>
  <si>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</si>
  <si>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</si>
  <si>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</si>
  <si>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</si>
  <si>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</si>
  <si>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</si>
  <si>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</si>
  <si>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</si>
  <si>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</si>
  <si>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</si>
  <si>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</si>
  <si>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</si>
  <si>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</si>
  <si>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</si>
  <si>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</si>
  <si>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</si>
  <si>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</si>
  <si>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</si>
  <si>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</si>
  <si>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</si>
  <si>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</si>
  <si>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</si>
  <si>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</si>
  <si>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</si>
  <si>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</si>
  <si>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</si>
  <si>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</si>
  <si>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</si>
  <si>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</si>
  <si>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</si>
  <si>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</si>
  <si>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</si>
  <si>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</si>
  <si>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</si>
  <si>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</si>
  <si>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</si>
  <si>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</si>
  <si>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</si>
  <si>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</si>
  <si>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</si>
  <si>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</si>
  <si>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</si>
  <si>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</si>
  <si>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</si>
  <si>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</si>
  <si>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</si>
  <si>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</si>
  <si>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</si>
  <si>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</si>
  <si>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</si>
  <si>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</si>
  <si>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</si>
  <si>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</si>
  <si>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</si>
  <si>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</si>
  <si>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</si>
  <si>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</si>
  <si>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</si>
  <si>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</si>
  <si>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</si>
  <si>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</si>
  <si>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</si>
  <si>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</si>
  <si>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</si>
  <si>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</si>
  <si>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</si>
  <si>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</si>
  <si>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</si>
  <si>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</si>
  <si>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</si>
  <si>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</si>
  <si>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</si>
  <si>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</si>
  <si>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</si>
  <si>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</si>
  <si>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</si>
  <si>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</si>
  <si>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</si>
  <si>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</si>
  <si>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</si>
  <si>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</si>
  <si>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</si>
  <si>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</si>
  <si>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</si>
  <si>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</si>
  <si>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</si>
  <si>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</si>
  <si>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</si>
  <si>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</si>
  <si>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</si>
  <si>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</si>
  <si>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</si>
  <si>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</si>
  <si>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</si>
  <si>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</si>
  <si>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</si>
  <si>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</si>
  <si>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</si>
  <si>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</si>
  <si>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</si>
  <si>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</si>
  <si>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</si>
  <si>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</si>
  <si>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</si>
  <si>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</si>
  <si>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</si>
  <si>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</si>
  <si>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</si>
  <si>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</si>
  <si>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</si>
  <si>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</si>
  <si>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</si>
  <si>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</si>
  <si>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</si>
  <si>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</si>
  <si>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</si>
  <si>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</si>
  <si>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</si>
  <si>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</si>
  <si>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</si>
  <si>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</si>
  <si>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</si>
  <si>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</si>
  <si>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</si>
  <si>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</si>
  <si>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</si>
  <si>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</si>
  <si>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</si>
  <si>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</si>
  <si>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</si>
  <si>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</si>
  <si>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</si>
  <si>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</si>
  <si>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</si>
  <si>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</si>
  <si>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</si>
  <si>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</si>
  <si>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</si>
  <si>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</si>
  <si>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</si>
  <si>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</si>
  <si>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</si>
  <si>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</si>
  <si>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</si>
  <si>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</si>
  <si>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</si>
  <si>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</si>
  <si>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</si>
  <si>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</si>
  <si>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</si>
  <si>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</si>
  <si>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</si>
  <si>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</si>
  <si>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</si>
  <si>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</si>
  <si>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</si>
  <si>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</si>
  <si>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</si>
  <si>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</si>
  <si>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</si>
  <si>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</si>
  <si>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</si>
  <si>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</si>
  <si>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</si>
  <si>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</si>
  <si>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</si>
  <si>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</si>
  <si>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</si>
  <si>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</si>
  <si>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</si>
  <si>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</si>
  <si>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</si>
  <si>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</si>
  <si>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</si>
  <si>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</si>
  <si>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</si>
  <si>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</si>
  <si>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</si>
  <si>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</si>
  <si>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</si>
  <si>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</si>
  <si>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</si>
  <si>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</si>
  <si>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</si>
  <si>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</si>
  <si>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</si>
  <si>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</si>
  <si>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</si>
  <si>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</si>
  <si>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</si>
  <si>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</si>
  <si>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</si>
  <si>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</si>
  <si>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</si>
  <si>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</si>
  <si>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</si>
  <si>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</si>
  <si>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</si>
  <si>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</si>
  <si>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</si>
  <si>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</si>
  <si>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</si>
  <si>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</si>
  <si>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</si>
  <si>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</si>
  <si>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</si>
  <si>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</si>
  <si>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</si>
  <si>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</si>
  <si>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</si>
  <si>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</si>
  <si>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</si>
  <si>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</si>
  <si>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</si>
  <si>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</si>
  <si>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</si>
  <si>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</si>
  <si>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</si>
  <si>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</si>
  <si>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</si>
  <si>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</si>
  <si>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</si>
  <si>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</si>
  <si>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</si>
  <si>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</si>
  <si>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</si>
  <si>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</si>
  <si>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</si>
  <si>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</si>
  <si>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</si>
  <si>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</si>
  <si>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</si>
  <si>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</si>
  <si>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</si>
  <si>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</si>
  <si>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</si>
  <si>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</si>
  <si>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</si>
  <si>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</si>
  <si>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</si>
  <si>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</si>
  <si>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</si>
  <si>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</si>
  <si>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</si>
  <si>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</si>
  <si>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</si>
  <si>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</si>
  <si>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</si>
  <si>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</si>
  <si>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</si>
  <si>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</si>
  <si>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</si>
  <si>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</si>
  <si>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</si>
  <si>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</si>
  <si>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</si>
  <si>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</si>
  <si>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</si>
  <si>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</si>
  <si>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</si>
  <si>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</si>
  <si>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</si>
  <si>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</si>
  <si>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</si>
  <si>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</si>
  <si>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</si>
  <si>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</si>
  <si>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</si>
  <si>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</si>
  <si>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</si>
  <si>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</si>
  <si>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</si>
  <si>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</si>
  <si>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</si>
  <si>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</si>
  <si>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</si>
  <si>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</si>
  <si>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</si>
  <si>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</si>
  <si>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</si>
  <si>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</si>
  <si>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</si>
  <si>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</si>
  <si>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</si>
  <si>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</si>
  <si>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</si>
  <si>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</si>
  <si>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</si>
  <si>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</si>
  <si>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</si>
  <si>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</si>
  <si>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</si>
  <si>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</si>
  <si>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</si>
  <si>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</si>
  <si>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</si>
  <si>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</si>
  <si>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</si>
  <si>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</si>
  <si>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</si>
  <si>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</si>
  <si>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</si>
  <si>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</si>
  <si>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</si>
  <si>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</si>
  <si>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</si>
  <si>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</si>
  <si>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</si>
  <si>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</si>
  <si>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</si>
  <si>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</si>
  <si>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</si>
  <si>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</si>
  <si>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</si>
  <si>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</si>
  <si>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</si>
  <si>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</si>
  <si>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</si>
  <si>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</si>
  <si>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</si>
  <si>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</si>
  <si>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</si>
  <si>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</si>
  <si>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</si>
  <si>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</si>
  <si>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</si>
  <si>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</si>
  <si>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</si>
  <si>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</si>
  <si>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</si>
  <si>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</si>
  <si>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</si>
  <si>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</si>
  <si>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</si>
  <si>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</si>
  <si>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</si>
  <si>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</si>
  <si>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</si>
  <si>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</si>
  <si>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</si>
  <si>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</si>
  <si>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</si>
  <si>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</si>
  <si>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</si>
  <si>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</si>
  <si>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</si>
  <si>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</si>
  <si>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</si>
  <si>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</si>
  <si>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</si>
  <si>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</si>
  <si>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</si>
  <si>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</si>
  <si>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</si>
  <si>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</si>
  <si>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</si>
  <si>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</si>
  <si>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</si>
  <si>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</si>
  <si>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</si>
  <si>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</si>
  <si>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</si>
  <si>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</si>
  <si>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</si>
  <si>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</si>
  <si>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</si>
  <si>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</si>
  <si>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</si>
  <si>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</si>
  <si>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</si>
  <si>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</si>
  <si>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</si>
  <si>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</si>
  <si>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</si>
  <si>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</si>
  <si>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</si>
  <si>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</si>
  <si>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</si>
  <si>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</si>
  <si>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</si>
  <si>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</si>
  <si>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</si>
  <si>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</si>
  <si>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</si>
  <si>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</si>
  <si>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</si>
  <si>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</si>
  <si>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</si>
  <si>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</si>
  <si>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</si>
  <si>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</si>
  <si>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</si>
  <si>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</si>
  <si>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</si>
  <si>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</si>
  <si>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</si>
  <si>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</si>
  <si>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</si>
  <si>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</si>
  <si>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</si>
  <si>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</si>
  <si>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</si>
  <si>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</si>
  <si>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</si>
  <si>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</si>
  <si>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</si>
  <si>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</si>
  <si>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</si>
  <si>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</si>
  <si>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</si>
  <si>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</si>
  <si>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</si>
  <si>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</si>
  <si>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</si>
  <si>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</si>
  <si>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</si>
  <si>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</si>
  <si>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</si>
  <si>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</si>
  <si>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</si>
  <si>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</si>
  <si>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</si>
  <si>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</si>
  <si>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</si>
  <si>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</si>
  <si>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</si>
  <si>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</si>
  <si>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</si>
  <si>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</si>
  <si>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</si>
  <si>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</si>
  <si>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</si>
  <si>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</si>
  <si>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</si>
  <si>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</si>
  <si>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</si>
  <si>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</si>
  <si>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</si>
  <si>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</si>
  <si>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</si>
  <si>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</si>
  <si>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</si>
  <si>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</si>
  <si>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</si>
  <si>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</si>
  <si>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</si>
  <si>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</si>
  <si>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</si>
  <si>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</si>
  <si>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</si>
  <si>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</si>
  <si>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</si>
  <si>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</si>
  <si>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</si>
  <si>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</si>
  <si>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</si>
  <si>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</si>
  <si>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</si>
  <si>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</si>
  <si>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</si>
  <si>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</si>
  <si>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</si>
  <si>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</si>
  <si>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</si>
  <si>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</si>
  <si>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</si>
  <si>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</si>
  <si>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</si>
  <si>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</si>
  <si>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</si>
  <si>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</si>
  <si>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</si>
  <si>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</si>
  <si>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</si>
  <si>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</si>
  <si>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</si>
  <si>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</si>
  <si>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</si>
  <si>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</si>
  <si>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</si>
  <si>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</si>
  <si>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</si>
  <si>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</si>
  <si>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</si>
  <si>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</si>
  <si>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</si>
  <si>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</si>
  <si>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</si>
  <si>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</si>
  <si>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</si>
  <si>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</si>
  <si>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</si>
  <si>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</si>
  <si>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</si>
  <si>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</si>
  <si>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</si>
  <si>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</si>
  <si>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</si>
  <si>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</si>
  <si>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</si>
  <si>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</si>
  <si>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</si>
  <si>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</si>
  <si>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</si>
  <si>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</si>
  <si>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</si>
  <si>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</si>
  <si>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</si>
  <si>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</si>
  <si>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</si>
  <si>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</si>
  <si>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</si>
  <si>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</si>
  <si>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</si>
  <si>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</si>
  <si>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</si>
  <si>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</si>
  <si>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</si>
  <si>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</si>
  <si>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</si>
  <si>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</si>
  <si>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</si>
  <si>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</si>
  <si>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</si>
  <si>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</si>
  <si>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</si>
  <si>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</si>
  <si>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</si>
  <si>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</si>
  <si>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</si>
  <si>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</si>
  <si>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</si>
  <si>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</si>
  <si>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</si>
  <si>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</si>
  <si>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</si>
  <si>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</si>
  <si>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</si>
  <si>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</si>
  <si>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</si>
  <si>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</si>
  <si>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</si>
  <si>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</si>
  <si>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</si>
  <si>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</si>
  <si>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</si>
  <si>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</si>
  <si>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</si>
  <si>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</si>
  <si>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</si>
  <si>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</si>
  <si>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</si>
  <si>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</si>
  <si>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</si>
  <si>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</si>
  <si>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</si>
  <si>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</si>
  <si>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</si>
  <si>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</si>
  <si>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</si>
  <si>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</si>
  <si>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</si>
  <si>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</si>
  <si>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</si>
  <si>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</si>
  <si>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</si>
  <si>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</si>
  <si>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</si>
  <si>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</si>
  <si>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</si>
  <si>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</si>
  <si>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</si>
  <si>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</si>
  <si>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</si>
  <si>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</si>
  <si>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</si>
  <si>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</si>
  <si>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</si>
  <si>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</si>
  <si>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</si>
  <si>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</si>
  <si>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</si>
  <si>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</si>
  <si>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</si>
  <si>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</si>
  <si>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</si>
  <si>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</si>
  <si>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</si>
  <si>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</si>
  <si>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</si>
  <si>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</si>
  <si>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</si>
  <si>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</si>
  <si>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</si>
  <si>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</si>
  <si>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</si>
  <si>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</si>
  <si>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</si>
  <si>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</si>
  <si>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</si>
  <si>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</si>
  <si>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</si>
  <si>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</si>
  <si>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</si>
  <si>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</si>
  <si>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</si>
  <si>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</si>
  <si>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</si>
  <si>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</si>
  <si>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</si>
  <si>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</si>
  <si>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</si>
  <si>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</si>
  <si>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</si>
  <si>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</si>
  <si>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</si>
  <si>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</si>
  <si>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</si>
  <si>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</si>
  <si>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</si>
  <si>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</si>
  <si>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</si>
  <si>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</si>
  <si>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</si>
  <si>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</si>
  <si>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</si>
  <si>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</si>
  <si>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</si>
  <si>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</si>
  <si>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</si>
  <si>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</si>
  <si>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</si>
  <si>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</si>
  <si>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</si>
  <si>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</si>
  <si>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</si>
  <si>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</si>
  <si>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</si>
  <si>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</si>
  <si>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</si>
  <si>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</si>
  <si>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</si>
  <si>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</si>
  <si>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</si>
  <si>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</si>
  <si>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</si>
  <si>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</si>
  <si>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</si>
  <si>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</si>
  <si>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</si>
  <si>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</si>
  <si>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</si>
  <si>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</si>
  <si>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</si>
  <si>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</si>
  <si>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</si>
  <si>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</si>
  <si>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</si>
  <si>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</si>
  <si>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</si>
  <si>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</si>
  <si>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</si>
  <si>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</si>
  <si>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</si>
  <si>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</si>
  <si>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</si>
  <si>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</si>
  <si>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</si>
  <si>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</si>
  <si>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</si>
  <si>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</si>
  <si>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</si>
  <si>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</si>
  <si>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</si>
  <si>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</si>
  <si>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</si>
  <si>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</si>
  <si>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</si>
  <si>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</si>
  <si>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</si>
  <si>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</si>
  <si>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</si>
  <si>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</si>
  <si>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</si>
  <si>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</si>
  <si>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</si>
  <si>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</si>
  <si>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</si>
  <si>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</si>
  <si>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</si>
  <si>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</si>
  <si>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</si>
  <si>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</si>
  <si>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</si>
  <si>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</si>
  <si>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</si>
  <si>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</si>
  <si>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</si>
  <si>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</si>
  <si>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</si>
  <si>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</si>
  <si>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</si>
  <si>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</si>
  <si>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</si>
  <si>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</si>
  <si>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</si>
  <si>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</si>
  <si>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</si>
  <si>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</si>
  <si>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</si>
  <si>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</si>
  <si>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</si>
  <si>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</si>
  <si>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</si>
  <si>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</si>
  <si>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</si>
  <si>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</si>
  <si>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</si>
  <si>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</si>
  <si>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</si>
  <si>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</si>
  <si>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</si>
  <si>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</si>
  <si>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</si>
  <si>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</si>
  <si>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</si>
  <si>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</si>
  <si>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</si>
  <si>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</si>
  <si>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</si>
  <si>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</si>
  <si>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</si>
  <si>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</si>
  <si>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</si>
  <si>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</si>
  <si>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</si>
  <si>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</si>
  <si>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</si>
  <si>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</si>
  <si>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</si>
  <si>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</si>
  <si>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</si>
  <si>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</si>
  <si>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</si>
  <si>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</si>
  <si>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</si>
  <si>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</si>
  <si>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</si>
  <si>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</si>
  <si>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</si>
  <si>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</si>
  <si>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</si>
  <si>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</si>
  <si>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</si>
  <si>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</si>
  <si>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</si>
  <si>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</si>
  <si>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</si>
  <si>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</si>
  <si>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</si>
  <si>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</si>
  <si>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</si>
  <si>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</si>
  <si>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</si>
  <si>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</si>
  <si>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</si>
  <si>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</si>
  <si>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</si>
  <si>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</si>
  <si>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</si>
  <si>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</si>
  <si>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</si>
  <si>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</si>
  <si>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</si>
  <si>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</si>
  <si>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</si>
  <si>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</si>
  <si>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</si>
  <si>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</si>
  <si>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</si>
  <si>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</si>
  <si>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</si>
  <si>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</si>
  <si>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</si>
  <si>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</si>
  <si>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</si>
  <si>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</si>
  <si>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</si>
  <si>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</si>
  <si>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</si>
  <si>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</si>
  <si>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</si>
  <si>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</si>
  <si>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</si>
  <si>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</si>
  <si>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</si>
  <si>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</si>
  <si>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</si>
  <si>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</si>
  <si>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</si>
  <si>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</si>
  <si>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</si>
  <si>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</si>
  <si>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</si>
  <si>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</si>
  <si>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</si>
  <si>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</si>
  <si>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</si>
  <si>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</si>
  <si>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</si>
  <si>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</si>
  <si>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</si>
  <si>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</si>
  <si>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</si>
  <si>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</si>
  <si>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</si>
  <si>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</si>
  <si>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</si>
  <si>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</si>
  <si>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</si>
  <si>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</si>
  <si>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</si>
  <si>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</si>
  <si>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</si>
  <si>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</si>
  <si>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</si>
  <si>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</si>
  <si>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</si>
  <si>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</si>
  <si>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</si>
  <si>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</si>
  <si>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</si>
  <si>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</si>
  <si>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</si>
  <si>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</si>
  <si>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</si>
  <si>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</si>
  <si>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</si>
  <si>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</si>
  <si>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</si>
  <si>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</si>
  <si>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</si>
  <si>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</si>
  <si>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</si>
  <si>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</si>
  <si>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</si>
  <si>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</si>
  <si>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</si>
  <si>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</si>
  <si>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</si>
  <si>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</si>
  <si>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</si>
  <si>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</si>
  <si>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</si>
  <si>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</si>
  <si>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</si>
  <si>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</si>
  <si>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</si>
  <si>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</si>
  <si>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</si>
  <si>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</si>
  <si>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</si>
  <si>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</si>
  <si>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</si>
  <si>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</si>
  <si>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</si>
  <si>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</si>
  <si>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</si>
  <si>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</si>
  <si>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</si>
  <si>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</si>
  <si>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</si>
  <si>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</si>
  <si>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</si>
  <si>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</si>
  <si>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</si>
  <si>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</si>
  <si>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</si>
  <si>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</si>
  <si>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</si>
  <si>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</si>
  <si>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</si>
  <si>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</si>
  <si>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</si>
  <si>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</si>
  <si>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</si>
  <si>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</si>
  <si>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</si>
  <si>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</si>
  <si>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</si>
  <si>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</si>
  <si>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</si>
  <si>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</si>
  <si>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</si>
  <si>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</si>
  <si>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</si>
  <si>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</si>
  <si>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</si>
  <si>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</si>
  <si>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</si>
  <si>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</si>
  <si>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</si>
  <si>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</si>
  <si>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</si>
  <si>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</si>
  <si>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</si>
  <si>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</si>
  <si>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</si>
  <si>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</si>
  <si>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</si>
  <si>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</si>
  <si>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</si>
  <si>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</si>
  <si>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</si>
  <si>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</si>
  <si>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</si>
  <si>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</si>
  <si>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</si>
  <si>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</si>
  <si>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</si>
  <si>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</si>
  <si>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</si>
  <si>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</si>
  <si>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</si>
  <si>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</si>
  <si>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</si>
  <si>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</si>
  <si>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</si>
  <si>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</si>
  <si>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</si>
  <si>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</si>
  <si>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</si>
  <si>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</si>
  <si>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</si>
  <si>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</si>
  <si>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</si>
  <si>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</si>
  <si>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</si>
  <si>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</si>
  <si>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</si>
  <si>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</si>
  <si>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</si>
  <si>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</si>
  <si>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</si>
  <si>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</si>
  <si>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</si>
  <si>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</si>
  <si>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</si>
  <si>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</si>
  <si>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</si>
  <si>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</si>
  <si>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</si>
  <si>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</si>
  <si>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</si>
  <si>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</si>
  <si>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</si>
  <si>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</si>
  <si>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</si>
  <si>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</si>
  <si>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</si>
  <si>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</si>
  <si>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</si>
  <si>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</si>
  <si>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</si>
  <si>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</si>
  <si>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</si>
  <si>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</si>
  <si>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</si>
  <si>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</si>
  <si>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</si>
  <si>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</si>
  <si>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</si>
  <si>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</si>
  <si>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</si>
  <si>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</si>
  <si>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</si>
  <si>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</si>
  <si>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</si>
  <si>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</si>
  <si>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</si>
  <si>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</si>
  <si>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</si>
  <si>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</si>
  <si>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</si>
  <si>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</si>
  <si>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</si>
  <si>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</si>
  <si>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</si>
  <si>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</si>
  <si>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</si>
  <si>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</si>
  <si>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</si>
  <si>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</si>
  <si>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</si>
  <si>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</si>
  <si>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</si>
  <si>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</si>
  <si>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</si>
  <si>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</si>
  <si>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</si>
  <si>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</si>
  <si>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</si>
  <si>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</si>
  <si>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</si>
  <si>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</si>
  <si>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</si>
  <si>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</si>
  <si>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</si>
  <si>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</si>
  <si>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</si>
  <si>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</si>
  <si>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</si>
  <si>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</si>
  <si>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</si>
  <si>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</si>
  <si>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</si>
  <si>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</si>
  <si>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</si>
  <si>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</si>
  <si>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</si>
  <si>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</si>
  <si>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</si>
  <si>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</si>
  <si>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</si>
  <si>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</si>
  <si>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</si>
  <si>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</si>
  <si>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</si>
  <si>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</si>
  <si>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</si>
  <si>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</si>
  <si>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</si>
  <si>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</si>
  <si>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</si>
  <si>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</si>
  <si>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</si>
  <si>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</si>
  <si>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</si>
  <si>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</si>
  <si>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</si>
  <si>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</si>
  <si>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</si>
  <si>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</si>
  <si>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</si>
  <si>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</si>
  <si>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</si>
  <si>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</si>
  <si>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</si>
  <si>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</si>
  <si>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</si>
  <si>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</si>
  <si>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</si>
  <si>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</si>
  <si>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</si>
  <si>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</si>
  <si>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</si>
  <si>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</si>
  <si>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</si>
  <si>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</si>
  <si>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</si>
  <si>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</si>
  <si>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</si>
  <si>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</si>
  <si>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</si>
  <si>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</si>
  <si>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</si>
  <si>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</si>
  <si>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</si>
  <si>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</si>
  <si>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</si>
  <si>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</si>
  <si>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</si>
  <si>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</si>
  <si>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</si>
  <si>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</si>
  <si>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</si>
  <si>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</si>
  <si>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</si>
  <si>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</si>
  <si>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</si>
  <si>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</si>
  <si>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</si>
  <si>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</si>
  <si>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</si>
  <si>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</si>
  <si>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</si>
  <si>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</si>
  <si>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</si>
  <si>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</si>
  <si>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</si>
  <si>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</si>
  <si>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</si>
  <si>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</si>
  <si>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</si>
  <si>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</si>
  <si>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</si>
  <si>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</si>
  <si>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</si>
  <si>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</si>
  <si>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</si>
  <si>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</si>
  <si>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</si>
  <si>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</si>
  <si>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</si>
  <si>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</si>
  <si>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</si>
  <si>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</si>
  <si>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</si>
  <si>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</si>
  <si>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</si>
  <si>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</si>
  <si>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</si>
  <si>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</si>
  <si>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</si>
  <si>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</si>
  <si>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</si>
  <si>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</si>
  <si>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</si>
  <si>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</si>
  <si>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</si>
  <si>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</si>
  <si>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</si>
  <si>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</si>
  <si>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</si>
  <si>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</si>
  <si>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</si>
  <si>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</si>
  <si>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</si>
  <si>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</si>
  <si>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</si>
  <si>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</si>
  <si>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</si>
  <si>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</si>
  <si>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</si>
  <si>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</si>
  <si>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</si>
  <si>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</si>
  <si>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</si>
  <si>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</si>
  <si>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</si>
  <si>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</si>
  <si>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</si>
  <si>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</si>
  <si>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</si>
  <si>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</si>
  <si>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</si>
  <si>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</si>
  <si>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</si>
  <si>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</si>
  <si>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</si>
  <si>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</si>
  <si>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</si>
  <si>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</si>
  <si>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</si>
  <si>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</si>
  <si>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</si>
  <si>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</si>
  <si>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</si>
  <si>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</si>
  <si>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</si>
  <si>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</si>
  <si>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</si>
  <si>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</si>
  <si>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</si>
  <si>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</si>
  <si>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</si>
  <si>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</si>
  <si>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</si>
  <si>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</si>
  <si>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</si>
  <si>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</si>
  <si>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</si>
  <si>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</si>
  <si>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</si>
  <si>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</si>
  <si>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</si>
  <si>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</si>
  <si>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</si>
  <si>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</si>
  <si>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</si>
  <si>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</si>
  <si>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</si>
  <si>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</si>
  <si>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</si>
  <si>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</si>
  <si>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</si>
  <si>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</si>
  <si>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</si>
  <si>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</si>
  <si>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</si>
  <si>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</si>
  <si>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</si>
  <si>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</si>
  <si>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</si>
  <si>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</si>
  <si>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</si>
  <si>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</si>
  <si>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</si>
  <si>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</si>
  <si>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</si>
  <si>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</si>
  <si>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</si>
  <si>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</si>
  <si>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</si>
  <si>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</si>
  <si>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</si>
  <si>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</si>
  <si>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</si>
  <si>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</si>
  <si>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</si>
  <si>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</si>
  <si>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</si>
  <si>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</si>
  <si>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</si>
  <si>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</si>
  <si>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</si>
  <si>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</si>
  <si>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</si>
  <si>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</si>
  <si>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</si>
  <si>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</si>
  <si>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</si>
  <si>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</si>
  <si>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</si>
  <si>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</si>
  <si>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</si>
  <si>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</si>
  <si>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</si>
  <si>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</si>
  <si>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</si>
  <si>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</si>
  <si>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</si>
  <si>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</si>
  <si>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</si>
  <si>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</si>
  <si>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</si>
  <si>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</si>
  <si>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</si>
  <si>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</si>
  <si>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</si>
  <si>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</si>
  <si>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</si>
  <si>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</si>
  <si>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</si>
  <si>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</si>
  <si>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</si>
  <si>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</si>
  <si>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</si>
  <si>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</si>
  <si>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</si>
  <si>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</si>
  <si>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</si>
  <si>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</si>
  <si>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</si>
  <si>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</si>
  <si>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</si>
  <si>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</si>
  <si>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</si>
  <si>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</si>
  <si>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</si>
  <si>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</si>
  <si>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</si>
  <si>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</si>
  <si>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</si>
  <si>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</si>
  <si>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</si>
  <si>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</si>
  <si>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</si>
  <si>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</si>
  <si>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</si>
  <si>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</si>
  <si>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</si>
  <si>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</si>
  <si>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</si>
  <si>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</si>
  <si>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</si>
  <si>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</si>
  <si>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</si>
  <si>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</si>
  <si>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</si>
  <si>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</si>
  <si>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</si>
  <si>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</si>
  <si>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</si>
  <si>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</si>
  <si>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</si>
  <si>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</si>
  <si>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</si>
  <si>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</si>
  <si>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</si>
  <si>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</si>
  <si>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</si>
  <si>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</si>
  <si>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</si>
  <si>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</si>
  <si>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</si>
  <si>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</si>
  <si>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</si>
  <si>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</si>
  <si>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</si>
  <si>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</si>
  <si>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</si>
  <si>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</si>
  <si>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</si>
  <si>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</si>
  <si>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</si>
  <si>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</si>
  <si>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</si>
  <si>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</si>
  <si>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</si>
  <si>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</si>
  <si>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</si>
  <si>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</si>
  <si>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</si>
  <si>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</si>
  <si>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</si>
  <si>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</si>
  <si>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</si>
  <si>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</si>
  <si>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</si>
  <si>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</si>
  <si>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</si>
  <si>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</si>
  <si>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</si>
  <si>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</si>
  <si>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</si>
  <si>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</si>
  <si>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</si>
  <si>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</si>
  <si>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</si>
  <si>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</si>
  <si>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</si>
  <si>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</si>
  <si>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</si>
  <si>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</si>
  <si>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</si>
  <si>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</si>
  <si>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</si>
  <si>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</si>
  <si>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</si>
  <si>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</si>
  <si>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</si>
  <si>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</si>
  <si>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</si>
  <si>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</si>
  <si>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</si>
  <si>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</si>
  <si>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</si>
  <si>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</si>
  <si>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</si>
  <si>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</si>
  <si>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</si>
  <si>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</si>
  <si>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</si>
  <si>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</si>
  <si>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</si>
  <si>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</si>
  <si>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</si>
  <si>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</si>
  <si>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</si>
  <si>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</si>
  <si>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</si>
  <si>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</si>
  <si>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</si>
  <si>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</si>
  <si>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</si>
  <si>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</si>
  <si>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</si>
  <si>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</si>
  <si>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</si>
  <si>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</si>
  <si>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</si>
  <si>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</si>
  <si>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</si>
  <si>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</si>
  <si>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</si>
  <si>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</si>
  <si>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</si>
  <si>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</si>
  <si>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</si>
  <si>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</si>
  <si>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</si>
  <si>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</si>
  <si>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</si>
  <si>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</si>
  <si>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</si>
  <si>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</si>
  <si>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</si>
  <si>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</si>
  <si>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</si>
  <si>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</si>
  <si>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</si>
  <si>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</si>
  <si>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</si>
  <si>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</si>
  <si>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</si>
  <si>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</si>
  <si>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</si>
  <si>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</si>
  <si>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</si>
  <si>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</si>
  <si>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</si>
  <si>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</si>
  <si>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</si>
  <si>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</si>
  <si>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</si>
  <si>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</si>
  <si>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</si>
  <si>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</si>
  <si>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</si>
  <si>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</si>
  <si>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</si>
  <si>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</si>
  <si>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</si>
  <si>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</si>
  <si>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</si>
  <si>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</si>
  <si>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</si>
  <si>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</si>
  <si>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</si>
  <si>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</si>
  <si>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</si>
  <si>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</si>
  <si>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</si>
  <si>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</si>
  <si>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</si>
  <si>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</si>
  <si>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</si>
  <si>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</si>
  <si>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</si>
  <si>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</si>
  <si>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</si>
  <si>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</si>
  <si>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</si>
  <si>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</si>
  <si>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</si>
  <si>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</si>
  <si>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</si>
  <si>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</si>
  <si>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</si>
  <si>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</si>
  <si>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</si>
  <si>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</si>
  <si>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</si>
  <si>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</si>
  <si>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</si>
  <si>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</si>
  <si>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</si>
  <si>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</si>
  <si>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</si>
  <si>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</si>
  <si>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</si>
  <si>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</si>
  <si>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</si>
  <si>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</si>
  <si>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</si>
  <si>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</si>
  <si>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</si>
  <si>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</si>
  <si>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</si>
  <si>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</si>
  <si>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</si>
  <si>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</si>
  <si>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</si>
  <si>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</si>
  <si>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</si>
  <si>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</si>
  <si>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</si>
  <si>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</si>
  <si>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</si>
  <si>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</si>
  <si>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</si>
  <si>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</si>
  <si>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</si>
  <si>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</si>
  <si>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</si>
  <si>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</si>
  <si>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</si>
  <si>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</si>
  <si>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</si>
  <si>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</si>
  <si>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</si>
  <si>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</si>
  <si>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</si>
  <si>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</si>
  <si>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</si>
  <si>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</si>
  <si>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</si>
  <si>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</si>
  <si>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</si>
  <si>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</si>
  <si>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</si>
  <si>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</si>
  <si>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</si>
  <si>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</si>
  <si>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</si>
  <si>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</si>
  <si>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</si>
  <si>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</si>
  <si>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</si>
  <si>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</si>
  <si>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</si>
  <si>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</si>
  <si>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</si>
  <si>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</si>
  <si>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</si>
  <si>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</si>
  <si>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</si>
  <si>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</si>
  <si>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</si>
  <si>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</si>
  <si>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</si>
  <si>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</si>
  <si>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</si>
  <si>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</si>
  <si>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</si>
  <si>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</si>
  <si>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</si>
  <si>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</si>
  <si>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</si>
  <si>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</si>
  <si>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</si>
  <si>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</si>
  <si>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</si>
  <si>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</si>
  <si>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</si>
  <si>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</si>
  <si>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</si>
  <si>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</si>
  <si>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</si>
  <si>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</si>
  <si>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</si>
  <si>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</si>
  <si>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</si>
  <si>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</si>
  <si>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</si>
  <si>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</si>
  <si>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</si>
  <si>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</si>
  <si>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</si>
  <si>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</si>
  <si>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</si>
  <si>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</si>
  <si>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</si>
  <si>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</si>
  <si>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</si>
  <si>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</si>
  <si>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</si>
  <si>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</si>
  <si>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</si>
  <si>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</si>
  <si>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</si>
  <si>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</si>
  <si>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</si>
  <si>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</si>
  <si>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</si>
  <si>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</si>
  <si>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</si>
  <si>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</si>
  <si>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</si>
  <si>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</si>
  <si>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</si>
  <si>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</si>
  <si>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</si>
  <si>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</si>
  <si>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</si>
  <si>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</si>
  <si>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</si>
  <si>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</si>
  <si>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</si>
  <si>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</si>
  <si>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</si>
  <si>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</si>
  <si>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</si>
  <si>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</si>
  <si>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</si>
  <si>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</si>
  <si>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</si>
  <si>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</si>
  <si>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</si>
  <si>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</si>
  <si>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</si>
  <si>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</si>
  <si>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</si>
  <si>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</si>
  <si>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</si>
  <si>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</si>
  <si>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</si>
  <si>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</si>
  <si>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</si>
  <si>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</si>
  <si>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</si>
  <si>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</si>
  <si>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</si>
  <si>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</si>
  <si>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</si>
  <si>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</si>
  <si>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</si>
  <si>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</si>
  <si>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</si>
  <si>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</si>
  <si>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</si>
  <si>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</si>
  <si>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</si>
  <si>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</si>
  <si>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</si>
  <si>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</si>
  <si>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</si>
  <si>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</si>
  <si>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</si>
  <si>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</si>
  <si>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</si>
  <si>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</si>
  <si>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</si>
  <si>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</si>
  <si>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</si>
  <si>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</si>
  <si>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</si>
  <si>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</si>
  <si>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</si>
  <si>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</si>
  <si>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</si>
  <si>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</si>
  <si>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</si>
  <si>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</si>
  <si>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</si>
  <si>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</si>
  <si>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</si>
  <si>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</si>
  <si>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</si>
  <si>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</si>
  <si>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</si>
  <si>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</si>
  <si>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</si>
  <si>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</si>
  <si>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</si>
  <si>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</si>
  <si>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</si>
  <si>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</si>
  <si>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</si>
  <si>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</si>
  <si>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</si>
  <si>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</si>
  <si>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</si>
  <si>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</si>
  <si>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</si>
  <si>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</si>
  <si>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</si>
  <si>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</si>
  <si>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</si>
  <si>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</si>
  <si>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</si>
  <si>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</si>
  <si>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</si>
  <si>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</si>
  <si>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</si>
  <si>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</si>
  <si>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</si>
  <si>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</si>
  <si>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</si>
  <si>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</si>
  <si>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</si>
  <si>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</si>
  <si>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</si>
  <si>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</si>
  <si>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</si>
  <si>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</si>
  <si>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</si>
  <si>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</si>
  <si>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</si>
  <si>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</si>
  <si>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</si>
  <si>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</si>
  <si>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</si>
  <si>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</si>
  <si>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</si>
  <si>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</si>
  <si>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</si>
  <si>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</si>
  <si>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</si>
  <si>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</si>
  <si>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</si>
  <si>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</si>
  <si>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</si>
  <si>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</si>
  <si>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</si>
  <si>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</si>
  <si>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</si>
  <si>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</si>
  <si>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</si>
  <si>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</si>
  <si>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</si>
  <si>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</si>
  <si>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</si>
  <si>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</si>
  <si>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</si>
  <si>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</si>
  <si>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</si>
  <si>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</si>
  <si>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</si>
  <si>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</si>
  <si>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</si>
  <si>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</si>
  <si>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</si>
  <si>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</si>
  <si>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</si>
  <si>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</si>
  <si>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</si>
  <si>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</si>
  <si>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</si>
  <si>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</si>
  <si>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</si>
  <si>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</si>
  <si>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</si>
  <si>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</si>
  <si>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</si>
  <si>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</si>
  <si>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</si>
  <si>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</si>
  <si>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</si>
  <si>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</si>
  <si>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</si>
  <si>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</si>
  <si>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</si>
  <si>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</si>
  <si>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</si>
  <si>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</si>
  <si>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</si>
  <si>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</si>
  <si>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</si>
  <si>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</si>
  <si>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</si>
  <si>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</si>
  <si>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</si>
  <si>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</si>
  <si>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</si>
  <si>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</si>
  <si>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</si>
  <si>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</si>
  <si>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</si>
  <si>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</si>
  <si>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</si>
  <si>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</si>
  <si>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</si>
  <si>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</si>
  <si>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</si>
  <si>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</si>
  <si>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</si>
  <si>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</si>
  <si>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</si>
  <si>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</si>
  <si>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</si>
  <si>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</si>
  <si>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</si>
  <si>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</si>
  <si>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</si>
  <si>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</si>
  <si>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</si>
  <si>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</si>
  <si>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</si>
  <si>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</si>
  <si>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</si>
  <si>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</si>
  <si>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</si>
  <si>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</si>
  <si>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</si>
  <si>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</si>
  <si>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</si>
  <si>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</si>
  <si>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</si>
  <si>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</si>
  <si>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</si>
  <si>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</si>
  <si>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</si>
  <si>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</si>
  <si>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</si>
  <si>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</si>
  <si>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</si>
  <si>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</si>
  <si>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</si>
  <si>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</si>
  <si>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</si>
  <si>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</si>
  <si>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</si>
  <si>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</si>
  <si>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</si>
  <si>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</si>
  <si>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</si>
  <si>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</si>
  <si>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</si>
  <si>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</si>
  <si>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</si>
  <si>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</si>
  <si>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</si>
  <si>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</si>
  <si>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</si>
  <si>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</si>
  <si>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</si>
  <si>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</si>
  <si>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</si>
  <si>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</si>
  <si>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</si>
  <si>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</si>
  <si>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</si>
  <si>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</si>
  <si>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</si>
  <si>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</si>
  <si>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</si>
  <si>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</si>
  <si>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</si>
  <si>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</si>
  <si>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</si>
  <si>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</si>
  <si>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</si>
  <si>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</si>
  <si>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</si>
  <si>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</si>
  <si>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</si>
  <si>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</si>
  <si>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</si>
  <si>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</si>
  <si>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</si>
  <si>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</si>
  <si>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</si>
  <si>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</si>
  <si>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</si>
  <si>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</si>
  <si>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</si>
  <si>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</si>
  <si>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</si>
  <si>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</si>
  <si>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</si>
  <si>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</si>
  <si>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</si>
  <si>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</si>
  <si>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</si>
  <si>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</si>
  <si>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</si>
  <si>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</si>
  <si>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</si>
  <si>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</si>
  <si>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</si>
  <si>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</si>
  <si>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</si>
  <si>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</si>
  <si>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</si>
  <si>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</si>
  <si>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</si>
  <si>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</si>
  <si>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</si>
  <si>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</si>
  <si>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</si>
  <si>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</si>
  <si>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</si>
  <si>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</si>
  <si>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</si>
  <si>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</si>
  <si>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</si>
  <si>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</si>
  <si>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</si>
  <si>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</si>
  <si>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</si>
  <si>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</si>
  <si>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</si>
  <si>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</si>
  <si>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</si>
  <si>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</si>
  <si>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</si>
  <si>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</si>
  <si>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</si>
  <si>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</si>
  <si>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</si>
  <si>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</si>
  <si>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</si>
  <si>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</si>
  <si>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</si>
  <si>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</si>
  <si>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</si>
  <si>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</si>
  <si>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</si>
  <si>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</si>
  <si>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</si>
  <si>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</si>
  <si>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</si>
  <si>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</si>
  <si>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</si>
  <si>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</si>
  <si>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</si>
  <si>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</si>
  <si>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</si>
  <si>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</si>
  <si>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</si>
  <si>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</si>
  <si>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</si>
  <si>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</si>
  <si>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</si>
  <si>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</si>
  <si>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</si>
  <si>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</si>
  <si>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</si>
  <si>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</si>
  <si>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</si>
  <si>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</si>
  <si>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</si>
  <si>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</si>
  <si>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</si>
  <si>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</si>
  <si>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</si>
  <si>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</si>
  <si>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</si>
  <si>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</si>
  <si>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</si>
  <si>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</si>
  <si>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</si>
  <si>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</si>
  <si>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</si>
  <si>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</si>
  <si>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</si>
  <si>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</si>
  <si>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</si>
  <si>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</si>
  <si>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</si>
  <si>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</si>
  <si>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</si>
  <si>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</si>
  <si>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</si>
  <si>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</si>
  <si>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</si>
  <si>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</si>
  <si>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</si>
  <si>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</si>
  <si>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</si>
  <si>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</si>
  <si>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</si>
  <si>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</si>
  <si>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</si>
  <si>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</si>
  <si>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</si>
  <si>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</si>
  <si>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</si>
  <si>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</si>
  <si>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</si>
  <si>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</si>
  <si>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</si>
  <si>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</si>
  <si>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</si>
  <si>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</si>
  <si>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</si>
  <si>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</si>
  <si>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</si>
  <si>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</si>
  <si>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</si>
  <si>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</si>
  <si>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</si>
  <si>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</si>
  <si>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</si>
  <si>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</si>
  <si>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</si>
  <si>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</si>
  <si>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</si>
  <si>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</si>
  <si>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</si>
  <si>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</si>
  <si>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</si>
  <si>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</si>
  <si>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</si>
  <si>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</si>
  <si>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</si>
  <si>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</si>
  <si>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</si>
  <si>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</si>
  <si>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</si>
  <si>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</si>
  <si>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</si>
  <si>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</si>
  <si>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</si>
  <si>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</si>
  <si>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</si>
  <si>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</si>
  <si>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</si>
  <si>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</si>
  <si>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</si>
  <si>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</si>
  <si>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</si>
  <si>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</si>
  <si>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</si>
  <si>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</si>
  <si>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</si>
  <si>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</si>
  <si>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</si>
  <si>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</si>
  <si>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</si>
  <si>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</si>
  <si>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</si>
  <si>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</si>
  <si>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</si>
  <si>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</si>
  <si>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</si>
  <si>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</si>
  <si>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</si>
  <si>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</si>
  <si>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</si>
  <si>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</si>
  <si>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</si>
  <si>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</si>
  <si>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</si>
  <si>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</si>
  <si>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</si>
  <si>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</si>
  <si>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</si>
  <si>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</si>
  <si>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</si>
  <si>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</si>
  <si>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</si>
  <si>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</si>
  <si>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</si>
  <si>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</si>
  <si>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</si>
  <si>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</si>
  <si>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</si>
  <si>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</si>
  <si>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</si>
  <si>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</si>
  <si>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</si>
  <si>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</si>
  <si>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</si>
  <si>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</si>
  <si>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</si>
  <si>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</si>
  <si>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</si>
  <si>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</si>
  <si>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</si>
  <si>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</si>
  <si>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</si>
  <si>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</si>
  <si>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</si>
  <si>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</si>
  <si>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</si>
  <si>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</si>
  <si>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</si>
  <si>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</si>
  <si>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</si>
  <si>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</si>
  <si>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</si>
  <si>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</si>
  <si>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</si>
  <si>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</si>
  <si>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</si>
  <si>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</si>
  <si>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</si>
  <si>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</si>
  <si>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</si>
  <si>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</si>
  <si>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</si>
  <si>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</si>
  <si>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</si>
  <si>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</si>
  <si>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</si>
  <si>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</si>
  <si>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</si>
  <si>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</si>
  <si>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</si>
  <si>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</si>
  <si>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</si>
  <si>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</si>
  <si>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</si>
  <si>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</si>
  <si>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</si>
  <si>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</si>
  <si>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</si>
  <si>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</si>
  <si>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</si>
  <si>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</si>
  <si>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</si>
  <si>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</si>
  <si>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</si>
  <si>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</si>
  <si>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</si>
  <si>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</si>
  <si>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</si>
  <si>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</si>
  <si>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</si>
  <si>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</si>
  <si>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</si>
  <si>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</si>
  <si>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</si>
  <si>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</si>
  <si>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</si>
  <si>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</si>
  <si>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</si>
  <si>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</si>
  <si>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</si>
  <si>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</si>
  <si>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</si>
  <si>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</si>
  <si>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</si>
  <si>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</si>
  <si>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</si>
  <si>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</si>
  <si>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</si>
  <si>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</si>
  <si>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</si>
  <si>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</si>
  <si>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</si>
  <si>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</si>
  <si>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</si>
  <si>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</si>
  <si>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</si>
  <si>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</si>
  <si>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</si>
  <si>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</si>
  <si>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</si>
  <si>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</si>
  <si>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</si>
  <si>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</si>
  <si>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</si>
  <si>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</si>
  <si>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</si>
  <si>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</si>
  <si>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</si>
  <si>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</si>
  <si>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</si>
  <si>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</si>
  <si>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</si>
  <si>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</si>
  <si>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</si>
  <si>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</si>
  <si>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</si>
  <si>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</si>
  <si>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</si>
  <si>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</si>
  <si>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</si>
  <si>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</si>
  <si>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</si>
  <si>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</si>
  <si>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</si>
  <si>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</si>
  <si>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</si>
  <si>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</si>
  <si>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</si>
  <si>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</si>
  <si>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</si>
  <si>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</si>
  <si>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</si>
  <si>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</si>
  <si>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</si>
  <si>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</si>
  <si>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</si>
  <si>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</si>
  <si>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</si>
  <si>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</si>
  <si>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</si>
  <si>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</si>
  <si>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</si>
  <si>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</si>
  <si>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</si>
  <si>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</si>
  <si>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</si>
  <si>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</si>
  <si>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</si>
  <si>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</si>
  <si>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</si>
  <si>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</si>
  <si>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</si>
  <si>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</si>
  <si>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</si>
  <si>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</si>
  <si>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</si>
  <si>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</si>
  <si>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</si>
  <si>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</si>
  <si>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</si>
  <si>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</si>
  <si>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</si>
  <si>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</si>
  <si>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</si>
  <si>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</si>
  <si>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</si>
  <si>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</si>
  <si>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</si>
  <si>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</si>
  <si>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</si>
  <si>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</si>
  <si>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</si>
  <si>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</si>
  <si>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</si>
  <si>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</si>
  <si>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</si>
  <si>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</si>
  <si>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</si>
  <si>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</si>
  <si>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</si>
  <si>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</si>
  <si>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</si>
  <si>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</si>
  <si>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</si>
  <si>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</si>
  <si>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</si>
  <si>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</si>
  <si>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</si>
  <si>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</si>
  <si>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</si>
  <si>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</si>
  <si>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</si>
  <si>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</si>
  <si>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</si>
  <si>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</si>
  <si>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</si>
  <si>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</si>
  <si>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</si>
  <si>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</si>
  <si>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</si>
  <si>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</si>
  <si>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</si>
  <si>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</si>
  <si>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</si>
  <si>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</si>
  <si>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</si>
  <si>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</si>
  <si>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</si>
  <si>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</si>
  <si>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</si>
  <si>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</si>
  <si>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</si>
  <si>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</si>
  <si>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</si>
  <si>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</si>
  <si>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</si>
  <si>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</si>
  <si>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</si>
  <si>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</si>
  <si>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</si>
  <si>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</si>
  <si>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</si>
  <si>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</si>
  <si>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</si>
  <si>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</si>
  <si>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</si>
  <si>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</si>
  <si>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</si>
  <si>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</si>
  <si>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</si>
  <si>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</si>
  <si>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</si>
  <si>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</si>
  <si>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</si>
  <si>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</si>
  <si>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</si>
  <si>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</si>
  <si>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</si>
  <si>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</si>
  <si>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</si>
  <si>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</si>
  <si>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</si>
  <si>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</si>
  <si>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</si>
  <si>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</si>
  <si>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</si>
  <si>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</si>
  <si>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</si>
  <si>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</si>
  <si>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</si>
  <si>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</si>
  <si>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</si>
  <si>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</si>
  <si>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</si>
  <si>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</si>
  <si>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</si>
  <si>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</si>
  <si>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</si>
  <si>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</si>
  <si>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</si>
  <si>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</si>
  <si>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</si>
  <si>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</si>
  <si>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</si>
  <si>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</si>
  <si>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</si>
  <si>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</si>
  <si>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</si>
  <si>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</si>
  <si>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</si>
  <si>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</si>
  <si>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</si>
  <si>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</si>
  <si>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</si>
  <si>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</si>
  <si>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</si>
  <si>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</si>
  <si>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</si>
  <si>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</si>
  <si>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</si>
  <si>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</si>
  <si>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</si>
  <si>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</si>
  <si>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</si>
  <si>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</si>
  <si>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</si>
  <si>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</si>
  <si>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</si>
  <si>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</si>
  <si>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</si>
  <si>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</si>
  <si>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</si>
  <si>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</si>
  <si>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</si>
  <si>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</si>
  <si>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</si>
  <si>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</si>
  <si>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</si>
  <si>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</si>
  <si>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</si>
  <si>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</si>
  <si>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</si>
  <si>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</si>
  <si>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</si>
  <si>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</si>
  <si>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</si>
  <si>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</si>
  <si>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</si>
  <si>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</si>
  <si>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</si>
  <si>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</si>
  <si>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</si>
  <si>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</si>
  <si>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</si>
  <si>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</si>
  <si>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</si>
  <si>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</si>
  <si>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</si>
  <si>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</si>
  <si>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</si>
  <si>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</si>
  <si>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</si>
  <si>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</si>
  <si>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</si>
  <si>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</si>
  <si>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</si>
  <si>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</si>
  <si>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</si>
  <si>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</si>
  <si>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</si>
  <si>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</si>
  <si>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</si>
  <si>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</si>
  <si>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</si>
  <si>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</si>
  <si>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</si>
  <si>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</si>
  <si>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</si>
  <si>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</si>
  <si>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</si>
  <si>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</si>
  <si>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</si>
  <si>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</si>
  <si>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</si>
  <si>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</si>
  <si>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</si>
  <si>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</si>
  <si>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</si>
  <si>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</si>
  <si>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</si>
  <si>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</si>
  <si>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</si>
  <si>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</si>
  <si>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</si>
  <si>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</si>
  <si>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</si>
  <si>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</si>
  <si>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</si>
  <si>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</si>
  <si>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</si>
  <si>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</si>
  <si>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</si>
  <si>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</si>
  <si>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</si>
  <si>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</si>
  <si>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</si>
  <si>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</si>
  <si>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</si>
  <si>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</si>
  <si>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</si>
  <si>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</si>
  <si>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</si>
  <si>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</si>
  <si>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</si>
  <si>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</si>
  <si>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</si>
  <si>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</si>
  <si>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</si>
  <si>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</si>
  <si>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</si>
  <si>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</si>
  <si>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</si>
  <si>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</si>
  <si>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</si>
  <si>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</si>
  <si>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</si>
  <si>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</si>
  <si>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</si>
  <si>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</si>
  <si>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</si>
  <si>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</si>
  <si>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</si>
  <si>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</si>
  <si>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</si>
  <si>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</si>
  <si>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</si>
  <si>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</si>
  <si>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</si>
  <si>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</si>
  <si>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</si>
  <si>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</si>
  <si>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</si>
  <si>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</si>
  <si>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</si>
  <si>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</si>
  <si>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</si>
  <si>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</si>
  <si>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</si>
  <si>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</si>
  <si>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</si>
  <si>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</si>
  <si>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</si>
  <si>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</si>
  <si>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</si>
  <si>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</si>
  <si>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</si>
  <si>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</si>
  <si>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</si>
  <si>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</si>
  <si>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</si>
  <si>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</si>
  <si>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</si>
  <si>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</si>
  <si>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</si>
  <si>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</si>
  <si>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</si>
  <si>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</si>
  <si>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</si>
  <si>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</si>
  <si>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</si>
  <si>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</si>
  <si>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</si>
  <si>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</si>
  <si>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</si>
  <si>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</si>
  <si>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</si>
  <si>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</si>
  <si>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</si>
  <si>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</si>
  <si>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</si>
  <si>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</si>
  <si>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</si>
  <si>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</si>
  <si>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</si>
  <si>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</si>
  <si>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</si>
  <si>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</si>
  <si>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</si>
  <si>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</si>
  <si>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</si>
  <si>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</si>
  <si>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</si>
  <si>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</si>
  <si>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</si>
  <si>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</si>
  <si>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</si>
  <si>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</si>
  <si>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</si>
  <si>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</si>
  <si>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</si>
  <si>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</si>
  <si>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</si>
  <si>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</si>
  <si>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</si>
  <si>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</si>
  <si>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</si>
  <si>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</si>
  <si>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</si>
  <si>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</si>
  <si>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</si>
  <si>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</si>
  <si>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</si>
  <si>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</si>
  <si>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</si>
  <si>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</si>
  <si>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</si>
  <si>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</si>
  <si>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</si>
  <si>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</si>
  <si>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</si>
  <si>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</si>
  <si>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</si>
  <si>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</si>
  <si>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</si>
  <si>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</si>
  <si>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</si>
  <si>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</si>
  <si>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</si>
  <si>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</si>
  <si>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</si>
  <si>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</si>
  <si>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</si>
  <si>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</si>
  <si>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</si>
  <si>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</si>
  <si>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</si>
  <si>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</si>
  <si>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</si>
  <si>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</si>
  <si>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</si>
  <si>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</si>
  <si>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</si>
  <si>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</si>
  <si>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</si>
  <si>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</si>
  <si>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</si>
  <si>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</si>
  <si>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</si>
  <si>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</si>
  <si>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</si>
  <si>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</si>
  <si>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</si>
  <si>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</si>
  <si>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</si>
  <si>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</si>
  <si>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</si>
  <si>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</si>
  <si>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</si>
  <si>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</si>
  <si>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</si>
  <si>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</si>
  <si>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</si>
  <si>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</si>
  <si>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</si>
  <si>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</si>
  <si>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</si>
  <si>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</si>
  <si>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</si>
  <si>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</si>
  <si>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</si>
  <si>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</si>
  <si>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</si>
  <si>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</si>
  <si>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</si>
  <si>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</si>
  <si>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</si>
  <si>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</si>
  <si>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</si>
  <si>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</si>
  <si>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</si>
  <si>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</si>
  <si>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</si>
  <si>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</si>
  <si>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</si>
  <si>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</si>
  <si>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</si>
  <si>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</si>
  <si>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</si>
  <si>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</si>
  <si>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</si>
  <si>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</si>
  <si>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</si>
  <si>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</si>
  <si>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</si>
  <si>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</si>
  <si>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</si>
  <si>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</si>
  <si>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</si>
  <si>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</si>
  <si>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</si>
  <si>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</si>
  <si>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</si>
  <si>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</si>
  <si>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</si>
  <si>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</si>
  <si>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</si>
  <si>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</si>
  <si>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</si>
  <si>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</si>
  <si>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</si>
  <si>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</si>
  <si>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</si>
  <si>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</si>
  <si>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</si>
  <si>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</si>
  <si>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</si>
  <si>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</si>
  <si>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</si>
  <si>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</si>
  <si>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</si>
  <si>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</si>
  <si>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</si>
  <si>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</si>
  <si>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</si>
  <si>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</si>
  <si>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</si>
  <si>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</si>
  <si>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</si>
  <si>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</si>
  <si>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</si>
  <si>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</si>
  <si>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</si>
  <si>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</si>
  <si>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</si>
  <si>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</si>
  <si>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</si>
  <si>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</si>
  <si>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</si>
  <si>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</si>
  <si>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</si>
  <si>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</si>
  <si>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</si>
  <si>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</si>
  <si>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</si>
  <si>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</si>
  <si>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</si>
  <si>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</si>
  <si>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</si>
  <si>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</si>
  <si>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</si>
  <si>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</si>
  <si>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</si>
  <si>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</si>
  <si>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</si>
  <si>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</si>
  <si>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</si>
  <si>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</si>
  <si>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</si>
  <si>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</si>
  <si>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</si>
  <si>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</si>
  <si>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</si>
  <si>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</si>
  <si>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</si>
  <si>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</si>
  <si>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</si>
  <si>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</si>
  <si>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</si>
  <si>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</si>
  <si>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</si>
  <si>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</si>
  <si>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</si>
  <si>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</si>
  <si>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</si>
  <si>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</si>
  <si>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</si>
  <si>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</si>
  <si>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</si>
  <si>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</si>
  <si>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</si>
  <si>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</si>
  <si>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</si>
  <si>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</si>
  <si>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</si>
  <si>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</si>
  <si>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</si>
  <si>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</si>
  <si>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</si>
  <si>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</si>
  <si>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</si>
  <si>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</si>
  <si>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</si>
  <si>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</si>
  <si>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</si>
  <si>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</si>
  <si>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</si>
  <si>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</si>
  <si>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</si>
  <si>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</si>
  <si>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</si>
  <si>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</si>
  <si>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</si>
  <si>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</si>
  <si>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</si>
  <si>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</si>
  <si>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</si>
  <si>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</si>
  <si>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</si>
  <si>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</si>
  <si>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</si>
  <si>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</si>
  <si>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</si>
  <si>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</si>
  <si>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</si>
  <si>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</si>
  <si>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</si>
  <si>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</si>
  <si>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</si>
  <si>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</si>
  <si>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</si>
  <si>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</si>
  <si>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</si>
  <si>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</si>
  <si>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</si>
  <si>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</si>
  <si>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</si>
  <si>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</si>
  <si>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</si>
  <si>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</si>
  <si>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</si>
  <si>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</si>
  <si>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</si>
  <si>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</si>
  <si>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</si>
  <si>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</si>
  <si>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</si>
  <si>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</si>
  <si>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</si>
  <si>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</si>
  <si>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</si>
  <si>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</si>
  <si>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</si>
  <si>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</si>
  <si>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</si>
  <si>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</si>
  <si>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</si>
  <si>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</si>
  <si>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</si>
  <si>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</si>
  <si>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</si>
  <si>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</si>
  <si>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</si>
  <si>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</si>
  <si>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</si>
  <si>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</si>
  <si>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</si>
  <si>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</si>
  <si>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</si>
  <si>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</si>
  <si>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</si>
  <si>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</si>
  <si>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</si>
  <si>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</si>
  <si>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</si>
  <si>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</si>
  <si>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</si>
  <si>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</si>
  <si>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</si>
  <si>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</si>
  <si>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</si>
  <si>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</si>
  <si>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</si>
  <si>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</si>
  <si>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</si>
  <si>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</si>
  <si>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</si>
  <si>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</si>
  <si>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</si>
  <si>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</si>
  <si>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</si>
  <si>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</si>
  <si>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</si>
  <si>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</si>
  <si>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</si>
  <si>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</si>
  <si>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</si>
  <si>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</si>
  <si>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</si>
  <si>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</si>
  <si>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</si>
  <si>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</si>
  <si>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</si>
  <si>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</si>
  <si>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</si>
  <si>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</si>
  <si>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</si>
  <si>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</si>
  <si>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</si>
  <si>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</si>
  <si>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</si>
  <si>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</si>
  <si>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</si>
  <si>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</si>
  <si>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</si>
  <si>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</si>
  <si>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</si>
  <si>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</si>
  <si>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</si>
  <si>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</si>
  <si>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</si>
  <si>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</si>
  <si>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</si>
  <si>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</si>
  <si>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</si>
  <si>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</si>
  <si>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</si>
  <si>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</si>
  <si>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</si>
  <si>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</si>
  <si>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</si>
  <si>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</si>
  <si>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</si>
  <si>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</si>
  <si>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</si>
  <si>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</si>
  <si>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</si>
  <si>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</si>
  <si>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</si>
  <si>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</si>
  <si>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</si>
  <si>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</si>
  <si>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</si>
  <si>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</si>
  <si>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</si>
  <si>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</si>
  <si>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</si>
  <si>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</si>
  <si>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</si>
  <si>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</si>
  <si>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</si>
  <si>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</si>
  <si>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</si>
  <si>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</si>
  <si>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</si>
  <si>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</si>
  <si>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</si>
  <si>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</si>
  <si>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</si>
  <si>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</si>
  <si>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</si>
  <si>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</si>
  <si>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</si>
  <si>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</si>
  <si>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</si>
  <si>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</si>
  <si>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</si>
  <si>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</si>
  <si>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</si>
  <si>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</si>
  <si>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</si>
  <si>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</si>
  <si>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</si>
  <si>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</si>
  <si>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</si>
  <si>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</si>
  <si>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</si>
  <si>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</si>
  <si>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</si>
  <si>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</si>
  <si>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</si>
  <si>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</si>
  <si>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</si>
  <si>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</si>
  <si>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</si>
  <si>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</si>
  <si>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</si>
  <si>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</si>
  <si>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</si>
  <si>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</si>
  <si>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</si>
  <si>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</si>
  <si>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</si>
  <si>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</si>
  <si>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</si>
  <si>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</si>
  <si>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</si>
  <si>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</si>
  <si>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</si>
  <si>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</si>
  <si>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</si>
  <si>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</si>
  <si>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</si>
  <si>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</si>
  <si>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</si>
  <si>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</si>
  <si>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</si>
  <si>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</si>
  <si>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</si>
  <si>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</si>
  <si>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</si>
  <si>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</si>
  <si>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</si>
  <si>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</si>
  <si>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</si>
  <si>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</si>
  <si>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</si>
  <si>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</si>
  <si>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</si>
  <si>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</si>
  <si>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</si>
  <si>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</si>
  <si>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</si>
  <si>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</si>
  <si>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</si>
  <si>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</si>
  <si>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</si>
  <si>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</si>
  <si>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</si>
  <si>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</si>
  <si>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</si>
  <si>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</si>
  <si>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</si>
  <si>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</si>
  <si>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</si>
  <si>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</si>
  <si>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</si>
  <si>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</si>
  <si>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</si>
  <si>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</si>
  <si>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</si>
  <si>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</si>
  <si>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</si>
  <si>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</si>
  <si>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</si>
  <si>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</si>
  <si>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</si>
  <si>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</si>
  <si>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</si>
  <si>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</si>
  <si>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</si>
  <si>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</si>
  <si>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</si>
  <si>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</si>
  <si>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</si>
  <si>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</si>
  <si>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</si>
  <si>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</si>
  <si>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</si>
  <si>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</si>
  <si>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</si>
  <si>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</si>
  <si>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</si>
  <si>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</si>
  <si>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</si>
  <si>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</si>
  <si>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</si>
  <si>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</si>
  <si>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</si>
  <si>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</si>
  <si>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</si>
  <si>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</si>
  <si>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</si>
  <si>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</si>
  <si>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</si>
  <si>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</si>
  <si>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</si>
  <si>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</si>
  <si>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</si>
  <si>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</si>
  <si>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</si>
  <si>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</si>
  <si>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</si>
  <si>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</si>
  <si>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</si>
  <si>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</si>
  <si>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</si>
  <si>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</si>
  <si>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</si>
  <si>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</si>
  <si>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</si>
  <si>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</si>
  <si>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</si>
  <si>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</si>
  <si>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</si>
  <si>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</si>
  <si>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</si>
  <si>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</si>
  <si>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</si>
  <si>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</si>
  <si>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</si>
  <si>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</si>
  <si>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</si>
  <si>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</si>
  <si>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</si>
  <si>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</si>
  <si>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</si>
  <si>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</si>
  <si>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</si>
  <si>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</si>
  <si>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</si>
  <si>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</si>
  <si>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</si>
  <si>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</si>
  <si>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</si>
  <si>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</si>
  <si>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</si>
  <si>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</si>
  <si>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</si>
  <si>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</si>
  <si>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</si>
  <si>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</si>
  <si>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</si>
  <si>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</si>
  <si>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</si>
  <si>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</si>
  <si>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</si>
  <si>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</si>
  <si>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</si>
  <si>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</si>
  <si>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</si>
  <si>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</si>
  <si>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</si>
  <si>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</si>
  <si>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</si>
  <si>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</si>
  <si>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</si>
  <si>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</si>
  <si>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</si>
  <si>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</si>
  <si>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</si>
  <si>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</si>
  <si>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</si>
  <si>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</si>
  <si>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</si>
  <si>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</si>
  <si>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</si>
  <si>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</si>
  <si>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</si>
  <si>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</si>
  <si>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</si>
  <si>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</si>
  <si>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</si>
  <si>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</si>
  <si>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</si>
  <si>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</si>
  <si>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</si>
  <si>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</si>
  <si>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</si>
  <si>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</si>
  <si>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</si>
  <si>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</si>
  <si>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</si>
  <si>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</si>
  <si>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</si>
  <si>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</si>
  <si>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</si>
  <si>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</si>
  <si>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</si>
  <si>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</si>
  <si>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</si>
  <si>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</si>
  <si>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</si>
  <si>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</si>
  <si>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</si>
  <si>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</si>
  <si>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</si>
  <si>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</si>
  <si>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</si>
  <si>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</si>
  <si>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</si>
  <si>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</si>
  <si>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</si>
  <si>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</si>
  <si>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</si>
  <si>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</si>
  <si>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</si>
  <si>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</si>
  <si>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</si>
  <si>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</si>
  <si>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</si>
  <si>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</si>
  <si>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</si>
  <si>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</si>
  <si>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</si>
  <si>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</si>
  <si>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</si>
  <si>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</si>
  <si>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</si>
  <si>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</si>
  <si>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</si>
  <si>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</si>
  <si>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</si>
  <si>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</si>
  <si>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</si>
  <si>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</si>
  <si>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</si>
  <si>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</si>
  <si>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</si>
  <si>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</si>
  <si>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</si>
  <si>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</si>
  <si>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</si>
  <si>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</si>
  <si>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</si>
  <si>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</si>
  <si>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</si>
  <si>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</si>
  <si>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</si>
  <si>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</si>
  <si>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</si>
  <si>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</si>
  <si>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</si>
  <si>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</si>
  <si>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</si>
  <si>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</si>
  <si>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</si>
  <si>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</si>
  <si>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</si>
  <si>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</si>
  <si>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</si>
  <si>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</si>
  <si>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</si>
  <si>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</si>
  <si>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</si>
  <si>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</si>
  <si>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</si>
  <si>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</si>
  <si>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</si>
  <si>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</si>
  <si>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</si>
  <si>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</si>
  <si>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</si>
  <si>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</si>
  <si>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</si>
  <si>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</si>
  <si>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</si>
  <si>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</si>
  <si>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</si>
  <si>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</si>
  <si>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</si>
  <si>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</si>
  <si>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</si>
  <si>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</si>
  <si>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</si>
  <si>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</si>
  <si>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</si>
  <si>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</si>
  <si>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</si>
  <si>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</si>
  <si>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</si>
  <si>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</si>
  <si>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</si>
  <si>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</si>
  <si>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</si>
  <si>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</si>
  <si>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</si>
  <si>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</si>
  <si>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</si>
  <si>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</si>
  <si>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</si>
  <si>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</si>
  <si>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</si>
  <si>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</si>
  <si>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</si>
  <si>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</si>
  <si>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</si>
  <si>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</si>
  <si>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</si>
  <si>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</si>
  <si>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</si>
  <si>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</si>
  <si>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</si>
  <si>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</si>
  <si>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</si>
  <si>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</si>
  <si>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</si>
  <si>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</si>
  <si>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</si>
  <si>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</si>
  <si>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</si>
  <si>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</si>
  <si>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</si>
  <si>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</si>
  <si>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</si>
  <si>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</si>
  <si>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</si>
  <si>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</si>
  <si>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</si>
  <si>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</si>
  <si>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</si>
  <si>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</si>
  <si>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</si>
  <si>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</si>
  <si>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</si>
  <si>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</si>
  <si>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</si>
  <si>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</si>
  <si>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</si>
  <si>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</si>
  <si>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</si>
  <si>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</si>
  <si>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</si>
  <si>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</si>
  <si>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</si>
  <si>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</si>
  <si>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</si>
  <si>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</si>
  <si>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</si>
  <si>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</si>
  <si>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</si>
  <si>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</si>
  <si>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</si>
  <si>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</si>
  <si>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</si>
  <si>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</si>
  <si>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</si>
  <si>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</si>
  <si>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</si>
  <si>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</si>
  <si>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</si>
  <si>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</si>
  <si>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</si>
  <si>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</si>
  <si>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</si>
  <si>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</si>
  <si>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</si>
  <si>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</si>
  <si>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</si>
  <si>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</si>
  <si>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</si>
  <si>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</si>
  <si>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</si>
  <si>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</si>
  <si>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</si>
  <si>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</si>
  <si>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</si>
  <si>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</si>
  <si>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</si>
  <si>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</si>
  <si>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</si>
  <si>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</si>
  <si>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</si>
  <si>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</si>
  <si>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</si>
  <si>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</si>
  <si>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</si>
  <si>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</si>
  <si>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</si>
  <si>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</si>
  <si>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</si>
  <si>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</si>
  <si>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</si>
  <si>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</si>
  <si>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</si>
  <si>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</si>
  <si>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</si>
  <si>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</si>
  <si>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</si>
  <si>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</si>
  <si>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</si>
  <si>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</si>
  <si>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</si>
  <si>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</si>
  <si>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</si>
  <si>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</si>
  <si>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</si>
  <si>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</si>
  <si>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</si>
  <si>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</si>
  <si>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</si>
  <si>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</si>
  <si>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</si>
  <si>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</si>
  <si>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</si>
  <si>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</si>
  <si>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</si>
  <si>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</si>
  <si>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</si>
  <si>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</si>
  <si>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</si>
  <si>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</si>
  <si>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</si>
  <si>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</si>
  <si>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</si>
  <si>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</si>
  <si>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</si>
  <si>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</si>
  <si>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</si>
  <si>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</si>
  <si>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</si>
  <si>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</si>
  <si>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</si>
  <si>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</si>
  <si>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</si>
  <si>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</si>
  <si>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</si>
  <si>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</si>
  <si>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</si>
  <si>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</si>
  <si>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</si>
  <si>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</si>
  <si>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</si>
  <si>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</si>
  <si>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</si>
  <si>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</si>
  <si>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</si>
  <si>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</si>
  <si>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</si>
  <si>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</si>
  <si>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</si>
  <si>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</si>
  <si>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</si>
  <si>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</si>
  <si>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</si>
  <si>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</si>
  <si>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</si>
  <si>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</si>
  <si>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</si>
  <si>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</si>
  <si>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</si>
  <si>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</si>
  <si>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</si>
  <si>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</si>
  <si>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</si>
  <si>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</si>
  <si>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</si>
  <si>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</si>
  <si>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</si>
  <si>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</si>
  <si>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</si>
  <si>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</si>
  <si>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</si>
  <si>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</si>
  <si>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</si>
  <si>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</si>
  <si>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</si>
  <si>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</si>
  <si>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</si>
  <si>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</si>
  <si>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</si>
  <si>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</si>
  <si>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</si>
  <si>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</si>
  <si>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</si>
  <si>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</si>
  <si>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</si>
  <si>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</si>
  <si>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</si>
  <si>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</si>
  <si>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</si>
  <si>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</si>
  <si>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</si>
  <si>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</si>
  <si>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</si>
  <si>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</si>
  <si>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</si>
  <si>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</si>
  <si>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</si>
  <si>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</si>
  <si>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</si>
  <si>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</si>
  <si>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</si>
  <si>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</si>
  <si>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</si>
  <si>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</si>
  <si>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</si>
  <si>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</si>
  <si>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</si>
  <si>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</si>
  <si>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</si>
  <si>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</si>
  <si>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</si>
  <si>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</si>
  <si>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</si>
  <si>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</si>
  <si>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</si>
  <si>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</si>
  <si>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</si>
  <si>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</si>
  <si>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</si>
  <si>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</si>
  <si>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</si>
  <si>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</si>
  <si>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</si>
  <si>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</si>
  <si>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</si>
  <si>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</si>
  <si>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</si>
  <si>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</si>
  <si>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</si>
  <si>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</si>
  <si>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</si>
  <si>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</si>
  <si>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</si>
  <si>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</si>
  <si>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</si>
  <si>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</si>
  <si>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</si>
  <si>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</si>
  <si>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</si>
  <si>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</si>
  <si>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</si>
  <si>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</si>
  <si>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</si>
  <si>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</si>
  <si>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</si>
  <si>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</si>
  <si>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</si>
  <si>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</si>
  <si>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</si>
  <si>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</si>
  <si>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</si>
  <si>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</si>
  <si>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</si>
  <si>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</si>
  <si>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</si>
  <si>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</si>
  <si>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</si>
  <si>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</si>
  <si>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</si>
  <si>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</si>
  <si>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</si>
  <si>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</si>
  <si>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</si>
  <si>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</si>
  <si>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</si>
  <si>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</si>
  <si>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</si>
  <si>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</si>
  <si>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</si>
  <si>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</si>
  <si>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</si>
  <si>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</si>
  <si>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</si>
  <si>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</si>
  <si>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</si>
  <si>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</si>
  <si>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</si>
  <si>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</si>
  <si>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</si>
  <si>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</si>
  <si>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</si>
  <si>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</si>
  <si>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</si>
  <si>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</si>
  <si>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</si>
  <si>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</si>
  <si>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</si>
  <si>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</si>
  <si>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</si>
  <si>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</si>
  <si>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</si>
  <si>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</si>
  <si>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</si>
  <si>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</si>
  <si>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</si>
  <si>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</si>
  <si>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</si>
  <si>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</si>
  <si>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</si>
  <si>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</si>
  <si>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</si>
  <si>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</si>
  <si>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</si>
  <si>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</si>
  <si>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</si>
  <si>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</si>
  <si>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</si>
  <si>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</si>
  <si>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</si>
  <si>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</si>
  <si>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</si>
  <si>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</si>
  <si>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</si>
  <si>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</si>
  <si>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</si>
  <si>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</si>
  <si>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</si>
  <si>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</si>
  <si>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</si>
  <si>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</si>
  <si>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</si>
  <si>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</si>
  <si>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</si>
  <si>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</si>
  <si>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</si>
  <si>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</si>
  <si>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</si>
  <si>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</si>
  <si>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</si>
  <si>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</si>
  <si>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</si>
  <si>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</si>
  <si>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</si>
  <si>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</si>
  <si>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</si>
  <si>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</si>
  <si>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</si>
  <si>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</si>
  <si>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</si>
  <si>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</si>
  <si>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</si>
  <si>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</si>
  <si>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</si>
  <si>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</si>
  <si>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</si>
  <si>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</si>
  <si>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</si>
  <si>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</si>
  <si>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</si>
  <si>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</si>
  <si>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</si>
  <si>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</si>
  <si>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</si>
  <si>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</si>
  <si>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</si>
  <si>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</si>
  <si>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</si>
  <si>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</si>
  <si>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</si>
  <si>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</si>
  <si>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</si>
  <si>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</si>
  <si>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</si>
  <si>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</si>
  <si>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</si>
  <si>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</si>
  <si>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</si>
  <si>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</si>
  <si>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</si>
  <si>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</si>
  <si>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</si>
  <si>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</si>
  <si>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</si>
  <si>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</si>
  <si>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</si>
  <si>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</si>
  <si>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</si>
  <si>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</si>
  <si>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</si>
  <si>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</si>
  <si>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</si>
  <si>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</si>
  <si>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</si>
  <si>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</si>
  <si>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</si>
  <si>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</si>
  <si>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</si>
  <si>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</si>
  <si>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</si>
  <si>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</si>
  <si>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</si>
  <si>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</si>
  <si>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</si>
  <si>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</si>
  <si>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</si>
  <si>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</si>
  <si>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</si>
  <si>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</si>
  <si>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</si>
  <si>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</si>
  <si>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</si>
  <si>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</si>
  <si>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</si>
  <si>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</si>
  <si>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</si>
  <si>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</si>
  <si>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</si>
  <si>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</si>
  <si>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</si>
  <si>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</si>
  <si>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</si>
  <si>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</si>
  <si>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</si>
  <si>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</si>
  <si>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</si>
  <si>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</si>
  <si>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</si>
  <si>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</si>
  <si>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</si>
  <si>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</si>
  <si>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</si>
  <si>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</si>
  <si>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</si>
  <si>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</si>
  <si>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</si>
  <si>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</si>
  <si>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</si>
  <si>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</si>
  <si>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</si>
  <si>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</si>
  <si>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</si>
  <si>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</si>
  <si>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</si>
  <si>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</si>
  <si>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</si>
  <si>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</si>
  <si>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</si>
  <si>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</si>
  <si>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</si>
  <si>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</si>
  <si>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</si>
  <si>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</si>
  <si>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</si>
  <si>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</si>
  <si>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</si>
  <si>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</si>
  <si>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</si>
  <si>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</si>
  <si>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</si>
  <si>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</si>
  <si>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</si>
  <si>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</si>
  <si>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</si>
  <si>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</si>
  <si>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</si>
  <si>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</si>
  <si>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</si>
  <si>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</si>
  <si>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</si>
  <si>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</si>
  <si>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</si>
  <si>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</si>
  <si>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</si>
  <si>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</si>
  <si>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</si>
  <si>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</si>
  <si>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</si>
  <si>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</si>
  <si>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</si>
  <si>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</si>
  <si>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</si>
  <si>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</si>
  <si>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</si>
  <si>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</si>
  <si>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</si>
  <si>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</si>
  <si>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</si>
  <si>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</si>
  <si>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</si>
  <si>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</si>
  <si>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</si>
  <si>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</si>
  <si>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</si>
  <si>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</si>
  <si>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</si>
  <si>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</si>
  <si>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</si>
  <si>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</si>
  <si>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</si>
  <si>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</si>
  <si>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</si>
  <si>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</si>
  <si>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</si>
  <si>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</si>
  <si>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</si>
  <si>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</si>
  <si>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</si>
  <si>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</si>
  <si>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</si>
  <si>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</si>
  <si>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</si>
  <si>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</si>
  <si>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</si>
  <si>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</si>
  <si>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</si>
  <si>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</si>
  <si>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</si>
  <si>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</si>
  <si>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</si>
  <si>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</si>
  <si>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</si>
  <si>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</si>
  <si>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</si>
  <si>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</si>
  <si>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</si>
  <si>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</si>
  <si>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</si>
  <si>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</si>
  <si>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</si>
  <si>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</si>
  <si>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</si>
  <si>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</si>
  <si>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</si>
  <si>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</si>
  <si>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</si>
  <si>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</si>
  <si>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</si>
  <si>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</si>
  <si>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</si>
  <si>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</si>
  <si>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</si>
  <si>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</si>
  <si>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</si>
  <si>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</si>
  <si>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</si>
  <si>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</si>
  <si>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</si>
  <si>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</si>
  <si>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</si>
  <si>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</si>
  <si>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</si>
  <si>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</si>
  <si>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</si>
  <si>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</si>
  <si>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</si>
  <si>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</si>
  <si>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</si>
  <si>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</si>
  <si>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</si>
  <si>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</si>
  <si>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</si>
  <si>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</si>
  <si>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</si>
  <si>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</si>
  <si>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</si>
  <si>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</si>
  <si>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</si>
  <si>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</si>
  <si>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</si>
  <si>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</si>
  <si>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</si>
  <si>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</si>
  <si>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</si>
  <si>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</si>
  <si>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</si>
  <si>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</si>
  <si>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</si>
  <si>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</si>
  <si>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</si>
  <si>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</si>
  <si>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</si>
  <si>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</si>
  <si>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</si>
  <si>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</si>
  <si>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</si>
  <si>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</si>
  <si>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</si>
  <si>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</si>
  <si>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</si>
  <si>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</si>
  <si>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</si>
  <si>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</si>
  <si>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</si>
  <si>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</si>
  <si>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</si>
  <si>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</si>
  <si>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</si>
  <si>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</si>
  <si>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</si>
  <si>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</si>
  <si>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</si>
  <si>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</si>
  <si>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</si>
  <si>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</si>
  <si>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</si>
  <si>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</si>
  <si>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</si>
  <si>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</si>
  <si>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</si>
  <si>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</si>
  <si>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</si>
  <si>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</si>
  <si>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</si>
  <si>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</si>
  <si>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</si>
  <si>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</si>
  <si>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</si>
  <si>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</si>
  <si>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</si>
  <si>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</si>
  <si>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</si>
  <si>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</si>
  <si>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</si>
  <si>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</si>
  <si>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</si>
  <si>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</si>
  <si>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</si>
  <si>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</si>
  <si>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</si>
  <si>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</si>
  <si>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</si>
  <si>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</si>
  <si>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</si>
  <si>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</si>
  <si>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</si>
  <si>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</si>
  <si>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</si>
  <si>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</si>
  <si>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</si>
  <si>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</si>
  <si>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</si>
  <si>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</si>
  <si>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</si>
  <si>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</si>
  <si>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</si>
  <si>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</si>
  <si>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</si>
  <si>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</si>
  <si>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</si>
  <si>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</si>
  <si>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</si>
  <si>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</si>
  <si>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</si>
  <si>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</si>
  <si>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</si>
  <si>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</si>
  <si>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</si>
  <si>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</si>
  <si>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</si>
  <si>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</si>
  <si>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</si>
  <si>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</si>
  <si>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</si>
  <si>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</si>
  <si>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</si>
  <si>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</si>
  <si>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</si>
  <si>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</si>
  <si>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</si>
  <si>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</si>
  <si>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</si>
  <si>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</si>
  <si>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</si>
  <si>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</si>
  <si>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</si>
  <si>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</si>
  <si>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</si>
  <si>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</si>
  <si>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</si>
  <si>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</si>
  <si>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</si>
  <si>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</si>
  <si>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</si>
  <si>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</si>
  <si>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</si>
  <si>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</si>
  <si>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</si>
  <si>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</si>
  <si>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</si>
  <si>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</si>
  <si>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</si>
  <si>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</si>
  <si>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</si>
  <si>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</si>
  <si>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</si>
  <si>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</si>
  <si>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</si>
  <si>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</si>
  <si>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</si>
  <si>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</si>
  <si>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</si>
  <si>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</si>
  <si>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</si>
  <si>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</si>
  <si>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</si>
  <si>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</si>
  <si>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</si>
  <si>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</si>
  <si>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</si>
  <si>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</si>
  <si>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</si>
  <si>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</si>
  <si>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</si>
  <si>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</si>
  <si>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</si>
  <si>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</si>
  <si>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</si>
  <si>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</si>
  <si>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</si>
  <si>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</si>
  <si>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</si>
  <si>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</si>
  <si>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</si>
  <si>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</si>
  <si>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</si>
  <si>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</si>
  <si>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</si>
  <si>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</si>
  <si>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</si>
  <si>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</si>
  <si>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</si>
  <si>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</si>
  <si>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</si>
  <si>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</si>
  <si>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</si>
  <si>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</si>
  <si>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</si>
  <si>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</si>
  <si>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</si>
  <si>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</si>
  <si>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</si>
  <si>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</si>
  <si>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</si>
  <si>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</si>
  <si>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</si>
  <si>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</si>
  <si>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</si>
  <si>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</si>
  <si>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</si>
  <si>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</si>
  <si>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</si>
  <si>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</si>
  <si>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</si>
  <si>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</si>
  <si>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</si>
  <si>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</si>
  <si>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</si>
  <si>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</si>
  <si>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</si>
  <si>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</si>
  <si>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</si>
  <si>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</si>
  <si>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</si>
  <si>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</si>
  <si>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</si>
  <si>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</si>
  <si>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</si>
  <si>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</si>
  <si>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</si>
  <si>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</si>
  <si>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</si>
  <si>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</si>
  <si>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</si>
  <si>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</si>
  <si>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</si>
  <si>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</si>
  <si>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</si>
  <si>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</si>
  <si>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</si>
  <si>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</si>
  <si>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</si>
  <si>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</si>
  <si>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</si>
  <si>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</si>
  <si>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</si>
  <si>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</si>
  <si>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</si>
  <si>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</si>
  <si>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</si>
  <si>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</si>
  <si>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</si>
  <si>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</si>
  <si>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</si>
  <si>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</si>
  <si>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</si>
  <si>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</si>
  <si>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</si>
  <si>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</si>
  <si>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</si>
  <si>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</si>
  <si>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</si>
  <si>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</si>
  <si>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</si>
  <si>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</si>
  <si>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</si>
  <si>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</si>
  <si>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</si>
  <si>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</si>
  <si>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</si>
  <si>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</si>
  <si>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</si>
  <si>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</si>
  <si>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</si>
  <si>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</si>
  <si>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</si>
  <si>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</si>
  <si>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</si>
  <si>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</si>
  <si>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</si>
  <si>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</si>
  <si>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</si>
  <si>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</si>
  <si>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</si>
  <si>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</si>
  <si>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</si>
  <si>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</si>
  <si>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</si>
  <si>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</si>
  <si>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</si>
  <si>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</si>
  <si>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</si>
  <si>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</si>
  <si>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</si>
  <si>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</si>
  <si>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</si>
  <si>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</si>
  <si>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</si>
  <si>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</si>
  <si>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</si>
  <si>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</si>
  <si>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</si>
  <si>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</si>
  <si>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</si>
  <si>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</si>
  <si>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</si>
  <si>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</si>
  <si>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</si>
  <si>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</si>
  <si>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</si>
  <si>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</si>
  <si>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</si>
  <si>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</si>
  <si>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</si>
  <si>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</si>
  <si>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</si>
  <si>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</si>
  <si>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</si>
  <si>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</si>
  <si>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</si>
  <si>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</si>
  <si>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</si>
  <si>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</si>
  <si>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</si>
  <si>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</si>
  <si>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</si>
  <si>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</si>
  <si>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</si>
  <si>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</si>
  <si>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</si>
  <si>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</si>
  <si>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</si>
  <si>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</si>
  <si>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</si>
  <si>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</si>
  <si>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</si>
  <si>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</si>
  <si>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</si>
  <si>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</si>
  <si>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</si>
  <si>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</si>
  <si>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</si>
  <si>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</si>
  <si>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</si>
  <si>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</si>
  <si>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</si>
  <si>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</si>
  <si>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</si>
  <si>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</si>
  <si>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</si>
  <si>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</si>
  <si>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</si>
  <si>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</si>
  <si>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</si>
  <si>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</si>
  <si>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</si>
  <si>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</si>
  <si>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</si>
  <si>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</si>
  <si>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</si>
  <si>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</si>
  <si>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</si>
  <si>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</si>
  <si>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</si>
  <si>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</si>
  <si>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</si>
  <si>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</si>
  <si>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</si>
  <si>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</si>
  <si>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</si>
  <si>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</si>
  <si>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</si>
  <si>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</si>
  <si>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</si>
  <si>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</si>
  <si>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</si>
  <si>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</si>
  <si>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</si>
  <si>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</si>
  <si>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</si>
  <si>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</si>
  <si>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</si>
  <si>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</si>
  <si>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</si>
  <si>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</si>
  <si>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</si>
  <si>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</si>
  <si>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</si>
  <si>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</si>
  <si>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</si>
  <si>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</si>
  <si>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</si>
  <si>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</si>
  <si>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</si>
  <si>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</si>
  <si>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</si>
  <si>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</si>
  <si>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</si>
  <si>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</si>
  <si>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</si>
  <si>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</si>
  <si>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</si>
  <si>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</si>
  <si>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</si>
  <si>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</si>
  <si>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</si>
  <si>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</si>
  <si>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</si>
  <si>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</si>
  <si>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</si>
  <si>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</si>
  <si>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</si>
  <si>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</si>
  <si>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</si>
  <si>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</si>
  <si>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</si>
  <si>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</si>
  <si>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</si>
  <si>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</si>
  <si>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</si>
  <si>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</si>
  <si>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</si>
  <si>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</si>
  <si>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</si>
  <si>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</si>
  <si>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</si>
  <si>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</si>
  <si>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</si>
  <si>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</si>
  <si>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</si>
  <si>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</si>
  <si>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</si>
  <si>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</si>
  <si>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</si>
  <si>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</si>
  <si>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</si>
  <si>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</si>
  <si>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</si>
  <si>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</si>
  <si>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</si>
  <si>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</si>
  <si>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</si>
  <si>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</si>
  <si>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</si>
  <si>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</si>
  <si>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</si>
  <si>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</si>
  <si>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</si>
  <si>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</si>
  <si>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</si>
  <si>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</si>
  <si>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</si>
  <si>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</si>
  <si>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</si>
  <si>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</si>
  <si>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</si>
  <si>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</si>
  <si>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</si>
  <si>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</si>
  <si>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</si>
  <si>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</si>
  <si>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</si>
  <si>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</si>
  <si>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</si>
  <si>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</si>
  <si>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</si>
  <si>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</si>
  <si>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</si>
  <si>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</si>
  <si>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</si>
  <si>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</si>
  <si>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</si>
  <si>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</si>
  <si>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</si>
  <si>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</si>
  <si>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</si>
  <si>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</si>
  <si>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</si>
  <si>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</si>
  <si>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</si>
  <si>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</si>
  <si>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</si>
  <si>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</si>
  <si>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</si>
  <si>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</si>
  <si>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</si>
  <si>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</si>
  <si>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</si>
  <si>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</si>
  <si>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</si>
  <si>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</si>
  <si>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</si>
  <si>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</si>
  <si>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</si>
  <si>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</si>
  <si>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</si>
  <si>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</si>
  <si>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</si>
  <si>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</si>
  <si>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</si>
  <si>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</si>
  <si>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</si>
  <si>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</si>
  <si>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</si>
  <si>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</si>
  <si>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</si>
  <si>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</si>
  <si>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</si>
  <si>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</si>
  <si>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</si>
  <si>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</si>
  <si>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</si>
  <si>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</si>
  <si>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</si>
  <si>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</si>
  <si>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</si>
  <si>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</si>
  <si>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</si>
  <si>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</si>
  <si>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</si>
  <si>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</si>
  <si>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</si>
  <si>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</si>
  <si>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</si>
  <si>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</si>
  <si>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</si>
  <si>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</si>
  <si>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</si>
  <si>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</si>
  <si>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</si>
  <si>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</si>
  <si>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</si>
  <si>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</si>
  <si>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</si>
  <si>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</si>
  <si>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</si>
  <si>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</si>
  <si>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</si>
  <si>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</si>
  <si>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</si>
  <si>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</si>
  <si>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</si>
  <si>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</si>
  <si>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</si>
  <si>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</si>
  <si>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</si>
  <si>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</si>
  <si>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</si>
  <si>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</si>
  <si>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</si>
  <si>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</si>
  <si>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</si>
  <si>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</si>
  <si>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</si>
  <si>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</si>
  <si>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</si>
  <si>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</si>
  <si>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</si>
  <si>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</si>
  <si>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</si>
  <si>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</si>
  <si>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</si>
  <si>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</si>
  <si>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</si>
  <si>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</si>
  <si>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</si>
  <si>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</si>
  <si>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</si>
  <si>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</si>
  <si>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</si>
  <si>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</si>
  <si>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</si>
  <si>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</si>
  <si>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</si>
  <si>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</si>
  <si>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</si>
  <si>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</si>
  <si>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</si>
  <si>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</si>
  <si>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</si>
  <si>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</si>
  <si>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</si>
  <si>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</si>
  <si>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</si>
  <si>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</si>
  <si>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</si>
  <si>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</si>
  <si>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</si>
  <si>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</si>
  <si>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</si>
  <si>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</si>
  <si>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</si>
  <si>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</si>
  <si>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</si>
  <si>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</si>
  <si>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</si>
  <si>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</si>
  <si>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</si>
  <si>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</si>
  <si>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</si>
  <si>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</si>
  <si>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</si>
  <si>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</si>
  <si>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</si>
  <si>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</si>
  <si>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</si>
  <si>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</si>
  <si>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</si>
  <si>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</si>
  <si>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</si>
  <si>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</si>
  <si>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</si>
  <si>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</si>
  <si>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</si>
  <si>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</si>
  <si>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</si>
  <si>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</si>
  <si>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</si>
  <si>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</si>
  <si>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</si>
  <si>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</si>
  <si>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</si>
  <si>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</si>
  <si>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</si>
  <si>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</si>
  <si>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</si>
  <si>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</si>
  <si>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</si>
  <si>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</si>
  <si>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</si>
  <si>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</si>
  <si>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</si>
  <si>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</si>
  <si>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</si>
  <si>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</si>
  <si>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</si>
  <si>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</si>
  <si>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</si>
  <si>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</si>
  <si>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</si>
  <si>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</si>
  <si>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</si>
  <si>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</si>
  <si>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</si>
  <si>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</si>
  <si>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</si>
  <si>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</si>
  <si>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</si>
  <si>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</si>
  <si>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</si>
  <si>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</si>
  <si>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</si>
  <si>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</si>
  <si>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</si>
  <si>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</si>
  <si>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</si>
  <si>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</si>
  <si>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</si>
  <si>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</si>
  <si>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</si>
  <si>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</si>
  <si>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</si>
  <si>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</si>
  <si>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</si>
  <si>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</si>
  <si>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</si>
  <si>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</si>
  <si>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</si>
  <si>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</si>
  <si>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</si>
  <si>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</si>
  <si>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</si>
  <si>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</si>
  <si>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</si>
  <si>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</si>
  <si>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</si>
  <si>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</si>
  <si>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</si>
  <si>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</si>
  <si>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</si>
  <si>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</si>
  <si>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</si>
  <si>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</si>
  <si>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</si>
  <si>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</si>
  <si>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</si>
  <si>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</si>
  <si>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</si>
  <si>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</si>
  <si>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</si>
  <si>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</si>
  <si>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</si>
  <si>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</si>
  <si>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</si>
  <si>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</si>
  <si>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</si>
  <si>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</si>
  <si>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</si>
  <si>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</si>
  <si>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</si>
  <si>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</si>
  <si>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</si>
  <si>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</si>
  <si>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</si>
  <si>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</si>
  <si>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</si>
  <si>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</si>
  <si>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</si>
  <si>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</si>
  <si>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</si>
  <si>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</si>
  <si>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</si>
  <si>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</si>
  <si>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</si>
  <si>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</si>
  <si>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</si>
  <si>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</si>
  <si>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</si>
  <si>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</si>
  <si>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</si>
  <si>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</si>
  <si>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</si>
  <si>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</si>
  <si>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</si>
  <si>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</si>
  <si>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</si>
  <si>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</si>
  <si>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</si>
  <si>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</si>
  <si>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</si>
  <si>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</si>
  <si>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</si>
  <si>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</si>
  <si>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</si>
  <si>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</si>
  <si>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</si>
  <si>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</si>
  <si>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</si>
  <si>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</si>
  <si>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</si>
  <si>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</si>
  <si>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</si>
  <si>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</si>
  <si>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</si>
  <si>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</si>
  <si>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</si>
  <si>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</si>
  <si>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</si>
  <si>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</si>
  <si>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</si>
  <si>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</si>
  <si>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</si>
  <si>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</si>
  <si>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</si>
  <si>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</si>
  <si>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</si>
  <si>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</si>
  <si>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</si>
  <si>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</si>
  <si>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</si>
  <si>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</si>
  <si>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</si>
  <si>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</si>
  <si>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</si>
  <si>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</si>
  <si>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</si>
  <si>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</si>
  <si>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</si>
  <si>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</si>
  <si>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</si>
  <si>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</si>
  <si>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</si>
  <si>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</si>
  <si>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</si>
  <si>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</si>
  <si>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</si>
  <si>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</si>
  <si>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</si>
  <si>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</si>
  <si>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</si>
  <si>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</si>
  <si>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</si>
  <si>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</si>
  <si>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</si>
  <si>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</si>
  <si>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</si>
  <si>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</si>
  <si>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</si>
  <si>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</si>
  <si>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</si>
  <si>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</si>
  <si>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</si>
  <si>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</si>
  <si>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</si>
  <si>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</si>
  <si>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</si>
  <si>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</si>
  <si>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</si>
  <si>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</si>
  <si>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</si>
  <si>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</si>
  <si>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</si>
  <si>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</si>
  <si>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</si>
  <si>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</si>
  <si>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</si>
  <si>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</si>
  <si>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</si>
  <si>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</si>
  <si>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</si>
  <si>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</si>
  <si>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</si>
  <si>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</si>
  <si>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</si>
  <si>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</si>
  <si>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</si>
  <si>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</si>
  <si>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</si>
  <si>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</si>
  <si>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</si>
  <si>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</si>
  <si>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</si>
  <si>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</si>
  <si>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</si>
  <si>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</si>
  <si>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</si>
  <si>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</si>
  <si>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</si>
  <si>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</si>
  <si>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</si>
  <si>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</si>
  <si>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</si>
  <si>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</si>
  <si>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</si>
  <si>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</si>
  <si>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</si>
  <si>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</si>
  <si>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</si>
  <si>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</si>
  <si>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</si>
  <si>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</si>
  <si>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</si>
  <si>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</si>
  <si>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</si>
  <si>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</si>
  <si>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</si>
  <si>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</si>
  <si>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</si>
  <si>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</si>
  <si>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</si>
  <si>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</si>
  <si>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</si>
  <si>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</si>
  <si>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</si>
  <si>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</si>
  <si>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</si>
  <si>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</si>
  <si>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</si>
  <si>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</si>
  <si>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</si>
  <si>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</si>
  <si>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</si>
  <si>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</si>
  <si>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</si>
  <si>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</si>
  <si>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</si>
  <si>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</si>
  <si>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</si>
  <si>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</si>
  <si>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</si>
  <si>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</si>
  <si>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</si>
  <si>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</si>
  <si>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</si>
  <si>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</si>
  <si>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</si>
  <si>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</si>
  <si>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</si>
  <si>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</si>
  <si>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</si>
  <si>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</si>
  <si>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</si>
  <si>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</si>
  <si>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</si>
  <si>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</si>
  <si>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</si>
  <si>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</si>
  <si>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</si>
  <si>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</si>
  <si>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</si>
  <si>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</si>
  <si>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</si>
  <si>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</si>
  <si>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</si>
  <si>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</si>
  <si>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</si>
  <si>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</si>
  <si>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</si>
  <si>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</si>
  <si>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</si>
  <si>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</si>
  <si>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</si>
  <si>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</si>
  <si>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</si>
  <si>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</si>
  <si>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</si>
  <si>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</si>
  <si>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</si>
  <si>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</si>
  <si>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</si>
  <si>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</si>
  <si>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</si>
  <si>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</si>
  <si>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</si>
  <si>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</si>
  <si>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</si>
  <si>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</si>
  <si>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</si>
  <si>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</si>
  <si>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</si>
  <si>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</si>
  <si>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</si>
  <si>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</si>
  <si>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</si>
  <si>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</si>
  <si>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</si>
  <si>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</si>
  <si>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</si>
  <si>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</si>
  <si>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</si>
  <si>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</si>
  <si>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</si>
  <si>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</si>
  <si>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</si>
  <si>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</si>
  <si>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</si>
  <si>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</si>
  <si>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</si>
  <si>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</si>
  <si>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</si>
  <si>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</si>
  <si>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</si>
  <si>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</si>
  <si>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</si>
  <si>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</si>
  <si>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</si>
  <si>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</si>
  <si>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</si>
  <si>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</si>
  <si>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</si>
  <si>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</si>
  <si>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</si>
  <si>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</si>
  <si>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</si>
  <si>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</si>
  <si>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</si>
  <si>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</si>
  <si>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</si>
  <si>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</si>
  <si>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</si>
  <si>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</si>
  <si>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</si>
  <si>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</si>
  <si>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</si>
  <si>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</si>
  <si>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</si>
  <si>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</si>
  <si>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</si>
  <si>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</si>
  <si>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</si>
  <si>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</si>
  <si>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</si>
  <si>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</si>
  <si>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</si>
  <si>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</si>
  <si>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</si>
  <si>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</si>
  <si>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</si>
  <si>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</si>
  <si>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</si>
  <si>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</si>
  <si>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</si>
  <si>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</si>
  <si>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</si>
  <si>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</si>
  <si>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</si>
  <si>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</si>
  <si>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</si>
  <si>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</si>
  <si>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</si>
  <si>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</si>
  <si>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</si>
  <si>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</si>
  <si>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</si>
  <si>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</si>
  <si>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</si>
  <si>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</si>
  <si>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</si>
  <si>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</si>
  <si>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</si>
  <si>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</si>
  <si>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</si>
  <si>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</si>
  <si>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</si>
  <si>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</si>
  <si>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</si>
  <si>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</si>
  <si>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</si>
  <si>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</si>
  <si>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</si>
  <si>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</si>
  <si>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</si>
  <si>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</si>
  <si>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</si>
  <si>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</si>
  <si>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</si>
  <si>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</si>
  <si>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</si>
  <si>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</si>
  <si>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</si>
  <si>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</si>
  <si>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</si>
  <si>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</si>
  <si>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</si>
  <si>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</si>
  <si>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</si>
  <si>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</si>
  <si>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</si>
  <si>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</si>
  <si>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</si>
  <si>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</si>
  <si>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</si>
  <si>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</si>
  <si>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</si>
  <si>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</si>
  <si>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</si>
  <si>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</si>
  <si>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</si>
  <si>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</si>
  <si>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</si>
  <si>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</si>
  <si>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</si>
  <si>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</si>
  <si>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</si>
  <si>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</si>
  <si>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</si>
  <si>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</si>
  <si>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</si>
  <si>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</si>
  <si>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</si>
  <si>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</si>
  <si>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</si>
  <si>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</si>
  <si>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</si>
  <si>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</si>
  <si>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</si>
  <si>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</si>
  <si>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</si>
  <si>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</si>
  <si>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</si>
  <si>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</si>
  <si>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</si>
  <si>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</si>
  <si>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</si>
  <si>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</si>
  <si>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</si>
  <si>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</si>
  <si>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</si>
  <si>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</si>
  <si>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</si>
  <si>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</si>
  <si>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</si>
  <si>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</si>
  <si>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</si>
  <si>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</si>
  <si>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</si>
  <si>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</si>
  <si>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</si>
  <si>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</si>
  <si>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</si>
  <si>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</si>
  <si>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</si>
  <si>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</si>
  <si>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</si>
  <si>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</si>
  <si>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</si>
  <si>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</si>
  <si>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</si>
  <si>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</si>
  <si>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</si>
  <si>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</si>
  <si>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</si>
  <si>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</si>
  <si>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</si>
  <si>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</si>
  <si>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</si>
  <si>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</si>
  <si>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</si>
  <si>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</si>
  <si>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</si>
  <si>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</si>
  <si>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</si>
  <si>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</si>
  <si>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</si>
  <si>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</si>
  <si>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</si>
  <si>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</si>
  <si>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</si>
  <si>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</si>
  <si>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</si>
  <si>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</si>
  <si>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</si>
  <si>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</si>
  <si>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</si>
  <si>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</si>
  <si>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</si>
  <si>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</si>
  <si>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</si>
  <si>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</si>
  <si>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</si>
  <si>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</si>
  <si>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</si>
  <si>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</si>
  <si>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</si>
  <si>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</si>
  <si>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</si>
  <si>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</si>
  <si>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</si>
  <si>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</si>
  <si>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</si>
  <si>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</si>
  <si>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</si>
  <si>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</si>
  <si>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</si>
  <si>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</si>
  <si>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</si>
  <si>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</si>
  <si>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</si>
  <si>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</si>
  <si>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</si>
  <si>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</si>
  <si>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</si>
  <si>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</si>
  <si>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</si>
  <si>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</si>
  <si>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</si>
  <si>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</si>
  <si>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</si>
  <si>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</si>
  <si>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</si>
  <si>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</si>
  <si>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</si>
  <si>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</si>
  <si>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</si>
  <si>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</si>
  <si>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</si>
  <si>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</si>
  <si>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</si>
  <si>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</si>
  <si>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</si>
  <si>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</si>
  <si>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</si>
  <si>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</si>
  <si>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</si>
  <si>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</si>
  <si>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</si>
  <si>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</si>
  <si>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</si>
  <si>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</si>
  <si>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</si>
  <si>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</si>
  <si>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</si>
  <si>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</si>
  <si>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</si>
  <si>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</si>
  <si>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</si>
  <si>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</si>
  <si>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</si>
  <si>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</si>
  <si>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</si>
  <si>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</si>
  <si>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</si>
  <si>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</si>
  <si>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</si>
  <si>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</si>
  <si>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</si>
  <si>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</si>
  <si>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</si>
  <si>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</si>
  <si>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</si>
  <si>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</si>
  <si>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</si>
  <si>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</si>
  <si>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</si>
  <si>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</si>
  <si>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</si>
  <si>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</si>
  <si>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</si>
  <si>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</si>
  <si>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</si>
  <si>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</si>
  <si>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</si>
  <si>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</si>
  <si>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</si>
  <si>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</si>
  <si>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</si>
  <si>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</si>
  <si>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</si>
  <si>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</si>
  <si>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</si>
  <si>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</si>
  <si>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</si>
  <si>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</si>
  <si>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</si>
  <si>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</si>
  <si>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</si>
  <si>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</si>
  <si>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</si>
  <si>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</si>
  <si>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</si>
  <si>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</si>
  <si>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</si>
  <si>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</si>
  <si>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</si>
  <si>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</si>
  <si>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</si>
  <si>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</si>
  <si>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</si>
  <si>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</si>
  <si>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</si>
  <si>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</si>
  <si>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</si>
  <si>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</si>
  <si>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</si>
  <si>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</si>
  <si>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</si>
  <si>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</si>
  <si>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</si>
  <si>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</si>
  <si>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</si>
  <si>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</si>
  <si>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</si>
  <si>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</si>
  <si>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</si>
  <si>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</si>
  <si>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</si>
  <si>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</si>
  <si>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</si>
  <si>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</si>
  <si>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</si>
  <si>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</si>
  <si>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</si>
  <si>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</si>
  <si>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</si>
  <si>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</si>
  <si>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</si>
  <si>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</si>
  <si>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</si>
  <si>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</si>
  <si>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</si>
  <si>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</si>
  <si>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</si>
  <si>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</si>
  <si>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</si>
  <si>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</si>
  <si>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</si>
  <si>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</si>
  <si>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</si>
  <si>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</si>
  <si>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</si>
  <si>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</si>
  <si>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</si>
  <si>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</si>
  <si>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</si>
  <si>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</si>
  <si>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</si>
  <si>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</si>
  <si>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</si>
  <si>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</si>
  <si>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</si>
  <si>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</si>
  <si>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</si>
  <si>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</si>
  <si>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</si>
  <si>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</si>
  <si>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</si>
  <si>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</si>
  <si>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</si>
  <si>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</si>
  <si>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</si>
  <si>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</si>
  <si>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</si>
  <si>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</si>
  <si>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</si>
  <si>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</si>
  <si>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</si>
  <si>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</si>
  <si>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</si>
  <si>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</si>
  <si>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</si>
  <si>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</si>
  <si>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</si>
  <si>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</si>
  <si>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</si>
  <si>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</si>
  <si>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</si>
  <si>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</si>
  <si>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</si>
  <si>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</si>
  <si>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</si>
  <si>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</si>
  <si>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</si>
  <si>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</si>
  <si>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</si>
  <si>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</si>
  <si>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</si>
  <si>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</si>
  <si>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</si>
  <si>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</si>
  <si>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</si>
  <si>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</si>
  <si>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</si>
  <si>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</si>
  <si>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</si>
  <si>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</si>
  <si>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</si>
  <si>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</si>
  <si>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</si>
  <si>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</si>
  <si>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</si>
  <si>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</si>
  <si>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</si>
  <si>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</si>
  <si>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</si>
  <si>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</si>
  <si>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</si>
  <si>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</si>
  <si>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</si>
  <si>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</si>
  <si>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</si>
  <si>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</si>
  <si>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</si>
  <si>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</si>
  <si>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</si>
  <si>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</si>
  <si>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</si>
  <si>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</si>
  <si>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</si>
  <si>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</si>
  <si>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</si>
  <si>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</si>
  <si>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</si>
  <si>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</si>
  <si>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</si>
  <si>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</si>
  <si>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</si>
  <si>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</si>
  <si>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</si>
  <si>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</si>
  <si>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</si>
  <si>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</si>
  <si>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</si>
  <si>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</si>
  <si>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</si>
  <si>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</si>
  <si>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</si>
  <si>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</si>
  <si>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</si>
  <si>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</si>
  <si>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</si>
  <si>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</si>
  <si>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</si>
  <si>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</si>
  <si>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</si>
  <si>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</si>
  <si>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</si>
  <si>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</si>
  <si>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</si>
  <si>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</si>
  <si>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</si>
  <si>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</si>
  <si>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</si>
  <si>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</si>
  <si>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</si>
  <si>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</si>
  <si>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</si>
  <si>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</si>
  <si>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</si>
  <si>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</si>
  <si>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</si>
  <si>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</si>
  <si>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</si>
  <si>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</si>
  <si>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</si>
  <si>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</si>
  <si>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</si>
  <si>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</si>
  <si>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</si>
  <si>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</si>
  <si>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</si>
  <si>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</si>
  <si>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</si>
  <si>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</si>
  <si>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</si>
  <si>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</si>
  <si>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</si>
  <si>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</si>
  <si>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</si>
  <si>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</si>
  <si>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</si>
  <si>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</si>
  <si>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</si>
  <si>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</si>
  <si>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</si>
  <si>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</si>
  <si>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</si>
  <si>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</si>
  <si>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</si>
  <si>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</si>
  <si>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</si>
  <si>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</si>
  <si>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</si>
  <si>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</si>
  <si>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</si>
  <si>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</si>
  <si>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</si>
  <si>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</si>
  <si>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</si>
  <si>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</si>
  <si>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</si>
  <si>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</si>
  <si>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</si>
  <si>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</si>
  <si>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</si>
  <si>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</si>
  <si>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</si>
  <si>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</si>
  <si>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</si>
  <si>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</si>
  <si>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</si>
  <si>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</si>
  <si>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</si>
  <si>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</si>
  <si>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</si>
  <si>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</si>
  <si>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</si>
  <si>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</si>
  <si>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</si>
  <si>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</si>
  <si>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</si>
  <si>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</si>
  <si>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</si>
  <si>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</si>
  <si>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</si>
  <si>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</si>
  <si>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</si>
  <si>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</si>
  <si>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</si>
  <si>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</si>
  <si>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</si>
  <si>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</si>
  <si>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</si>
  <si>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</si>
  <si>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</si>
  <si>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</si>
  <si>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</si>
  <si>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</si>
  <si>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</si>
  <si>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</si>
  <si>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</si>
  <si>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</si>
  <si>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</si>
  <si>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</si>
  <si>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</si>
  <si>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</si>
  <si>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</si>
  <si>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</si>
  <si>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</si>
  <si>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</si>
  <si>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</si>
  <si>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</si>
  <si>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</si>
  <si>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</si>
  <si>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</si>
  <si>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</si>
  <si>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</si>
  <si>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</si>
  <si>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</si>
  <si>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</si>
  <si>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</si>
  <si>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</si>
  <si>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</si>
  <si>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</si>
  <si>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</si>
  <si>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</si>
  <si>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</si>
  <si>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</si>
  <si>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</si>
  <si>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</si>
  <si>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</si>
  <si>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</si>
  <si>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</si>
  <si>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</si>
  <si>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</si>
  <si>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</si>
  <si>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</si>
  <si>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</si>
  <si>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</si>
  <si>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</si>
  <si>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</si>
  <si>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</si>
  <si>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</si>
  <si>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</si>
  <si>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</si>
  <si>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</si>
  <si>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</si>
  <si>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</si>
  <si>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</si>
  <si>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</si>
  <si>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</si>
  <si>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</si>
  <si>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</si>
  <si>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</si>
  <si>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</si>
  <si>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</si>
  <si>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</si>
  <si>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</si>
  <si>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</si>
  <si>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</si>
  <si>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</si>
  <si>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</si>
  <si>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</si>
  <si>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</si>
  <si>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</si>
  <si>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</si>
  <si>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</si>
  <si>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</si>
  <si>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</si>
  <si>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</si>
  <si>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</si>
  <si>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</si>
  <si>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</si>
  <si>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</si>
  <si>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</si>
  <si>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</si>
  <si>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</si>
  <si>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</si>
  <si>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</si>
  <si>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</si>
  <si>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</si>
  <si>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</si>
  <si>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</si>
  <si>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</si>
  <si>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</si>
  <si>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</si>
  <si>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</si>
  <si>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</si>
  <si>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</si>
  <si>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</si>
  <si>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</si>
  <si>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</si>
  <si>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</si>
  <si>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</si>
  <si>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</si>
  <si>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</si>
  <si>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</si>
  <si>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</si>
  <si>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</si>
  <si>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</si>
  <si>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</si>
  <si>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</si>
  <si>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</si>
  <si>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</si>
  <si>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</si>
  <si>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</si>
  <si>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</si>
  <si>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</si>
  <si>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</si>
  <si>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</si>
  <si>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</si>
  <si>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</si>
  <si>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</si>
  <si>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</si>
  <si>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</si>
  <si>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</si>
  <si>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</si>
  <si>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</si>
  <si>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</si>
  <si>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</si>
  <si>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</si>
  <si>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</si>
  <si>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</si>
  <si>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</si>
  <si>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</si>
  <si>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</si>
  <si>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</si>
  <si>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</si>
  <si>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</si>
  <si>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</si>
  <si>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</si>
  <si>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</si>
  <si>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</si>
  <si>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</si>
  <si>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</si>
  <si>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</si>
  <si>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</si>
  <si>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</si>
  <si>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</si>
  <si>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</si>
  <si>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</si>
  <si>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</si>
  <si>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</si>
  <si>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</si>
  <si>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</si>
  <si>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</si>
  <si>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</si>
  <si>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</si>
  <si>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</si>
  <si>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</si>
  <si>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</si>
  <si>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</si>
  <si>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</si>
  <si>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</si>
  <si>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</si>
  <si>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</si>
  <si>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</si>
  <si>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</si>
  <si>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</si>
  <si>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</si>
  <si>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</si>
  <si>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</si>
  <si>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</si>
  <si>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</si>
  <si>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</si>
  <si>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</si>
  <si>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</si>
  <si>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</si>
  <si>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</si>
  <si>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</si>
  <si>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</si>
  <si>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</si>
  <si>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</si>
  <si>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</si>
  <si>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</si>
  <si>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</si>
  <si>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</si>
  <si>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</si>
  <si>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</si>
  <si>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</si>
  <si>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</si>
  <si>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</si>
  <si>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</si>
  <si>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</si>
  <si>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</si>
  <si>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</si>
  <si>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</si>
  <si>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</si>
  <si>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</si>
  <si>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</si>
  <si>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</si>
  <si>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</si>
  <si>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</si>
  <si>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</si>
  <si>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</si>
  <si>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</si>
  <si>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</si>
  <si>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</si>
  <si>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</si>
  <si>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</si>
  <si>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</si>
  <si>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</si>
  <si>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</si>
  <si>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</si>
  <si>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</si>
  <si>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</si>
  <si>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</si>
  <si>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</si>
  <si>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</si>
  <si>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</si>
  <si>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</si>
  <si>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</si>
  <si>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</si>
  <si>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</si>
  <si>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</si>
  <si>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</si>
  <si>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</si>
  <si>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</si>
  <si>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</si>
  <si>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</si>
  <si>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</si>
  <si>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</si>
  <si>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</si>
  <si>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</si>
  <si>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</si>
  <si>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</si>
  <si>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</si>
  <si>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</si>
  <si>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</si>
  <si>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</si>
  <si>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</si>
  <si>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</si>
  <si>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</si>
  <si>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</si>
  <si>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</si>
  <si>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</si>
  <si>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</si>
  <si>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</si>
  <si>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</si>
  <si>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</si>
  <si>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</si>
  <si>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</si>
  <si>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</si>
  <si>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</si>
  <si>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</si>
  <si>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</si>
  <si>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</si>
  <si>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</si>
  <si>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</si>
  <si>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</si>
  <si>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</si>
  <si>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</si>
  <si>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</si>
  <si>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</si>
  <si>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</si>
  <si>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</si>
  <si>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</si>
  <si>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</si>
  <si>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</si>
  <si>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</si>
  <si>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</si>
  <si>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</si>
  <si>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</si>
  <si>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</si>
  <si>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</si>
  <si>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</si>
  <si>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</si>
  <si>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</si>
  <si>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</si>
  <si>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</si>
  <si>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</si>
  <si>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</si>
  <si>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</si>
  <si>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</si>
  <si>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</si>
  <si>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</si>
  <si>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</si>
  <si>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</si>
  <si>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</si>
  <si>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</si>
  <si>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</si>
  <si>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</si>
  <si>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</si>
  <si>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</si>
  <si>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</si>
  <si>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</si>
  <si>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</si>
  <si>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</si>
  <si>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</si>
  <si>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</si>
  <si>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</si>
  <si>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</si>
  <si>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</si>
  <si>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</si>
  <si>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</si>
  <si>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</si>
  <si>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</si>
  <si>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</si>
  <si>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</si>
  <si>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</si>
  <si>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</si>
  <si>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</si>
  <si>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</si>
  <si>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</si>
  <si>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</si>
  <si>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</si>
  <si>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</si>
  <si>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</si>
  <si>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</si>
  <si>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</si>
  <si>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</si>
  <si>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</si>
  <si>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</si>
  <si>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</si>
  <si>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</si>
  <si>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</si>
  <si>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</si>
  <si>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</si>
  <si>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</si>
  <si>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</si>
  <si>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</si>
  <si>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</si>
  <si>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</si>
  <si>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</si>
  <si>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</si>
  <si>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</si>
  <si>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</si>
  <si>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</si>
  <si>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</si>
  <si>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</si>
  <si>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</si>
  <si>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</si>
  <si>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</si>
  <si>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</si>
  <si>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</si>
  <si>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</si>
  <si>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</si>
  <si>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</si>
  <si>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</si>
  <si>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</si>
  <si>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</si>
  <si>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</si>
  <si>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</si>
  <si>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</si>
  <si>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</si>
  <si>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</si>
  <si>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</si>
  <si>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</si>
  <si>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</si>
  <si>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</si>
  <si>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</si>
  <si>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</si>
  <si>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</si>
  <si>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</si>
  <si>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</si>
  <si>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</si>
  <si>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</si>
  <si>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</si>
  <si>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</si>
  <si>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</si>
  <si>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</si>
  <si>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</si>
  <si>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</si>
  <si>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</si>
  <si>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</si>
  <si>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</si>
  <si>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</si>
  <si>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</si>
  <si>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</si>
  <si>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</si>
  <si>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</si>
  <si>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</si>
  <si>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</si>
  <si>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</si>
  <si>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</si>
  <si>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</si>
  <si>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</si>
  <si>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</si>
  <si>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</si>
  <si>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</si>
  <si>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</si>
  <si>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</si>
  <si>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</si>
  <si>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</si>
  <si>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</si>
  <si>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</si>
  <si>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</si>
  <si>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</si>
  <si>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</si>
  <si>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</si>
  <si>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</si>
  <si>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</si>
  <si>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</si>
  <si>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</si>
  <si>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</si>
  <si>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</si>
  <si>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</si>
  <si>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</si>
  <si>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</si>
  <si>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</si>
  <si>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</si>
  <si>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</si>
  <si>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</si>
  <si>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</si>
  <si>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</si>
  <si>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</si>
  <si>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</si>
  <si>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</si>
  <si>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</si>
  <si>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</si>
  <si>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</si>
  <si>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</si>
  <si>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</si>
  <si>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</si>
  <si>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</si>
  <si>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</si>
  <si>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</si>
  <si>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</si>
  <si>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</si>
  <si>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</si>
  <si>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</si>
  <si>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</si>
  <si>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</si>
  <si>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</si>
  <si>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</si>
  <si>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</si>
  <si>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</si>
  <si>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</si>
  <si>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</si>
  <si>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</si>
  <si>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</si>
  <si>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</si>
  <si>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</si>
  <si>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</si>
  <si>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</si>
  <si>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</si>
  <si>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</si>
  <si>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</si>
  <si>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</si>
  <si>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</si>
  <si>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</si>
  <si>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</si>
  <si>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</si>
  <si>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</si>
  <si>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</si>
  <si>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</si>
  <si>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</si>
  <si>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</si>
  <si>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</si>
  <si>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</si>
  <si>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</si>
  <si>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</si>
  <si>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</si>
  <si>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</si>
  <si>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</si>
  <si>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</si>
  <si>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</si>
  <si>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</si>
  <si>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</si>
  <si>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</si>
  <si>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</si>
  <si>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</si>
  <si>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</si>
  <si>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</si>
  <si>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</si>
  <si>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</si>
  <si>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</si>
  <si>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</si>
  <si>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</si>
  <si>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</si>
  <si>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</si>
  <si>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</si>
  <si>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</si>
  <si>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</si>
  <si>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</si>
  <si>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</si>
  <si>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</si>
  <si>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</si>
  <si>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</si>
  <si>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</si>
  <si>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</si>
  <si>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</si>
  <si>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</si>
  <si>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</si>
  <si>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</si>
  <si>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</si>
  <si>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</si>
  <si>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</si>
  <si>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</si>
  <si>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</si>
  <si>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</si>
  <si>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</si>
  <si>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</si>
  <si>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</si>
  <si>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</si>
  <si>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</si>
  <si>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</si>
  <si>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</si>
  <si>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</si>
  <si>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</si>
  <si>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</si>
  <si>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</si>
  <si>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</si>
  <si>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</si>
  <si>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</si>
  <si>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</si>
  <si>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</si>
  <si>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</si>
  <si>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</si>
  <si>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</si>
  <si>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</si>
  <si>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</si>
  <si>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</si>
  <si>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</si>
  <si>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</si>
  <si>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</si>
  <si>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</si>
  <si>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</si>
  <si>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</si>
  <si>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</si>
  <si>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</si>
  <si>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</si>
  <si>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</si>
  <si>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</si>
  <si>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</si>
  <si>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</si>
  <si>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</si>
  <si>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</si>
  <si>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</si>
  <si>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</si>
  <si>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</si>
  <si>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</si>
  <si>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</si>
  <si>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</si>
  <si>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</si>
  <si>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</si>
  <si>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</si>
  <si>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</si>
  <si>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</si>
  <si>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</si>
  <si>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</si>
  <si>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</si>
  <si>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</si>
  <si>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</si>
  <si>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</si>
  <si>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</si>
  <si>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</si>
  <si>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</si>
  <si>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</si>
  <si>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</si>
  <si>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</si>
  <si>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</si>
  <si>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</si>
  <si>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</si>
  <si>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</si>
  <si>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</si>
  <si>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</si>
  <si>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</si>
  <si>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</si>
  <si>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</si>
  <si>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</si>
  <si>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</si>
  <si>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</si>
  <si>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</si>
  <si>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</si>
  <si>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</si>
  <si>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</si>
  <si>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</si>
  <si>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</si>
  <si>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</si>
  <si>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</si>
  <si>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</si>
  <si>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</si>
  <si>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</si>
  <si>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</si>
  <si>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</si>
  <si>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</si>
  <si>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</si>
  <si>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</si>
  <si>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</si>
  <si>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</si>
  <si>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</si>
  <si>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</si>
  <si>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</si>
  <si>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</si>
  <si>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</si>
  <si>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</si>
  <si>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</si>
  <si>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</si>
  <si>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</si>
  <si>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</si>
  <si>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</si>
  <si>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</si>
  <si>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</si>
  <si>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</si>
  <si>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</si>
  <si>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</si>
  <si>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</si>
  <si>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</si>
  <si>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</si>
  <si>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</si>
  <si>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</si>
  <si>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</si>
  <si>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</si>
  <si>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</si>
  <si>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</si>
  <si>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</si>
  <si>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</si>
  <si>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</si>
  <si>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</si>
  <si>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</si>
  <si>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</si>
  <si>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</si>
  <si>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</si>
  <si>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</si>
  <si>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</si>
  <si>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</si>
  <si>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</si>
  <si>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</si>
  <si>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</si>
  <si>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</si>
  <si>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</si>
  <si>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</si>
  <si>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</si>
  <si>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</si>
  <si>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</si>
  <si>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</si>
  <si>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</si>
  <si>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</si>
  <si>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</si>
  <si>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</si>
  <si>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</si>
  <si>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</si>
  <si>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</si>
  <si>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</si>
  <si>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</si>
  <si>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</si>
  <si>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</si>
  <si>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</si>
  <si>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</si>
  <si>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</si>
  <si>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</si>
  <si>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</si>
  <si>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</si>
  <si>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</si>
  <si>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</si>
  <si>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</si>
  <si>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</si>
  <si>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</si>
  <si>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</si>
  <si>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</si>
  <si>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</si>
  <si>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</si>
  <si>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</si>
  <si>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</si>
  <si>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</si>
  <si>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</si>
  <si>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</si>
  <si>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</si>
  <si>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</si>
  <si>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</si>
  <si>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</si>
  <si>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</si>
  <si>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</si>
  <si>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</si>
  <si>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</si>
  <si>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</si>
  <si>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</si>
  <si>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</si>
  <si>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</si>
  <si>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</si>
  <si>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</si>
  <si>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</si>
  <si>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</si>
  <si>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</si>
  <si>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</si>
  <si>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</si>
  <si>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</si>
  <si>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</si>
  <si>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</si>
  <si>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</si>
  <si>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</si>
  <si>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</si>
  <si>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</si>
  <si>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</si>
  <si>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</si>
  <si>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</si>
  <si>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</si>
  <si>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</si>
  <si>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</si>
  <si>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</si>
  <si>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</si>
  <si>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</si>
  <si>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</si>
  <si>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</si>
  <si>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</si>
  <si>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</si>
  <si>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</si>
  <si>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</si>
  <si>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</si>
  <si>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</si>
  <si>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</si>
  <si>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</si>
  <si>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</si>
  <si>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</si>
  <si>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</si>
  <si>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</si>
  <si>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</si>
  <si>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</si>
  <si>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</si>
  <si>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</si>
  <si>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</si>
  <si>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</si>
  <si>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</si>
  <si>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</si>
  <si>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</si>
  <si>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</si>
  <si>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</si>
  <si>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</si>
  <si>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</si>
  <si>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</si>
  <si>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</si>
  <si>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</si>
  <si>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</si>
  <si>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</si>
  <si>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</si>
  <si>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</si>
  <si>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</si>
  <si>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</si>
  <si>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</si>
  <si>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</si>
  <si>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</si>
  <si>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</si>
  <si>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</si>
  <si>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</si>
  <si>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</si>
  <si>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</si>
  <si>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</si>
  <si>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</si>
  <si>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</si>
  <si>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</si>
  <si>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</si>
  <si>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</si>
  <si>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</si>
  <si>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</si>
  <si>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</si>
  <si>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</si>
  <si>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</si>
  <si>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</si>
  <si>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</si>
  <si>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</si>
  <si>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</si>
  <si>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</si>
  <si>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</si>
  <si>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</si>
  <si>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</si>
  <si>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</si>
  <si>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</si>
  <si>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</si>
  <si>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</si>
  <si>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</si>
  <si>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</si>
  <si>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</si>
  <si>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</si>
  <si>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</si>
  <si>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</si>
  <si>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</si>
  <si>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</si>
  <si>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</si>
  <si>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</si>
  <si>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</si>
  <si>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</si>
  <si>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</si>
  <si>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</si>
  <si>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</si>
  <si>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</si>
  <si>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</si>
  <si>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</si>
  <si>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</si>
  <si>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</si>
  <si>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</si>
  <si>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</si>
  <si>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</si>
  <si>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</si>
  <si>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</si>
  <si>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</si>
  <si>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</si>
  <si>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</si>
  <si>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</si>
  <si>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</si>
  <si>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</si>
  <si>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</si>
  <si>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</si>
  <si>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</si>
  <si>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</si>
  <si>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</si>
  <si>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</si>
  <si>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</si>
  <si>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</si>
  <si>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</si>
  <si>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</si>
  <si>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</si>
  <si>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</si>
  <si>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</si>
  <si>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</si>
  <si>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</si>
  <si>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</si>
  <si>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</si>
  <si>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</si>
  <si>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</si>
  <si>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</si>
  <si>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</si>
  <si>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</si>
  <si>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</si>
  <si>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</si>
  <si>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</si>
  <si>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</si>
  <si>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</si>
  <si>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</si>
  <si>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</si>
  <si>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</si>
  <si>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</si>
  <si>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</si>
  <si>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</si>
  <si>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</si>
  <si>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</si>
  <si>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</si>
  <si>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</si>
  <si>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</si>
  <si>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</si>
  <si>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</si>
  <si>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</si>
  <si>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</si>
  <si>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</si>
  <si>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</si>
  <si>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</si>
  <si>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</si>
  <si>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</si>
  <si>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</si>
  <si>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</si>
  <si>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</si>
  <si>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</si>
  <si>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</si>
  <si>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</si>
  <si>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</si>
  <si>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</si>
  <si>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</si>
  <si>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</si>
  <si>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</si>
  <si>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</si>
  <si>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</si>
  <si>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</si>
  <si>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</si>
  <si>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</si>
  <si>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</si>
  <si>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</si>
  <si>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</si>
  <si>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</si>
  <si>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</si>
  <si>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</si>
  <si>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</si>
  <si>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</si>
  <si>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</si>
  <si>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</si>
  <si>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</si>
  <si>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</si>
  <si>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</si>
  <si>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</si>
  <si>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</si>
  <si>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</si>
  <si>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</si>
  <si>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</si>
  <si>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</si>
  <si>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</si>
  <si>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</si>
  <si>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</si>
  <si>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</si>
  <si>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</si>
  <si>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</si>
  <si>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</si>
  <si>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</si>
  <si>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</si>
  <si>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</si>
  <si>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</si>
  <si>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</si>
  <si>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</si>
  <si>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</si>
  <si>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</si>
  <si>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</si>
  <si>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</si>
  <si>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</si>
  <si>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</si>
  <si>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</si>
  <si>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</si>
  <si>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</si>
  <si>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</si>
  <si>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</si>
  <si>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</si>
  <si>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</si>
  <si>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</si>
  <si>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</si>
  <si>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</si>
  <si>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</si>
  <si>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</si>
  <si>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</si>
  <si>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</si>
  <si>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</si>
  <si>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</si>
  <si>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</si>
  <si>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</si>
  <si>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</si>
  <si>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</si>
  <si>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</si>
  <si>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</si>
  <si>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</si>
  <si>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</si>
  <si>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</si>
  <si>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</si>
  <si>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</si>
  <si>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</si>
  <si>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</si>
  <si>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</si>
  <si>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</si>
  <si>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</si>
  <si>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</si>
  <si>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</si>
  <si>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</si>
  <si>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</si>
  <si>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</si>
  <si>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</si>
  <si>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</si>
  <si>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</si>
  <si>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</si>
  <si>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</si>
  <si>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</si>
  <si>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</si>
  <si>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</si>
  <si>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</si>
  <si>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</si>
  <si>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</si>
  <si>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</si>
  <si>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</si>
  <si>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</si>
  <si>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</si>
  <si>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</si>
  <si>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</si>
  <si>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</si>
  <si>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</si>
  <si>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</si>
  <si>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</si>
  <si>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</si>
  <si>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</si>
  <si>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</si>
  <si>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</si>
  <si>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</si>
  <si>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</si>
  <si>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</si>
  <si>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</si>
  <si>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</si>
  <si>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</si>
  <si>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</si>
  <si>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</si>
  <si>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</si>
  <si>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</si>
  <si>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</si>
  <si>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</si>
  <si>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</si>
  <si>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</si>
  <si>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</si>
  <si>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</si>
  <si>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</si>
  <si>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</si>
  <si>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</si>
  <si>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</si>
  <si>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</si>
  <si>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</si>
  <si>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</si>
  <si>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</si>
  <si>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</si>
  <si>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</si>
  <si>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</si>
  <si>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</si>
  <si>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</si>
  <si>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</si>
  <si>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</si>
  <si>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</si>
  <si>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</si>
  <si>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</si>
  <si>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</si>
  <si>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</si>
  <si>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</si>
  <si>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</si>
  <si>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</si>
  <si>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</si>
  <si>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</si>
  <si>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</si>
  <si>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</si>
  <si>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</si>
  <si>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</si>
  <si>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</si>
  <si>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</si>
  <si>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</si>
  <si>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</si>
  <si>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</si>
  <si>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</si>
  <si>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</si>
  <si>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</si>
  <si>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</si>
  <si>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</si>
  <si>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</si>
  <si>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</si>
  <si>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</si>
  <si>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</si>
  <si>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</si>
  <si>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</si>
  <si>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</si>
  <si>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</si>
  <si>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</si>
  <si>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</si>
  <si>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</si>
  <si>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</si>
  <si>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</si>
  <si>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</si>
  <si>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</si>
  <si>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</si>
  <si>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</si>
  <si>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</si>
  <si>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</si>
  <si>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</si>
  <si>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</si>
  <si>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</si>
  <si>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</si>
  <si>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</si>
  <si>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</si>
  <si>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</si>
  <si>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</si>
  <si>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</si>
  <si>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</si>
  <si>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</si>
  <si>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</si>
  <si>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</si>
  <si>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</si>
  <si>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</si>
  <si>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</si>
  <si>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</si>
  <si>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</si>
  <si>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</si>
  <si>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</si>
  <si>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</si>
  <si>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</si>
  <si>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</si>
  <si>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</si>
  <si>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</si>
  <si>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</si>
  <si>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</si>
  <si>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</si>
  <si>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</si>
  <si>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</si>
  <si>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</si>
  <si>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</si>
  <si>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</si>
  <si>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</si>
  <si>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</si>
  <si>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</si>
  <si>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</si>
  <si>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</si>
  <si>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</si>
  <si>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</si>
  <si>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</si>
  <si>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</si>
  <si>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</si>
  <si>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</si>
  <si>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</si>
  <si>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</si>
  <si>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</si>
  <si>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</si>
  <si>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</si>
  <si>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</si>
  <si>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</si>
  <si>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</si>
  <si>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</si>
  <si>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</si>
  <si>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</si>
  <si>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</si>
  <si>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</si>
  <si>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</si>
  <si>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</si>
  <si>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</si>
  <si>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</si>
  <si>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</si>
  <si>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</si>
  <si>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</si>
  <si>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</si>
  <si>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</si>
  <si>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</si>
  <si>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</si>
  <si>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</si>
  <si>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</si>
  <si>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</si>
  <si>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</si>
  <si>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</si>
  <si>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</si>
  <si>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</si>
  <si>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</si>
  <si>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</si>
  <si>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</si>
  <si>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</si>
  <si>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</si>
  <si>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</si>
  <si>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</si>
  <si>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</si>
  <si>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</si>
  <si>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</si>
  <si>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</si>
  <si>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</si>
  <si>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</si>
  <si>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</si>
  <si>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</si>
  <si>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</si>
  <si>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</si>
  <si>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</si>
  <si>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</si>
  <si>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</si>
  <si>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</si>
  <si>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</si>
  <si>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</si>
  <si>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</si>
  <si>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</si>
  <si>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</si>
  <si>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</si>
  <si>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</si>
  <si>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</si>
  <si>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</si>
  <si>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</si>
  <si>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</si>
  <si>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</si>
  <si>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</si>
  <si>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</si>
  <si>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</si>
  <si>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</si>
  <si>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</si>
  <si>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</si>
  <si>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</si>
  <si>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</si>
  <si>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</si>
  <si>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</si>
  <si>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</si>
  <si>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</si>
  <si>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</si>
  <si>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</si>
  <si>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</si>
  <si>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</si>
  <si>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</si>
  <si>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</si>
  <si>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</si>
  <si>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</si>
  <si>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</si>
  <si>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</si>
  <si>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</si>
  <si>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</si>
  <si>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</si>
  <si>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</si>
  <si>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</si>
  <si>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</si>
  <si>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</si>
  <si>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</si>
  <si>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</si>
  <si>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</si>
  <si>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</si>
  <si>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</si>
  <si>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</si>
  <si>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</si>
  <si>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</si>
  <si>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</si>
  <si>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</si>
  <si>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</si>
  <si>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</si>
  <si>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</si>
  <si>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</si>
  <si>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</si>
  <si>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</si>
  <si>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</si>
  <si>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</si>
  <si>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</si>
  <si>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</si>
  <si>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</si>
  <si>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</si>
  <si>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</si>
  <si>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</si>
  <si>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</si>
  <si>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</si>
  <si>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</si>
  <si>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</si>
  <si>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</si>
  <si>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</si>
  <si>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</si>
  <si>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</si>
  <si>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</si>
  <si>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</si>
  <si>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</si>
  <si>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</si>
  <si>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</si>
  <si>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</si>
  <si>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</si>
  <si>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</si>
  <si>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</si>
  <si>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</si>
  <si>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</si>
  <si>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</si>
  <si>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</si>
  <si>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</si>
  <si>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</si>
  <si>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</si>
  <si>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</si>
  <si>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</si>
  <si>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</si>
  <si>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</si>
  <si>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</si>
  <si>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</si>
  <si>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</si>
  <si>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</si>
  <si>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</si>
  <si>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</si>
  <si>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</si>
  <si>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</si>
  <si>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</si>
  <si>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</si>
  <si>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</si>
  <si>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</si>
  <si>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</si>
  <si>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</si>
  <si>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</si>
  <si>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</si>
  <si>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</si>
  <si>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</si>
  <si>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</si>
  <si>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</si>
  <si>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</si>
  <si>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</si>
  <si>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</si>
  <si>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</si>
  <si>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</si>
  <si>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</si>
  <si>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</si>
  <si>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</si>
  <si>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</si>
  <si>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</si>
  <si>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</si>
  <si>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</si>
  <si>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</si>
  <si>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</si>
  <si>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</si>
  <si>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</si>
  <si>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</si>
  <si>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</si>
  <si>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</si>
  <si>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</si>
  <si>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</si>
  <si>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</si>
  <si>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</si>
  <si>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</si>
  <si>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</si>
  <si>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</si>
  <si>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</si>
  <si>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</si>
  <si>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</si>
  <si>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</si>
  <si>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</si>
  <si>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</si>
  <si>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</si>
  <si>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</si>
  <si>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</si>
  <si>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</si>
  <si>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</si>
  <si>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</si>
  <si>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</si>
  <si>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</si>
  <si>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</si>
  <si>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</si>
  <si>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</si>
  <si>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</si>
  <si>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</si>
  <si>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</si>
  <si>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</si>
  <si>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</si>
  <si>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</si>
  <si>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</si>
  <si>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</si>
  <si>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</si>
  <si>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</si>
  <si>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</si>
  <si>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</si>
  <si>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</si>
  <si>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</si>
  <si>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</si>
  <si>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</si>
  <si>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</si>
  <si>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</si>
  <si>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</si>
  <si>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</si>
  <si>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</si>
  <si>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</si>
  <si>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</si>
  <si>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</si>
  <si>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</si>
  <si>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</si>
  <si>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</si>
  <si>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</si>
  <si>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</si>
  <si>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</si>
  <si>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</si>
  <si>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</si>
  <si>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</si>
  <si>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</si>
  <si>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</si>
  <si>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</si>
  <si>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</si>
  <si>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</si>
  <si>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</si>
  <si>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</si>
  <si>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</si>
  <si>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</si>
  <si>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</si>
  <si>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</si>
  <si>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</si>
  <si>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</si>
  <si>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</si>
  <si>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</si>
  <si>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</si>
  <si>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</si>
  <si>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</si>
  <si>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</si>
  <si>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</si>
  <si>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</si>
  <si>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</si>
  <si>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</si>
  <si>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</si>
  <si>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</si>
  <si>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</si>
  <si>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</si>
  <si>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</si>
  <si>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</si>
  <si>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</si>
  <si>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</si>
  <si>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</si>
  <si>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</si>
  <si>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</si>
  <si>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</si>
  <si>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</si>
  <si>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</si>
  <si>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</si>
  <si>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</si>
  <si>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</si>
  <si>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</si>
  <si>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</si>
  <si>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</si>
  <si>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</si>
  <si>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</si>
  <si>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</si>
  <si>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</si>
  <si>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</si>
  <si>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</si>
  <si>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</si>
  <si>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</si>
  <si>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</si>
  <si>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</si>
  <si>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</si>
  <si>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</si>
  <si>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</si>
  <si>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</si>
  <si>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</si>
  <si>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</si>
  <si>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</si>
  <si>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</si>
  <si>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</si>
  <si>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</si>
  <si>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</si>
  <si>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</si>
  <si>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</si>
  <si>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</si>
  <si>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</si>
  <si>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</si>
  <si>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</si>
  <si>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</si>
  <si>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</si>
  <si>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</si>
  <si>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</si>
  <si>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</si>
  <si>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</si>
  <si>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</si>
  <si>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</si>
  <si>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</si>
  <si>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</si>
  <si>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</si>
  <si>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</si>
  <si>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</si>
  <si>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</si>
  <si>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</si>
  <si>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</si>
  <si>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</si>
  <si>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</si>
  <si>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</si>
  <si>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</si>
  <si>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</si>
  <si>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</si>
  <si>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</si>
  <si>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</si>
  <si>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</si>
  <si>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</si>
  <si>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</si>
  <si>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</si>
  <si>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</si>
  <si>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</si>
  <si>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</si>
  <si>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</si>
  <si>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</si>
  <si>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</si>
  <si>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</si>
  <si>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</si>
  <si>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</si>
  <si>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</si>
  <si>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</si>
  <si>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</si>
  <si>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</si>
  <si>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</si>
  <si>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</si>
  <si>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</si>
  <si>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</si>
  <si>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</si>
  <si>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</si>
  <si>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</si>
  <si>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</si>
  <si>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</si>
  <si>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</si>
  <si>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</si>
  <si>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</si>
  <si>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</si>
  <si>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</si>
  <si>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</si>
  <si>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</si>
  <si>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</si>
  <si>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</si>
  <si>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</si>
  <si>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</si>
  <si>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</si>
  <si>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</si>
  <si>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</si>
  <si>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</si>
  <si>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</si>
  <si>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</si>
  <si>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</si>
  <si>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</si>
  <si>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</si>
  <si>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</si>
  <si>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</si>
  <si>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</si>
  <si>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</si>
  <si>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</si>
  <si>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</si>
  <si>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</si>
  <si>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</si>
  <si>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</si>
  <si>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</si>
  <si>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</si>
  <si>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</si>
  <si>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</si>
  <si>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</si>
  <si>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</si>
  <si>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</si>
  <si>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</si>
  <si>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</si>
  <si>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</si>
  <si>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</si>
  <si>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</si>
  <si>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</si>
  <si>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</si>
  <si>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</si>
  <si>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</si>
  <si>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</si>
  <si>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</si>
  <si>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</si>
  <si>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</si>
  <si>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</si>
  <si>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</si>
  <si>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</si>
  <si>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</si>
  <si>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</si>
  <si>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</si>
  <si>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</si>
  <si>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</si>
  <si>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</si>
  <si>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</si>
  <si>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</si>
  <si>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</si>
  <si>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</si>
  <si>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</si>
  <si>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</si>
  <si>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</si>
  <si>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</si>
  <si>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</si>
  <si>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</si>
  <si>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</si>
  <si>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</si>
  <si>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</si>
  <si>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</si>
  <si>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</si>
  <si>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</si>
  <si>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</si>
  <si>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</si>
  <si>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</si>
  <si>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</si>
  <si>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</si>
  <si>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</si>
  <si>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</si>
  <si>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</si>
  <si>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</si>
  <si>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</si>
  <si>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</si>
  <si>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</si>
  <si>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</si>
  <si>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</si>
  <si>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</si>
  <si>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</si>
  <si>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</si>
  <si>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</si>
  <si>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</si>
  <si>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</si>
  <si>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</si>
  <si>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</si>
  <si>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</si>
  <si>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</si>
  <si>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</si>
  <si>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</si>
  <si>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</si>
  <si>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</si>
  <si>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</si>
  <si>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</si>
  <si>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</si>
  <si>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</si>
  <si>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</si>
  <si>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</si>
  <si>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</si>
  <si>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</si>
  <si>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</si>
  <si>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</si>
  <si>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</si>
  <si>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</si>
  <si>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</si>
  <si>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</si>
  <si>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</si>
  <si>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</si>
  <si>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</si>
  <si>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</si>
  <si>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</si>
  <si>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</si>
  <si>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</si>
  <si>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</si>
  <si>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</si>
  <si>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</si>
  <si>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</si>
  <si>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</si>
  <si>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</si>
  <si>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</si>
  <si>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</si>
  <si>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</si>
  <si>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</si>
  <si>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</si>
  <si>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</si>
  <si>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</si>
  <si>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</si>
  <si>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</si>
  <si>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</si>
  <si>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</si>
  <si>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</si>
  <si>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</si>
  <si>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</si>
  <si>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</si>
  <si>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</si>
  <si>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</si>
  <si>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</si>
  <si>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</si>
  <si>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</si>
  <si>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</si>
  <si>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</si>
  <si>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</si>
  <si>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</si>
  <si>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</si>
  <si>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</si>
  <si>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</si>
  <si>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</si>
  <si>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</si>
  <si>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</si>
  <si>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</si>
  <si>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</si>
  <si>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</si>
  <si>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</si>
  <si>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</si>
  <si>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</si>
  <si>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</si>
  <si>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</si>
  <si>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</si>
  <si>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</si>
  <si>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</si>
  <si>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</si>
  <si>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</si>
  <si>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</si>
  <si>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</si>
  <si>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</si>
  <si>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</si>
  <si>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</si>
  <si>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</si>
  <si>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</si>
  <si>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</si>
  <si>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</si>
  <si>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</si>
  <si>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</si>
  <si>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</si>
  <si>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</si>
  <si>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</si>
  <si>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</si>
  <si>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</si>
  <si>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</si>
  <si>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</si>
  <si>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</si>
  <si>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</si>
  <si>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</si>
  <si>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</si>
  <si>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</si>
  <si>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</si>
  <si>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</si>
  <si>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</si>
  <si>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</si>
  <si>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</si>
  <si>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</si>
  <si>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</si>
  <si>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</si>
  <si>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</si>
  <si>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</si>
  <si>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</si>
  <si>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</si>
  <si>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</si>
  <si>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</si>
  <si>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</si>
  <si>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</si>
  <si>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</si>
  <si>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</si>
  <si>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</si>
  <si>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</si>
  <si>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</si>
  <si>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</si>
  <si>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</si>
  <si>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</si>
  <si>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</si>
  <si>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</si>
  <si>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</si>
  <si>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</si>
  <si>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</si>
  <si>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</si>
  <si>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</si>
  <si>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</si>
  <si>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</si>
  <si>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</si>
  <si>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</si>
  <si>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</si>
  <si>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</si>
  <si>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</si>
  <si>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</si>
  <si>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</si>
  <si>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</si>
  <si>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</si>
  <si>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</si>
  <si>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</si>
  <si>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</si>
  <si>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</si>
  <si>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</si>
  <si>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</si>
  <si>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</si>
  <si>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</si>
  <si>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</si>
  <si>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</si>
  <si>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</si>
  <si>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</si>
  <si>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</si>
  <si>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</si>
  <si>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</si>
  <si>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</si>
  <si>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</si>
  <si>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</si>
  <si>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</si>
  <si>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</si>
  <si>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</si>
  <si>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</si>
  <si>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</si>
  <si>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</si>
  <si>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</si>
  <si>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</si>
  <si>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</si>
  <si>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</si>
  <si>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</si>
  <si>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</si>
  <si>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</si>
  <si>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</si>
  <si>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</si>
  <si>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</si>
  <si>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</si>
  <si>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</si>
  <si>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</si>
  <si>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</si>
  <si>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</si>
  <si>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</si>
  <si>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</si>
  <si>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</si>
  <si>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</si>
  <si>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</si>
  <si>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</si>
  <si>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</si>
  <si>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</si>
  <si>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</si>
  <si>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</si>
  <si>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</si>
  <si>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</si>
  <si>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</si>
  <si>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</si>
  <si>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</si>
  <si>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</si>
  <si>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</si>
  <si>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</si>
  <si>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</si>
  <si>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</si>
  <si>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</si>
  <si>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</si>
  <si>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</si>
  <si>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</si>
  <si>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</si>
  <si>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</si>
  <si>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</si>
  <si>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</si>
  <si>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</si>
  <si>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</si>
  <si>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</si>
  <si>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</si>
  <si>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</si>
  <si>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</si>
  <si>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</si>
  <si>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</si>
  <si>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</si>
  <si>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</si>
  <si>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</si>
  <si>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</si>
  <si>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</si>
  <si>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</si>
  <si>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</si>
  <si>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</si>
  <si>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</si>
  <si>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</si>
  <si>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</si>
  <si>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</si>
  <si>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</si>
  <si>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</si>
  <si>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</si>
  <si>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</si>
  <si>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</si>
  <si>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</si>
  <si>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</si>
  <si>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</si>
  <si>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</si>
  <si>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</si>
  <si>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</si>
  <si>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</si>
  <si>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</si>
  <si>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</si>
  <si>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</si>
  <si>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</si>
  <si>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</si>
  <si>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</si>
  <si>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</si>
  <si>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</si>
  <si>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</si>
  <si>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</si>
  <si>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</si>
  <si>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</si>
  <si>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</si>
  <si>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</si>
  <si>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</si>
  <si>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</si>
  <si>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</si>
  <si>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</si>
  <si>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</si>
  <si>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</si>
  <si>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</si>
  <si>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</si>
  <si>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</si>
  <si>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</si>
  <si>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</si>
  <si>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</si>
  <si>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</si>
  <si>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</si>
  <si>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</si>
  <si>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</si>
  <si>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</si>
  <si>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</si>
  <si>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</si>
  <si>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</si>
  <si>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</si>
  <si>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</si>
  <si>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</si>
  <si>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</si>
  <si>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</si>
  <si>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</si>
  <si>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</si>
  <si>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</si>
  <si>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</si>
  <si>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</si>
  <si>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</si>
  <si>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</si>
  <si>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</si>
  <si>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</si>
  <si>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</si>
  <si>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</si>
  <si>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</si>
  <si>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</si>
  <si>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</si>
  <si>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</si>
  <si>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</si>
  <si>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</si>
  <si>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</si>
  <si>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</si>
  <si>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</si>
  <si>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</si>
  <si>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</si>
  <si>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</si>
  <si>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</si>
  <si>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</si>
  <si>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</si>
  <si>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</si>
  <si>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</si>
  <si>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</si>
  <si>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</si>
  <si>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</si>
  <si>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</si>
  <si>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</si>
  <si>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</si>
  <si>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</si>
  <si>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</si>
  <si>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</si>
  <si>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</si>
  <si>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</si>
  <si>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</si>
  <si>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</si>
  <si>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</si>
  <si>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</si>
  <si>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</si>
  <si>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</si>
  <si>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</si>
  <si>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</si>
  <si>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</si>
  <si>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</si>
  <si>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</si>
  <si>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</si>
  <si>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</si>
  <si>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</si>
  <si>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</si>
  <si>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</si>
  <si>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</si>
  <si>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</si>
  <si>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</si>
  <si>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</si>
  <si>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</si>
  <si>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</si>
  <si>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</si>
  <si>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</si>
  <si>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</si>
  <si>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</si>
  <si>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</si>
  <si>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</si>
  <si>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</si>
  <si>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</si>
  <si>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</si>
  <si>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</si>
  <si>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</si>
  <si>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</si>
  <si>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</si>
  <si>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</si>
  <si>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</si>
  <si>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</si>
  <si>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</si>
  <si>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</si>
  <si>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</si>
  <si>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</si>
  <si>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</si>
  <si>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</si>
  <si>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</si>
  <si>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</si>
  <si>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</si>
  <si>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</si>
  <si>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</si>
  <si>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</si>
  <si>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</si>
  <si>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</si>
  <si>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</si>
  <si>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</si>
  <si>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</si>
  <si>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</si>
  <si>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</si>
  <si>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</si>
  <si>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</si>
  <si>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</si>
  <si>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</si>
  <si>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</si>
  <si>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</si>
  <si>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</si>
  <si>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</si>
  <si>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</si>
  <si>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</si>
  <si>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</si>
  <si>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</si>
  <si>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</si>
  <si>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</si>
  <si>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</si>
  <si>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</si>
  <si>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</si>
  <si>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</si>
  <si>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</si>
  <si>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</si>
  <si>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</si>
  <si>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</si>
  <si>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</si>
  <si>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</si>
  <si>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</si>
  <si>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</si>
  <si>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</si>
  <si>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</si>
  <si>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</si>
  <si>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</si>
  <si>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</si>
  <si>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</si>
  <si>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</si>
  <si>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</si>
  <si>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</si>
  <si>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</si>
  <si>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</si>
  <si>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</si>
  <si>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</si>
  <si>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</si>
  <si>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</si>
  <si>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</si>
  <si>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</si>
  <si>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</si>
  <si>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</si>
  <si>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</si>
  <si>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</si>
  <si>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</si>
  <si>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</si>
  <si>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</si>
  <si>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</si>
  <si>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</si>
  <si>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</si>
  <si>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</si>
  <si>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</si>
  <si>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</si>
  <si>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</si>
  <si>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</si>
  <si>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</si>
  <si>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</si>
  <si>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</si>
  <si>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</si>
  <si>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</si>
  <si>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</si>
  <si>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</si>
  <si>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</si>
  <si>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</si>
  <si>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</si>
  <si>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</si>
  <si>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</si>
  <si>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</si>
  <si>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</si>
  <si>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</si>
  <si>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</si>
  <si>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</si>
  <si>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</si>
  <si>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</si>
  <si>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</si>
  <si>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</si>
  <si>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</si>
  <si>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</si>
  <si>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</si>
  <si>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</si>
  <si>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</si>
  <si>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</si>
  <si>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</si>
  <si>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</si>
  <si>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</si>
  <si>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</si>
  <si>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</si>
  <si>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</si>
  <si>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</si>
  <si>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</si>
  <si>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</si>
  <si>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</si>
  <si>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</si>
  <si>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</si>
  <si>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</si>
  <si>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</si>
  <si>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</si>
  <si>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</si>
  <si>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</si>
  <si>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</si>
  <si>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</si>
  <si>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</si>
  <si>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</si>
  <si>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</si>
  <si>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</si>
  <si>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</si>
  <si>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</si>
  <si>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</si>
  <si>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</si>
  <si>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</si>
  <si>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</si>
  <si>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</si>
  <si>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</si>
  <si>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</si>
  <si>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</si>
  <si>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</si>
  <si>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</si>
  <si>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</si>
  <si>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</si>
  <si>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</si>
  <si>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</si>
  <si>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</si>
  <si>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</si>
  <si>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</si>
  <si>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</si>
  <si>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</si>
  <si>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</si>
  <si>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</si>
  <si>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</si>
  <si>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</si>
  <si>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</si>
  <si>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</si>
  <si>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</si>
  <si>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</si>
  <si>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</si>
  <si>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</si>
  <si>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</si>
  <si>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</si>
  <si>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</si>
  <si>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</si>
  <si>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</si>
  <si>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</si>
  <si>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</si>
  <si>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</si>
  <si>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</si>
  <si>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</si>
  <si>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</si>
  <si>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</si>
  <si>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</si>
  <si>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</si>
  <si>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</si>
  <si>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</si>
  <si>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</si>
  <si>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</si>
  <si>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</si>
  <si>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</si>
  <si>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</si>
  <si>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</si>
  <si>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</si>
  <si>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</si>
  <si>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</si>
  <si>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</si>
  <si>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</si>
  <si>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</si>
  <si>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</si>
  <si>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</si>
  <si>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</si>
  <si>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</si>
  <si>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</si>
  <si>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</si>
  <si>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</si>
  <si>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</si>
  <si>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</si>
  <si>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</si>
  <si>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</si>
  <si>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</si>
  <si>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</si>
  <si>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</si>
  <si>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</si>
  <si>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</si>
  <si>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</si>
  <si>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</si>
  <si>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</si>
  <si>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</si>
  <si>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</si>
  <si>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</si>
  <si>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</si>
  <si>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</si>
  <si>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</si>
  <si>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</si>
  <si>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</si>
  <si>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</si>
  <si>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</si>
  <si>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</si>
  <si>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</si>
  <si>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</si>
  <si>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</si>
  <si>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</si>
  <si>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</si>
  <si>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</si>
  <si>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</si>
  <si>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</si>
  <si>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</si>
  <si>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</si>
  <si>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</si>
  <si>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</si>
  <si>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</si>
  <si>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</si>
  <si>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</si>
  <si>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</si>
  <si>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</si>
  <si>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</si>
  <si>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</si>
  <si>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</si>
  <si>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</si>
  <si>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</si>
  <si>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</si>
  <si>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</si>
  <si>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</si>
  <si>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</si>
  <si>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</si>
  <si>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</si>
  <si>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</si>
  <si>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</si>
  <si>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</si>
  <si>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</si>
  <si>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</si>
  <si>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</si>
  <si>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</si>
  <si>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</si>
  <si>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</si>
  <si>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</si>
  <si>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</si>
  <si>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</si>
  <si>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</si>
  <si>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</si>
  <si>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</si>
  <si>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</si>
  <si>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</si>
  <si>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</si>
  <si>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</si>
  <si>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</si>
  <si>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</si>
  <si>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</si>
  <si>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</si>
  <si>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</si>
  <si>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</si>
  <si>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</si>
  <si>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</si>
  <si>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</si>
  <si>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</si>
  <si>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</si>
  <si>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</si>
  <si>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</si>
  <si>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</si>
  <si>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</si>
  <si>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</si>
  <si>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</si>
  <si>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</si>
  <si>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</si>
  <si>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</si>
  <si>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</si>
  <si>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</si>
  <si>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</si>
  <si>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</si>
  <si>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</si>
  <si>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</si>
  <si>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</si>
  <si>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</si>
  <si>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</si>
  <si>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</si>
  <si>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</si>
  <si>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</si>
  <si>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</si>
  <si>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</si>
  <si>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</si>
  <si>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</si>
  <si>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</si>
  <si>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</si>
  <si>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</si>
  <si>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</si>
  <si>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</si>
  <si>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</si>
  <si>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</si>
  <si>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</si>
  <si>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</si>
  <si>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</si>
  <si>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</si>
  <si>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</si>
  <si>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</si>
  <si>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</si>
  <si>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</si>
  <si>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</si>
  <si>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</si>
  <si>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</si>
  <si>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</si>
  <si>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</si>
  <si>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</si>
  <si>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</si>
  <si>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</si>
  <si>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</si>
  <si>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</si>
  <si>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</si>
  <si>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</si>
  <si>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</si>
  <si>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</si>
  <si>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</si>
  <si>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</si>
  <si>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</si>
  <si>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</si>
  <si>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</si>
  <si>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</si>
  <si>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</si>
  <si>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</si>
  <si>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</si>
  <si>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</si>
  <si>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</si>
  <si>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</si>
  <si>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</si>
  <si>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</si>
  <si>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</si>
  <si>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</si>
  <si>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</si>
  <si>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</si>
  <si>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</si>
  <si>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</si>
  <si>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</si>
  <si>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</si>
  <si>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</si>
  <si>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</si>
  <si>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</si>
  <si>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</si>
  <si>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</si>
  <si>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</si>
  <si>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</si>
  <si>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</si>
  <si>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</si>
  <si>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</si>
  <si>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</si>
  <si>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</si>
  <si>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</si>
  <si>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</si>
  <si>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</si>
  <si>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</si>
  <si>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</si>
  <si>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</si>
  <si>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</si>
  <si>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</si>
  <si>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</si>
  <si>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</si>
  <si>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</si>
  <si>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</si>
  <si>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</si>
  <si>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</si>
  <si>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</si>
  <si>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</si>
  <si>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</si>
  <si>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</si>
  <si>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</si>
  <si>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</si>
  <si>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</si>
  <si>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</si>
  <si>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</si>
  <si>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</si>
  <si>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</si>
  <si>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</si>
  <si>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</si>
  <si>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</si>
  <si>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</si>
  <si>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</si>
  <si>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</si>
  <si>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</si>
  <si>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</si>
  <si>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</si>
  <si>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</si>
  <si>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</si>
  <si>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</si>
  <si>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</si>
  <si>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</si>
  <si>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</si>
  <si>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</si>
  <si>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</si>
  <si>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</si>
  <si>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</si>
  <si>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</si>
  <si>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</si>
  <si>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</si>
  <si>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</si>
  <si>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</si>
  <si>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</si>
  <si>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</si>
  <si>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</si>
  <si>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</si>
  <si>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</si>
  <si>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</si>
  <si>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</si>
  <si>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</si>
  <si>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</si>
  <si>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</si>
  <si>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</si>
  <si>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</si>
  <si>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</si>
  <si>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</si>
  <si>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</si>
  <si>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</si>
  <si>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</si>
  <si>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</si>
  <si>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</si>
  <si>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</si>
  <si>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</si>
  <si>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</si>
  <si>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</si>
  <si>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</si>
  <si>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</si>
  <si>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</si>
  <si>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</si>
  <si>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</si>
  <si>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</si>
  <si>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</si>
  <si>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</si>
  <si>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</si>
  <si>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</si>
  <si>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</si>
  <si>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</si>
  <si>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</si>
  <si>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</si>
  <si>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</si>
  <si>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</si>
  <si>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</si>
  <si>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</si>
  <si>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</si>
  <si>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</si>
  <si>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</si>
  <si>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</si>
  <si>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</si>
  <si>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</si>
  <si>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</si>
  <si>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</si>
  <si>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</si>
  <si>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</si>
  <si>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</si>
  <si>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</si>
  <si>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</si>
  <si>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</si>
  <si>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</si>
  <si>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</si>
  <si>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</si>
  <si>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</si>
  <si>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</si>
  <si>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</si>
  <si>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</si>
  <si>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</si>
  <si>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</si>
  <si>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</si>
  <si>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</si>
  <si>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</si>
  <si>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</si>
  <si>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</si>
  <si>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</si>
  <si>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</si>
  <si>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</si>
  <si>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</si>
  <si>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</si>
  <si>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</si>
  <si>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</si>
  <si>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</si>
  <si>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</si>
  <si>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</si>
  <si>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</si>
  <si>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</si>
  <si>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</si>
  <si>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</si>
  <si>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</si>
  <si>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</si>
  <si>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</si>
  <si>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</si>
  <si>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</si>
  <si>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</si>
  <si>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</si>
  <si>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</si>
  <si>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</si>
  <si>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</si>
  <si>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</si>
  <si>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</si>
  <si>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</si>
  <si>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</si>
  <si>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</si>
  <si>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</si>
  <si>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</si>
  <si>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</si>
  <si>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</si>
  <si>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</si>
  <si>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</si>
  <si>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</si>
  <si>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</si>
  <si>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</si>
  <si>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</si>
  <si>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</si>
  <si>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</si>
  <si>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</si>
  <si>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</si>
  <si>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</si>
  <si>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</si>
  <si>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</si>
  <si>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</si>
  <si>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</si>
  <si>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</si>
  <si>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</si>
  <si>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</si>
  <si>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</si>
  <si>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</si>
  <si>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</si>
  <si>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</si>
  <si>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</si>
  <si>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</si>
  <si>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</si>
  <si>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</si>
  <si>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</si>
  <si>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</si>
  <si>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</si>
  <si>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</si>
  <si>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</si>
  <si>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</si>
  <si>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</si>
  <si>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</si>
  <si>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</si>
  <si>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</si>
  <si>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</si>
  <si>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</si>
  <si>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</si>
  <si>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</si>
  <si>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</si>
  <si>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</si>
  <si>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</si>
  <si>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</si>
  <si>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</si>
  <si>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</si>
  <si>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</si>
  <si>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</si>
  <si>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</si>
  <si>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</si>
  <si>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</si>
  <si>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</si>
  <si>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</si>
  <si>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</si>
  <si>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</si>
  <si>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</si>
  <si>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</si>
  <si>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</si>
  <si>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</si>
  <si>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</si>
  <si>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</si>
  <si>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</si>
  <si>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</si>
  <si>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</si>
  <si>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</si>
  <si>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</si>
  <si>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</si>
  <si>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</si>
  <si>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</si>
  <si>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</si>
  <si>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</si>
  <si>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</si>
  <si>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</si>
  <si>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</si>
  <si>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</si>
  <si>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</si>
  <si>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</si>
  <si>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</si>
  <si>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</si>
  <si>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</si>
  <si>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</si>
  <si>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</si>
  <si>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</si>
  <si>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</si>
  <si>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</si>
  <si>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</si>
  <si>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</si>
  <si>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</si>
  <si>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</si>
  <si>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</si>
  <si>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</si>
  <si>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</si>
  <si>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</si>
  <si>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</si>
  <si>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</si>
  <si>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</si>
  <si>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</si>
  <si>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</si>
  <si>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</si>
  <si>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</si>
  <si>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</si>
  <si>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</si>
  <si>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</si>
  <si>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</si>
  <si>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</si>
  <si>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</si>
  <si>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</si>
  <si>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</si>
  <si>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</si>
  <si>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</si>
  <si>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</si>
  <si>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</si>
  <si>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</si>
  <si>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</si>
  <si>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</si>
  <si>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</si>
  <si>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</si>
  <si>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</si>
  <si>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</si>
  <si>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</si>
  <si>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</si>
  <si>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</si>
  <si>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</si>
  <si>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</si>
  <si>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</si>
  <si>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</si>
  <si>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</si>
  <si>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</si>
  <si>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</si>
  <si>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</si>
  <si>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</si>
  <si>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</si>
  <si>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</si>
  <si>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</si>
  <si>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</si>
  <si>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</si>
  <si>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</si>
  <si>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</si>
  <si>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</si>
  <si>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</si>
  <si>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</si>
  <si>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</si>
  <si>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</si>
  <si>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</si>
  <si>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</si>
  <si>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</si>
  <si>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</si>
  <si>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</si>
  <si>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</si>
  <si>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</si>
  <si>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</si>
  <si>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</si>
  <si>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</si>
  <si>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</si>
  <si>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</si>
  <si>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</si>
  <si>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</si>
  <si>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</si>
  <si>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</si>
  <si>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</si>
  <si>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</si>
  <si>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</si>
  <si>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</si>
  <si>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</si>
  <si>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</si>
  <si>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</si>
  <si>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</si>
  <si>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</si>
  <si>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</si>
  <si>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</si>
  <si>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</si>
  <si>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</si>
  <si>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</si>
  <si>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</si>
  <si>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</si>
  <si>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</si>
  <si>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</si>
  <si>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</si>
  <si>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</si>
  <si>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</si>
  <si>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</si>
  <si>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</si>
  <si>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</si>
  <si>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</si>
  <si>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</si>
  <si>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</si>
  <si>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</si>
  <si>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</si>
  <si>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</si>
  <si>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</si>
  <si>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</si>
  <si>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</si>
  <si>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</si>
  <si>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</si>
  <si>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</si>
  <si>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</si>
  <si>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</si>
  <si>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</si>
  <si>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</si>
  <si>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</si>
  <si>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</si>
  <si>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</si>
  <si>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</si>
  <si>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</si>
  <si>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</si>
  <si>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</si>
  <si>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</si>
  <si>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</si>
  <si>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</si>
  <si>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</si>
  <si>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</si>
  <si>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</si>
  <si>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</si>
  <si>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</si>
  <si>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</si>
  <si>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</si>
  <si>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</si>
  <si>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</si>
  <si>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</si>
  <si>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</si>
  <si>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</si>
  <si>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</si>
  <si>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</si>
  <si>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</si>
  <si>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</si>
  <si>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</si>
  <si>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</si>
  <si>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</si>
  <si>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</si>
  <si>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</si>
  <si>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</si>
  <si>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</si>
  <si>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</si>
  <si>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</si>
  <si>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</si>
  <si>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</si>
  <si>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</si>
  <si>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</si>
  <si>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</si>
  <si>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</si>
  <si>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</si>
  <si>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</si>
  <si>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</si>
  <si>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</si>
  <si>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</si>
  <si>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</si>
  <si>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</si>
  <si>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</si>
  <si>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</si>
  <si>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</si>
  <si>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</si>
  <si>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</si>
  <si>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</si>
  <si>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</si>
  <si>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</si>
  <si>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</si>
  <si>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</si>
  <si>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</si>
  <si>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</si>
  <si>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</si>
  <si>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</si>
  <si>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</si>
  <si>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</si>
  <si>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</si>
  <si>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</si>
  <si>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</si>
  <si>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</si>
  <si>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</si>
  <si>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</si>
  <si>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</si>
  <si>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</si>
  <si>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</si>
  <si>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</si>
  <si>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</si>
  <si>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</si>
  <si>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</si>
  <si>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</si>
  <si>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</si>
  <si>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</si>
  <si>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</si>
  <si>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</si>
  <si>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</si>
  <si>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</si>
  <si>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</si>
  <si>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</si>
  <si>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</si>
  <si>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</si>
  <si>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</si>
  <si>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</si>
  <si>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</si>
  <si>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</si>
  <si>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</si>
  <si>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</si>
  <si>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</si>
  <si>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</si>
  <si>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</si>
  <si>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</si>
  <si>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</si>
  <si>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</si>
  <si>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</si>
  <si>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</si>
  <si>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</si>
  <si>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</si>
  <si>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</si>
  <si>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</si>
  <si>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</si>
  <si>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</si>
  <si>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</si>
  <si>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</si>
  <si>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</si>
  <si>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</si>
  <si>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</si>
  <si>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</si>
  <si>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</si>
  <si>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</si>
  <si>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</si>
  <si>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</si>
  <si>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</si>
  <si>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</si>
  <si>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</si>
  <si>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</si>
  <si>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</si>
  <si>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</si>
  <si>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</si>
  <si>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</si>
  <si>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</si>
  <si>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</si>
  <si>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</si>
  <si>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</si>
  <si>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</si>
  <si>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</si>
  <si>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</si>
  <si>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</si>
  <si>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</si>
  <si>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</si>
  <si>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</si>
  <si>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</si>
  <si>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</si>
  <si>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</si>
  <si>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</si>
  <si>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</si>
  <si>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</si>
  <si>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</si>
  <si>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</si>
  <si>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</si>
  <si>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</si>
  <si>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</si>
  <si>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</si>
  <si>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</si>
  <si>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</si>
  <si>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</si>
  <si>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</si>
  <si>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</si>
  <si>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</si>
  <si>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</si>
  <si>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</si>
  <si>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</si>
  <si>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</si>
  <si>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</si>
  <si>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</si>
  <si>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</si>
  <si>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</si>
  <si>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</si>
  <si>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</si>
  <si>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</si>
  <si>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</si>
  <si>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</si>
  <si>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</si>
  <si>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</si>
  <si>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</si>
  <si>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</si>
  <si>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</si>
  <si>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</si>
  <si>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</si>
  <si>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</si>
  <si>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</si>
  <si>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</si>
  <si>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</si>
  <si>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</si>
  <si>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</si>
  <si>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</si>
  <si>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</si>
  <si>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</si>
  <si>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</si>
  <si>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</si>
  <si>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</si>
  <si>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</si>
  <si>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</si>
  <si>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</si>
  <si>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</si>
  <si>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</si>
  <si>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</si>
  <si>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</si>
  <si>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</si>
  <si>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</si>
  <si>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</si>
  <si>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</si>
  <si>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</si>
  <si>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</si>
  <si>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</si>
  <si>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</si>
  <si>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</si>
  <si>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</si>
  <si>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</si>
  <si>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</si>
  <si>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</si>
  <si>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</si>
  <si>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</si>
  <si>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</si>
  <si>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</si>
  <si>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</si>
  <si>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</si>
  <si>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</si>
  <si>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</si>
  <si>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</si>
  <si>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</si>
  <si>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</si>
  <si>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</si>
  <si>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</si>
  <si>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</si>
  <si>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</si>
  <si>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</si>
  <si>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</si>
  <si>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</si>
  <si>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</si>
  <si>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</si>
  <si>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</si>
  <si>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</si>
  <si>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</si>
  <si>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</si>
  <si>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</si>
  <si>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</si>
  <si>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</si>
  <si>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</si>
  <si>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</si>
  <si>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</si>
  <si>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</si>
  <si>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</si>
  <si>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</si>
  <si>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</si>
  <si>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</si>
  <si>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</si>
  <si>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</si>
  <si>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</si>
  <si>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</si>
  <si>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</si>
  <si>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</si>
  <si>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</si>
  <si>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</si>
  <si>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</si>
  <si>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</si>
  <si>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</si>
  <si>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</si>
  <si>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</si>
  <si>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</si>
  <si>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</si>
  <si>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</si>
  <si>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</si>
  <si>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</si>
  <si>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</si>
  <si>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</si>
  <si>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</si>
  <si>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</si>
  <si>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</si>
  <si>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</si>
  <si>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</si>
  <si>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</si>
  <si>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</si>
  <si>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</si>
  <si>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</si>
  <si>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</si>
  <si>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</si>
  <si>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</si>
  <si>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</si>
  <si>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</si>
  <si>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</si>
  <si>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</si>
  <si>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</si>
  <si>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</si>
  <si>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</si>
  <si>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</si>
  <si>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</si>
  <si>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</si>
  <si>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</si>
  <si>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</si>
  <si>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</si>
  <si>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</si>
  <si>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</si>
  <si>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</si>
  <si>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</si>
  <si>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</si>
  <si>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</si>
  <si>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</si>
  <si>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</si>
  <si>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</si>
  <si>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</si>
  <si>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</si>
  <si>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</si>
  <si>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</si>
  <si>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</si>
  <si>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</si>
  <si>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</si>
  <si>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</si>
  <si>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</si>
  <si>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</si>
  <si>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</si>
  <si>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</si>
  <si>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</si>
  <si>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</si>
  <si>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</si>
  <si>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</si>
  <si>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</si>
  <si>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</si>
  <si>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</si>
  <si>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</si>
  <si>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</si>
  <si>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</si>
  <si>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</si>
  <si>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</si>
  <si>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</si>
  <si>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</si>
  <si>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</si>
  <si>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</si>
  <si>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</si>
  <si>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</si>
  <si>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</si>
  <si>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</si>
  <si>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</si>
  <si>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</si>
  <si>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</si>
  <si>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</si>
  <si>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</si>
  <si>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</si>
  <si>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</si>
  <si>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</si>
  <si>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</si>
  <si>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</si>
  <si>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</si>
  <si>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</si>
  <si>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</si>
  <si>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</si>
  <si>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</si>
  <si>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</si>
  <si>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</si>
  <si>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</si>
  <si>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</si>
  <si>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</si>
  <si>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</si>
  <si>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</si>
  <si>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</si>
  <si>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</si>
  <si>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</si>
  <si>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</si>
  <si>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</si>
  <si>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</si>
  <si>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</si>
  <si>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</si>
  <si>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</si>
  <si>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</si>
  <si>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</si>
  <si>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</si>
  <si>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</si>
  <si>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</si>
  <si>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</si>
  <si>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</si>
  <si>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</si>
  <si>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</si>
  <si>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</si>
  <si>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</si>
  <si>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</si>
  <si>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</si>
  <si>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</si>
  <si>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</si>
  <si>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</si>
  <si>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</si>
  <si>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</si>
  <si>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</si>
  <si>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</si>
  <si>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</si>
  <si>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</si>
  <si>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</si>
  <si>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</si>
  <si>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</si>
  <si>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</si>
  <si>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</si>
  <si>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</si>
  <si>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</si>
  <si>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</si>
  <si>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</si>
  <si>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</si>
  <si>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</si>
  <si>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</si>
  <si>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</si>
  <si>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</si>
  <si>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</si>
  <si>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</si>
  <si>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</si>
  <si>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</si>
  <si>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</si>
  <si>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</si>
  <si>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</si>
  <si>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</si>
  <si>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</si>
  <si>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</si>
  <si>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</si>
  <si>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</si>
  <si>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</si>
  <si>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</si>
  <si>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</si>
  <si>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</si>
  <si>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</si>
  <si>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</si>
  <si>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</si>
  <si>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</si>
  <si>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</si>
  <si>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</si>
  <si>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</si>
  <si>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</si>
  <si>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</si>
  <si>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</si>
  <si>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</si>
  <si>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</si>
  <si>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</si>
  <si>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</si>
  <si>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</si>
  <si>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</si>
  <si>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</si>
  <si>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</si>
  <si>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</si>
  <si>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</si>
  <si>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</si>
  <si>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</si>
  <si>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</si>
  <si>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</si>
  <si>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</si>
  <si>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</si>
  <si>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</si>
  <si>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</si>
  <si>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</si>
  <si>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</si>
  <si>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</si>
  <si>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</si>
  <si>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</si>
  <si>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</si>
  <si>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</si>
  <si>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</si>
  <si>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</si>
  <si>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</si>
  <si>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</si>
  <si>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</si>
  <si>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</si>
  <si>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</si>
  <si>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</si>
  <si>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</si>
  <si>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</si>
  <si>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</si>
  <si>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</si>
  <si>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</si>
  <si>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</si>
  <si>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</si>
  <si>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</si>
  <si>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</si>
  <si>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</si>
  <si>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</si>
  <si>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</si>
  <si>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</si>
  <si>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</si>
  <si>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</si>
  <si>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</si>
  <si>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</si>
  <si>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</si>
  <si>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</si>
  <si>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</si>
  <si>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</si>
  <si>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</si>
  <si>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</si>
  <si>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</si>
  <si>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</si>
  <si>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</si>
  <si>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</si>
  <si>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</si>
  <si>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</si>
  <si>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</si>
  <si>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</si>
  <si>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</si>
  <si>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</si>
  <si>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</si>
  <si>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</si>
  <si>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</si>
  <si>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</si>
  <si>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</si>
  <si>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</si>
  <si>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</si>
  <si>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</si>
  <si>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</si>
  <si>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</si>
  <si>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</si>
  <si>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</si>
  <si>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</si>
  <si>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</si>
  <si>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</si>
  <si>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</si>
  <si>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</si>
  <si>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</si>
  <si>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</si>
  <si>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</si>
  <si>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</si>
  <si>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</si>
  <si>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</si>
  <si>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</si>
  <si>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</si>
  <si>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</si>
  <si>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</si>
  <si>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</si>
  <si>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</si>
  <si>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</si>
  <si>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</si>
  <si>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</si>
  <si>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</si>
  <si>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</si>
  <si>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</si>
  <si>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</si>
  <si>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</si>
  <si>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</si>
  <si>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</si>
  <si>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</si>
  <si>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</si>
  <si>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</si>
  <si>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</si>
  <si>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</si>
  <si>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</si>
  <si>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</si>
  <si>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</si>
  <si>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</si>
  <si>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</si>
  <si>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</si>
  <si>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</si>
  <si>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</si>
  <si>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</si>
  <si>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</si>
  <si>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</si>
  <si>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</si>
  <si>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</si>
  <si>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</si>
  <si>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</si>
  <si>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</si>
  <si>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</si>
  <si>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</si>
  <si>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</si>
  <si>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</si>
  <si>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</si>
  <si>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</si>
  <si>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</si>
  <si>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</si>
  <si>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</si>
  <si>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</si>
  <si>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</si>
  <si>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</si>
  <si>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</si>
  <si>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</si>
  <si>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</si>
  <si>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</si>
  <si>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</si>
  <si>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</si>
  <si>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</si>
  <si>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</si>
  <si>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</si>
  <si>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</si>
  <si>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</si>
  <si>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</si>
  <si>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</si>
  <si>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</si>
  <si>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</si>
  <si>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</si>
  <si>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</si>
  <si>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</si>
  <si>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</si>
  <si>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</si>
  <si>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</si>
  <si>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</si>
  <si>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</si>
  <si>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</si>
  <si>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</si>
  <si>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</si>
  <si>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</si>
  <si>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</si>
  <si>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</si>
  <si>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</si>
  <si>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</si>
  <si>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</si>
  <si>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</si>
  <si>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</si>
  <si>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</si>
  <si>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</si>
  <si>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</si>
  <si>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</si>
  <si>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</si>
  <si>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</si>
  <si>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</si>
  <si>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</si>
  <si>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</si>
  <si>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</si>
  <si>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</si>
  <si>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</si>
  <si>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</si>
  <si>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</si>
  <si>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</si>
  <si>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</si>
  <si>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</si>
  <si>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</si>
  <si>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</si>
  <si>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</si>
  <si>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</si>
  <si>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</si>
  <si>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</si>
  <si>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</si>
  <si>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</si>
  <si>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</si>
  <si>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</si>
  <si>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</si>
  <si>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</si>
  <si>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</si>
  <si>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</si>
  <si>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</si>
  <si>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</si>
  <si>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</si>
  <si>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</si>
  <si>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</si>
  <si>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</si>
  <si>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</si>
  <si>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</si>
  <si>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</si>
  <si>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</si>
  <si>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</si>
  <si>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</si>
  <si>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</si>
  <si>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</si>
  <si>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</si>
  <si>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</si>
  <si>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</si>
  <si>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</si>
  <si>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</si>
  <si>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</si>
  <si>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</si>
  <si>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</si>
  <si>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</si>
  <si>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</si>
  <si>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</si>
  <si>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</si>
  <si>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</si>
  <si>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</si>
  <si>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</si>
  <si>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</si>
  <si>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</si>
  <si>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</si>
  <si>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</si>
  <si>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</si>
  <si>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</si>
  <si>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</si>
  <si>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</si>
  <si>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</si>
  <si>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</si>
  <si>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</si>
  <si>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</si>
  <si>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</si>
  <si>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</si>
  <si>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</si>
  <si>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</si>
  <si>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</si>
  <si>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</si>
  <si>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</si>
  <si>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</si>
  <si>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</si>
  <si>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</si>
  <si>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</si>
  <si>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</si>
  <si>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</si>
  <si>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</si>
  <si>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</si>
  <si>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</si>
  <si>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</si>
  <si>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</si>
  <si>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</si>
  <si>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</si>
  <si>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</si>
  <si>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</si>
  <si>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</si>
  <si>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</si>
  <si>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</si>
  <si>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</si>
  <si>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</si>
  <si>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</si>
  <si>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</si>
  <si>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</si>
  <si>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</si>
  <si>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</si>
  <si>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</si>
  <si>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</si>
  <si>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</si>
  <si>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</si>
  <si>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</si>
  <si>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</si>
  <si>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</si>
  <si>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</si>
  <si>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</si>
  <si>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</si>
  <si>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</si>
  <si>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</si>
  <si>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</si>
  <si>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</si>
  <si>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</si>
  <si>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</si>
  <si>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</si>
  <si>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</si>
  <si>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</si>
  <si>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</si>
  <si>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</si>
  <si>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</si>
  <si>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</si>
  <si>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</si>
  <si>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</si>
  <si>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</si>
  <si>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</si>
  <si>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</si>
  <si>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</si>
  <si>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</si>
  <si>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</si>
  <si>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</si>
  <si>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</si>
  <si>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</si>
  <si>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</si>
  <si>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</si>
  <si>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</si>
  <si>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</si>
  <si>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</si>
  <si>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</si>
  <si>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</si>
  <si>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</si>
  <si>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</si>
  <si>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</si>
  <si>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</si>
  <si>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</si>
  <si>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</si>
  <si>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</si>
  <si>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</si>
  <si>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</si>
  <si>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</si>
  <si>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</si>
  <si>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</si>
  <si>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</si>
  <si>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</si>
  <si>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</si>
  <si>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</si>
  <si>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</si>
  <si>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</si>
  <si>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</si>
  <si>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</si>
  <si>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</si>
  <si>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</si>
  <si>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</si>
  <si>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</si>
  <si>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</si>
  <si>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</si>
  <si>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</si>
  <si>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</si>
  <si>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</si>
  <si>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</si>
  <si>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</si>
  <si>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</si>
  <si>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</si>
  <si>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</si>
  <si>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</si>
  <si>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</si>
  <si>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</si>
  <si>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</si>
  <si>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</si>
  <si>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</si>
  <si>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</si>
  <si>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</si>
  <si>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</si>
  <si>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</si>
  <si>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</si>
  <si>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</si>
  <si>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</si>
  <si>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</si>
  <si>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</si>
  <si>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</si>
  <si>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</si>
  <si>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</si>
  <si>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</si>
  <si>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</si>
  <si>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</si>
  <si>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</si>
  <si>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</si>
  <si>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</si>
  <si>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</si>
  <si>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</si>
  <si>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</si>
  <si>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</si>
  <si>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</si>
  <si>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</si>
  <si>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</si>
  <si>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</si>
  <si>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</si>
  <si>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</si>
  <si>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</si>
  <si>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</si>
  <si>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</si>
  <si>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</si>
  <si>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</si>
  <si>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</si>
  <si>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</si>
  <si>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</si>
  <si>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</si>
  <si>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</si>
  <si>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</si>
  <si>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</si>
  <si>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</si>
  <si>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</si>
  <si>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</si>
  <si>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</si>
  <si>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</si>
  <si>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</si>
  <si>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</si>
  <si>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</si>
  <si>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</si>
  <si>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</si>
  <si>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</si>
  <si>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</si>
  <si>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</si>
  <si>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</si>
  <si>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</si>
  <si>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</si>
  <si>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</si>
  <si>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</si>
  <si>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</si>
  <si>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</si>
  <si>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</si>
  <si>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</si>
  <si>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</si>
  <si>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</si>
  <si>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</si>
  <si>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</si>
  <si>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</si>
  <si>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</si>
  <si>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</si>
  <si>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</si>
  <si>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</si>
  <si>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</si>
  <si>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</si>
  <si>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</si>
  <si>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</si>
  <si>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</si>
  <si>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</si>
  <si>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</si>
  <si>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</si>
  <si>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</si>
  <si>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</si>
  <si>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</si>
  <si>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</si>
  <si>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</si>
  <si>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</si>
  <si>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</si>
  <si>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</si>
  <si>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</si>
  <si>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</si>
  <si>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</si>
  <si>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</si>
  <si>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</si>
  <si>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</si>
  <si>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</si>
  <si>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</si>
  <si>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</si>
  <si>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</si>
  <si>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</si>
  <si>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</si>
  <si>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</si>
  <si>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</si>
  <si>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</si>
  <si>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</si>
  <si>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</si>
  <si>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</si>
  <si>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</si>
  <si>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</si>
  <si>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</si>
  <si>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</si>
  <si>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</si>
  <si>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</si>
  <si>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</si>
  <si>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</si>
  <si>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</si>
  <si>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</si>
  <si>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</si>
  <si>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</si>
  <si>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</si>
  <si>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</si>
  <si>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</si>
  <si>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</si>
  <si>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</si>
  <si>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</si>
  <si>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</si>
  <si>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</si>
  <si>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</si>
  <si>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</si>
  <si>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</si>
  <si>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</si>
  <si>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</si>
  <si>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</si>
  <si>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</si>
  <si>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</si>
  <si>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</si>
  <si>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</si>
  <si>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</si>
  <si>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</si>
  <si>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</si>
  <si>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</si>
  <si>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</si>
  <si>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</si>
  <si>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</si>
  <si>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</si>
  <si>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</si>
  <si>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</si>
  <si>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</si>
  <si>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</si>
  <si>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</si>
  <si>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</si>
  <si>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</si>
  <si>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</si>
  <si>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</si>
  <si>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</si>
  <si>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</si>
  <si>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</si>
  <si>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</si>
  <si>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</si>
  <si>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</si>
  <si>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</si>
  <si>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</si>
  <si>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</si>
  <si>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</si>
  <si>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</si>
  <si>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</si>
  <si>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</si>
  <si>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</si>
  <si>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</si>
  <si>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</si>
  <si>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</si>
  <si>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</si>
  <si>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</si>
  <si>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</si>
  <si>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</si>
  <si>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</si>
  <si>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</si>
  <si>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</si>
  <si>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</si>
  <si>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</si>
  <si>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</si>
  <si>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</si>
  <si>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</si>
  <si>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</si>
  <si>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</si>
  <si>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</si>
  <si>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</si>
  <si>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</si>
  <si>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</si>
  <si>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</si>
  <si>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</si>
  <si>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</si>
  <si>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</si>
  <si>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</si>
  <si>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</si>
  <si>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</si>
  <si>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</si>
  <si>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</si>
  <si>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</si>
  <si>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</si>
  <si>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</si>
  <si>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</si>
  <si>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</si>
  <si>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</si>
  <si>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</si>
  <si>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</si>
  <si>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</si>
  <si>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</si>
  <si>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</si>
  <si>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</si>
  <si>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</si>
  <si>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</si>
  <si>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</si>
  <si>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</si>
  <si>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</si>
  <si>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</si>
  <si>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</si>
  <si>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</si>
  <si>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</si>
  <si>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</si>
  <si>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</si>
  <si>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</si>
  <si>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</si>
  <si>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</si>
  <si>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</si>
  <si>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</si>
  <si>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</si>
  <si>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</si>
  <si>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</si>
  <si>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</si>
  <si>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</si>
  <si>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</si>
  <si>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</si>
  <si>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</si>
  <si>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</si>
  <si>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</si>
  <si>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</si>
  <si>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</si>
  <si>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</si>
  <si>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</si>
  <si>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</si>
  <si>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</si>
  <si>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</si>
  <si>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</si>
  <si>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</si>
  <si>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</si>
  <si>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</si>
  <si>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</si>
  <si>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</si>
  <si>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</si>
  <si>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</si>
  <si>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</si>
  <si>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</si>
  <si>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</si>
  <si>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</si>
  <si>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</si>
  <si>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</si>
  <si>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</si>
  <si>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</si>
  <si>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</si>
  <si>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</si>
  <si>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</si>
  <si>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</si>
  <si>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</si>
  <si>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</si>
  <si>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</si>
  <si>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</si>
  <si>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</si>
  <si>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</si>
  <si>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</si>
  <si>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</si>
  <si>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</si>
  <si>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</si>
  <si>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</si>
  <si>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</si>
  <si>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</si>
  <si>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</si>
  <si>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</si>
  <si>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</si>
  <si>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</si>
  <si>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</si>
  <si>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</si>
  <si>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</si>
  <si>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</si>
  <si>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</si>
  <si>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</si>
  <si>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</si>
  <si>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</si>
  <si>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</si>
  <si>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</si>
  <si>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</si>
  <si>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</si>
  <si>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</si>
  <si>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</si>
  <si>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</si>
  <si>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</si>
  <si>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</si>
  <si>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</si>
  <si>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</si>
  <si>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</si>
  <si>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</si>
  <si>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</si>
  <si>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</si>
  <si>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</si>
  <si>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</si>
  <si>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</si>
  <si>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</si>
  <si>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</si>
  <si>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</si>
  <si>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</si>
  <si>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</si>
  <si>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</si>
  <si>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</si>
  <si>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</si>
  <si>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</si>
  <si>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</si>
  <si>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</si>
  <si>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</si>
  <si>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</si>
  <si>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</si>
  <si>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</si>
  <si>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</si>
  <si>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</si>
  <si>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</si>
  <si>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</si>
  <si>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</si>
  <si>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</si>
  <si>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</si>
  <si>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</si>
  <si>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</si>
  <si>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</si>
  <si>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</si>
  <si>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</si>
  <si>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</si>
  <si>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</si>
  <si>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</si>
  <si>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</si>
  <si>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</si>
  <si>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</si>
  <si>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</si>
  <si>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</si>
  <si>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</si>
  <si>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</si>
  <si>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</si>
  <si>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</si>
  <si>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</si>
  <si>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</si>
  <si>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</si>
  <si>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</si>
  <si>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</si>
  <si>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</si>
  <si>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</si>
  <si>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</si>
  <si>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</si>
  <si>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</si>
  <si>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</si>
  <si>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</si>
  <si>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</si>
  <si>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</si>
  <si>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</si>
  <si>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</si>
  <si>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</si>
  <si>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</si>
  <si>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</si>
  <si>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</si>
  <si>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</si>
  <si>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</si>
  <si>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</si>
  <si>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</si>
  <si>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</si>
  <si>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</si>
  <si>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</si>
  <si>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</si>
  <si>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</si>
  <si>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</si>
  <si>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</si>
  <si>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</si>
  <si>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</si>
  <si>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</si>
  <si>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</si>
  <si>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</si>
  <si>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</si>
  <si>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</si>
  <si>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</si>
  <si>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</si>
  <si>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</si>
  <si>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</si>
  <si>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</si>
  <si>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</si>
  <si>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</si>
  <si>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</si>
  <si>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</si>
  <si>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</si>
  <si>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</si>
  <si>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</si>
  <si>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</si>
  <si>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</si>
  <si>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</si>
  <si>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</si>
  <si>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</si>
  <si>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</si>
  <si>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</si>
  <si>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</si>
  <si>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</si>
  <si>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</si>
  <si>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</si>
  <si>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</si>
  <si>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</si>
  <si>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</si>
  <si>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</si>
  <si>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</si>
  <si>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</si>
  <si>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</si>
  <si>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</si>
  <si>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</si>
  <si>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</si>
  <si>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</si>
  <si>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</si>
  <si>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</si>
  <si>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</si>
  <si>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</si>
  <si>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</si>
  <si>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</si>
  <si>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</si>
  <si>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</si>
  <si>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</si>
  <si>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</si>
  <si>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</si>
  <si>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</si>
  <si>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</si>
  <si>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</si>
  <si>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</si>
  <si>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</si>
  <si>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</si>
  <si>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</si>
  <si>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</si>
  <si>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</si>
  <si>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</si>
  <si>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</si>
  <si>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</si>
  <si>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</si>
  <si>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</si>
  <si>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</si>
  <si>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</si>
  <si>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</si>
  <si>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</si>
  <si>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</si>
  <si>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</si>
  <si>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</si>
  <si>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</si>
  <si>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</si>
  <si>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</si>
  <si>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</si>
  <si>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</si>
  <si>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</si>
  <si>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</si>
  <si>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</si>
  <si>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</si>
  <si>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</si>
  <si>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</si>
  <si>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</si>
  <si>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</si>
  <si>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</si>
  <si>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</si>
  <si>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</si>
  <si>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</si>
  <si>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</si>
  <si>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</si>
  <si>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</si>
  <si>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</si>
  <si>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</si>
  <si>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</si>
  <si>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</si>
  <si>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</si>
  <si>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</si>
  <si>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</si>
  <si>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</si>
  <si>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</si>
  <si>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</si>
  <si>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</si>
  <si>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</si>
  <si>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</si>
  <si>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</si>
  <si>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</si>
  <si>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</si>
  <si>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</si>
  <si>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</si>
  <si>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</si>
  <si>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</si>
  <si>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</si>
  <si>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</si>
  <si>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</si>
  <si>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</si>
  <si>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</si>
  <si>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</si>
  <si>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</si>
  <si>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</si>
  <si>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</si>
  <si>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</si>
  <si>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</si>
  <si>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</si>
  <si>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</si>
  <si>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</si>
  <si>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</si>
  <si>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</si>
  <si>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</si>
  <si>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</si>
  <si>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</si>
  <si>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</si>
  <si>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</si>
  <si>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</si>
  <si>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</si>
  <si>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</si>
  <si>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</si>
  <si>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</si>
  <si>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</si>
  <si>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</si>
  <si>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</si>
  <si>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</si>
  <si>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</si>
  <si>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</si>
  <si>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</si>
  <si>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</si>
  <si>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</si>
  <si>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</si>
  <si>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</si>
  <si>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</si>
  <si>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</si>
  <si>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</si>
  <si>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</si>
  <si>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</si>
  <si>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</si>
  <si>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</si>
  <si>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</si>
  <si>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</si>
  <si>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</si>
  <si>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</si>
  <si>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</si>
  <si>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</si>
  <si>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</si>
  <si>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</si>
  <si>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</si>
  <si>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</si>
  <si>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</si>
  <si>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</si>
  <si>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</si>
  <si>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</si>
  <si>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</si>
  <si>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</si>
  <si>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</si>
  <si>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</si>
  <si>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</si>
  <si>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</si>
  <si>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</si>
  <si>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</si>
  <si>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</si>
  <si>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</si>
  <si>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</si>
  <si>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</si>
  <si>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</si>
  <si>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</si>
  <si>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</si>
  <si>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</si>
  <si>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</si>
  <si>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</si>
  <si>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</si>
  <si>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</si>
  <si>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</si>
  <si>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</si>
  <si>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</si>
  <si>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</si>
  <si>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</si>
  <si>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</si>
  <si>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</si>
  <si>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</si>
  <si>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</si>
  <si>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</si>
  <si>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</si>
  <si>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</si>
  <si>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</si>
  <si>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</si>
  <si>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</si>
  <si>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</si>
  <si>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</si>
  <si>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</si>
  <si>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</si>
  <si>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</si>
  <si>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</si>
  <si>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</si>
  <si>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</si>
  <si>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</si>
  <si>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</si>
  <si>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</si>
  <si>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</si>
  <si>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</si>
  <si>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</si>
  <si>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</si>
  <si>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</si>
  <si>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</si>
  <si>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</si>
  <si>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</si>
  <si>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</si>
  <si>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</si>
  <si>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</si>
  <si>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</si>
  <si>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</si>
  <si>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</si>
  <si>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</si>
  <si>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</si>
  <si>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</si>
  <si>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</si>
  <si>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</si>
  <si>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</si>
  <si>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</si>
  <si>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</si>
  <si>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</si>
  <si>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</si>
  <si>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</si>
  <si>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</si>
  <si>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</si>
  <si>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</si>
  <si>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</si>
  <si>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</si>
  <si>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</si>
  <si>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</si>
  <si>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</si>
  <si>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</si>
  <si>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</si>
  <si>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</si>
  <si>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</si>
  <si>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</si>
  <si>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</si>
  <si>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</si>
  <si>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</si>
  <si>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</si>
  <si>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</si>
  <si>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</si>
  <si>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</si>
  <si>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</si>
  <si>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</si>
  <si>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</si>
  <si>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</si>
  <si>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</si>
  <si>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</si>
  <si>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</si>
  <si>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</si>
  <si>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</si>
  <si>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</si>
  <si>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</si>
  <si>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</si>
  <si>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</si>
  <si>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</si>
  <si>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</si>
  <si>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</si>
  <si>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</si>
  <si>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</si>
  <si>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</si>
  <si>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</si>
  <si>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</si>
  <si>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</si>
  <si>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</si>
  <si>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</si>
  <si>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</si>
  <si>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</si>
  <si>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</si>
  <si>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</si>
  <si>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</si>
  <si>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</si>
  <si>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</si>
  <si>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</si>
  <si>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</si>
  <si>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</si>
  <si>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</si>
  <si>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</si>
  <si>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</si>
  <si>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</si>
  <si>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</si>
  <si>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</si>
  <si>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</si>
  <si>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</si>
  <si>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</si>
  <si>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</si>
  <si>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</si>
  <si>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</si>
  <si>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</si>
  <si>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</si>
  <si>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</si>
  <si>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</si>
  <si>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</si>
  <si>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</si>
  <si>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</si>
  <si>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</si>
  <si>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</si>
  <si>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</si>
  <si>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</si>
  <si>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</si>
  <si>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</si>
  <si>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</si>
  <si>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</si>
  <si>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</si>
  <si>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</si>
  <si>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</si>
  <si>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</si>
  <si>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</si>
  <si>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</si>
  <si>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</si>
  <si>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</si>
  <si>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</si>
  <si>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</si>
  <si>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</si>
  <si>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</si>
  <si>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</si>
  <si>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</si>
  <si>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</si>
  <si>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</si>
  <si>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</si>
  <si>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</si>
  <si>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</si>
  <si>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</si>
  <si>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</si>
  <si>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</si>
  <si>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</si>
  <si>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</si>
  <si>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</si>
  <si>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</si>
  <si>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</si>
  <si>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</si>
  <si>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</si>
  <si>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</si>
  <si>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</si>
  <si>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</si>
  <si>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</si>
  <si>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</si>
  <si>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</si>
  <si>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</si>
  <si>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</si>
  <si>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</si>
  <si>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</si>
  <si>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</si>
  <si>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</si>
  <si>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</si>
  <si>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</si>
  <si>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</si>
  <si>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</si>
  <si>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</si>
  <si>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</si>
  <si>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</si>
  <si>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</si>
  <si>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</si>
  <si>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</si>
  <si>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</si>
  <si>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</si>
  <si>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</si>
  <si>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</si>
  <si>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</si>
  <si>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</si>
  <si>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</si>
  <si>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</si>
  <si>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</si>
  <si>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</si>
  <si>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</si>
  <si>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</si>
  <si>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</si>
  <si>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</si>
  <si>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</si>
  <si>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</si>
  <si>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</si>
  <si>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</si>
  <si>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</si>
  <si>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</si>
  <si>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</si>
  <si>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</si>
  <si>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</si>
  <si>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</si>
  <si>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</si>
  <si>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</si>
  <si>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</si>
  <si>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</si>
  <si>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</si>
  <si>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</si>
  <si>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</si>
  <si>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</si>
  <si>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</si>
  <si>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</si>
  <si>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</si>
  <si>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</si>
  <si>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</si>
  <si>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</si>
  <si>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</si>
  <si>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</si>
  <si>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</si>
  <si>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</si>
  <si>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</si>
  <si>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</si>
  <si>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</si>
  <si>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</si>
  <si>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</si>
  <si>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</si>
  <si>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</si>
  <si>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</si>
  <si>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</si>
  <si>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</si>
  <si>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</si>
  <si>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</si>
  <si>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</si>
  <si>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</si>
  <si>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</si>
  <si>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</si>
  <si>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</si>
  <si>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</si>
  <si>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</si>
  <si>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</si>
  <si>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</si>
  <si>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</si>
  <si>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</si>
  <si>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</si>
  <si>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</si>
  <si>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</si>
  <si>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</si>
  <si>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</si>
  <si>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</si>
  <si>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</si>
  <si>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</si>
  <si>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</si>
  <si>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</si>
  <si>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</si>
  <si>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</si>
  <si>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</si>
  <si>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</si>
  <si>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</si>
  <si>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</si>
  <si>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</si>
  <si>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</si>
  <si>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</si>
  <si>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</si>
  <si>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</si>
  <si>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</si>
  <si>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</si>
  <si>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</si>
  <si>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</si>
  <si>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</si>
  <si>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</si>
  <si>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</si>
  <si>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</si>
  <si>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</si>
  <si>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</si>
  <si>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</si>
  <si>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</si>
  <si>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</si>
  <si>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</si>
  <si>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</si>
  <si>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</si>
  <si>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</si>
  <si>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</si>
  <si>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</si>
  <si>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</si>
  <si>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</si>
  <si>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</si>
  <si>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</si>
  <si>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</si>
  <si>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</si>
  <si>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</si>
  <si>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</si>
  <si>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</si>
  <si>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</si>
  <si>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</si>
  <si>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</si>
  <si>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</si>
  <si>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</si>
  <si>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</si>
  <si>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</si>
  <si>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</si>
  <si>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</si>
  <si>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</si>
  <si>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</si>
  <si>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</si>
  <si>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</si>
  <si>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</si>
  <si>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</si>
  <si>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</si>
  <si>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</si>
  <si>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</si>
  <si>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</si>
  <si>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</si>
  <si>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</si>
  <si>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</si>
  <si>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</si>
  <si>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</si>
  <si>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</si>
  <si>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</si>
  <si>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</si>
  <si>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</si>
  <si>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</si>
  <si>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</si>
  <si>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</si>
  <si>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</si>
  <si>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</si>
  <si>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</si>
  <si>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</si>
  <si>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</si>
  <si>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</si>
  <si>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</si>
  <si>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</si>
  <si>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</si>
  <si>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</si>
  <si>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</si>
  <si>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</si>
  <si>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</si>
  <si>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</si>
  <si>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</si>
  <si>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</si>
  <si>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</si>
  <si>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</si>
  <si>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</si>
  <si>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</si>
  <si>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</si>
  <si>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</si>
  <si>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</si>
  <si>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</si>
  <si>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</si>
  <si>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</si>
  <si>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</si>
  <si>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</si>
  <si>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</si>
  <si>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</si>
  <si>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</si>
  <si>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</si>
  <si>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</si>
  <si>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</si>
  <si>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</si>
  <si>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</si>
  <si>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</si>
  <si>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</si>
  <si>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</si>
  <si>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</si>
  <si>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</si>
  <si>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</si>
  <si>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</si>
  <si>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</si>
  <si>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</si>
  <si>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</si>
  <si>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</si>
  <si>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</si>
  <si>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</si>
  <si>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</si>
  <si>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</si>
  <si>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</si>
  <si>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</si>
  <si>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</si>
  <si>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</si>
  <si>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</si>
  <si>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</si>
  <si>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</si>
  <si>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</si>
  <si>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</si>
  <si>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</si>
  <si>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</si>
  <si>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</si>
  <si>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</si>
  <si>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</si>
  <si>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</si>
  <si>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</si>
  <si>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</si>
  <si>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</si>
  <si>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</si>
  <si>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</si>
  <si>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</si>
  <si>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</si>
  <si>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</si>
  <si>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</si>
  <si>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</si>
  <si>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</si>
  <si>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</si>
  <si>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</si>
  <si>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</si>
  <si>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</si>
  <si>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</si>
  <si>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</si>
  <si>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</si>
  <si>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</si>
  <si>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</si>
  <si>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</si>
  <si>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</si>
  <si>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</si>
  <si>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</si>
  <si>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</si>
  <si>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</si>
  <si>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</si>
  <si>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</si>
  <si>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</si>
  <si>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</si>
  <si>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</si>
  <si>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</si>
  <si>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</si>
  <si>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</si>
  <si>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</si>
  <si>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</si>
  <si>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</si>
  <si>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</si>
  <si>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</si>
  <si>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</si>
  <si>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</si>
  <si>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</si>
  <si>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</si>
  <si>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</si>
  <si>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</si>
  <si>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</si>
  <si>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</si>
  <si>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</si>
  <si>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</si>
  <si>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</si>
  <si>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</si>
  <si>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</si>
  <si>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</si>
  <si>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</si>
  <si>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</si>
  <si>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</si>
  <si>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</si>
  <si>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</si>
  <si>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</si>
  <si>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</si>
  <si>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</si>
  <si>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</si>
  <si>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</si>
  <si>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</si>
  <si>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</si>
  <si>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</si>
  <si>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</si>
  <si>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</si>
  <si>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</si>
  <si>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</si>
  <si>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</si>
  <si>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</si>
  <si>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</si>
  <si>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</si>
  <si>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</si>
  <si>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</si>
  <si>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</si>
  <si>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</si>
  <si>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</si>
  <si>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</si>
  <si>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</si>
  <si>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</si>
  <si>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</si>
  <si>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</si>
  <si>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</si>
  <si>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</si>
  <si>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</si>
  <si>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</si>
  <si>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</si>
  <si>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</si>
  <si>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</si>
  <si>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</si>
  <si>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</si>
  <si>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</si>
  <si>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</si>
  <si>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</si>
  <si>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</si>
  <si>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</si>
  <si>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</si>
  <si>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</si>
  <si>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</si>
  <si>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</si>
  <si>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</si>
  <si>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</si>
  <si>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</si>
  <si>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</si>
  <si>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</si>
  <si>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</si>
  <si>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</si>
  <si>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</si>
  <si>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</si>
  <si>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</si>
  <si>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</si>
  <si>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</si>
  <si>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</si>
  <si>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</si>
  <si>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</si>
  <si>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</si>
  <si>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</si>
  <si>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</si>
  <si>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</si>
  <si>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</si>
  <si>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</si>
  <si>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</si>
  <si>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</si>
  <si>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</si>
  <si>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</si>
  <si>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</si>
  <si>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</si>
  <si>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</si>
  <si>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</si>
  <si>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</si>
  <si>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</si>
  <si>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</si>
  <si>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</si>
  <si>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</si>
  <si>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</si>
  <si>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</si>
  <si>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</si>
  <si>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</si>
  <si>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</si>
  <si>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</si>
  <si>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</si>
  <si>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</si>
  <si>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</si>
  <si>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</si>
  <si>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</si>
  <si>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</si>
  <si>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</si>
  <si>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</si>
  <si>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</si>
  <si>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</si>
  <si>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</si>
  <si>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</si>
  <si>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</si>
  <si>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</si>
  <si>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</si>
  <si>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</si>
  <si>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</si>
  <si>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</si>
  <si>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</si>
  <si>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</si>
  <si>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</si>
  <si>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</si>
  <si>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</si>
  <si>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</si>
  <si>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</si>
  <si>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</si>
  <si>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</si>
  <si>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</si>
  <si>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</si>
  <si>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</si>
  <si>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</si>
  <si>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</si>
  <si>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</si>
  <si>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</si>
  <si>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</si>
  <si>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</si>
  <si>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</si>
  <si>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</si>
  <si>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</si>
  <si>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</si>
  <si>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</si>
  <si>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</si>
  <si>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</si>
  <si>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</si>
  <si>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</si>
  <si>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</si>
  <si>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</si>
  <si>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</si>
  <si>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</si>
  <si>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</si>
  <si>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</si>
  <si>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</si>
  <si>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</si>
  <si>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</si>
  <si>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</si>
  <si>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</si>
  <si>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</si>
  <si>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</si>
  <si>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</si>
  <si>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</si>
  <si>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</si>
  <si>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</si>
  <si>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</si>
  <si>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</si>
  <si>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</si>
  <si>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</si>
  <si>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</si>
  <si>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</si>
  <si>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</si>
  <si>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</si>
  <si>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</si>
  <si>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</si>
  <si>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</si>
  <si>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</si>
  <si>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</si>
  <si>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</si>
  <si>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</si>
  <si>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</si>
  <si>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</si>
  <si>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</si>
  <si>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</si>
  <si>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</si>
  <si>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</si>
  <si>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</si>
  <si>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</si>
  <si>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</si>
  <si>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</si>
  <si>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</si>
  <si>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</si>
  <si>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</si>
  <si>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</si>
  <si>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</si>
  <si>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</si>
  <si>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</si>
  <si>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</si>
  <si>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</si>
  <si>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</si>
  <si>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</si>
  <si>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</si>
  <si>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</si>
  <si>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</si>
  <si>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</si>
  <si>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</si>
  <si>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</si>
  <si>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</si>
  <si>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</si>
  <si>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</si>
  <si>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</si>
  <si>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</si>
  <si>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</si>
  <si>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</si>
  <si>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</si>
  <si>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</si>
  <si>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</si>
  <si>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</si>
  <si>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</si>
  <si>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</si>
  <si>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</si>
  <si>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</si>
  <si>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</si>
  <si>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</si>
  <si>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</si>
  <si>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</si>
  <si>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</si>
  <si>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</si>
  <si>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</si>
  <si>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</si>
  <si>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</si>
  <si>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</si>
  <si>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</si>
  <si>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</si>
  <si>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</si>
  <si>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</si>
  <si>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</si>
  <si>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</si>
  <si>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</si>
  <si>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</si>
  <si>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</si>
  <si>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</si>
  <si>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</si>
  <si>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</si>
  <si>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</si>
  <si>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</si>
  <si>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</si>
  <si>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</si>
  <si>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</si>
  <si>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</si>
  <si>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</si>
  <si>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</si>
  <si>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</si>
  <si>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</si>
  <si>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</si>
  <si>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</si>
  <si>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</si>
  <si>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</si>
  <si>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</si>
  <si>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</si>
  <si>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</si>
  <si>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</si>
  <si>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</si>
  <si>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</si>
  <si>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</si>
  <si>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</si>
  <si>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</si>
  <si>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</si>
  <si>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</si>
  <si>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</si>
  <si>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</si>
  <si>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</si>
  <si>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</si>
  <si>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</si>
  <si>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</si>
  <si>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</si>
  <si>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</si>
  <si>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</si>
  <si>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</si>
  <si>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</si>
  <si>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</si>
  <si>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</si>
  <si>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</si>
  <si>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</si>
  <si>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</si>
  <si>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</si>
  <si>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</si>
  <si>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</si>
  <si>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</si>
  <si>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</si>
  <si>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</si>
  <si>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</si>
  <si>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</si>
  <si>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</si>
  <si>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</si>
  <si>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</si>
  <si>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</si>
  <si>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</si>
  <si>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</si>
  <si>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</si>
  <si>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</si>
  <si>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</si>
  <si>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</si>
  <si>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</si>
  <si>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</si>
  <si>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</si>
  <si>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</si>
  <si>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</si>
  <si>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</si>
  <si>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</si>
  <si>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</si>
  <si>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</si>
  <si>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</si>
  <si>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</si>
  <si>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</si>
  <si>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</si>
  <si>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</si>
  <si>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</si>
  <si>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</si>
  <si>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</si>
  <si>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</si>
  <si>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</si>
  <si>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</si>
  <si>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</si>
  <si>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</si>
  <si>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</si>
  <si>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</si>
  <si>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</si>
  <si>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</si>
  <si>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</si>
  <si>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</si>
  <si>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</si>
  <si>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</si>
  <si>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</si>
  <si>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</si>
  <si>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</si>
  <si>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</si>
  <si>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</si>
  <si>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</si>
  <si>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</si>
  <si>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</si>
  <si>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</si>
  <si>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</si>
  <si>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</si>
  <si>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</si>
  <si>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</si>
  <si>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</si>
  <si>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</si>
  <si>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</si>
  <si>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</si>
  <si>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</si>
  <si>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</si>
  <si>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</si>
  <si>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</si>
  <si>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</si>
  <si>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</si>
  <si>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</si>
  <si>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</si>
  <si>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</si>
  <si>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</si>
  <si>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</si>
  <si>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</si>
  <si>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</si>
  <si>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</si>
  <si>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</si>
  <si>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</si>
  <si>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</si>
  <si>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</si>
  <si>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</si>
  <si>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</si>
  <si>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</si>
  <si>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</si>
  <si>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</si>
  <si>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</si>
  <si>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</si>
  <si>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</si>
  <si>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</si>
  <si>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</si>
  <si>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</si>
  <si>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</si>
  <si>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</si>
  <si>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</si>
  <si>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</si>
  <si>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</si>
  <si>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</si>
  <si>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</si>
  <si>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</si>
  <si>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</si>
  <si>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</si>
  <si>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</si>
  <si>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</si>
  <si>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</si>
  <si>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</si>
  <si>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</si>
  <si>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</si>
  <si>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</si>
  <si>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</si>
  <si>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</si>
  <si>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</si>
  <si>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</si>
  <si>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</si>
  <si>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</si>
  <si>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</si>
  <si>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</si>
  <si>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</si>
  <si>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</si>
  <si>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</si>
  <si>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</si>
  <si>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</si>
  <si>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</si>
  <si>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</si>
  <si>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</si>
  <si>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</si>
  <si>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</si>
  <si>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</si>
  <si>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</si>
  <si>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</si>
  <si>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</si>
  <si>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</si>
  <si>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</si>
  <si>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</si>
  <si>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</si>
  <si>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</si>
  <si>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</si>
  <si>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</si>
  <si>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</si>
  <si>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</si>
  <si>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</si>
  <si>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</si>
  <si>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</si>
  <si>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</si>
  <si>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</si>
  <si>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</si>
  <si>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</si>
  <si>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</si>
  <si>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</si>
  <si>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</si>
  <si>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</si>
  <si>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</si>
  <si>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</si>
  <si>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</si>
  <si>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</si>
  <si>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</si>
  <si>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</si>
  <si>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</si>
  <si>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</si>
  <si>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</si>
  <si>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</si>
  <si>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</si>
  <si>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</si>
  <si>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</si>
  <si>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</si>
  <si>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</si>
  <si>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</si>
  <si>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</si>
  <si>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</si>
  <si>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</si>
  <si>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</si>
  <si>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</si>
  <si>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</si>
  <si>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</si>
  <si>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</si>
  <si>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</si>
  <si>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</si>
  <si>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</si>
  <si>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</si>
  <si>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</si>
  <si>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</si>
  <si>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</si>
  <si>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</si>
  <si>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</si>
  <si>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</si>
  <si>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</si>
  <si>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</si>
  <si>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</si>
  <si>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</si>
  <si>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</si>
  <si>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</si>
  <si>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</si>
  <si>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</si>
  <si>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</si>
  <si>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</si>
  <si>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</si>
  <si>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</si>
  <si>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</si>
  <si>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</si>
  <si>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</si>
  <si>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</si>
  <si>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</si>
  <si>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</si>
  <si>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</si>
  <si>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</si>
  <si>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</si>
  <si>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</si>
  <si>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</si>
  <si>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</si>
  <si>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</si>
  <si>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</si>
  <si>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</si>
  <si>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</si>
  <si>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</si>
  <si>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</si>
  <si>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</si>
  <si>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</si>
  <si>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</si>
  <si>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</si>
  <si>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</si>
  <si>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</si>
  <si>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</si>
  <si>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</si>
  <si>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</si>
  <si>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</si>
  <si>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</si>
  <si>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</si>
  <si>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</si>
  <si>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</si>
  <si>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</si>
  <si>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</si>
  <si>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</si>
  <si>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</si>
  <si>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</si>
  <si>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</si>
  <si>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</si>
  <si>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</si>
  <si>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</si>
  <si>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</si>
  <si>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</si>
  <si>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</si>
  <si>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</si>
  <si>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</si>
  <si>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</si>
  <si>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</si>
  <si>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</si>
  <si>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</si>
  <si>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</si>
  <si>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</si>
  <si>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</si>
  <si>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</si>
  <si>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</si>
  <si>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</si>
  <si>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</si>
  <si>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</si>
  <si>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</si>
  <si>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</si>
  <si>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</si>
  <si>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</si>
  <si>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</si>
  <si>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</si>
  <si>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</si>
  <si>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</si>
  <si>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</si>
  <si>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</si>
  <si>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</si>
  <si>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</si>
  <si>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</si>
  <si>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</si>
  <si>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</si>
  <si>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</si>
  <si>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</si>
  <si>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</si>
  <si>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</si>
  <si>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</si>
  <si>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</si>
  <si>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</si>
  <si>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</si>
  <si>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</si>
  <si>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</si>
  <si>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</si>
  <si>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</si>
  <si>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</si>
  <si>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</si>
  <si>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</si>
  <si>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</si>
  <si>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</si>
  <si>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</si>
  <si>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</si>
  <si>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</si>
  <si>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</si>
  <si>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</si>
  <si>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</si>
  <si>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</si>
  <si>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</si>
  <si>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</si>
  <si>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</si>
  <si>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</si>
  <si>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</si>
  <si>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</si>
  <si>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</si>
  <si>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</si>
  <si>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</si>
  <si>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</si>
  <si>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</si>
  <si>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</si>
  <si>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</si>
  <si>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</si>
  <si>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</si>
  <si>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</si>
  <si>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</si>
  <si>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</si>
  <si>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</si>
  <si>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</si>
  <si>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</si>
  <si>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</si>
  <si>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</si>
  <si>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</si>
  <si>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</si>
  <si>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</si>
  <si>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</si>
  <si>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</si>
  <si>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</si>
  <si>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</si>
  <si>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</si>
  <si>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</si>
  <si>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</si>
  <si>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</si>
  <si>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</si>
  <si>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</si>
  <si>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</si>
  <si>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</si>
  <si>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</si>
  <si>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</si>
  <si>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</si>
  <si>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</si>
  <si>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</si>
  <si>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</si>
  <si>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</si>
  <si>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</si>
  <si>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</si>
  <si>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</si>
  <si>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</si>
  <si>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</si>
  <si>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</si>
  <si>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</si>
  <si>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</si>
  <si>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</si>
  <si>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</si>
  <si>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</si>
  <si>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</si>
  <si>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</si>
  <si>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</si>
  <si>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</si>
  <si>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</si>
  <si>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</si>
  <si>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</si>
  <si>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</si>
  <si>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</si>
  <si>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</si>
  <si>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</si>
  <si>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</si>
  <si>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</si>
  <si>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</si>
  <si>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</si>
  <si>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</si>
  <si>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</si>
  <si>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</si>
  <si>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</si>
  <si>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</si>
  <si>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</si>
  <si>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</si>
  <si>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</si>
  <si>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</si>
  <si>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</si>
  <si>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</si>
  <si>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</si>
  <si>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</si>
  <si>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</si>
  <si>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</si>
  <si>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</si>
  <si>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</si>
  <si>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</si>
  <si>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</si>
  <si>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</si>
  <si>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</si>
  <si>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</si>
  <si>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</si>
  <si>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</si>
  <si>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</si>
  <si>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</si>
  <si>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</si>
  <si>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</si>
  <si>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</si>
  <si>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</si>
  <si>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</si>
  <si>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</si>
  <si>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</si>
  <si>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</si>
  <si>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</si>
  <si>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</si>
  <si>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</si>
  <si>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</si>
  <si>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</si>
  <si>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</si>
  <si>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</si>
  <si>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</si>
  <si>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</si>
  <si>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</si>
  <si>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</si>
  <si>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</si>
  <si>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</si>
  <si>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</si>
  <si>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</si>
  <si>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</si>
  <si>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</si>
  <si>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</si>
  <si>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</si>
  <si>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</si>
  <si>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</si>
  <si>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</si>
  <si>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</si>
  <si>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</si>
  <si>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</si>
  <si>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</si>
  <si>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</si>
  <si>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</si>
  <si>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</si>
  <si>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</si>
  <si>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</si>
  <si>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</si>
  <si>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</si>
  <si>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</si>
  <si>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</si>
  <si>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</si>
  <si>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</si>
  <si>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</si>
  <si>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</si>
  <si>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</si>
  <si>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</si>
  <si>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</si>
  <si>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</si>
  <si>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</si>
  <si>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</si>
  <si>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</si>
  <si>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</si>
  <si>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</si>
  <si>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</si>
  <si>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</si>
  <si>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</si>
  <si>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</si>
  <si>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</si>
  <si>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</si>
  <si>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</si>
  <si>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</si>
  <si>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</si>
  <si>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</si>
  <si>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</si>
  <si>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</si>
  <si>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</si>
  <si>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</si>
  <si>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</si>
  <si>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</si>
  <si>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</si>
  <si>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</si>
  <si>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</si>
  <si>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</si>
  <si>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</si>
  <si>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</si>
  <si>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</si>
  <si>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</si>
  <si>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</si>
  <si>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</si>
  <si>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</si>
  <si>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</si>
  <si>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</si>
  <si>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</si>
  <si>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</si>
  <si>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</si>
  <si>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</si>
  <si>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</si>
  <si>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</si>
  <si>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</si>
  <si>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</si>
  <si>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</si>
  <si>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</si>
  <si>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</si>
  <si>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</si>
  <si>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</si>
  <si>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</si>
  <si>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</si>
  <si>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</si>
  <si>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</si>
  <si>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</si>
  <si>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</si>
  <si>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</si>
  <si>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</si>
  <si>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</si>
  <si>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</si>
  <si>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</si>
  <si>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</si>
  <si>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</si>
  <si>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</si>
  <si>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</si>
  <si>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</si>
  <si>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</si>
  <si>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</si>
  <si>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</si>
  <si>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</si>
  <si>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</si>
  <si>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</si>
  <si>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</si>
  <si>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</si>
  <si>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</si>
  <si>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</si>
  <si>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</si>
  <si>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</si>
  <si>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</si>
  <si>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</si>
  <si>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</si>
  <si>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</si>
  <si>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</si>
  <si>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</si>
  <si>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</si>
  <si>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</si>
  <si>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</si>
  <si>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</si>
  <si>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</si>
  <si>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</si>
  <si>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</si>
  <si>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</si>
  <si>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</si>
  <si>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</si>
  <si>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</si>
  <si>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</si>
  <si>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</si>
  <si>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</si>
  <si>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</si>
  <si>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</si>
  <si>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</si>
  <si>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</si>
  <si>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</si>
  <si>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</si>
  <si>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</si>
  <si>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</si>
  <si>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</si>
  <si>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</si>
  <si>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</si>
  <si>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</si>
  <si>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</si>
  <si>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</si>
  <si>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</si>
  <si>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</si>
  <si>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</si>
  <si>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</si>
  <si>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</si>
  <si>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</si>
  <si>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</si>
  <si>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</si>
  <si>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</si>
  <si>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</si>
  <si>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</si>
  <si>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</si>
  <si>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</si>
  <si>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</si>
  <si>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</si>
  <si>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</si>
  <si>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</si>
  <si>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</si>
  <si>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</si>
  <si>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</si>
  <si>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</si>
  <si>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</si>
  <si>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</si>
  <si>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</si>
  <si>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</si>
  <si>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</si>
  <si>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</si>
  <si>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</si>
  <si>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</si>
  <si>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</si>
  <si>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</si>
  <si>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</si>
  <si>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</si>
  <si>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</si>
  <si>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</si>
  <si>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</si>
  <si>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</si>
  <si>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</si>
  <si>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</si>
  <si>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</si>
  <si>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</si>
  <si>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</si>
  <si>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</si>
  <si>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</si>
  <si>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</si>
  <si>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</si>
  <si>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</si>
  <si>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</si>
  <si>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</si>
  <si>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</si>
  <si>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</si>
  <si>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</si>
  <si>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</si>
  <si>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</si>
  <si>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</si>
  <si>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</si>
  <si>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</si>
  <si>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</si>
  <si>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</si>
  <si>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</si>
  <si>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</si>
  <si>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</si>
  <si>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</si>
  <si>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</si>
  <si>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</si>
  <si>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</si>
  <si>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</si>
  <si>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</si>
  <si>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</si>
  <si>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</si>
  <si>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</si>
  <si>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</si>
  <si>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</si>
  <si>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</si>
  <si>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</si>
  <si>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</si>
  <si>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</si>
  <si>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</si>
  <si>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</si>
  <si>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</si>
  <si>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</si>
  <si>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</si>
  <si>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</si>
  <si>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</si>
  <si>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</si>
  <si>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</si>
  <si>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</si>
  <si>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</si>
  <si>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</si>
  <si>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</si>
  <si>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</si>
  <si>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</si>
  <si>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</si>
  <si>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</si>
  <si>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</si>
  <si>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</si>
  <si>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</si>
  <si>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</si>
  <si>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</si>
  <si>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</si>
  <si>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</si>
  <si>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</si>
  <si>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</si>
  <si>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</si>
  <si>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</si>
  <si>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</si>
  <si>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</si>
  <si>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</si>
  <si>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</si>
  <si>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</si>
  <si>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</si>
  <si>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</si>
  <si>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</si>
  <si>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</si>
  <si>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</si>
  <si>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</si>
  <si>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</si>
  <si>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</si>
  <si>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</si>
  <si>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</si>
  <si>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</si>
  <si>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</si>
  <si>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</si>
  <si>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</si>
  <si>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</si>
  <si>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</si>
  <si>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</si>
  <si>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</si>
  <si>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</si>
  <si>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</si>
  <si>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</si>
  <si>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</si>
  <si>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</si>
  <si>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</si>
  <si>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</si>
  <si>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</si>
  <si>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</si>
  <si>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</si>
  <si>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</si>
  <si>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</si>
  <si>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</si>
  <si>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</si>
  <si>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</si>
  <si>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</si>
  <si>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</si>
  <si>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</si>
  <si>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</si>
  <si>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</si>
  <si>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</si>
  <si>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</si>
  <si>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</si>
  <si>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</si>
  <si>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</si>
  <si>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</si>
  <si>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</si>
  <si>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</si>
  <si>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</si>
  <si>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</si>
  <si>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</si>
  <si>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</si>
  <si>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</si>
  <si>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</si>
  <si>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</si>
  <si>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</si>
  <si>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</si>
  <si>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</si>
  <si>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</si>
  <si>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</si>
  <si>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</si>
  <si>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</si>
  <si>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</si>
  <si>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</si>
  <si>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</si>
  <si>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</si>
  <si>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</si>
  <si>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</si>
  <si>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</si>
  <si>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</si>
  <si>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</si>
  <si>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</si>
  <si>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</si>
  <si>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</si>
  <si>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</si>
  <si>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</si>
  <si>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</si>
  <si>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</si>
  <si>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</si>
  <si>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</si>
  <si>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</si>
  <si>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</si>
  <si>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</si>
  <si>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</si>
  <si>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</si>
  <si>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</si>
  <si>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</si>
  <si>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</si>
  <si>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</si>
  <si>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</si>
  <si>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</si>
  <si>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</si>
  <si>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</si>
  <si>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</si>
  <si>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</si>
  <si>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</si>
  <si>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</si>
  <si>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</si>
  <si>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</si>
  <si>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</si>
  <si>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</si>
  <si>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</si>
  <si>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</si>
  <si>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</si>
  <si>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</si>
  <si>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</si>
  <si>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</si>
  <si>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</si>
  <si>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</si>
  <si>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</si>
  <si>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</si>
  <si>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</si>
  <si>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</si>
  <si>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</si>
  <si>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</si>
  <si>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</si>
  <si>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</si>
  <si>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</si>
  <si>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</si>
  <si>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</si>
  <si>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</si>
  <si>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</si>
  <si>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</si>
  <si>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</si>
  <si>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</si>
  <si>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</si>
  <si>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</si>
  <si>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</si>
  <si>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</si>
  <si>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</si>
  <si>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</si>
  <si>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</si>
  <si>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</si>
  <si>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</si>
  <si>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</si>
  <si>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</si>
  <si>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</si>
  <si>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</si>
  <si>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</si>
  <si>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</si>
  <si>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</si>
  <si>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</si>
  <si>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</si>
  <si>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</si>
  <si>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</si>
  <si>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</si>
  <si>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</si>
  <si>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</si>
  <si>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</si>
  <si>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</si>
  <si>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</si>
  <si>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</si>
  <si>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</si>
  <si>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</si>
  <si>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</si>
  <si>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</si>
  <si>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</si>
  <si>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</si>
  <si>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</si>
  <si>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</si>
  <si>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</si>
  <si>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</si>
  <si>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</si>
  <si>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</si>
  <si>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</si>
  <si>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</si>
  <si>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</si>
  <si>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</si>
  <si>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</si>
  <si>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</si>
  <si>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</si>
  <si>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</si>
  <si>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</si>
  <si>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</si>
  <si>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</si>
  <si>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</si>
  <si>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</si>
  <si>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</si>
  <si>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</si>
  <si>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</si>
  <si>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</si>
  <si>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</si>
  <si>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</si>
  <si>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</si>
  <si>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</si>
  <si>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</si>
  <si>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</si>
  <si>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</si>
  <si>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</si>
  <si>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</si>
  <si>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</si>
  <si>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</si>
  <si>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</si>
  <si>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</si>
  <si>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</si>
  <si>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</si>
  <si>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</si>
  <si>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</si>
  <si>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</si>
  <si>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</si>
  <si>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</si>
  <si>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</si>
  <si>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</si>
  <si>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</si>
  <si>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</si>
  <si>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</si>
  <si>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</si>
  <si>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</si>
  <si>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</si>
  <si>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</si>
  <si>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</si>
  <si>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</si>
  <si>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</si>
  <si>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</si>
  <si>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</si>
  <si>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</si>
  <si>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</si>
  <si>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</si>
  <si>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</si>
  <si>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</si>
  <si>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</si>
  <si>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</si>
  <si>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</si>
  <si>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</si>
  <si>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</si>
  <si>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</si>
  <si>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</si>
  <si>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</si>
  <si>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</si>
  <si>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</si>
  <si>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</si>
  <si>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</si>
  <si>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</si>
  <si>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</si>
  <si>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</si>
  <si>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</si>
  <si>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</si>
  <si>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</si>
  <si>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</si>
  <si>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</si>
  <si>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</si>
  <si>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</si>
  <si>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</si>
  <si>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</si>
  <si>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</si>
  <si>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</si>
  <si>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</si>
  <si>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</si>
  <si>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</si>
  <si>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</si>
  <si>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</si>
  <si>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</si>
  <si>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</si>
  <si>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</si>
  <si>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</si>
  <si>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</si>
  <si>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</si>
  <si>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</si>
  <si>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</si>
  <si>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</si>
  <si>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</si>
  <si>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</si>
  <si>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</si>
  <si>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</si>
  <si>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</si>
  <si>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</si>
  <si>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</si>
  <si>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</si>
  <si>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</si>
  <si>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</si>
  <si>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</si>
  <si>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</si>
  <si>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</si>
  <si>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</si>
  <si>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</si>
  <si>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</si>
  <si>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</si>
  <si>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</si>
  <si>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</si>
  <si>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</si>
  <si>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</si>
  <si>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</si>
  <si>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</si>
  <si>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</si>
  <si>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</si>
  <si>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</si>
  <si>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</si>
  <si>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</si>
  <si>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</si>
  <si>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</si>
  <si>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</si>
  <si>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</si>
  <si>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</si>
  <si>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</si>
  <si>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</si>
  <si>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</si>
  <si>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</si>
  <si>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</si>
  <si>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</si>
  <si>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</si>
  <si>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</si>
  <si>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</si>
  <si>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</si>
  <si>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</si>
  <si>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</si>
  <si>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</si>
  <si>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</si>
  <si>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</si>
  <si>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</si>
  <si>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</si>
  <si>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</si>
  <si>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</si>
  <si>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</si>
  <si>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</si>
  <si>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</si>
  <si>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</si>
  <si>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</si>
  <si>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</si>
  <si>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</si>
  <si>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</si>
  <si>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</si>
  <si>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</si>
  <si>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</si>
  <si>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</si>
  <si>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</si>
  <si>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</si>
  <si>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</si>
  <si>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</si>
  <si>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</si>
  <si>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</si>
  <si>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</si>
  <si>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</si>
  <si>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</si>
  <si>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</si>
  <si>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</si>
  <si>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</si>
  <si>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</si>
  <si>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</si>
  <si>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</si>
  <si>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</si>
  <si>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</si>
  <si>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</si>
  <si>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</si>
  <si>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</si>
  <si>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</si>
  <si>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</si>
  <si>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</si>
  <si>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</si>
  <si>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</si>
  <si>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</si>
  <si>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</si>
  <si>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</si>
  <si>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</si>
  <si>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</si>
  <si>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</si>
  <si>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</si>
  <si>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</si>
  <si>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</si>
  <si>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</si>
  <si>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</si>
  <si>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</si>
  <si>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</si>
  <si>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</si>
  <si>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</si>
  <si>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</si>
  <si>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</si>
  <si>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</si>
  <si>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</si>
  <si>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</si>
  <si>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</si>
  <si>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</si>
  <si>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</si>
  <si>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</si>
  <si>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</si>
  <si>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</si>
  <si>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</si>
  <si>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</si>
  <si>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</si>
  <si>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</si>
  <si>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</si>
  <si>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</si>
  <si>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</si>
  <si>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</si>
  <si>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</si>
  <si>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</si>
  <si>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</si>
  <si>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</si>
  <si>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</si>
  <si>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</si>
  <si>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</si>
  <si>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</si>
  <si>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</si>
  <si>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</si>
  <si>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</si>
  <si>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</si>
  <si>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</si>
  <si>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</si>
  <si>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</si>
  <si>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</si>
  <si>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</si>
  <si>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</si>
  <si>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</si>
  <si>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</si>
  <si>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</si>
  <si>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</si>
  <si>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</si>
  <si>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</si>
  <si>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</si>
  <si>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</si>
  <si>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</si>
  <si>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</si>
  <si>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</si>
  <si>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</si>
  <si>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</si>
  <si>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</si>
  <si>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</si>
  <si>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</si>
  <si>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</si>
  <si>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</si>
  <si>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</si>
  <si>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</si>
  <si>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</si>
  <si>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</si>
  <si>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</si>
  <si>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</si>
  <si>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</si>
  <si>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</si>
  <si>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</si>
  <si>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</si>
  <si>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</si>
  <si>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</si>
  <si>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</si>
  <si>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</si>
  <si>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</si>
  <si>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</si>
  <si>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</si>
  <si>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</si>
  <si>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</si>
  <si>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</si>
  <si>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</si>
  <si>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</si>
  <si>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</si>
  <si>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</si>
  <si>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</si>
  <si>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</si>
  <si>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</si>
  <si>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</si>
  <si>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</si>
  <si>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</si>
  <si>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</si>
  <si>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</si>
  <si>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</si>
  <si>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</si>
  <si>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</si>
  <si>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</si>
  <si>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</si>
  <si>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</si>
  <si>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</si>
  <si>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</si>
  <si>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</si>
  <si>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</si>
  <si>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</si>
  <si>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</si>
  <si>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</si>
  <si>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</si>
  <si>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</si>
  <si>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</si>
  <si>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</si>
  <si>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</si>
  <si>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</si>
  <si>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</si>
  <si>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</si>
  <si>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</si>
  <si>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</si>
  <si>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</si>
  <si>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</si>
  <si>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</si>
  <si>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</si>
  <si>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</si>
  <si>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</si>
  <si>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</si>
  <si>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</si>
  <si>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</si>
  <si>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</si>
  <si>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</si>
  <si>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</si>
  <si>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</si>
  <si>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</si>
  <si>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</si>
  <si>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</si>
  <si>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</si>
  <si>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</si>
  <si>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</si>
  <si>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</si>
  <si>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</si>
  <si>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</si>
  <si>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</si>
  <si>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</si>
  <si>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</si>
  <si>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</si>
  <si>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</si>
  <si>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</si>
  <si>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</si>
  <si>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</si>
  <si>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</si>
  <si>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</si>
  <si>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</si>
  <si>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</si>
  <si>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</si>
  <si>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</si>
  <si>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</si>
  <si>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</si>
  <si>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</si>
  <si>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</si>
  <si>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</si>
  <si>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</si>
  <si>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</si>
  <si>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</si>
  <si>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</si>
  <si>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</si>
  <si>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</si>
  <si>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</si>
  <si>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</si>
  <si>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</si>
  <si>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</si>
  <si>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</si>
  <si>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</si>
  <si>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</si>
  <si>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</si>
  <si>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</si>
  <si>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</si>
  <si>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</si>
  <si>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</si>
  <si>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</si>
  <si>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</si>
  <si>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</si>
  <si>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</si>
  <si>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</si>
  <si>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</si>
  <si>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</si>
  <si>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</si>
  <si>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</si>
  <si>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</si>
  <si>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</si>
  <si>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</si>
  <si>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</si>
  <si>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</si>
  <si>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</si>
  <si>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</si>
  <si>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</si>
  <si>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</si>
  <si>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</si>
  <si>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</si>
  <si>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</si>
  <si>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</si>
  <si>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</si>
  <si>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</si>
  <si>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</si>
  <si>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</si>
  <si>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</si>
  <si>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</si>
  <si>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</si>
  <si>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</si>
  <si>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</si>
  <si>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</si>
  <si>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</si>
  <si>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</si>
  <si>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</si>
  <si>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</si>
  <si>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</si>
  <si>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</si>
  <si>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</si>
  <si>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</si>
  <si>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</si>
  <si>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</si>
  <si>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</si>
  <si>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</si>
  <si>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</si>
  <si>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</si>
  <si>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</si>
  <si>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</si>
  <si>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</si>
  <si>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</si>
  <si>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</si>
  <si>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</si>
  <si>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</si>
  <si>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</si>
  <si>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</si>
  <si>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</si>
  <si>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</si>
  <si>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</si>
  <si>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</si>
  <si>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</si>
  <si>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</si>
  <si>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</si>
  <si>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</si>
  <si>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</si>
  <si>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</si>
  <si>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</si>
  <si>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</si>
  <si>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</si>
  <si>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</si>
  <si>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</si>
  <si>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</si>
  <si>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</si>
  <si>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</si>
  <si>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</si>
  <si>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</si>
  <si>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</si>
  <si>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</si>
  <si>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</si>
  <si>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</si>
  <si>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</si>
  <si>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</si>
  <si>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</si>
  <si>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</si>
  <si>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</si>
  <si>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</si>
  <si>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</si>
  <si>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</si>
  <si>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</si>
  <si>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</si>
  <si>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</si>
  <si>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</si>
  <si>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</si>
  <si>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</si>
  <si>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</si>
  <si>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</si>
  <si>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</si>
  <si>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</si>
  <si>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</si>
  <si>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</si>
  <si>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</si>
  <si>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</si>
  <si>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</si>
  <si>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</si>
  <si>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</si>
  <si>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</si>
  <si>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</si>
  <si>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</si>
  <si>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</si>
  <si>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</si>
  <si>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</si>
  <si>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</si>
  <si>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</si>
  <si>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</si>
  <si>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</si>
  <si>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</si>
  <si>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</si>
  <si>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</si>
  <si>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</si>
  <si>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</si>
  <si>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</si>
  <si>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</si>
  <si>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</si>
  <si>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</si>
  <si>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</si>
  <si>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</si>
  <si>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</si>
  <si>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</si>
  <si>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</si>
  <si>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</si>
  <si>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</si>
  <si>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</si>
  <si>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</si>
  <si>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</si>
  <si>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</si>
  <si>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</si>
  <si>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</si>
  <si>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</si>
  <si>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</si>
  <si>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</si>
  <si>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</si>
  <si>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</si>
  <si>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</si>
  <si>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</si>
  <si>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</si>
  <si>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</si>
  <si>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</si>
  <si>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</si>
  <si>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</si>
  <si>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</si>
  <si>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</si>
  <si>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</si>
  <si>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</si>
  <si>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</si>
  <si>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</si>
  <si>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</si>
  <si>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</si>
  <si>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</si>
  <si>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</si>
  <si>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</si>
  <si>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</si>
  <si>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</si>
  <si>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</si>
  <si>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</si>
  <si>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</si>
  <si>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</si>
  <si>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</si>
  <si>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</si>
  <si>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</si>
  <si>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</si>
  <si>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</si>
  <si>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</si>
  <si>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</si>
  <si>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</si>
  <si>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</si>
  <si>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</si>
  <si>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</si>
  <si>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</si>
  <si>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</si>
  <si>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</si>
  <si>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</si>
  <si>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</si>
  <si>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</si>
  <si>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</si>
  <si>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</si>
  <si>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</si>
  <si>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</si>
  <si>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</si>
  <si>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</si>
  <si>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</si>
  <si>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</si>
  <si>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</si>
  <si>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</si>
  <si>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</si>
  <si>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</si>
  <si>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</si>
  <si>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</si>
  <si>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</si>
  <si>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</si>
  <si>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</si>
  <si>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</si>
  <si>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</si>
  <si>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</si>
  <si>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</si>
  <si>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</si>
  <si>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</si>
  <si>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</si>
  <si>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</si>
  <si>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</si>
  <si>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</si>
  <si>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</si>
  <si>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</si>
  <si>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</si>
  <si>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</si>
  <si>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</si>
  <si>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</si>
  <si>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</si>
  <si>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</si>
  <si>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</si>
  <si>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</si>
  <si>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</si>
  <si>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</si>
  <si>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</si>
  <si>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</si>
  <si>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</si>
  <si>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</si>
  <si>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</si>
  <si>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</si>
  <si>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</si>
  <si>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</si>
  <si>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</si>
  <si>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</si>
  <si>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</si>
  <si>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</si>
  <si>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</si>
  <si>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</si>
  <si>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</si>
  <si>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</si>
  <si>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</si>
  <si>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</si>
  <si>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</si>
  <si>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</si>
  <si>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</si>
  <si>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</si>
  <si>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</si>
  <si>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</si>
  <si>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</si>
  <si>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</si>
  <si>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</si>
  <si>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</si>
  <si>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</si>
  <si>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</si>
  <si>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</si>
  <si>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</si>
  <si>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</si>
  <si>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</si>
  <si>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</si>
  <si>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</si>
  <si>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</si>
  <si>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</si>
  <si>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</si>
  <si>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</si>
  <si>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</si>
  <si>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</si>
  <si>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</si>
  <si>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</si>
  <si>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</si>
  <si>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</si>
  <si>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</si>
  <si>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</si>
  <si>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</si>
  <si>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</si>
  <si>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</si>
  <si>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</si>
  <si>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</si>
  <si>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</si>
  <si>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</si>
  <si>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</si>
  <si>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</si>
  <si>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</si>
  <si>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</si>
  <si>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</si>
  <si>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</si>
  <si>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</si>
  <si>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</si>
  <si>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</si>
  <si>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</si>
  <si>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</si>
  <si>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</si>
  <si>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</si>
  <si>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</si>
  <si>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</si>
  <si>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</si>
  <si>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</si>
  <si>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</si>
  <si>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</si>
  <si>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</si>
  <si>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</si>
  <si>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</si>
  <si>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</si>
  <si>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</si>
  <si>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</si>
  <si>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</si>
  <si>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</si>
  <si>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</si>
  <si>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</si>
  <si>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</si>
  <si>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</si>
  <si>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</si>
  <si>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</si>
  <si>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</si>
  <si>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</si>
  <si>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</si>
  <si>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</si>
  <si>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</si>
  <si>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</si>
  <si>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</si>
  <si>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</si>
  <si>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</si>
  <si>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</si>
  <si>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</si>
  <si>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</si>
  <si>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</si>
  <si>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</si>
  <si>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</si>
  <si>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</si>
  <si>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</si>
  <si>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</si>
  <si>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</si>
  <si>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</si>
  <si>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</si>
  <si>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</si>
  <si>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</si>
  <si>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</si>
  <si>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</si>
  <si>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</si>
  <si>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</si>
  <si>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</si>
  <si>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</si>
  <si>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</si>
  <si>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</si>
  <si>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</si>
  <si>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</si>
  <si>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</si>
  <si>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</si>
  <si>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</si>
  <si>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</si>
  <si>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</si>
  <si>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</si>
  <si>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</si>
  <si>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</si>
  <si>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</si>
  <si>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</si>
  <si>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</si>
  <si>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</si>
  <si>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</si>
  <si>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</si>
  <si>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</si>
  <si>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</si>
  <si>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</si>
  <si>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</si>
  <si>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</si>
  <si>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</si>
  <si>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</si>
  <si>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</si>
  <si>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</si>
  <si>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</si>
  <si>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</si>
  <si>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</si>
  <si>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</si>
  <si>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</si>
  <si>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</si>
  <si>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</si>
  <si>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</si>
  <si>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</si>
  <si>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</si>
  <si>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</si>
  <si>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</si>
  <si>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</si>
  <si>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</si>
  <si>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</si>
  <si>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</si>
  <si>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</si>
  <si>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</si>
  <si>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</si>
  <si>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</si>
  <si>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</si>
  <si>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</si>
  <si>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</si>
  <si>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</si>
  <si>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</si>
  <si>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</si>
  <si>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</si>
  <si>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</si>
  <si>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</si>
  <si>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</si>
  <si>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</si>
  <si>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</si>
  <si>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</si>
  <si>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</si>
  <si>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</si>
  <si>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</si>
  <si>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</si>
  <si>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</si>
  <si>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</si>
  <si>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</si>
  <si>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</si>
  <si>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</si>
  <si>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</si>
  <si>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</si>
  <si>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</si>
  <si>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</si>
  <si>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</si>
  <si>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</si>
  <si>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</si>
  <si>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</si>
  <si>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</si>
  <si>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</si>
  <si>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</si>
  <si>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</si>
  <si>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</si>
  <si>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</si>
  <si>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</si>
  <si>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</si>
  <si>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</si>
  <si>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</si>
  <si>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</si>
  <si>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</si>
  <si>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</si>
  <si>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</si>
  <si>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</si>
  <si>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</si>
  <si>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</si>
  <si>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</si>
  <si>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</si>
  <si>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</si>
  <si>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</si>
  <si>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</si>
  <si>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</si>
  <si>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</si>
  <si>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</si>
  <si>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</si>
  <si>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</si>
  <si>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</si>
  <si>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</si>
  <si>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</si>
  <si>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</si>
  <si>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</si>
  <si>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</si>
  <si>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</si>
  <si>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</si>
  <si>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</si>
  <si>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</si>
  <si>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</si>
  <si>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</si>
  <si>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</si>
  <si>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</si>
  <si>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</si>
  <si>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</si>
  <si>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</si>
  <si>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</si>
  <si>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</si>
  <si>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</si>
  <si>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</si>
  <si>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</si>
  <si>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</si>
  <si>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</si>
  <si>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</si>
  <si>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</si>
  <si>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</si>
  <si>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</si>
  <si>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</si>
  <si>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</si>
  <si>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</si>
  <si>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</si>
  <si>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</si>
  <si>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</si>
  <si>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</si>
  <si>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</si>
  <si>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</si>
  <si>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</si>
  <si>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</si>
  <si>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</si>
  <si>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</si>
  <si>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</si>
  <si>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</si>
  <si>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</si>
  <si>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</si>
  <si>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</si>
  <si>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</si>
  <si>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</si>
  <si>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</si>
  <si>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</si>
  <si>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</si>
  <si>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</si>
  <si>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</si>
  <si>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</si>
  <si>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</si>
  <si>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</si>
  <si>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</si>
  <si>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</si>
  <si>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</si>
  <si>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</si>
  <si>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</si>
  <si>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</si>
  <si>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</si>
  <si>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</si>
  <si>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</si>
  <si>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</si>
  <si>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</si>
  <si>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</si>
  <si>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</si>
  <si>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</si>
  <si>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</si>
  <si>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</si>
  <si>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</si>
  <si>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</si>
  <si>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</si>
  <si>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</si>
  <si>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</si>
  <si>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</si>
  <si>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</si>
  <si>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</si>
  <si>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</si>
  <si>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</si>
  <si>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</si>
  <si>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</si>
  <si>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</si>
  <si>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</si>
  <si>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</si>
  <si>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</si>
  <si>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</si>
  <si>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</si>
  <si>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</si>
  <si>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</si>
  <si>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</si>
  <si>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</si>
  <si>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</si>
  <si>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</si>
  <si>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</si>
  <si>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</si>
  <si>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</si>
  <si>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</si>
  <si>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</si>
  <si>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</si>
  <si>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</si>
  <si>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</si>
  <si>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</si>
  <si>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</si>
  <si>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</si>
  <si>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</si>
  <si>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</si>
  <si>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</si>
  <si>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</si>
  <si>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</si>
  <si>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</si>
  <si>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</si>
  <si>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</si>
  <si>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</si>
  <si>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</si>
  <si>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</si>
  <si>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</si>
  <si>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</si>
  <si>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</si>
  <si>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</si>
  <si>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</si>
  <si>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</si>
  <si>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</si>
  <si>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</si>
  <si>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</si>
  <si>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</si>
  <si>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</si>
  <si>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</si>
  <si>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</si>
  <si>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</si>
  <si>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</si>
  <si>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</si>
  <si>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</si>
  <si>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</si>
  <si>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</si>
  <si>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</si>
  <si>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</si>
  <si>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</si>
  <si>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</si>
  <si>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</si>
  <si>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</si>
  <si>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</si>
  <si>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</si>
  <si>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</si>
  <si>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</si>
  <si>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</si>
  <si>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</si>
  <si>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</si>
  <si>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</si>
  <si>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</si>
  <si>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</si>
  <si>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</si>
  <si>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</si>
  <si>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</si>
  <si>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</si>
  <si>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</si>
  <si>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</si>
  <si>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</si>
  <si>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</si>
  <si>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</si>
  <si>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</si>
  <si>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</si>
  <si>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</si>
  <si>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</si>
  <si>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</si>
  <si>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</si>
  <si>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</si>
  <si>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</si>
  <si>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</si>
  <si>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</si>
  <si>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</si>
  <si>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</si>
  <si>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</si>
  <si>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</si>
  <si>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</si>
  <si>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</si>
  <si>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</si>
  <si>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</si>
  <si>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</si>
  <si>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</si>
  <si>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</si>
  <si>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</si>
  <si>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</si>
  <si>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</si>
  <si>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</si>
  <si>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</si>
  <si>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</si>
  <si>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</si>
  <si>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</si>
  <si>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</si>
  <si>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</si>
  <si>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</si>
  <si>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</si>
  <si>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</si>
  <si>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</si>
  <si>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</si>
  <si>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</si>
  <si>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</si>
  <si>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</si>
  <si>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</si>
  <si>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</si>
  <si>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</si>
  <si>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</si>
  <si>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</si>
  <si>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</si>
  <si>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</si>
  <si>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</si>
  <si>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</si>
  <si>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</si>
  <si>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</si>
  <si>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</si>
  <si>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</si>
  <si>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</si>
  <si>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</si>
  <si>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</si>
  <si>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</si>
  <si>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</si>
  <si>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</si>
  <si>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</si>
  <si>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</si>
  <si>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</si>
  <si>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</si>
  <si>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</si>
  <si>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</si>
  <si>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</si>
  <si>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</si>
  <si>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</si>
  <si>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</si>
  <si>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</si>
  <si>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</si>
  <si>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</si>
  <si>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</si>
  <si>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</si>
  <si>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</si>
  <si>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</si>
  <si>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</si>
  <si>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</si>
  <si>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</si>
  <si>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</si>
  <si>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</si>
  <si>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</si>
  <si>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</si>
  <si>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</si>
  <si>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</si>
  <si>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</si>
  <si>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</si>
  <si>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</si>
  <si>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</si>
  <si>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</si>
  <si>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</si>
  <si>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</si>
  <si>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</si>
  <si>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</si>
  <si>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</si>
  <si>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</si>
  <si>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</si>
  <si>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</si>
  <si>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</si>
  <si>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</si>
  <si>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</si>
  <si>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</si>
  <si>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</si>
  <si>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</si>
  <si>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</si>
  <si>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</si>
  <si>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</si>
  <si>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</si>
  <si>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</si>
  <si>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</si>
  <si>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</si>
  <si>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</si>
  <si>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</si>
  <si>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</si>
  <si>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</si>
  <si>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</si>
  <si>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</si>
  <si>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</si>
  <si>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</si>
  <si>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</si>
  <si>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</si>
  <si>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</si>
  <si>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</si>
  <si>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</si>
  <si>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</si>
  <si>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</si>
  <si>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</si>
  <si>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</si>
  <si>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</si>
  <si>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</si>
  <si>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</si>
  <si>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</si>
  <si>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</si>
  <si>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</si>
  <si>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</si>
  <si>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</si>
  <si>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</si>
  <si>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</si>
  <si>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</si>
  <si>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</si>
  <si>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</si>
  <si>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</si>
  <si>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</si>
  <si>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</si>
  <si>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</si>
  <si>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</si>
  <si>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</si>
  <si>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</si>
  <si>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</si>
  <si>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</si>
  <si>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</si>
  <si>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</si>
  <si>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</si>
  <si>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</si>
  <si>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</si>
  <si>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</si>
  <si>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</si>
  <si>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</si>
  <si>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</si>
  <si>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</si>
  <si>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</si>
  <si>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</si>
  <si>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</si>
  <si>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</si>
  <si>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</si>
  <si>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</si>
  <si>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</si>
  <si>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</si>
  <si>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</si>
  <si>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</si>
  <si>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</si>
  <si>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</si>
  <si>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</si>
  <si>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</si>
  <si>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</si>
  <si>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</si>
  <si>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</si>
  <si>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</si>
  <si>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</si>
  <si>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</si>
  <si>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</si>
  <si>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</si>
  <si>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</si>
  <si>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</si>
  <si>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</si>
  <si>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</si>
  <si>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</si>
  <si>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</si>
  <si>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</si>
  <si>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</si>
  <si>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</si>
  <si>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</si>
  <si>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</si>
  <si>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</si>
  <si>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</si>
  <si>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</si>
  <si>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</si>
  <si>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</si>
  <si>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</si>
  <si>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</si>
  <si>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</si>
  <si>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</si>
  <si>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</si>
  <si>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</si>
  <si>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</si>
  <si>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</si>
  <si>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</si>
  <si>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</si>
  <si>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</si>
  <si>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</si>
  <si>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</si>
  <si>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</si>
  <si>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</si>
  <si>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</si>
  <si>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</si>
  <si>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</si>
  <si>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</si>
  <si>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</si>
  <si>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</si>
  <si>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</si>
  <si>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</si>
  <si>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</si>
  <si>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</si>
  <si>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</si>
  <si>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</si>
  <si>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</si>
  <si>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</si>
  <si>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</si>
  <si>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</si>
  <si>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</si>
  <si>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</si>
  <si>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</si>
  <si>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</si>
  <si>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</si>
  <si>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</si>
  <si>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</si>
  <si>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</si>
  <si>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</si>
  <si>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</si>
  <si>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</si>
  <si>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</si>
  <si>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</si>
  <si>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</si>
  <si>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</si>
  <si>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</si>
  <si>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</si>
  <si>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</si>
  <si>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</si>
  <si>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</si>
  <si>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</si>
  <si>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</si>
  <si>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</si>
  <si>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</si>
  <si>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</si>
  <si>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</si>
  <si>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</si>
  <si>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</si>
  <si>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</si>
  <si>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</si>
  <si>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</si>
  <si>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</si>
  <si>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</si>
  <si>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</si>
  <si>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</si>
  <si>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</si>
  <si>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</si>
  <si>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</si>
  <si>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</si>
  <si>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</si>
  <si>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</si>
  <si>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</si>
  <si>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</si>
  <si>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</si>
  <si>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</si>
  <si>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</si>
  <si>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</si>
  <si>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</si>
  <si>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</si>
  <si>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</si>
  <si>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</si>
  <si>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</si>
  <si>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</si>
  <si>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</si>
  <si>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</si>
  <si>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</si>
  <si>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</si>
  <si>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</si>
  <si>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</si>
  <si>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</si>
  <si>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</si>
  <si>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</si>
  <si>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</si>
  <si>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</si>
  <si>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</si>
  <si>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</si>
  <si>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</si>
  <si>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</si>
  <si>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</si>
  <si>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</si>
  <si>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</si>
  <si>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</si>
  <si>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</si>
  <si>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</si>
  <si>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</si>
  <si>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</si>
  <si>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</si>
  <si>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</si>
  <si>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</si>
  <si>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</si>
  <si>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</si>
  <si>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</si>
  <si>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</si>
  <si>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</si>
  <si>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</si>
  <si>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</si>
  <si>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</si>
  <si>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</si>
  <si>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</si>
  <si>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</si>
  <si>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</si>
  <si>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</si>
  <si>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</si>
  <si>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</si>
  <si>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</si>
  <si>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</si>
  <si>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</si>
  <si>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</si>
  <si>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</si>
  <si>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</si>
  <si>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</si>
  <si>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</si>
  <si>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</si>
  <si>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</si>
  <si>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</si>
  <si>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</si>
  <si>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</si>
  <si>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</si>
  <si>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</si>
  <si>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</si>
  <si>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</si>
  <si>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</si>
  <si>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</si>
  <si>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</si>
  <si>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</si>
  <si>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</si>
  <si>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</si>
  <si>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</si>
  <si>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</si>
  <si>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</si>
  <si>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</si>
  <si>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</si>
  <si>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</si>
  <si>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</si>
  <si>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</si>
  <si>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</si>
  <si>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</si>
  <si>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</si>
  <si>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</si>
  <si>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</si>
  <si>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</si>
  <si>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</si>
  <si>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</si>
  <si>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</si>
  <si>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</si>
  <si>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</si>
  <si>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</si>
  <si>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</si>
  <si>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</si>
  <si>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</si>
  <si>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</si>
  <si>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</si>
  <si>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</si>
  <si>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</si>
  <si>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</si>
  <si>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</si>
  <si>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</si>
  <si>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</si>
  <si>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</si>
  <si>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</si>
  <si>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</si>
  <si>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</si>
  <si>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</si>
  <si>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</si>
  <si>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</si>
  <si>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</si>
  <si>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</si>
  <si>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</si>
  <si>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</si>
  <si>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</si>
  <si>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</si>
  <si>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</si>
  <si>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</si>
  <si>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</si>
  <si>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</si>
  <si>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</si>
  <si>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</si>
  <si>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</si>
  <si>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</si>
  <si>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</si>
  <si>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</si>
  <si>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</si>
  <si>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</si>
  <si>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</si>
  <si>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</si>
  <si>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</si>
  <si>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</si>
  <si>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</si>
  <si>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</si>
  <si>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</si>
  <si>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</si>
  <si>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</si>
  <si>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</si>
  <si>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</si>
  <si>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</si>
  <si>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</si>
  <si>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</si>
  <si>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</si>
  <si>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</si>
  <si>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</si>
  <si>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</si>
  <si>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</si>
  <si>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</si>
  <si>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</si>
  <si>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</si>
  <si>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</si>
  <si>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</si>
  <si>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</si>
  <si>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</si>
  <si>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</si>
  <si>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</si>
  <si>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</si>
  <si>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</si>
  <si>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</si>
  <si>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</si>
  <si>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</si>
  <si>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</si>
  <si>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</si>
  <si>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</si>
  <si>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</si>
  <si>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</si>
  <si>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</si>
  <si>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</si>
  <si>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</si>
  <si>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</si>
  <si>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</si>
  <si>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</si>
  <si>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</si>
  <si>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</si>
  <si>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</si>
  <si>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</si>
  <si>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</si>
  <si>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</si>
  <si>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</si>
  <si>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</si>
  <si>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</si>
  <si>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</si>
  <si>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</si>
  <si>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</si>
  <si>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</si>
  <si>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</si>
  <si>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</si>
  <si>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</si>
  <si>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</si>
  <si>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</si>
  <si>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</si>
  <si>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</si>
  <si>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</si>
  <si>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</si>
  <si>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</si>
  <si>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</si>
  <si>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</si>
  <si>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</si>
  <si>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</si>
  <si>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</si>
  <si>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</si>
  <si>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</si>
  <si>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</si>
  <si>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</si>
  <si>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</si>
  <si>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</si>
  <si>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</si>
  <si>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</si>
  <si>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</si>
  <si>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</si>
  <si>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</si>
  <si>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</si>
  <si>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</si>
  <si>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</si>
  <si>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</si>
  <si>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</si>
  <si>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</si>
  <si>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</si>
  <si>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</si>
  <si>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</si>
  <si>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</si>
  <si>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</si>
  <si>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</si>
  <si>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</si>
  <si>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</si>
  <si>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</si>
  <si>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</si>
  <si>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</si>
  <si>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</si>
  <si>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</si>
  <si>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</si>
  <si>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</si>
  <si>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</si>
  <si>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</si>
  <si>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</si>
  <si>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</si>
  <si>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</si>
  <si>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</si>
  <si>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</si>
  <si>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</si>
  <si>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</si>
  <si>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</si>
  <si>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</si>
  <si>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</si>
  <si>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</si>
  <si>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</si>
  <si>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</si>
  <si>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</si>
  <si>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</si>
  <si>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</si>
  <si>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</si>
  <si>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</si>
  <si>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</si>
  <si>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</si>
  <si>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</si>
  <si>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</si>
  <si>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</si>
  <si>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</si>
  <si>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</si>
  <si>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</si>
  <si>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</si>
  <si>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</si>
  <si>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</si>
  <si>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</si>
  <si>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</si>
  <si>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</si>
  <si>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</si>
  <si>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</si>
  <si>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</si>
  <si>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</si>
  <si>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</si>
  <si>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</si>
  <si>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</si>
  <si>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</si>
  <si>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</si>
  <si>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</si>
  <si>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</si>
  <si>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</si>
  <si>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</si>
  <si>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</si>
  <si>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</si>
  <si>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</si>
  <si>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</si>
  <si>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</si>
  <si>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</si>
  <si>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</si>
  <si>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</si>
  <si>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</si>
  <si>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</si>
  <si>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</si>
  <si>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</si>
  <si>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</si>
  <si>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</si>
  <si>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</si>
  <si>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</si>
  <si>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</si>
  <si>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</si>
  <si>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</si>
  <si>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</si>
  <si>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</si>
  <si>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</si>
  <si>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</si>
  <si>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</si>
  <si>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</si>
  <si>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</si>
  <si>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</si>
  <si>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</si>
  <si>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</si>
  <si>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</si>
  <si>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</si>
  <si>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</si>
  <si>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</si>
  <si>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</si>
  <si>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</si>
  <si>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</si>
  <si>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</si>
  <si>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</si>
  <si>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</si>
  <si>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</si>
  <si>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</si>
  <si>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</si>
  <si>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</si>
  <si>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</si>
  <si>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</si>
  <si>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</si>
  <si>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</si>
  <si>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</si>
  <si>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</si>
  <si>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</si>
  <si>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</si>
  <si>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</si>
  <si>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</si>
  <si>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</si>
  <si>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</si>
  <si>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</si>
  <si>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</si>
  <si>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</si>
  <si>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</si>
  <si>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</si>
  <si>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</si>
  <si>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</si>
  <si>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</si>
  <si>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</si>
  <si>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</si>
  <si>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</si>
  <si>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</si>
  <si>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</si>
  <si>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</si>
  <si>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</si>
  <si>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</si>
  <si>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</si>
  <si>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</si>
  <si>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</si>
  <si>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</si>
  <si>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</si>
  <si>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</si>
  <si>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</si>
  <si>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</si>
  <si>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</si>
  <si>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</si>
  <si>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</si>
  <si>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</si>
  <si>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</si>
  <si>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</si>
  <si>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</si>
  <si>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</si>
  <si>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</si>
  <si>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</si>
  <si>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</si>
  <si>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</si>
  <si>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</si>
  <si>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</si>
  <si>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</si>
  <si>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</si>
  <si>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</si>
  <si>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</si>
  <si>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</si>
  <si>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</si>
  <si>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</si>
  <si>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</si>
  <si>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</si>
  <si>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</si>
  <si>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</si>
  <si>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</si>
  <si>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</si>
  <si>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</si>
  <si>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</si>
  <si>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</si>
  <si>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</si>
  <si>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</si>
  <si>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</si>
  <si>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</si>
  <si>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</si>
  <si>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</si>
  <si>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</si>
  <si>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</si>
  <si>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</si>
  <si>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</si>
  <si>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</si>
  <si>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</si>
  <si>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</si>
  <si>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</si>
  <si>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</si>
  <si>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</si>
  <si>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</si>
  <si>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</si>
  <si>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</si>
  <si>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</si>
  <si>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</si>
  <si>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</si>
  <si>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</si>
  <si>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</si>
  <si>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</si>
  <si>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</si>
  <si>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</si>
  <si>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</si>
  <si>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</si>
  <si>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</si>
  <si>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</si>
  <si>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</si>
  <si>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</si>
  <si>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</si>
  <si>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</si>
  <si>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</si>
  <si>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</si>
  <si>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</si>
  <si>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</si>
  <si>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</si>
  <si>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</si>
  <si>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</si>
  <si>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</si>
  <si>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</si>
  <si>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</si>
  <si>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</si>
  <si>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</si>
  <si>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</si>
  <si>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</si>
  <si>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</si>
  <si>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</si>
  <si>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</si>
  <si>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</si>
  <si>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</si>
  <si>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</si>
  <si>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</si>
  <si>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</si>
  <si>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</si>
  <si>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</si>
  <si>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</si>
  <si>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</si>
  <si>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</si>
  <si>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</si>
  <si>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</si>
  <si>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</si>
  <si>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</si>
  <si>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</si>
  <si>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</si>
  <si>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</si>
  <si>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</si>
  <si>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</si>
  <si>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</si>
  <si>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</si>
  <si>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</si>
  <si>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</si>
  <si>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</si>
  <si>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</si>
  <si>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</si>
  <si>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</si>
  <si>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</si>
  <si>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</si>
  <si>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</si>
  <si>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</si>
  <si>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</si>
  <si>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</si>
  <si>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</si>
  <si>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</si>
  <si>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</si>
  <si>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</si>
  <si>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</si>
  <si>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</si>
  <si>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</si>
  <si>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</si>
  <si>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</si>
  <si>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</si>
  <si>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</si>
  <si>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</si>
  <si>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</si>
  <si>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</si>
  <si>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</si>
  <si>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</si>
  <si>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</si>
  <si>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</si>
  <si>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</si>
  <si>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</si>
  <si>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</si>
  <si>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</si>
  <si>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</si>
  <si>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</si>
  <si>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</si>
  <si>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</si>
  <si>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</si>
  <si>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</si>
  <si>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</si>
  <si>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</si>
  <si>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</si>
  <si>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</si>
  <si>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</si>
  <si>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</si>
  <si>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</si>
  <si>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</si>
  <si>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</si>
  <si>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</si>
  <si>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</si>
  <si>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</si>
  <si>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</si>
  <si>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</si>
  <si>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</si>
  <si>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</si>
  <si>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</si>
  <si>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</si>
  <si>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</si>
  <si>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</si>
  <si>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</si>
  <si>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</si>
  <si>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</si>
  <si>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</si>
  <si>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</si>
  <si>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</si>
  <si>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</si>
  <si>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</si>
  <si>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</si>
  <si>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</si>
  <si>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</si>
  <si>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</si>
  <si>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</si>
  <si>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</si>
  <si>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</si>
  <si>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</si>
  <si>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</si>
  <si>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</si>
  <si>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</si>
  <si>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</si>
  <si>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</si>
  <si>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</si>
  <si>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</si>
  <si>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</si>
  <si>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</si>
  <si>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</si>
  <si>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</si>
  <si>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</si>
  <si>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</si>
  <si>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</si>
  <si>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</si>
  <si>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</si>
  <si>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</si>
  <si>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</si>
  <si>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</si>
  <si>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</si>
  <si>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</si>
  <si>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</si>
  <si>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</si>
  <si>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</si>
  <si>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</si>
  <si>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</si>
  <si>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</si>
  <si>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</si>
  <si>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</si>
  <si>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</si>
  <si>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</si>
  <si>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</si>
  <si>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</si>
  <si>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</si>
  <si>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</si>
  <si>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</si>
  <si>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</si>
  <si>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</si>
  <si>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</si>
  <si>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</si>
  <si>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</si>
  <si>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</si>
  <si>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</si>
  <si>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</si>
  <si>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</si>
  <si>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</si>
  <si>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</si>
  <si>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</si>
  <si>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</si>
  <si>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</si>
  <si>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</si>
  <si>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</si>
  <si>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</si>
  <si>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</si>
  <si>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</si>
  <si>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</si>
  <si>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</si>
  <si>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</si>
  <si>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</si>
  <si>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</si>
  <si>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</si>
  <si>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</si>
  <si>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</si>
  <si>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</si>
  <si>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</si>
  <si>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</si>
  <si>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</si>
  <si>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</si>
  <si>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</si>
  <si>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</si>
  <si>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</si>
  <si>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</si>
  <si>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</si>
  <si>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</si>
  <si>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</si>
  <si>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</si>
  <si>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</si>
  <si>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</si>
  <si>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</si>
  <si>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</si>
  <si>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</si>
  <si>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</si>
  <si>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</si>
  <si>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</si>
  <si>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</si>
  <si>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</si>
  <si>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</si>
  <si>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</si>
  <si>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</si>
  <si>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</si>
  <si>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</si>
  <si>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</si>
  <si>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</si>
  <si>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</si>
  <si>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</si>
  <si>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</si>
  <si>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</si>
  <si>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</si>
  <si>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</si>
  <si>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</si>
  <si>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</si>
  <si>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</si>
  <si>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</si>
  <si>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</si>
  <si>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</si>
  <si>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</si>
  <si>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</si>
  <si>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</si>
  <si>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</si>
  <si>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</si>
  <si>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</si>
  <si>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</si>
  <si>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</si>
  <si>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</si>
  <si>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</si>
  <si>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</si>
  <si>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</si>
  <si>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</si>
  <si>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</si>
  <si>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</si>
  <si>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</si>
  <si>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</si>
  <si>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</si>
  <si>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</si>
  <si>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</si>
  <si>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</si>
  <si>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</si>
  <si>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</si>
  <si>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</si>
  <si>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</si>
  <si>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</si>
  <si>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</si>
  <si>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</si>
  <si>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</si>
  <si>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</si>
  <si>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</si>
  <si>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</si>
  <si>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</si>
  <si>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</si>
  <si>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</si>
  <si>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</si>
  <si>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</si>
  <si>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</si>
  <si>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</si>
  <si>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</si>
  <si>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</si>
  <si>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</si>
  <si>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</si>
  <si>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</si>
  <si>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</si>
  <si>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</si>
  <si>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</si>
  <si>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</si>
  <si>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</si>
  <si>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</si>
  <si>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</si>
  <si>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</si>
  <si>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</si>
  <si>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</si>
  <si>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</si>
  <si>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</si>
  <si>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</si>
  <si>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</si>
  <si>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</si>
  <si>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</si>
  <si>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</si>
  <si>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</si>
  <si>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</si>
  <si>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</si>
  <si>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</si>
  <si>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</si>
  <si>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</si>
  <si>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</si>
  <si>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</si>
  <si>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</si>
  <si>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</si>
  <si>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</si>
  <si>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</si>
  <si>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</si>
  <si>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</si>
  <si>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</si>
  <si>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</si>
  <si>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</si>
  <si>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</si>
  <si>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</si>
  <si>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</si>
  <si>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</si>
  <si>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</si>
  <si>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</si>
  <si>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</si>
  <si>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</si>
  <si>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</si>
  <si>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</si>
  <si>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</si>
  <si>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</si>
  <si>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</si>
  <si>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</si>
  <si>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</si>
  <si>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</si>
  <si>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</si>
  <si>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</si>
  <si>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</si>
  <si>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</si>
  <si>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</si>
  <si>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</si>
  <si>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</si>
  <si>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</si>
  <si>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</si>
  <si>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</si>
  <si>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</si>
  <si>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</si>
  <si>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</si>
  <si>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</si>
  <si>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</si>
  <si>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</si>
  <si>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</si>
  <si>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</si>
  <si>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</si>
  <si>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</si>
  <si>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</si>
  <si>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</si>
  <si>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</si>
  <si>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</si>
  <si>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</si>
  <si>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</si>
  <si>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</si>
  <si>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</si>
  <si>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</si>
  <si>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</si>
  <si>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</si>
  <si>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</si>
  <si>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</si>
  <si>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</si>
  <si>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</si>
  <si>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</si>
  <si>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</si>
  <si>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</si>
  <si>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</si>
  <si>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</si>
  <si>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</si>
  <si>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</si>
  <si>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</si>
  <si>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</si>
  <si>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</si>
  <si>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</si>
  <si>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</si>
  <si>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</si>
  <si>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</si>
  <si>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</si>
  <si>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</si>
  <si>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</si>
  <si>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</si>
  <si>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</si>
  <si>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</si>
  <si>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</si>
  <si>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</si>
  <si>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</si>
  <si>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</si>
  <si>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</si>
  <si>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</si>
  <si>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</si>
  <si>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</si>
  <si>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</si>
  <si>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</si>
  <si>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</si>
  <si>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</si>
  <si>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</si>
  <si>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</si>
  <si>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</si>
  <si>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</si>
  <si>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</si>
  <si>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</si>
  <si>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</si>
  <si>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</si>
  <si>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</si>
  <si>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</si>
  <si>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</si>
  <si>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</si>
  <si>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</si>
  <si>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</si>
  <si>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</si>
  <si>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</si>
  <si>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</si>
  <si>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</si>
  <si>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</si>
  <si>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</si>
  <si>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</si>
  <si>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</si>
  <si>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</si>
  <si>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</si>
  <si>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</si>
  <si>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</si>
  <si>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</si>
  <si>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</si>
  <si>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</si>
  <si>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</si>
  <si>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</si>
  <si>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</si>
  <si>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</si>
  <si>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</si>
  <si>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</si>
  <si>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</si>
  <si>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</si>
  <si>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</si>
  <si>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</si>
  <si>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</si>
  <si>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</si>
  <si>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</si>
  <si>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</si>
  <si>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</si>
  <si>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</si>
  <si>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</si>
  <si>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</si>
  <si>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</si>
  <si>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</si>
  <si>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</si>
  <si>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</si>
  <si>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</si>
  <si>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</si>
  <si>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</si>
  <si>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</si>
  <si>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</si>
  <si>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</si>
  <si>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</si>
  <si>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</si>
  <si>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</si>
  <si>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</si>
  <si>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</si>
  <si>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</si>
  <si>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</si>
  <si>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</si>
  <si>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</si>
  <si>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</si>
  <si>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</si>
  <si>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</si>
  <si>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</si>
  <si>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</si>
  <si>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</si>
  <si>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</si>
  <si>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</si>
  <si>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</si>
  <si>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</si>
  <si>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</si>
  <si>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</si>
  <si>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</si>
  <si>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</si>
  <si>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</si>
  <si>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</si>
  <si>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</si>
  <si>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</si>
  <si>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</si>
  <si>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</si>
  <si>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</si>
  <si>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</si>
  <si>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</si>
  <si>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</si>
  <si>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</si>
  <si>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</si>
  <si>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</si>
  <si>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</si>
  <si>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</si>
  <si>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</si>
  <si>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</si>
  <si>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</si>
  <si>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</si>
  <si>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</si>
  <si>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</si>
  <si>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</si>
  <si>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</si>
  <si>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</si>
  <si>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</si>
  <si>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</si>
  <si>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</si>
  <si>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</si>
  <si>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</si>
  <si>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</si>
  <si>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</si>
  <si>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</si>
  <si>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</si>
  <si>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</si>
  <si>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</si>
  <si>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</si>
  <si>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</si>
  <si>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</si>
  <si>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</si>
  <si>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</si>
  <si>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</si>
  <si>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</si>
  <si>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</si>
  <si>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</si>
  <si>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</si>
  <si>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</si>
  <si>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</si>
  <si>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</si>
  <si>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</si>
  <si>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</si>
  <si>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</si>
  <si>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</si>
  <si>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</si>
  <si>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</si>
  <si>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</si>
  <si>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</si>
  <si>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</si>
  <si>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</si>
  <si>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</si>
  <si>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</si>
  <si>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</si>
  <si>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</si>
  <si>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</si>
  <si>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</si>
  <si>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</si>
  <si>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</si>
  <si>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</si>
  <si>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</si>
  <si>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</si>
  <si>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</si>
  <si>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</si>
  <si>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</si>
  <si>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</si>
  <si>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</si>
  <si>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</si>
  <si>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</si>
  <si>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</si>
  <si>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</si>
  <si>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</si>
  <si>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</si>
  <si>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</si>
  <si>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</si>
  <si>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</si>
  <si>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</si>
  <si>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</si>
  <si>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</si>
  <si>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</si>
  <si>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</si>
  <si>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</si>
  <si>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</si>
  <si>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</si>
  <si>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</si>
  <si>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</si>
  <si>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</si>
  <si>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</si>
  <si>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</si>
  <si>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</si>
  <si>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</si>
  <si>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</si>
  <si>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</si>
  <si>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</si>
  <si>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</si>
  <si>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</si>
  <si>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</si>
  <si>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</si>
  <si>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</si>
  <si>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</si>
  <si>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</si>
  <si>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</si>
  <si>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</si>
  <si>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</si>
  <si>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</si>
  <si>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</si>
  <si>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</si>
  <si>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</si>
  <si>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</si>
  <si>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</si>
  <si>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</si>
  <si>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</si>
  <si>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</si>
  <si>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</si>
  <si>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</si>
  <si>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</si>
  <si>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</si>
  <si>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</si>
  <si>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</si>
  <si>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</si>
  <si>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</si>
  <si>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</si>
  <si>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</si>
  <si>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</si>
  <si>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</si>
  <si>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</si>
  <si>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</si>
  <si>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</si>
  <si>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</si>
  <si>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</si>
  <si>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</si>
  <si>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</si>
  <si>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</si>
  <si>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</si>
  <si>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</si>
  <si>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</si>
  <si>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</si>
  <si>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</si>
  <si>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</si>
  <si>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</si>
  <si>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</si>
  <si>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</si>
  <si>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</si>
  <si>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</si>
  <si>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</si>
  <si>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</si>
  <si>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</si>
  <si>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</si>
  <si>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</si>
  <si>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</si>
  <si>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</si>
  <si>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</si>
  <si>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</si>
  <si>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</si>
  <si>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</si>
  <si>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</si>
  <si>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</si>
  <si>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</si>
  <si>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</si>
  <si>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</si>
  <si>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</si>
  <si>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</si>
  <si>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</si>
  <si>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</si>
  <si>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</si>
  <si>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</si>
  <si>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</si>
  <si>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</si>
  <si>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</si>
  <si>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</si>
  <si>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</si>
  <si>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</si>
  <si>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</si>
  <si>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</si>
  <si>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</si>
  <si>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</si>
  <si>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</si>
  <si>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</si>
  <si>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</si>
  <si>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</si>
  <si>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</si>
  <si>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</si>
  <si>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</si>
  <si>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</si>
  <si>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</si>
  <si>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</si>
  <si>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</si>
  <si>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</si>
  <si>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</si>
  <si>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</si>
  <si>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</si>
  <si>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</si>
  <si>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</si>
  <si>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</si>
  <si>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</si>
  <si>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</si>
  <si>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</si>
  <si>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</si>
  <si>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</si>
  <si>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</si>
  <si>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</si>
  <si>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</si>
  <si>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</si>
  <si>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</si>
  <si>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</si>
  <si>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</si>
  <si>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</si>
  <si>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</si>
  <si>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</si>
  <si>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</si>
  <si>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</si>
  <si>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</si>
  <si>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</si>
  <si>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</si>
  <si>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</si>
  <si>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</si>
  <si>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</si>
  <si>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</si>
  <si>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</si>
  <si>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</si>
  <si>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</si>
  <si>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</si>
  <si>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</si>
  <si>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</si>
  <si>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</si>
  <si>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</si>
  <si>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</si>
  <si>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</si>
  <si>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</si>
  <si>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</si>
  <si>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</si>
  <si>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</si>
  <si>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</si>
  <si>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</si>
  <si>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</si>
  <si>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</si>
  <si>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</si>
  <si>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</si>
  <si>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</si>
  <si>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</si>
  <si>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</si>
  <si>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</si>
  <si>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</si>
  <si>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</si>
  <si>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</si>
  <si>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</si>
  <si>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</si>
  <si>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</si>
  <si>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</si>
  <si>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</si>
  <si>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</si>
  <si>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</si>
  <si>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</si>
  <si>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</si>
  <si>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</si>
  <si>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</si>
  <si>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</si>
  <si>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</si>
  <si>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</si>
  <si>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</si>
  <si>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</si>
  <si>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</si>
  <si>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</si>
  <si>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</si>
  <si>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</si>
  <si>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</si>
  <si>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</si>
  <si>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</si>
  <si>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</si>
  <si>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</si>
  <si>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</si>
  <si>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</si>
  <si>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</si>
  <si>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</si>
  <si>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</si>
  <si>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</si>
  <si>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</si>
  <si>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</si>
  <si>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</si>
  <si>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</si>
  <si>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</si>
  <si>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</si>
  <si>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</si>
  <si>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</si>
  <si>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</si>
  <si>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</si>
  <si>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</si>
  <si>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</si>
  <si>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</si>
  <si>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</si>
  <si>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</si>
  <si>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</si>
  <si>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</si>
  <si>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</si>
  <si>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</si>
  <si>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</si>
  <si>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</si>
  <si>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</si>
  <si>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</si>
  <si>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</si>
  <si>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</si>
  <si>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</si>
  <si>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</si>
  <si>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</si>
  <si>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</si>
  <si>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</si>
  <si>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</si>
  <si>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</si>
  <si>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</si>
  <si>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</si>
  <si>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</si>
  <si>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</si>
  <si>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</si>
  <si>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</si>
  <si>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</si>
  <si>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</si>
  <si>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</si>
  <si>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</si>
  <si>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</si>
  <si>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</si>
  <si>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</si>
  <si>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</si>
  <si>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</si>
  <si>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</si>
  <si>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</si>
  <si>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</si>
  <si>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</si>
  <si>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</si>
  <si>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</si>
  <si>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</si>
  <si>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</si>
  <si>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</si>
  <si>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</si>
  <si>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</si>
  <si>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</si>
  <si>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</si>
  <si>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</si>
  <si>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</si>
  <si>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</si>
  <si>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</si>
  <si>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</si>
  <si>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</si>
  <si>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</si>
  <si>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</si>
  <si>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</si>
  <si>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</si>
  <si>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</si>
  <si>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</si>
  <si>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</si>
  <si>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</si>
  <si>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</si>
  <si>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</si>
  <si>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</si>
  <si>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</si>
  <si>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</si>
  <si>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</si>
  <si>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</si>
  <si>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</si>
  <si>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</si>
  <si>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</si>
  <si>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</si>
  <si>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</si>
  <si>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</si>
  <si>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</si>
  <si>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</si>
  <si>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</si>
  <si>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</si>
  <si>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</si>
  <si>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</si>
  <si>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</si>
  <si>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</si>
  <si>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</si>
  <si>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</si>
  <si>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</si>
  <si>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</si>
  <si>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</si>
  <si>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</si>
  <si>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</si>
  <si>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</si>
  <si>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</si>
  <si>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</si>
  <si>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</si>
  <si>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</si>
  <si>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</si>
  <si>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</si>
  <si>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</si>
  <si>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</si>
  <si>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</si>
  <si>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</si>
  <si>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</si>
  <si>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</si>
  <si>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</si>
  <si>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</si>
  <si>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</si>
  <si>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</si>
  <si>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</si>
  <si>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</si>
  <si>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</si>
  <si>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</si>
  <si>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</si>
  <si>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</si>
  <si>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</si>
  <si>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</si>
  <si>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</si>
  <si>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</si>
  <si>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</si>
  <si>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</si>
  <si>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</si>
  <si>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</si>
  <si>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</si>
  <si>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</si>
  <si>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</si>
  <si>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</si>
  <si>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</si>
  <si>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</si>
  <si>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</si>
  <si>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</si>
  <si>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</si>
  <si>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</si>
  <si>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</si>
  <si>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</si>
  <si>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</si>
  <si>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</si>
  <si>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</si>
  <si>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</si>
  <si>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</si>
  <si>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</si>
  <si>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</si>
  <si>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</si>
  <si>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</si>
  <si>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</si>
  <si>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</si>
  <si>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</si>
  <si>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</si>
  <si>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</si>
  <si>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</si>
  <si>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</si>
  <si>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</si>
  <si>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</si>
  <si>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</si>
  <si>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</si>
  <si>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</si>
  <si>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</si>
  <si>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</si>
  <si>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</si>
  <si>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</si>
  <si>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</si>
  <si>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</si>
  <si>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</si>
  <si>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</si>
  <si>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</si>
  <si>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</si>
  <si>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</si>
  <si>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</si>
  <si>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</si>
  <si>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</si>
  <si>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</si>
  <si>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</si>
  <si>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</si>
  <si>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</si>
  <si>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</si>
  <si>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</si>
  <si>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</si>
  <si>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</si>
  <si>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</si>
  <si>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</si>
  <si>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</si>
  <si>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</si>
  <si>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</si>
  <si>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</si>
  <si>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</si>
  <si>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</si>
  <si>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</si>
  <si>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</si>
  <si>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</si>
  <si>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</si>
  <si>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</si>
  <si>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</si>
  <si>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</si>
  <si>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</si>
  <si>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</si>
  <si>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</si>
  <si>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</si>
  <si>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</si>
  <si>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</si>
  <si>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</si>
  <si>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</si>
  <si>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</si>
  <si>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</si>
  <si>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</si>
  <si>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</si>
  <si>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</si>
  <si>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</si>
  <si>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</si>
  <si>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</si>
  <si>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</si>
  <si>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</si>
  <si>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</si>
  <si>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</si>
  <si>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</si>
  <si>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</si>
  <si>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</si>
  <si>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</si>
  <si>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</si>
  <si>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</si>
  <si>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</si>
  <si>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</si>
  <si>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</si>
  <si>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</si>
  <si>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</si>
  <si>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</si>
  <si>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</si>
  <si>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</si>
  <si>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</si>
  <si>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</si>
  <si>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</si>
  <si>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</si>
  <si>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</si>
  <si>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</si>
  <si>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</si>
  <si>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</si>
  <si>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</si>
  <si>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</si>
  <si>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</si>
  <si>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</si>
  <si>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</si>
  <si>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</si>
  <si>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</si>
  <si>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</si>
  <si>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</si>
  <si>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</si>
  <si>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</si>
  <si>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</si>
  <si>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</si>
  <si>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</si>
  <si>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</si>
  <si>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</si>
  <si>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</si>
  <si>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</si>
  <si>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</si>
  <si>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</si>
  <si>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</si>
  <si>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</si>
  <si>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</si>
  <si>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</si>
  <si>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</si>
  <si>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</si>
  <si>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</si>
  <si>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</si>
  <si>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</si>
  <si>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</si>
  <si>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</si>
  <si>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</si>
  <si>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</si>
  <si>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</si>
  <si>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</si>
  <si>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</si>
  <si>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</si>
  <si>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</si>
  <si>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</si>
  <si>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</si>
  <si>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</si>
  <si>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</si>
  <si>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</si>
  <si>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</si>
  <si>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</si>
  <si>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</si>
  <si>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</si>
  <si>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</si>
  <si>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</si>
  <si>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</si>
  <si>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</si>
  <si>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</si>
  <si>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</si>
  <si>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</si>
  <si>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</si>
  <si>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</si>
  <si>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</si>
  <si>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</si>
  <si>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</si>
  <si>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</si>
  <si>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</si>
  <si>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</si>
  <si>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</si>
  <si>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</si>
  <si>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</si>
  <si>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</si>
  <si>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</si>
  <si>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</si>
  <si>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</si>
  <si>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</si>
  <si>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</si>
  <si>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</si>
  <si>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</si>
  <si>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</si>
  <si>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</si>
  <si>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</si>
  <si>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</si>
  <si>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</si>
  <si>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</si>
  <si>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</si>
  <si>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</si>
  <si>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</si>
  <si>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</si>
  <si>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</si>
  <si>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</si>
  <si>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</si>
  <si>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</si>
  <si>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</si>
  <si>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</si>
  <si>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</si>
  <si>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</si>
  <si>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</si>
  <si>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</si>
  <si>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</si>
  <si>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</si>
  <si>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</si>
  <si>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</si>
  <si>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</si>
  <si>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</si>
  <si>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</si>
  <si>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</si>
  <si>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</si>
  <si>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</si>
  <si>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</si>
  <si>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</si>
  <si>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</si>
  <si>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</si>
  <si>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</si>
  <si>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</si>
  <si>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</si>
  <si>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</si>
  <si>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</si>
  <si>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</si>
  <si>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</si>
  <si>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</si>
  <si>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</si>
  <si>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</si>
  <si>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</si>
  <si>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</si>
  <si>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</si>
  <si>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</si>
  <si>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</si>
  <si>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</si>
  <si>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</si>
  <si>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</si>
  <si>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</si>
  <si>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</si>
  <si>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</si>
  <si>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</si>
  <si>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</si>
  <si>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</si>
  <si>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</si>
  <si>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</si>
  <si>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</si>
  <si>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</si>
  <si>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</si>
  <si>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</si>
  <si>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</si>
  <si>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</si>
  <si>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</si>
  <si>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</si>
  <si>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</si>
  <si>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</si>
  <si>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</si>
  <si>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</si>
  <si>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</si>
  <si>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</si>
  <si>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</si>
  <si>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</si>
  <si>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</si>
  <si>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</si>
  <si>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</si>
  <si>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</si>
  <si>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</si>
  <si>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</si>
  <si>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</si>
  <si>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</si>
  <si>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</si>
  <si>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</si>
  <si>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</si>
  <si>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</si>
  <si>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</si>
  <si>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</si>
  <si>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</si>
  <si>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</si>
  <si>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</si>
  <si>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</si>
  <si>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</si>
  <si>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</si>
  <si>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</si>
  <si>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</si>
  <si>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</si>
  <si>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</si>
  <si>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</si>
  <si>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</si>
  <si>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</si>
  <si>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</si>
  <si>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</si>
  <si>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</si>
  <si>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</si>
  <si>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</si>
  <si>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</si>
  <si>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</si>
  <si>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</si>
  <si>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</si>
  <si>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</si>
  <si>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</si>
  <si>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</si>
  <si>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</si>
  <si>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</si>
  <si>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</si>
  <si>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</si>
  <si>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</si>
  <si>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</si>
  <si>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</si>
  <si>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</si>
  <si>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</si>
  <si>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</si>
  <si>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</si>
  <si>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</si>
  <si>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</si>
  <si>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</si>
  <si>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</si>
  <si>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</si>
  <si>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</si>
  <si>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</si>
  <si>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</si>
  <si>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</si>
  <si>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</si>
  <si>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</si>
  <si>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</si>
  <si>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</si>
  <si>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</si>
  <si>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</si>
  <si>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</si>
  <si>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</si>
  <si>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</si>
  <si>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</si>
  <si>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</si>
  <si>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</si>
  <si>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</si>
  <si>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</si>
  <si>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</si>
  <si>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</si>
  <si>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</si>
  <si>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</si>
  <si>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</si>
  <si>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</si>
  <si>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</si>
  <si>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</si>
  <si>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</si>
  <si>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</si>
  <si>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</si>
  <si>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</si>
  <si>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</si>
  <si>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</si>
  <si>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</si>
  <si>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</si>
  <si>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</si>
  <si>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</si>
  <si>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</si>
  <si>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</si>
  <si>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</si>
  <si>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</si>
  <si>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</si>
  <si>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</si>
  <si>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</si>
  <si>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</si>
  <si>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</si>
  <si>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</si>
  <si>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</si>
  <si>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</si>
  <si>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</si>
  <si>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</si>
  <si>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</si>
  <si>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</si>
  <si>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</si>
  <si>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</si>
  <si>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</si>
  <si>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</si>
  <si>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</si>
  <si>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</si>
  <si>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</si>
  <si>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</si>
  <si>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</si>
  <si>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</si>
  <si>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</si>
  <si>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</si>
  <si>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</si>
  <si>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</si>
  <si>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</si>
  <si>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</si>
  <si>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</si>
  <si>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</si>
  <si>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</si>
  <si>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</si>
  <si>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</si>
  <si>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</si>
  <si>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</si>
  <si>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</si>
  <si>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</si>
  <si>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</si>
  <si>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</si>
  <si>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</si>
  <si>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</si>
  <si>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</si>
  <si>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</si>
  <si>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</si>
  <si>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</si>
  <si>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</si>
  <si>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</si>
  <si>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</si>
  <si>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</si>
  <si>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</si>
  <si>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</si>
  <si>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</si>
  <si>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</si>
  <si>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</si>
  <si>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</si>
  <si>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</si>
  <si>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</si>
  <si>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</si>
  <si>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</si>
  <si>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</si>
  <si>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</si>
  <si>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</si>
  <si>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</si>
  <si>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</si>
  <si>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</si>
  <si>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</si>
  <si>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</si>
  <si>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</si>
  <si>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</si>
  <si>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</si>
  <si>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</si>
  <si>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</si>
  <si>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</si>
  <si>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</si>
  <si>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</si>
  <si>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</si>
  <si>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</si>
  <si>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</si>
  <si>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</si>
  <si>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</si>
  <si>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</si>
  <si>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</si>
  <si>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</si>
  <si>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</si>
  <si>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</si>
  <si>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</si>
  <si>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</si>
  <si>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</si>
  <si>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</si>
  <si>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</si>
  <si>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</si>
  <si>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</si>
  <si>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</si>
  <si>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</si>
  <si>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</si>
  <si>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</si>
  <si>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</si>
  <si>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</si>
  <si>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</si>
  <si>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</si>
  <si>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</si>
  <si>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</si>
  <si>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</si>
  <si>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</si>
  <si>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</si>
  <si>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</si>
  <si>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</si>
  <si>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</si>
  <si>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</si>
  <si>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</si>
  <si>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</si>
  <si>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</si>
  <si>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</si>
  <si>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</si>
  <si>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</si>
  <si>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</si>
  <si>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</si>
  <si>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</si>
  <si>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</si>
  <si>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</si>
  <si>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</si>
  <si>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</si>
  <si>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</si>
  <si>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</si>
  <si>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</si>
  <si>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</si>
  <si>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</si>
  <si>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</si>
  <si>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</si>
  <si>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</si>
  <si>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</si>
  <si>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</si>
  <si>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</si>
  <si>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</si>
  <si>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</si>
  <si>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</si>
  <si>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</si>
  <si>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</si>
  <si>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</si>
  <si>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</si>
  <si>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</si>
  <si>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</si>
  <si>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</si>
  <si>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</si>
  <si>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</si>
  <si>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</si>
  <si>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</si>
  <si>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</si>
  <si>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</si>
  <si>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</si>
  <si>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</si>
  <si>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</si>
  <si>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</si>
  <si>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</si>
  <si>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</si>
  <si>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</si>
  <si>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</si>
  <si>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</si>
  <si>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</si>
  <si>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</si>
  <si>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</si>
  <si>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</si>
  <si>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</si>
  <si>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</si>
  <si>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</si>
  <si>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</si>
  <si>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</si>
  <si>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</si>
  <si>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</si>
  <si>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</si>
  <si>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</si>
  <si>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</si>
  <si>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</si>
  <si>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</si>
  <si>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</si>
  <si>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</si>
  <si>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</si>
  <si>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</si>
  <si>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</si>
  <si>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</si>
  <si>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</si>
  <si>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</si>
  <si>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</si>
  <si>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</si>
  <si>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</si>
  <si>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</si>
  <si>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</si>
  <si>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</si>
  <si>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</si>
  <si>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</si>
  <si>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</si>
  <si>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</si>
  <si>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</si>
  <si>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</si>
  <si>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</si>
  <si>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</si>
  <si>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</si>
  <si>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</si>
  <si>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</si>
  <si>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</si>
  <si>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</si>
  <si>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</si>
  <si>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</si>
  <si>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</si>
  <si>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</si>
  <si>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</si>
  <si>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</si>
  <si>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</si>
  <si>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</si>
  <si>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</si>
  <si>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</si>
  <si>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</si>
  <si>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</si>
  <si>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</si>
  <si>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</si>
  <si>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</si>
  <si>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</si>
  <si>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</si>
  <si>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</si>
  <si>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</si>
  <si>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</si>
  <si>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</si>
  <si>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</si>
  <si>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</si>
  <si>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</si>
  <si>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</si>
  <si>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</si>
  <si>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</si>
  <si>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</si>
  <si>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</si>
  <si>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</si>
  <si>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</si>
  <si>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</si>
  <si>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</si>
  <si>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</si>
  <si>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</si>
  <si>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</si>
  <si>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</si>
  <si>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</si>
  <si>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</si>
  <si>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</si>
  <si>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</si>
  <si>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</si>
  <si>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</si>
  <si>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</si>
  <si>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</si>
  <si>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</si>
  <si>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</si>
  <si>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</si>
  <si>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</si>
  <si>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</si>
  <si>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</si>
  <si>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</si>
  <si>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</si>
  <si>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</si>
  <si>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</si>
  <si>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</si>
  <si>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</si>
  <si>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</si>
  <si>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</si>
  <si>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</si>
  <si>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</si>
  <si>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</si>
  <si>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</si>
  <si>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</si>
  <si>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</si>
  <si>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</si>
  <si>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</si>
  <si>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</si>
  <si>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</si>
  <si>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</si>
  <si>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</si>
  <si>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</si>
  <si>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</si>
  <si>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</si>
  <si>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</si>
  <si>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</si>
  <si>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</si>
  <si>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</si>
  <si>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</si>
  <si>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</si>
  <si>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</si>
  <si>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</si>
  <si>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</si>
  <si>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</si>
  <si>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</si>
  <si>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</si>
  <si>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</si>
  <si>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</si>
  <si>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</si>
  <si>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</si>
  <si>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</si>
  <si>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</si>
  <si>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</si>
  <si>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</si>
  <si>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</si>
  <si>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</si>
  <si>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</si>
  <si>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</si>
  <si>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</si>
  <si>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</si>
  <si>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</si>
  <si>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</si>
  <si>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</si>
  <si>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</si>
  <si>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</si>
  <si>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</si>
  <si>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</si>
  <si>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</si>
  <si>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</si>
  <si>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</si>
  <si>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</si>
  <si>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</si>
  <si>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</si>
  <si>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</si>
  <si>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</si>
  <si>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</si>
  <si>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</si>
  <si>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</si>
  <si>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</si>
  <si>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</si>
  <si>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</si>
  <si>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</si>
  <si>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</si>
  <si>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</si>
  <si>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</si>
  <si>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</si>
  <si>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</si>
  <si>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</si>
  <si>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</si>
  <si>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</si>
  <si>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</si>
  <si>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</si>
  <si>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</si>
  <si>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</si>
  <si>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</si>
  <si>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</si>
  <si>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</si>
  <si>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</si>
  <si>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</si>
  <si>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</si>
  <si>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</si>
  <si>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</si>
  <si>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</si>
  <si>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</si>
  <si>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</si>
  <si>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</si>
  <si>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</si>
  <si>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</si>
  <si>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</si>
  <si>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</si>
  <si>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</si>
  <si>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</si>
  <si>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</si>
  <si>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</si>
  <si>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</si>
  <si>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</si>
  <si>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</si>
  <si>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</si>
  <si>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</si>
  <si>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</si>
  <si>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</si>
  <si>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</si>
  <si>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</si>
  <si>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</si>
  <si>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</si>
  <si>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</si>
  <si>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</si>
  <si>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</si>
  <si>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</si>
  <si>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</si>
  <si>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</si>
  <si>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</si>
  <si>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</si>
  <si>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</si>
  <si>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</si>
  <si>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</si>
  <si>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</si>
  <si>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</si>
  <si>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</si>
  <si>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</si>
  <si>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</si>
  <si>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</si>
  <si>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</si>
  <si>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</si>
  <si>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</si>
  <si>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</si>
  <si>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</si>
  <si>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</si>
  <si>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</si>
  <si>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</si>
  <si>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</si>
  <si>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</si>
  <si>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</si>
  <si>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</si>
  <si>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</si>
  <si>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</si>
  <si>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</si>
  <si>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</si>
  <si>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</si>
  <si>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</si>
  <si>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</si>
  <si>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</si>
  <si>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</si>
  <si>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</si>
  <si>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</si>
  <si>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</si>
  <si>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</si>
  <si>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</si>
  <si>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</si>
  <si>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</si>
  <si>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</si>
  <si>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</si>
  <si>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</si>
  <si>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</si>
  <si>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</si>
  <si>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</si>
  <si>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</si>
  <si>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</si>
  <si>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</si>
  <si>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</si>
  <si>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</si>
  <si>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</si>
  <si>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</si>
  <si>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</si>
  <si>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</si>
  <si>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</si>
  <si>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</si>
  <si>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</si>
  <si>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</si>
  <si>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</si>
  <si>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</si>
  <si>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</si>
  <si>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</si>
  <si>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</si>
  <si>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</si>
  <si>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</si>
  <si>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</si>
  <si>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</si>
  <si>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</si>
  <si>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</si>
  <si>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</si>
  <si>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</si>
  <si>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</si>
  <si>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</si>
  <si>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</si>
  <si>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</si>
  <si>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</si>
  <si>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</si>
  <si>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</si>
  <si>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</si>
  <si>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</si>
  <si>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</si>
  <si>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</si>
  <si>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</si>
  <si>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</si>
  <si>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</si>
  <si>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</si>
  <si>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</si>
  <si>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</si>
  <si>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</si>
  <si>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</si>
  <si>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</si>
  <si>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</si>
  <si>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</si>
  <si>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</si>
  <si>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</si>
  <si>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</si>
  <si>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</si>
  <si>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</si>
  <si>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</si>
  <si>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</si>
  <si>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</si>
  <si>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</si>
  <si>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</si>
  <si>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</si>
  <si>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</si>
  <si>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</si>
  <si>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</si>
  <si>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</si>
  <si>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</si>
  <si>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</si>
  <si>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</si>
  <si>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</si>
  <si>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</si>
  <si>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</si>
  <si>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</si>
  <si>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</si>
  <si>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</si>
  <si>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</si>
  <si>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</si>
  <si>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</si>
  <si>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</si>
  <si>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</si>
  <si>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</si>
  <si>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</si>
  <si>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</si>
  <si>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</si>
  <si>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</si>
  <si>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</si>
  <si>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</si>
  <si>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</si>
  <si>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</si>
  <si>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</si>
  <si>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</si>
  <si>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</si>
  <si>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</si>
  <si>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</si>
  <si>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</si>
  <si>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</si>
  <si>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</si>
  <si>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</si>
  <si>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</si>
  <si>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</si>
  <si>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</si>
  <si>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</si>
  <si>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</si>
  <si>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</si>
  <si>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</si>
  <si>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</si>
  <si>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</si>
  <si>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</si>
  <si>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</si>
  <si>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</si>
  <si>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</si>
  <si>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</si>
  <si>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</si>
  <si>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</si>
  <si>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</si>
  <si>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</si>
  <si>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</si>
  <si>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</si>
  <si>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</si>
  <si>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</si>
  <si>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</si>
  <si>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</si>
  <si>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</si>
  <si>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</si>
  <si>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</si>
  <si>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</si>
  <si>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</si>
  <si>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</si>
  <si>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</si>
  <si>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</si>
  <si>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</si>
  <si>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</si>
  <si>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</si>
  <si>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</si>
  <si>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</si>
  <si>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</si>
  <si>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</si>
  <si>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</si>
  <si>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</si>
  <si>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</si>
  <si>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</si>
  <si>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</si>
  <si>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</si>
  <si>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</si>
  <si>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</si>
  <si>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</si>
  <si>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</si>
  <si>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</si>
  <si>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</si>
  <si>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</si>
  <si>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</si>
  <si>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</si>
  <si>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</si>
  <si>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</si>
  <si>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</si>
  <si>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</si>
  <si>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</si>
  <si>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</si>
  <si>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</si>
  <si>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</si>
  <si>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</si>
  <si>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</si>
  <si>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</si>
  <si>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</si>
  <si>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</si>
  <si>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</si>
  <si>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</si>
  <si>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</si>
  <si>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</si>
  <si>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</si>
  <si>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</si>
  <si>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</si>
  <si>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</si>
  <si>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</si>
  <si>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</si>
  <si>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</si>
  <si>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</si>
  <si>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</si>
  <si>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</si>
  <si>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</si>
  <si>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</si>
  <si>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</si>
  <si>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</si>
  <si>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</si>
  <si>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</si>
  <si>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</si>
  <si>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</si>
  <si>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</si>
  <si>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</si>
  <si>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</si>
  <si>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</si>
  <si>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</si>
  <si>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</si>
  <si>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</si>
  <si>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</si>
  <si>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</si>
  <si>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</si>
  <si>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</si>
  <si>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</si>
  <si>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</si>
  <si>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</si>
  <si>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</si>
  <si>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</si>
  <si>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</si>
  <si>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</si>
  <si>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</si>
  <si>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</si>
  <si>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</si>
  <si>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</si>
  <si>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</si>
  <si>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</si>
  <si>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</si>
  <si>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</si>
  <si>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</si>
  <si>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</si>
  <si>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</si>
  <si>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</si>
  <si>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</si>
  <si>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</si>
  <si>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</si>
  <si>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</si>
  <si>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</si>
  <si>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</si>
  <si>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</si>
  <si>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</si>
  <si>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</si>
  <si>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</si>
  <si>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</si>
  <si>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</si>
  <si>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</si>
  <si>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</si>
  <si>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</si>
  <si>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</si>
  <si>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</si>
  <si>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</si>
  <si>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</si>
  <si>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</si>
  <si>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</si>
  <si>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</si>
  <si>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</si>
  <si>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</si>
  <si>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</si>
  <si>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</si>
  <si>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</si>
  <si>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</si>
  <si>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</si>
  <si>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</si>
  <si>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</si>
  <si>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</si>
  <si>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</si>
  <si>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</si>
  <si>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</si>
  <si>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</si>
  <si>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</si>
  <si>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</si>
  <si>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</si>
  <si>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</si>
  <si>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</si>
  <si>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</si>
  <si>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</si>
  <si>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</si>
  <si>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</si>
  <si>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</si>
  <si>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</si>
  <si>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</si>
  <si>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</si>
  <si>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</si>
  <si>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</si>
  <si>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</si>
  <si>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</si>
  <si>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</si>
  <si>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</si>
  <si>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</si>
  <si>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</si>
  <si>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</si>
  <si>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</si>
  <si>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</si>
  <si>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</si>
  <si>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</si>
  <si>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</si>
  <si>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</si>
  <si>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</si>
  <si>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</si>
  <si>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</si>
  <si>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</si>
  <si>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</si>
  <si>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</si>
  <si>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</si>
  <si>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</si>
  <si>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</si>
  <si>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</si>
  <si>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</si>
  <si>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</si>
  <si>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</si>
  <si>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</si>
  <si>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</si>
  <si>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</si>
  <si>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</si>
  <si>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</si>
  <si>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</si>
  <si>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</si>
  <si>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</si>
  <si>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</si>
  <si>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</si>
  <si>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</si>
  <si>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</si>
  <si>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</si>
  <si>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</si>
  <si>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</si>
  <si>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</si>
  <si>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</si>
  <si>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</si>
  <si>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</si>
  <si>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</si>
  <si>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</si>
  <si>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</si>
  <si>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</si>
  <si>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</si>
  <si>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</si>
  <si>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</si>
  <si>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</si>
  <si>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</si>
  <si>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</si>
  <si>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</si>
  <si>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</si>
  <si>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</si>
  <si>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</si>
  <si>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</si>
  <si>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</si>
  <si>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</si>
  <si>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</si>
  <si>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</si>
  <si>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</si>
  <si>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</si>
  <si>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</si>
  <si>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</si>
  <si>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</si>
  <si>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</si>
  <si>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</si>
  <si>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</si>
  <si>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</si>
  <si>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</si>
  <si>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</si>
  <si>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</si>
  <si>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</si>
  <si>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</si>
  <si>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</si>
  <si>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</si>
  <si>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</si>
  <si>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</si>
  <si>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</si>
  <si>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</si>
  <si>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</si>
  <si>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</si>
  <si>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</si>
  <si>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</si>
  <si>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</si>
  <si>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</si>
  <si>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</si>
  <si>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</si>
  <si>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</si>
  <si>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</si>
  <si>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</si>
  <si>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</si>
  <si>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</si>
  <si>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</si>
  <si>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</si>
  <si>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</si>
  <si>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</si>
  <si>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</si>
  <si>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</si>
  <si>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</si>
  <si>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</si>
  <si>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</si>
  <si>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</si>
  <si>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</si>
  <si>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</si>
  <si>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</si>
  <si>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</si>
  <si>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</si>
  <si>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</si>
  <si>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</si>
  <si>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</si>
  <si>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</si>
  <si>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</si>
  <si>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</si>
  <si>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</si>
  <si>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</si>
  <si>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</si>
  <si>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</si>
  <si>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</si>
  <si>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</si>
  <si>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</si>
  <si>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</si>
  <si>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</si>
  <si>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</si>
  <si>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</si>
  <si>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</si>
  <si>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</si>
  <si>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</si>
  <si>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</si>
  <si>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</si>
  <si>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</si>
  <si>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</si>
  <si>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</si>
  <si>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</si>
  <si>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</si>
  <si>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</si>
  <si>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</si>
  <si>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</si>
  <si>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</si>
  <si>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</si>
  <si>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</si>
  <si>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</si>
  <si>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</si>
  <si>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</si>
  <si>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</si>
  <si>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</si>
  <si>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</si>
  <si>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</si>
  <si>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</si>
  <si>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</si>
  <si>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</si>
  <si>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</si>
  <si>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</si>
  <si>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</si>
  <si>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</si>
  <si>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</si>
  <si>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</si>
  <si>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</si>
  <si>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</si>
  <si>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</si>
  <si>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</si>
  <si>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</si>
  <si>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</si>
  <si>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</si>
  <si>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</si>
  <si>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</si>
  <si>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</si>
  <si>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</si>
  <si>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</si>
  <si>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</si>
  <si>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</si>
  <si>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</si>
  <si>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</si>
  <si>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</si>
  <si>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</si>
  <si>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</si>
  <si>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</si>
  <si>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</si>
  <si>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</si>
  <si>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</si>
  <si>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</si>
  <si>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</si>
  <si>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</si>
  <si>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</si>
  <si>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</si>
  <si>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</si>
  <si>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</si>
  <si>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</si>
  <si>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</si>
  <si>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</si>
  <si>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</si>
  <si>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</si>
  <si>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</si>
  <si>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</si>
  <si>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</si>
  <si>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</si>
  <si>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</si>
  <si>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</si>
  <si>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</si>
  <si>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</si>
  <si>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</si>
  <si>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</si>
  <si>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</si>
  <si>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</si>
  <si>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</si>
  <si>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</si>
  <si>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</si>
  <si>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</si>
  <si>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</si>
  <si>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</si>
  <si>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</si>
  <si>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</si>
  <si>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</si>
  <si>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</si>
  <si>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</si>
  <si>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</si>
  <si>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</si>
  <si>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</si>
  <si>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</si>
  <si>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</si>
  <si>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</si>
  <si>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</si>
  <si>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</si>
  <si>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</si>
  <si>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</si>
  <si>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</si>
  <si>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</si>
  <si>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</si>
  <si>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</si>
  <si>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</si>
  <si>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</si>
  <si>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</si>
  <si>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</si>
  <si>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</si>
  <si>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</si>
  <si>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</si>
  <si>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</si>
  <si>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</si>
  <si>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</si>
  <si>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</si>
  <si>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</si>
  <si>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</si>
  <si>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</si>
  <si>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</si>
  <si>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</si>
  <si>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</si>
  <si>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</si>
  <si>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</si>
  <si>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</si>
  <si>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</si>
  <si>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</si>
  <si>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</si>
  <si>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</si>
  <si>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</si>
  <si>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</si>
  <si>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</si>
  <si>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</si>
  <si>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</si>
  <si>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</si>
  <si>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</si>
  <si>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</si>
  <si>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</si>
  <si>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</si>
  <si>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</si>
  <si>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</si>
  <si>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</si>
  <si>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</si>
  <si>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</si>
  <si>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</si>
  <si>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</si>
  <si>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</si>
  <si>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</si>
  <si>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</si>
  <si>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</si>
  <si>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</si>
  <si>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</si>
  <si>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</si>
  <si>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</si>
  <si>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</si>
  <si>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</si>
  <si>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</si>
  <si>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</si>
  <si>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</si>
  <si>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</si>
  <si>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</si>
  <si>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</si>
  <si>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</si>
  <si>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</si>
  <si>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</si>
  <si>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</si>
  <si>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</si>
  <si>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</si>
  <si>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</si>
  <si>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</si>
  <si>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</si>
  <si>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</si>
  <si>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</si>
  <si>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</si>
  <si>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</si>
  <si>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</si>
  <si>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</si>
  <si>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</si>
  <si>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</si>
  <si>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</si>
  <si>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</si>
  <si>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</si>
  <si>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</si>
  <si>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</si>
  <si>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</si>
  <si>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</si>
  <si>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</si>
  <si>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</si>
  <si>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</si>
  <si>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</si>
  <si>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</si>
  <si>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</si>
  <si>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</si>
  <si>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</si>
  <si>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</si>
  <si>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</si>
  <si>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</si>
  <si>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</si>
  <si>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</si>
  <si>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</si>
  <si>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</si>
  <si>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</si>
  <si>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</si>
  <si>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</si>
  <si>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</si>
  <si>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</si>
  <si>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</si>
  <si>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</si>
  <si>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</si>
  <si>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</si>
  <si>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</si>
  <si>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</si>
  <si>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</si>
  <si>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</si>
  <si>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</si>
  <si>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</si>
  <si>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</si>
  <si>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</si>
  <si>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</si>
  <si>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</si>
  <si>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</si>
  <si>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</si>
  <si>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</si>
  <si>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</si>
  <si>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</si>
  <si>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</si>
  <si>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</si>
  <si>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</si>
  <si>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</si>
  <si>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</si>
  <si>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</si>
  <si>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</si>
  <si>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</si>
  <si>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</si>
  <si>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</si>
  <si>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</si>
  <si>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</si>
  <si>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</si>
  <si>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</si>
  <si>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</si>
  <si>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</si>
  <si>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</si>
  <si>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</si>
  <si>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</si>
  <si>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</si>
  <si>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</si>
  <si>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</si>
  <si>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</si>
  <si>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</si>
  <si>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</si>
  <si>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</si>
  <si>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</si>
  <si>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</si>
  <si>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</si>
  <si>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</si>
  <si>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</si>
  <si>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</si>
  <si>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</si>
  <si>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</si>
  <si>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</si>
  <si>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</si>
  <si>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</si>
  <si>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</si>
  <si>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</si>
  <si>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</si>
  <si>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</si>
  <si>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</si>
  <si>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</si>
  <si>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</si>
  <si>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</si>
  <si>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</si>
  <si>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</si>
  <si>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</si>
  <si>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</si>
  <si>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</si>
  <si>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</si>
  <si>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</si>
  <si>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</si>
  <si>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</si>
  <si>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</si>
  <si>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</si>
  <si>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</si>
  <si>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</si>
  <si>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</si>
  <si>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</si>
  <si>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</si>
  <si>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</si>
  <si>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</si>
  <si>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</si>
  <si>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</si>
  <si>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</si>
  <si>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</si>
  <si>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</si>
  <si>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</si>
  <si>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</si>
  <si>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</si>
  <si>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</si>
  <si>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</si>
  <si>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</si>
  <si>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</si>
  <si>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</si>
  <si>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</si>
  <si>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</si>
  <si>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</si>
  <si>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</si>
  <si>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</si>
  <si>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</si>
  <si>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</si>
  <si>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</si>
  <si>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</si>
  <si>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</si>
  <si>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</si>
  <si>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</si>
  <si>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</si>
  <si>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</si>
  <si>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</si>
  <si>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</si>
  <si>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</si>
  <si>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</si>
  <si>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</si>
  <si>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</si>
  <si>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</si>
  <si>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</si>
  <si>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</si>
  <si>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</si>
  <si>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</si>
  <si>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</si>
  <si>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</si>
  <si>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</si>
  <si>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</si>
  <si>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</si>
  <si>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</si>
  <si>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</si>
  <si>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</si>
  <si>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</si>
  <si>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</si>
  <si>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</si>
  <si>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</si>
  <si>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</si>
  <si>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</si>
  <si>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</si>
  <si>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</si>
  <si>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</si>
  <si>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</si>
  <si>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</si>
  <si>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</si>
  <si>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</si>
  <si>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</si>
  <si>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</si>
  <si>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</si>
  <si>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</si>
  <si>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</si>
  <si>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</si>
  <si>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</si>
  <si>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</si>
  <si>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</si>
  <si>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</si>
  <si>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</si>
  <si>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</si>
  <si>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</si>
  <si>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</si>
  <si>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</si>
  <si>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</si>
  <si>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</si>
  <si>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</si>
  <si>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</si>
  <si>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</si>
  <si>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</si>
  <si>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</si>
  <si>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</si>
  <si>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</si>
  <si>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</si>
  <si>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</si>
  <si>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</si>
  <si>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</si>
  <si>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</si>
  <si>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</si>
  <si>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</si>
  <si>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</si>
  <si>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</si>
  <si>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</si>
  <si>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</si>
  <si>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</si>
  <si>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</si>
  <si>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</si>
  <si>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</si>
  <si>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</si>
  <si>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</si>
  <si>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</si>
  <si>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</si>
  <si>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</si>
  <si>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</si>
  <si>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</si>
  <si>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</si>
  <si>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</si>
  <si>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</si>
  <si>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</si>
  <si>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</si>
  <si>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</si>
  <si>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</si>
  <si>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</si>
  <si>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</si>
  <si>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</si>
  <si>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</si>
  <si>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</si>
  <si>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</si>
  <si>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</si>
  <si>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</si>
  <si>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</si>
  <si>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</si>
  <si>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</si>
  <si>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</si>
  <si>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</si>
  <si>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</si>
  <si>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</si>
  <si>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</si>
  <si>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</si>
  <si>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</si>
  <si>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</si>
  <si>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</si>
  <si>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</si>
  <si>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</si>
  <si>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</si>
  <si>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</si>
  <si>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</si>
  <si>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</si>
  <si>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</si>
  <si>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</si>
  <si>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</si>
  <si>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</si>
  <si>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</si>
  <si>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</si>
  <si>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</si>
  <si>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</si>
  <si>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</si>
  <si>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</si>
  <si>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</si>
  <si>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</si>
  <si>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</si>
  <si>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</si>
  <si>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</si>
  <si>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</si>
  <si>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</si>
  <si>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</si>
  <si>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</si>
  <si>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</si>
  <si>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</si>
  <si>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</si>
  <si>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</si>
  <si>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</si>
  <si>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</si>
  <si>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</si>
  <si>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</si>
  <si>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</si>
  <si>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</si>
  <si>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</si>
  <si>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</si>
  <si>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</si>
  <si>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</si>
  <si>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</si>
  <si>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</si>
  <si>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</si>
  <si>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</si>
  <si>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</si>
  <si>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</si>
  <si>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</si>
  <si>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</si>
  <si>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</si>
  <si>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</si>
  <si>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</si>
  <si>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</si>
  <si>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</si>
  <si>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</si>
  <si>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</si>
  <si>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</si>
  <si>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</si>
  <si>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</si>
  <si>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</si>
  <si>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</si>
  <si>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</si>
  <si>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</si>
  <si>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</si>
  <si>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</si>
  <si>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</si>
  <si>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</si>
  <si>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</si>
  <si>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</si>
  <si>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</si>
  <si>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</si>
  <si>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</si>
  <si>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</si>
  <si>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</si>
  <si>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</si>
  <si>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</si>
  <si>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</si>
  <si>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</si>
  <si>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</si>
  <si>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</si>
  <si>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</si>
  <si>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</si>
  <si>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</si>
  <si>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</si>
  <si>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</si>
  <si>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</si>
  <si>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</si>
  <si>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</si>
  <si>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</si>
  <si>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</si>
  <si>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</si>
  <si>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</si>
  <si>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</si>
  <si>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</si>
  <si>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</si>
  <si>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</si>
  <si>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</si>
  <si>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</si>
  <si>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</si>
  <si>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</si>
  <si>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</si>
  <si>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</si>
  <si>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</si>
  <si>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</si>
  <si>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</si>
  <si>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</si>
  <si>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</si>
  <si>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</si>
  <si>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</si>
  <si>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</si>
  <si>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</si>
  <si>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</si>
  <si>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</si>
  <si>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</si>
  <si>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</si>
  <si>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</si>
  <si>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</si>
  <si>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</si>
  <si>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</si>
  <si>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</si>
  <si>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</si>
  <si>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</si>
  <si>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</si>
  <si>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</si>
  <si>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</si>
  <si>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</si>
  <si>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</si>
  <si>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</si>
  <si>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</si>
  <si>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</si>
  <si>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</si>
  <si>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</si>
  <si>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</si>
  <si>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</si>
  <si>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</si>
  <si>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</si>
  <si>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</si>
  <si>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</si>
  <si>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</si>
  <si>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</si>
  <si>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</si>
  <si>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</si>
  <si>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</si>
  <si>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</si>
  <si>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</si>
  <si>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</si>
  <si>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</si>
  <si>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</si>
  <si>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</si>
  <si>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</si>
  <si>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</si>
  <si>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</si>
  <si>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</si>
  <si>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</si>
  <si>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</si>
  <si>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</si>
  <si>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</si>
  <si>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</si>
  <si>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</si>
  <si>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</si>
  <si>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</si>
  <si>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</si>
  <si>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</si>
  <si>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</si>
  <si>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</si>
  <si>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</si>
  <si>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</si>
  <si>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</si>
  <si>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</si>
  <si>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</si>
  <si>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</si>
  <si>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</si>
  <si>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</si>
  <si>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</si>
  <si>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</si>
  <si>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</si>
  <si>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</si>
  <si>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</si>
  <si>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</si>
  <si>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</si>
  <si>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</si>
  <si>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</si>
  <si>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</si>
  <si>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</si>
  <si>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</si>
  <si>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</si>
  <si>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</si>
  <si>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</si>
  <si>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</si>
  <si>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</si>
  <si>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</si>
  <si>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</si>
  <si>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</si>
  <si>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</si>
  <si>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</si>
  <si>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</si>
  <si>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</si>
  <si>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</si>
  <si>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</si>
  <si>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</si>
  <si>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</si>
  <si>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</si>
  <si>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</si>
  <si>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</si>
  <si>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</si>
  <si>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</si>
  <si>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</si>
  <si>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</si>
  <si>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</si>
  <si>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</si>
  <si>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</si>
  <si>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</si>
  <si>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</si>
  <si>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</si>
  <si>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</si>
  <si>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</si>
  <si>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</si>
  <si>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</si>
  <si>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</si>
  <si>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</si>
  <si>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</si>
  <si>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</si>
  <si>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</si>
  <si>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</si>
  <si>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</si>
  <si>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</si>
  <si>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</si>
  <si>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</si>
  <si>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</si>
  <si>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</si>
  <si>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</si>
  <si>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</si>
  <si>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</si>
  <si>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</si>
  <si>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</si>
  <si>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</si>
  <si>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</si>
  <si>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</si>
  <si>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</si>
  <si>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</si>
  <si>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</si>
  <si>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</si>
  <si>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</si>
  <si>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</si>
  <si>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</si>
  <si>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</si>
  <si>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</si>
  <si>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</si>
  <si>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</si>
  <si>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</si>
  <si>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</si>
  <si>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</si>
  <si>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</si>
  <si>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</si>
  <si>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</si>
  <si>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</si>
  <si>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</si>
  <si>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</si>
  <si>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</si>
  <si>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</si>
  <si>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</si>
  <si>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</si>
  <si>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</si>
  <si>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</si>
  <si>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</si>
  <si>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</si>
  <si>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</si>
  <si>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</si>
  <si>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</si>
  <si>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</si>
  <si>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</si>
  <si>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</si>
  <si>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</si>
  <si>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</si>
  <si>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</si>
  <si>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</si>
  <si>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</si>
  <si>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</si>
  <si>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</si>
  <si>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</si>
  <si>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</si>
  <si>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</si>
  <si>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</si>
  <si>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</si>
  <si>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</si>
  <si>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</si>
  <si>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</si>
  <si>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</si>
  <si>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</si>
  <si>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</si>
  <si>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</si>
  <si>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</si>
  <si>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</si>
  <si>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</si>
  <si>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</si>
  <si>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</si>
  <si>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</si>
  <si>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</si>
  <si>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</si>
  <si>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</si>
  <si>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</si>
  <si>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</si>
  <si>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</si>
  <si>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</si>
  <si>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</si>
  <si>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</si>
  <si>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</si>
  <si>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</si>
  <si>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</si>
  <si>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</si>
  <si>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</si>
  <si>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</si>
  <si>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</si>
  <si>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</si>
  <si>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</si>
  <si>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</si>
  <si>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</si>
  <si>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</si>
  <si>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</si>
  <si>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</si>
  <si>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</si>
  <si>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</si>
  <si>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</si>
  <si>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</si>
  <si>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</si>
  <si>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</si>
  <si>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</si>
  <si>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</si>
  <si>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</si>
  <si>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</si>
  <si>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</si>
  <si>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</si>
  <si>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</si>
  <si>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</si>
  <si>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</si>
  <si>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</si>
  <si>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</si>
  <si>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</si>
  <si>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</si>
  <si>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</si>
  <si>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</si>
  <si>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</si>
  <si>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</si>
  <si>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</si>
  <si>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</si>
  <si>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</si>
  <si>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</si>
  <si>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</si>
  <si>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</si>
  <si>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</si>
  <si>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</si>
  <si>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</si>
  <si>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</si>
  <si>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</si>
  <si>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</si>
  <si>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</si>
  <si>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</si>
  <si>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</si>
  <si>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</si>
  <si>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</si>
  <si>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</si>
  <si>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</si>
  <si>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</si>
  <si>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</si>
  <si>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</si>
  <si>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</si>
  <si>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</si>
  <si>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</si>
  <si>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</si>
  <si>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</si>
  <si>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</si>
  <si>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</si>
  <si>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</si>
  <si>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</si>
  <si>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</si>
  <si>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</si>
  <si>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</si>
  <si>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</si>
  <si>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</si>
  <si>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</si>
  <si>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</si>
  <si>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</si>
  <si>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</si>
  <si>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</si>
  <si>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</si>
  <si>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</si>
  <si>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</si>
  <si>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</si>
  <si>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</si>
  <si>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</si>
  <si>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</si>
  <si>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</si>
  <si>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</si>
  <si>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</si>
  <si>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</si>
  <si>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</si>
  <si>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</si>
  <si>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</si>
  <si>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</si>
  <si>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</si>
  <si>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</si>
  <si>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</si>
  <si>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</si>
  <si>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</si>
  <si>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</si>
  <si>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</si>
  <si>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</si>
  <si>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</si>
  <si>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</si>
  <si>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</si>
  <si>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</si>
  <si>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</si>
  <si>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</si>
  <si>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</si>
  <si>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</si>
  <si>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</si>
  <si>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</si>
  <si>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</si>
  <si>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</si>
  <si>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</si>
  <si>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</si>
  <si>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</si>
  <si>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</si>
  <si>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</si>
  <si>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</si>
  <si>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</si>
  <si>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</si>
  <si>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</si>
  <si>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</si>
  <si>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</si>
  <si>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</si>
  <si>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</si>
  <si>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</si>
  <si>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</si>
  <si>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</si>
  <si>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</si>
  <si>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</si>
  <si>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</si>
  <si>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</si>
  <si>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</si>
  <si>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</si>
  <si>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</si>
  <si>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</si>
  <si>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</si>
  <si>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</si>
  <si>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</si>
  <si>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</si>
  <si>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</si>
  <si>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</si>
  <si>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</si>
  <si>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</si>
  <si>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</si>
  <si>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</si>
  <si>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</si>
  <si>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</si>
  <si>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</si>
  <si>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</si>
  <si>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</si>
  <si>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</si>
  <si>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</si>
  <si>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</si>
  <si>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</si>
  <si>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</si>
  <si>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</si>
  <si>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</si>
  <si>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</si>
  <si>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</si>
  <si>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</si>
  <si>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</si>
  <si>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</si>
  <si>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</si>
  <si>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</si>
  <si>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</si>
  <si>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</si>
  <si>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</si>
  <si>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</si>
  <si>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</si>
  <si>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</si>
  <si>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</si>
  <si>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</si>
  <si>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</si>
  <si>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</si>
  <si>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</si>
  <si>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</si>
  <si>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</si>
  <si>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</si>
  <si>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</si>
  <si>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</si>
  <si>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</si>
  <si>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</si>
  <si>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</si>
  <si>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</si>
  <si>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</si>
  <si>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</si>
  <si>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</si>
  <si>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</si>
  <si>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</si>
  <si>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</si>
  <si>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</si>
  <si>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</si>
  <si>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</si>
  <si>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</si>
  <si>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</si>
  <si>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</si>
  <si>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</si>
  <si>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</si>
  <si>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</si>
  <si>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</si>
  <si>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</si>
  <si>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</si>
  <si>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</si>
  <si>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</si>
  <si>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</si>
  <si>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</si>
  <si>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</si>
  <si>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</si>
  <si>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</si>
  <si>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</si>
  <si>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</si>
  <si>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</si>
  <si>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</si>
  <si>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</si>
  <si>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</si>
  <si>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</si>
  <si>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</si>
  <si>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</si>
  <si>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</si>
  <si>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</si>
  <si>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</si>
  <si>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</si>
  <si>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</si>
  <si>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</si>
  <si>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</si>
  <si>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</si>
  <si>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</si>
  <si>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</si>
  <si>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</si>
  <si>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</si>
  <si>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</si>
  <si>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</si>
  <si>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</si>
  <si>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</si>
  <si>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</si>
  <si>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</si>
  <si>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</si>
  <si>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</si>
  <si>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</si>
  <si>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</si>
  <si>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</si>
  <si>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</si>
  <si>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</si>
  <si>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</si>
  <si>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</si>
  <si>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</si>
  <si>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</si>
  <si>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</si>
  <si>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</si>
  <si>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</si>
  <si>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</si>
  <si>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</si>
  <si>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</si>
  <si>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</si>
  <si>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</si>
  <si>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</si>
  <si>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</si>
  <si>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</si>
  <si>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</si>
  <si>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</si>
  <si>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</si>
  <si>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</si>
  <si>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</si>
  <si>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</si>
  <si>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</si>
  <si>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</si>
  <si>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</si>
  <si>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</si>
  <si>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</si>
  <si>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</si>
  <si>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</si>
  <si>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</si>
  <si>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</si>
  <si>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</si>
  <si>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</si>
  <si>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</si>
  <si>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</si>
  <si>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</si>
  <si>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</si>
  <si>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</si>
  <si>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</si>
  <si>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</si>
  <si>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</si>
  <si>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</si>
  <si>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</si>
  <si>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</si>
  <si>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</si>
  <si>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</si>
  <si>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</si>
  <si>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</si>
  <si>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</si>
  <si>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</si>
  <si>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</si>
  <si>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</si>
  <si>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</si>
  <si>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</si>
  <si>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</si>
  <si>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</si>
  <si>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</si>
  <si>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</si>
  <si>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</si>
  <si>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</si>
  <si>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</si>
  <si>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</si>
  <si>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</si>
  <si>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</si>
  <si>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</si>
  <si>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</si>
  <si>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</si>
  <si>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</si>
  <si>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</si>
  <si>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</si>
  <si>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</si>
  <si>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</si>
  <si>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</si>
  <si>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</si>
  <si>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</si>
  <si>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</si>
  <si>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</si>
  <si>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</si>
  <si>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</si>
  <si>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</si>
  <si>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</si>
  <si>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</si>
  <si>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</si>
  <si>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</si>
  <si>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</si>
  <si>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</si>
  <si>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</si>
  <si>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</si>
  <si>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</si>
  <si>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</si>
  <si>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</si>
  <si>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</si>
  <si>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</si>
  <si>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</si>
  <si>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</si>
  <si>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</si>
  <si>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</si>
  <si>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</si>
  <si>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</si>
  <si>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</si>
  <si>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</si>
  <si>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</si>
  <si>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</si>
  <si>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</si>
  <si>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</si>
  <si>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</si>
  <si>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</si>
  <si>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</si>
  <si>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</si>
  <si>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</si>
  <si>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</si>
  <si>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</si>
  <si>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</si>
  <si>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</si>
  <si>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</si>
  <si>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</si>
  <si>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</si>
  <si>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</si>
  <si>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</si>
  <si>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</si>
  <si>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</si>
  <si>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</si>
  <si>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</si>
  <si>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</si>
  <si>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</si>
  <si>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</si>
  <si>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</si>
  <si>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</si>
  <si>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</si>
  <si>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</si>
  <si>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</si>
  <si>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</si>
  <si>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</si>
  <si>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</si>
  <si>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</si>
  <si>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</si>
  <si>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</si>
  <si>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</si>
  <si>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</si>
  <si>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</si>
  <si>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</si>
  <si>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</si>
  <si>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</si>
  <si>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</si>
  <si>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</si>
  <si>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</si>
  <si>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</si>
  <si>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</si>
  <si>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</si>
  <si>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</si>
  <si>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</si>
  <si>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</si>
  <si>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</si>
  <si>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</si>
  <si>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</si>
  <si>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</si>
  <si>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</si>
  <si>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</si>
  <si>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</si>
  <si>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</si>
  <si>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</si>
  <si>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</si>
  <si>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</si>
  <si>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</si>
  <si>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</si>
  <si>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</si>
  <si>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</si>
  <si>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</si>
  <si>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</si>
  <si>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</si>
  <si>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</si>
  <si>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</si>
  <si>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</si>
  <si>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</si>
  <si>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</si>
  <si>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</si>
  <si>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</si>
  <si>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</si>
  <si>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</si>
  <si>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</si>
  <si>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</si>
  <si>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</si>
  <si>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</si>
  <si>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</si>
  <si>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</si>
  <si>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</si>
  <si>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</si>
  <si>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</si>
  <si>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</si>
  <si>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</si>
  <si>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</si>
  <si>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</si>
  <si>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</si>
  <si>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</si>
  <si>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</si>
  <si>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</si>
  <si>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</si>
  <si>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</si>
  <si>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</si>
  <si>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</si>
  <si>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</si>
  <si>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</si>
  <si>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</si>
  <si>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</si>
  <si>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</si>
  <si>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</si>
  <si>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</si>
  <si>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</si>
  <si>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</si>
  <si>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</si>
  <si>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</si>
  <si>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</si>
  <si>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</si>
  <si>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</si>
  <si>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</si>
  <si>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</si>
  <si>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</si>
  <si>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</si>
  <si>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</si>
  <si>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</si>
  <si>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</si>
  <si>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</si>
  <si>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</si>
  <si>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</si>
  <si>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</si>
  <si>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</si>
  <si>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</si>
  <si>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</si>
  <si>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</si>
  <si>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</si>
  <si>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</si>
  <si>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</si>
  <si>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</si>
  <si>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</si>
  <si>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</si>
  <si>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</si>
  <si>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</si>
  <si>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</si>
  <si>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</si>
  <si>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</si>
  <si>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</si>
  <si>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</si>
  <si>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</si>
  <si>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</si>
  <si>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</si>
  <si>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</si>
  <si>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</si>
  <si>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</si>
  <si>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</si>
  <si>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</si>
  <si>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</si>
  <si>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</si>
  <si>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</si>
  <si>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</si>
  <si>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</si>
  <si>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</si>
  <si>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</si>
  <si>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</si>
  <si>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</si>
  <si>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</si>
  <si>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</si>
  <si>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</si>
  <si>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</si>
  <si>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</si>
  <si>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</si>
  <si>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</si>
  <si>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</si>
  <si>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</si>
  <si>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</si>
  <si>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</si>
  <si>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</si>
  <si>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</si>
  <si>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</si>
  <si>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</si>
  <si>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</si>
  <si>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</si>
  <si>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</si>
  <si>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</si>
  <si>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</si>
  <si>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</si>
  <si>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</si>
  <si>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</si>
  <si>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</si>
  <si>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</si>
  <si>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</si>
  <si>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</si>
  <si>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</si>
  <si>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</si>
  <si>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</si>
  <si>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</si>
  <si>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</si>
  <si>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</si>
  <si>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</si>
  <si>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</si>
  <si>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</si>
  <si>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</si>
  <si>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</si>
  <si>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</si>
  <si>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</si>
  <si>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</si>
  <si>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</si>
  <si>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</si>
  <si>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</si>
  <si>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</si>
  <si>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</si>
  <si>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</si>
  <si>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</si>
  <si>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</si>
  <si>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</si>
  <si>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</si>
  <si>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</si>
  <si>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</si>
  <si>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</si>
  <si>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</si>
  <si>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</si>
  <si>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</si>
  <si>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</si>
  <si>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</si>
  <si>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</si>
  <si>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</si>
  <si>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</si>
  <si>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</si>
  <si>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</si>
  <si>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</si>
  <si>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</si>
  <si>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</si>
  <si>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</si>
  <si>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</si>
  <si>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</si>
  <si>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</si>
  <si>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</si>
  <si>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</si>
  <si>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</si>
  <si>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</si>
  <si>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</si>
  <si>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</si>
  <si>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</si>
  <si>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</si>
  <si>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</si>
  <si>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</si>
  <si>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</si>
  <si>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</si>
  <si>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</si>
  <si>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</si>
  <si>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</si>
  <si>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</si>
  <si>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</si>
  <si>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</si>
  <si>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</si>
  <si>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</si>
  <si>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</si>
  <si>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</si>
  <si>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</si>
  <si>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</si>
  <si>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</si>
  <si>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</si>
  <si>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</si>
  <si>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</si>
  <si>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</si>
  <si>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</si>
  <si>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</si>
  <si>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</si>
  <si>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</si>
  <si>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</si>
  <si>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</si>
  <si>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</si>
  <si>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</si>
  <si>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</si>
  <si>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</si>
  <si>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</si>
  <si>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</si>
  <si>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</si>
  <si>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</si>
  <si>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</si>
  <si>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</si>
  <si>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</si>
  <si>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</si>
  <si>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</si>
  <si>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</si>
  <si>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</si>
  <si>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</si>
  <si>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</si>
  <si>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</si>
  <si>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</si>
  <si>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</si>
  <si>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</si>
  <si>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</si>
  <si>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</si>
  <si>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</si>
  <si>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</si>
  <si>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</si>
  <si>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</si>
  <si>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</si>
  <si>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</si>
  <si>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</si>
  <si>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</si>
  <si>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</si>
  <si>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</si>
  <si>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</si>
  <si>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</si>
  <si>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</si>
  <si>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</si>
  <si>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</si>
  <si>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</si>
  <si>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</si>
  <si>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</si>
  <si>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</si>
  <si>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</si>
  <si>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</si>
  <si>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</si>
  <si>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</si>
  <si>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</si>
  <si>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</si>
  <si>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</si>
  <si>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</si>
  <si>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</si>
  <si>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</si>
  <si>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</si>
  <si>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</si>
  <si>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</si>
  <si>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</si>
  <si>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</si>
  <si>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</si>
  <si>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</si>
  <si>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</si>
  <si>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</si>
  <si>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</si>
  <si>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</si>
  <si>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</si>
  <si>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</si>
  <si>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</si>
  <si>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</si>
  <si>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</si>
  <si>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</si>
  <si>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</si>
  <si>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</si>
  <si>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</si>
  <si>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</si>
  <si>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</si>
  <si>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</si>
  <si>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</si>
  <si>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</si>
  <si>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</si>
  <si>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</si>
  <si>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</si>
  <si>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</si>
  <si>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</si>
  <si>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</si>
  <si>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</si>
  <si>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</si>
  <si>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</si>
  <si>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</si>
  <si>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</si>
  <si>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</si>
  <si>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</si>
  <si>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</si>
  <si>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</si>
  <si>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</si>
  <si>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</si>
  <si>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</si>
  <si>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</si>
  <si>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</si>
  <si>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</si>
  <si>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</si>
  <si>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</si>
  <si>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</si>
  <si>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</si>
  <si>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</si>
  <si>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</si>
  <si>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</si>
  <si>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</si>
  <si>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</si>
  <si>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</si>
  <si>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</si>
  <si>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</si>
  <si>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</si>
  <si>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</si>
  <si>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</si>
  <si>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</si>
  <si>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</si>
  <si>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</si>
  <si>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</si>
  <si>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</si>
  <si>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</si>
  <si>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</si>
  <si>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</si>
  <si>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</si>
  <si>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</si>
  <si>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</si>
  <si>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</si>
  <si>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</si>
  <si>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</si>
  <si>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</si>
  <si>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</si>
  <si>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</si>
  <si>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</si>
  <si>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</si>
  <si>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</si>
  <si>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</si>
  <si>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</si>
  <si>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</si>
  <si>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</si>
  <si>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</si>
  <si>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</si>
  <si>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</si>
  <si>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</si>
  <si>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</si>
  <si>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</si>
  <si>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</si>
  <si>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</si>
  <si>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</si>
  <si>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</si>
  <si>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</si>
  <si>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</si>
  <si>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</si>
  <si>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</si>
  <si>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</si>
  <si>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</si>
  <si>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</si>
  <si>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</si>
  <si>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</si>
  <si>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</si>
  <si>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</si>
  <si>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</si>
  <si>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</si>
  <si>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</si>
  <si>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</si>
  <si>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</si>
  <si>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</si>
  <si>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</si>
  <si>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</si>
  <si>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</si>
  <si>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</si>
  <si>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</si>
  <si>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</si>
  <si>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</si>
  <si>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</si>
  <si>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</si>
  <si>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</si>
  <si>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</si>
  <si>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</si>
  <si>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</si>
  <si>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</si>
  <si>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</si>
  <si>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</si>
  <si>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</si>
  <si>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</si>
  <si>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</si>
  <si>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</si>
  <si>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</si>
  <si>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</si>
  <si>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</si>
  <si>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</si>
  <si>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</si>
  <si>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</si>
  <si>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</si>
  <si>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</si>
  <si>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</si>
  <si>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</si>
  <si>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</si>
  <si>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</si>
  <si>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</si>
  <si>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</si>
  <si>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</si>
  <si>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</si>
  <si>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</si>
  <si>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</si>
  <si>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</si>
  <si>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</si>
  <si>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</si>
  <si>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</si>
  <si>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</si>
  <si>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</si>
  <si>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</si>
  <si>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</si>
  <si>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</si>
  <si>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</si>
  <si>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</si>
  <si>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</si>
  <si>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</si>
  <si>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</si>
  <si>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</si>
  <si>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</si>
  <si>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</si>
  <si>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</si>
  <si>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</si>
  <si>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</si>
  <si>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</si>
  <si>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</si>
  <si>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</si>
  <si>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</si>
  <si>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</si>
  <si>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</si>
  <si>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</si>
  <si>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</si>
  <si>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</si>
  <si>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</si>
  <si>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</si>
  <si>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</si>
  <si>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</si>
  <si>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</si>
  <si>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</si>
  <si>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</si>
  <si>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</si>
  <si>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</si>
  <si>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</si>
  <si>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</si>
  <si>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</si>
  <si>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</si>
  <si>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</si>
  <si>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</si>
  <si>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</si>
  <si>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</si>
  <si>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</si>
  <si>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</si>
  <si>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</si>
  <si>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</si>
  <si>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</si>
  <si>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</si>
  <si>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</si>
  <si>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</si>
  <si>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</si>
  <si>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</si>
  <si>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</si>
  <si>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</si>
  <si>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</si>
  <si>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</si>
  <si>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</si>
  <si>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</si>
  <si>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</si>
  <si>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</si>
  <si>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</si>
  <si>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</si>
  <si>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</si>
  <si>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</si>
  <si>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</si>
  <si>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</si>
  <si>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</si>
  <si>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</si>
  <si>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</si>
  <si>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</si>
  <si>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</si>
  <si>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</si>
  <si>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</si>
  <si>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</si>
  <si>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</si>
  <si>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</si>
  <si>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</si>
  <si>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</si>
  <si>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</si>
  <si>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</si>
  <si>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</si>
  <si>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</si>
  <si>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</si>
  <si>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</si>
  <si>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</si>
  <si>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</si>
  <si>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</si>
  <si>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</si>
  <si>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</si>
  <si>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</si>
  <si>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</si>
  <si>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</si>
  <si>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</si>
  <si>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</si>
  <si>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</si>
  <si>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</si>
  <si>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</si>
  <si>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</si>
  <si>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</si>
  <si>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</si>
  <si>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</si>
  <si>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</si>
  <si>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</si>
  <si>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</si>
  <si>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</si>
  <si>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</si>
  <si>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</si>
  <si>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</si>
  <si>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</si>
  <si>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</si>
  <si>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</si>
  <si>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</si>
  <si>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</si>
  <si>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</si>
  <si>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</si>
  <si>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</si>
  <si>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</si>
  <si>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</si>
  <si>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</si>
  <si>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</si>
  <si>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</si>
  <si>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</si>
  <si>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</si>
  <si>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</si>
  <si>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</si>
  <si>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</si>
  <si>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</si>
  <si>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</si>
  <si>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</si>
  <si>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</si>
  <si>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</si>
  <si>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</si>
  <si>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</si>
  <si>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</si>
  <si>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</si>
  <si>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</si>
  <si>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</si>
  <si>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</si>
  <si>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</si>
  <si>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</si>
  <si>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</si>
  <si>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</si>
  <si>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</si>
  <si>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</si>
  <si>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</si>
  <si>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</si>
  <si>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</si>
  <si>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</si>
  <si>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</si>
  <si>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</si>
  <si>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</si>
  <si>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</si>
  <si>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</si>
  <si>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</si>
  <si>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</si>
  <si>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</si>
  <si>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</si>
  <si>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</si>
  <si>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</si>
  <si>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</si>
  <si>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</si>
  <si>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</si>
  <si>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</si>
  <si>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</si>
  <si>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</si>
  <si>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</si>
  <si>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</si>
  <si>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</si>
  <si>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</si>
  <si>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</si>
  <si>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</si>
  <si>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</si>
  <si>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</si>
  <si>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</si>
  <si>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</si>
  <si>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</si>
  <si>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</si>
  <si>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</si>
  <si>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</si>
  <si>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</si>
  <si>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</si>
  <si>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</si>
  <si>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</si>
  <si>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</si>
  <si>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</si>
  <si>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</si>
  <si>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</si>
  <si>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</si>
  <si>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</si>
  <si>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</si>
  <si>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</si>
  <si>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</si>
  <si>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</si>
  <si>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</si>
  <si>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</si>
  <si>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</si>
  <si>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</si>
  <si>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</si>
  <si>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</si>
  <si>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</si>
  <si>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</si>
  <si>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</si>
  <si>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</si>
  <si>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</si>
  <si>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</si>
  <si>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</si>
  <si>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</si>
  <si>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</si>
  <si>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</si>
  <si>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</si>
  <si>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</si>
  <si>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</si>
  <si>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</si>
  <si>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</si>
  <si>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</si>
  <si>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</si>
  <si>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</si>
  <si>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</si>
  <si>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</si>
  <si>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</si>
  <si>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</si>
  <si>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</si>
  <si>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</si>
  <si>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</si>
  <si>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</si>
  <si>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</si>
  <si>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</si>
  <si>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</si>
  <si>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</si>
  <si>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</si>
  <si>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</si>
  <si>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</si>
  <si>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</si>
  <si>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</si>
  <si>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</si>
  <si>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</si>
  <si>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</si>
  <si>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</si>
  <si>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</si>
  <si>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</si>
  <si>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</si>
  <si>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</si>
  <si>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</si>
  <si>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</si>
  <si>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</si>
  <si>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</si>
  <si>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</si>
  <si>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</si>
  <si>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</si>
  <si>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</si>
  <si>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</si>
  <si>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</si>
  <si>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</si>
  <si>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</si>
  <si>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</si>
  <si>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</si>
  <si>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</si>
  <si>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</si>
  <si>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</si>
  <si>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</si>
  <si>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</si>
  <si>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</si>
  <si>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</si>
  <si>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</si>
  <si>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</si>
  <si>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</si>
  <si>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</si>
  <si>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</si>
  <si>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</si>
  <si>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</si>
  <si>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</si>
  <si>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</si>
  <si>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</si>
  <si>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</si>
  <si>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</si>
  <si>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</si>
  <si>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</si>
  <si>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</si>
  <si>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</si>
  <si>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</si>
  <si>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</si>
  <si>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</si>
  <si>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</si>
  <si>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</si>
  <si>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</si>
  <si>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</si>
  <si>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</si>
  <si>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</si>
  <si>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</si>
  <si>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</si>
  <si>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</si>
  <si>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</si>
  <si>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</si>
  <si>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</si>
  <si>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</si>
  <si>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</si>
  <si>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</si>
  <si>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</si>
  <si>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</si>
  <si>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</si>
  <si>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</si>
  <si>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</si>
  <si>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</si>
  <si>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</si>
  <si>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</si>
  <si>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</si>
  <si>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</si>
  <si>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</si>
  <si>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</si>
  <si>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</si>
  <si>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</si>
  <si>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</si>
  <si>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</si>
  <si>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</si>
  <si>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</si>
  <si>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</si>
  <si>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</si>
  <si>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</si>
  <si>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</si>
  <si>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</si>
  <si>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</si>
  <si>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</si>
  <si>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</si>
  <si>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</si>
  <si>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</si>
  <si>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</si>
  <si>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</si>
  <si>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</si>
  <si>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</si>
  <si>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</si>
  <si>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</si>
  <si>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</si>
  <si>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</si>
  <si>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</si>
  <si>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</si>
  <si>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</si>
  <si>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</si>
  <si>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</si>
  <si>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</si>
  <si>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</si>
  <si>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</si>
  <si>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</si>
  <si>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</si>
  <si>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</si>
  <si>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</si>
  <si>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</si>
  <si>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</si>
  <si>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</si>
  <si>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</si>
  <si>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</si>
  <si>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</si>
  <si>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</si>
  <si>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</si>
  <si>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</si>
  <si>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</si>
  <si>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</si>
  <si>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</si>
  <si>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</si>
  <si>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</si>
  <si>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</si>
  <si>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</si>
  <si>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</si>
  <si>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</si>
  <si>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</si>
  <si>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</si>
  <si>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</si>
  <si>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</si>
  <si>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</si>
  <si>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</si>
  <si>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</si>
  <si>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</si>
  <si>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</si>
  <si>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</si>
  <si>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</si>
  <si>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</si>
  <si>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</si>
  <si>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</si>
  <si>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</si>
  <si>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</si>
  <si>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</si>
  <si>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</si>
  <si>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</si>
  <si>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</si>
  <si>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</si>
  <si>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</si>
  <si>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</si>
  <si>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</si>
  <si>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</si>
  <si>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</si>
  <si>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</si>
  <si>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</si>
  <si>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</si>
  <si>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</si>
  <si>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</si>
  <si>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</si>
  <si>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</si>
  <si>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</si>
  <si>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</si>
  <si>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</si>
  <si>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</si>
  <si>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</si>
  <si>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</si>
  <si>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</si>
  <si>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</si>
  <si>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</si>
  <si>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</si>
  <si>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</si>
  <si>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</si>
  <si>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</si>
  <si>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</si>
  <si>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</si>
  <si>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</si>
  <si>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</si>
  <si>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</si>
  <si>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</si>
  <si>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</si>
  <si>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</si>
  <si>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</si>
  <si>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</si>
  <si>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</si>
  <si>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</si>
  <si>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</si>
  <si>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</si>
  <si>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</si>
  <si>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</si>
  <si>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</si>
  <si>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</si>
  <si>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</si>
  <si>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</si>
  <si>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</si>
  <si>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</si>
  <si>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</si>
  <si>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</si>
  <si>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</si>
  <si>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</si>
  <si>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</si>
  <si>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</si>
  <si>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</si>
  <si>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</si>
  <si>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</si>
  <si>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</si>
  <si>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</si>
  <si>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</si>
  <si>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</si>
  <si>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</si>
  <si>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</si>
  <si>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</si>
  <si>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</si>
  <si>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</si>
  <si>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</si>
  <si>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</si>
  <si>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</si>
  <si>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</si>
  <si>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</si>
  <si>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</si>
  <si>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</si>
  <si>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</si>
  <si>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</si>
  <si>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</si>
  <si>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</si>
  <si>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</si>
  <si>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</si>
  <si>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</si>
  <si>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</si>
  <si>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</si>
  <si>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</si>
  <si>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</si>
  <si>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</si>
  <si>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</si>
  <si>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</si>
  <si>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</si>
  <si>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</si>
  <si>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</si>
  <si>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</si>
  <si>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</si>
  <si>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</si>
  <si>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</si>
  <si>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</si>
  <si>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</si>
  <si>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</si>
  <si>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</si>
  <si>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</si>
  <si>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</si>
  <si>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</si>
  <si>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</si>
  <si>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</si>
  <si>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</si>
  <si>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</si>
  <si>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</si>
  <si>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</si>
  <si>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</si>
  <si>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</si>
  <si>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</si>
  <si>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</si>
  <si>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</si>
  <si>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</si>
  <si>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</si>
  <si>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</si>
  <si>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</si>
  <si>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</si>
  <si>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</si>
  <si>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</si>
  <si>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</si>
  <si>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</si>
  <si>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</si>
  <si>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</si>
  <si>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</si>
  <si>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</si>
  <si>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</si>
  <si>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</si>
  <si>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</si>
  <si>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</si>
  <si>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</si>
  <si>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</si>
  <si>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</si>
  <si>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</si>
  <si>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</si>
  <si>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</si>
  <si>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</si>
  <si>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</si>
  <si>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</si>
  <si>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</si>
  <si>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</si>
  <si>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</si>
  <si>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</si>
  <si>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</si>
  <si>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</si>
  <si>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</si>
  <si>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</si>
  <si>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</si>
  <si>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</si>
  <si>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</si>
  <si>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</si>
  <si>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</si>
  <si>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</si>
  <si>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</si>
  <si>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</si>
  <si>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</si>
  <si>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</si>
  <si>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</si>
  <si>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</si>
  <si>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</si>
  <si>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</si>
  <si>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</si>
  <si>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</si>
  <si>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</si>
  <si>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</si>
  <si>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</si>
  <si>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</si>
  <si>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</si>
  <si>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</si>
  <si>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</si>
  <si>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</si>
  <si>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</si>
  <si>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</si>
  <si>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</si>
  <si>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</si>
  <si>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</si>
  <si>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</si>
  <si>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</si>
  <si>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</si>
  <si>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</si>
  <si>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</si>
  <si>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</si>
  <si>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</si>
  <si>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</si>
  <si>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</si>
  <si>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</si>
  <si>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</si>
  <si>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</si>
  <si>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</si>
  <si>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</si>
  <si>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</si>
  <si>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</si>
  <si>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</si>
  <si>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</si>
  <si>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</si>
  <si>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</si>
  <si>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</si>
  <si>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</si>
  <si>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</si>
  <si>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</si>
  <si>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</si>
  <si>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</si>
  <si>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</si>
  <si>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</si>
  <si>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</si>
  <si>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</si>
  <si>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</si>
  <si>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</si>
  <si>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</si>
  <si>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</si>
  <si>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</si>
  <si>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</si>
  <si>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</si>
  <si>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</si>
  <si>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</si>
  <si>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</si>
  <si>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</si>
  <si>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</si>
  <si>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</si>
  <si>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</si>
  <si>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</si>
  <si>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</si>
  <si>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</si>
  <si>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</si>
  <si>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</si>
  <si>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</si>
  <si>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</si>
  <si>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</si>
  <si>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</si>
  <si>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</si>
  <si>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</si>
  <si>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</si>
  <si>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</si>
  <si>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</si>
  <si>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</si>
  <si>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</si>
  <si>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</si>
  <si>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</si>
  <si>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</si>
  <si>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</si>
  <si>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</si>
  <si>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</si>
  <si>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</si>
  <si>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</si>
  <si>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</si>
  <si>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</si>
  <si>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</si>
  <si>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</si>
  <si>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</si>
  <si>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</si>
  <si>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</si>
  <si>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</si>
  <si>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</si>
  <si>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</si>
  <si>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</si>
  <si>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</si>
  <si>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</si>
  <si>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</si>
  <si>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</si>
  <si>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</si>
  <si>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</si>
  <si>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</si>
  <si>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</si>
  <si>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</si>
  <si>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</si>
  <si>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</si>
  <si>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</si>
  <si>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</si>
  <si>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</si>
  <si>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</si>
  <si>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</si>
  <si>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</si>
  <si>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</si>
  <si>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</si>
  <si>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</si>
  <si>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</si>
  <si>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</si>
  <si>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</si>
  <si>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</si>
  <si>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</si>
  <si>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</si>
  <si>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</si>
  <si>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</si>
  <si>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</si>
  <si>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</si>
  <si>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</si>
  <si>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</si>
  <si>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</si>
  <si>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</si>
  <si>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</si>
  <si>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</si>
  <si>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</si>
  <si>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</si>
  <si>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</si>
  <si>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</si>
  <si>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</si>
  <si>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</si>
  <si>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</si>
  <si>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</si>
  <si>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</si>
  <si>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</si>
  <si>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</si>
  <si>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</si>
  <si>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</si>
  <si>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</si>
  <si>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</si>
  <si>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</si>
  <si>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</si>
  <si>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</si>
  <si>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</si>
  <si>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</si>
  <si>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</si>
  <si>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</si>
  <si>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</si>
  <si>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</si>
  <si>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</si>
  <si>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</si>
  <si>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</si>
  <si>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</si>
  <si>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</si>
  <si>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</si>
  <si>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</si>
  <si>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</si>
  <si>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</si>
  <si>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</si>
  <si>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</si>
  <si>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</si>
  <si>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</si>
  <si>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</si>
  <si>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</si>
  <si>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</si>
  <si>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</si>
  <si>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</si>
  <si>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</si>
  <si>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</si>
  <si>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</si>
  <si>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</si>
  <si>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</si>
  <si>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</si>
  <si>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</si>
  <si>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</si>
  <si>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</si>
  <si>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</si>
  <si>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</si>
  <si>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</si>
  <si>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</si>
  <si>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</si>
  <si>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</si>
  <si>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</si>
  <si>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</si>
  <si>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</si>
  <si>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</si>
  <si>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</si>
  <si>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</si>
  <si>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</si>
  <si>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</si>
  <si>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</si>
  <si>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</si>
  <si>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</si>
  <si>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</si>
  <si>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</si>
  <si>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</si>
  <si>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</si>
  <si>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</si>
  <si>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</si>
  <si>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</si>
  <si>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</si>
  <si>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</si>
  <si>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</si>
  <si>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</si>
  <si>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</si>
  <si>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</si>
  <si>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</si>
  <si>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</si>
  <si>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</si>
  <si>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</si>
  <si>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</si>
  <si>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</si>
  <si>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</si>
  <si>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</si>
  <si>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</si>
  <si>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</si>
  <si>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</si>
  <si>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</si>
  <si>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</si>
  <si>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</si>
  <si>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</si>
  <si>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</si>
  <si>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</si>
  <si>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</si>
  <si>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</si>
  <si>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</si>
  <si>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</si>
  <si>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</si>
  <si>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</si>
  <si>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</si>
  <si>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</si>
  <si>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</si>
  <si>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</si>
  <si>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</si>
  <si>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</si>
  <si>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</si>
  <si>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</si>
  <si>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</si>
  <si>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</si>
  <si>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</si>
  <si>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</si>
  <si>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</si>
  <si>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</si>
  <si>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</si>
  <si>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</si>
  <si>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</si>
  <si>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</si>
  <si>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</si>
  <si>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</si>
  <si>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</si>
  <si>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</si>
  <si>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</si>
  <si>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</si>
  <si>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</si>
  <si>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</si>
  <si>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</si>
  <si>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</si>
  <si>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</si>
  <si>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</si>
  <si>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</si>
  <si>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</si>
  <si>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</si>
  <si>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</si>
  <si>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</si>
  <si>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</si>
  <si>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</si>
  <si>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</si>
  <si>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</si>
  <si>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</si>
  <si>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</si>
  <si>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</si>
  <si>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</si>
  <si>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</si>
  <si>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</si>
  <si>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</si>
  <si>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</si>
  <si>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</si>
  <si>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</si>
  <si>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</si>
  <si>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</si>
  <si>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</si>
  <si>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</si>
  <si>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</si>
  <si>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</si>
  <si>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</si>
  <si>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</si>
  <si>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</si>
  <si>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</si>
  <si>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</si>
  <si>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</si>
  <si>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</si>
  <si>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</si>
  <si>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</si>
  <si>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</si>
  <si>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</si>
  <si>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</si>
  <si>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</si>
  <si>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</si>
  <si>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</si>
  <si>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</si>
  <si>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</si>
  <si>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</si>
  <si>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</si>
  <si>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</si>
  <si>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</si>
  <si>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</si>
  <si>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</si>
  <si>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</si>
  <si>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</si>
  <si>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</si>
  <si>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</si>
  <si>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</si>
  <si>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</si>
  <si>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</si>
  <si>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</si>
  <si>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</si>
  <si>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</si>
  <si>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</si>
  <si>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</si>
  <si>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</si>
  <si>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</si>
  <si>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</si>
  <si>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</si>
  <si>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</si>
  <si>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</si>
  <si>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</si>
  <si>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</si>
  <si>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</si>
  <si>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</si>
  <si>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</si>
  <si>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</si>
  <si>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</si>
  <si>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</si>
  <si>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</si>
  <si>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</si>
  <si>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</si>
  <si>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</si>
  <si>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</si>
  <si>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</si>
  <si>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</si>
  <si>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</si>
  <si>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</si>
  <si>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</si>
  <si>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</si>
  <si>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</si>
  <si>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</si>
  <si>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</si>
  <si>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</si>
  <si>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</si>
  <si>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</si>
  <si>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</si>
  <si>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</si>
  <si>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</si>
  <si>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</si>
  <si>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</si>
  <si>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</si>
  <si>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</si>
  <si>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</si>
  <si>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</si>
  <si>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</si>
  <si>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</si>
  <si>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</si>
  <si>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</si>
  <si>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</si>
  <si>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</si>
  <si>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</si>
  <si>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</si>
  <si>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</si>
  <si>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</si>
  <si>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</si>
  <si>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</si>
  <si>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</si>
  <si>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</si>
  <si>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</si>
  <si>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</si>
  <si>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</si>
  <si>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</si>
  <si>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</si>
  <si>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</si>
  <si>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</si>
  <si>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</si>
  <si>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</si>
  <si>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</si>
  <si>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</si>
  <si>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</si>
  <si>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</si>
  <si>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</si>
  <si>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</si>
  <si>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</si>
  <si>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</si>
  <si>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</si>
  <si>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</si>
  <si>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</si>
  <si>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</si>
  <si>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</si>
  <si>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</si>
  <si>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</si>
  <si>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</si>
  <si>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</si>
  <si>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</si>
  <si>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</si>
  <si>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</si>
  <si>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</si>
  <si>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</si>
  <si>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</si>
  <si>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</si>
  <si>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</si>
  <si>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</si>
  <si>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</si>
  <si>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</si>
  <si>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</si>
  <si>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</si>
  <si>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</si>
  <si>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</si>
  <si>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</si>
  <si>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</si>
  <si>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</si>
  <si>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</si>
  <si>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</si>
  <si>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</si>
  <si>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</si>
  <si>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</si>
  <si>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</si>
  <si>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</si>
  <si>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</si>
  <si>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</si>
  <si>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</si>
  <si>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</si>
  <si>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</si>
  <si>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</si>
  <si>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</si>
  <si>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</si>
  <si>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</si>
  <si>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</si>
  <si>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</si>
  <si>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</si>
  <si>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</si>
  <si>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</si>
  <si>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</si>
  <si>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</si>
  <si>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</si>
  <si>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</si>
  <si>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</si>
  <si>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</si>
  <si>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</si>
  <si>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</si>
  <si>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</si>
  <si>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</si>
  <si>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</si>
  <si>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</si>
  <si>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</si>
  <si>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</si>
  <si>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</si>
  <si>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</si>
  <si>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</si>
  <si>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</si>
  <si>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</si>
  <si>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</si>
  <si>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</si>
  <si>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</si>
  <si>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</si>
  <si>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</si>
  <si>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</si>
  <si>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</si>
  <si>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</si>
  <si>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</si>
  <si>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</si>
  <si>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</si>
  <si>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</si>
  <si>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</si>
  <si>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</si>
  <si>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</si>
  <si>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</si>
  <si>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</si>
  <si>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</si>
  <si>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</si>
  <si>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</si>
  <si>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</si>
  <si>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</si>
  <si>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</si>
  <si>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</si>
  <si>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</si>
  <si>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</si>
  <si>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</si>
  <si>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</si>
  <si>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</si>
  <si>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</si>
  <si>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</si>
  <si>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</si>
  <si>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</si>
  <si>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</si>
  <si>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</si>
  <si>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</si>
  <si>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</si>
  <si>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</si>
  <si>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</si>
  <si>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</si>
  <si>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</si>
  <si>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</si>
  <si>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</si>
  <si>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</si>
  <si>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</si>
  <si>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</si>
  <si>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</si>
  <si>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</si>
  <si>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</si>
  <si>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</si>
  <si>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</si>
  <si>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</si>
  <si>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</si>
  <si>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</si>
  <si>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</si>
  <si>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</si>
  <si>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</si>
  <si>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</si>
  <si>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</si>
  <si>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</si>
  <si>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</si>
  <si>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</si>
  <si>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</si>
  <si>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</si>
  <si>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</si>
  <si>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</si>
  <si>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</si>
  <si>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</si>
  <si>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</si>
  <si>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</si>
  <si>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</si>
  <si>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</si>
  <si>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</si>
  <si>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</si>
  <si>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</si>
  <si>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</si>
  <si>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</si>
  <si>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</si>
  <si>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</si>
  <si>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</si>
  <si>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</si>
  <si>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</si>
  <si>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</si>
  <si>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</si>
  <si>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</si>
  <si>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</si>
  <si>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</si>
  <si>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</si>
  <si>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</si>
  <si>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</si>
  <si>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</si>
  <si>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</si>
  <si>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</si>
  <si>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</si>
  <si>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</si>
  <si>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</si>
  <si>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</si>
  <si>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</si>
  <si>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</si>
  <si>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</si>
  <si>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</si>
  <si>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</si>
  <si>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</si>
  <si>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</si>
  <si>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</si>
  <si>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</si>
  <si>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</si>
  <si>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</si>
  <si>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</si>
  <si>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</si>
  <si>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</si>
  <si>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</si>
  <si>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</si>
  <si>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</si>
  <si>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</si>
  <si>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</si>
  <si>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</si>
  <si>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</si>
  <si>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</si>
  <si>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</si>
  <si>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</si>
  <si>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</si>
  <si>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</si>
  <si>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</si>
  <si>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</si>
  <si>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</si>
  <si>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</si>
  <si>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</si>
  <si>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</si>
  <si>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</si>
  <si>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</si>
  <si>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</si>
  <si>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</si>
  <si>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</si>
  <si>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</si>
  <si>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</si>
  <si>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</si>
  <si>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</si>
  <si>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</si>
  <si>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</si>
  <si>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</si>
  <si>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</si>
  <si>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</si>
  <si>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</si>
  <si>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</si>
  <si>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</si>
  <si>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</si>
  <si>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</si>
  <si>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</si>
  <si>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</si>
  <si>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</si>
  <si>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</si>
  <si>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</si>
  <si>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</si>
  <si>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</si>
  <si>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</si>
  <si>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</si>
  <si>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</si>
  <si>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</si>
  <si>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</si>
  <si>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</si>
  <si>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</si>
  <si>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</si>
  <si>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</si>
  <si>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</si>
  <si>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</si>
  <si>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</si>
  <si>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</si>
  <si>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</si>
  <si>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</si>
  <si>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</si>
  <si>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</si>
  <si>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</si>
  <si>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</si>
  <si>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</si>
  <si>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</si>
  <si>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</si>
  <si>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</si>
  <si>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</si>
  <si>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</si>
  <si>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</si>
  <si>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</si>
  <si>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</si>
  <si>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</si>
  <si>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</si>
  <si>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</si>
  <si>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</si>
  <si>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</si>
  <si>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</si>
  <si>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</si>
  <si>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</si>
  <si>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</si>
  <si>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</si>
  <si>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</si>
  <si>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</si>
  <si>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</si>
  <si>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</si>
  <si>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</si>
  <si>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</si>
  <si>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</si>
  <si>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</si>
  <si>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</si>
  <si>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</si>
  <si>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</si>
  <si>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</si>
  <si>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</si>
  <si>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</si>
  <si>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</si>
  <si>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</si>
  <si>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</si>
  <si>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</si>
  <si>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</si>
  <si>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</si>
  <si>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</si>
  <si>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</si>
  <si>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</si>
  <si>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</si>
  <si>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</si>
  <si>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</si>
  <si>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</si>
  <si>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</si>
  <si>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</si>
  <si>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</si>
  <si>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</si>
  <si>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</si>
  <si>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</si>
  <si>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</si>
  <si>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</si>
  <si>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</si>
  <si>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</si>
  <si>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</si>
  <si>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</si>
  <si>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</si>
  <si>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</si>
  <si>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</si>
  <si>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</si>
  <si>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</si>
  <si>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</si>
  <si>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</si>
  <si>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</si>
  <si>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</si>
  <si>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</si>
  <si>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</si>
  <si>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</si>
  <si>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</si>
  <si>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</si>
  <si>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</si>
  <si>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</si>
  <si>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</si>
  <si>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</si>
  <si>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</si>
  <si>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</si>
  <si>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</si>
  <si>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</si>
  <si>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</si>
  <si>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</si>
  <si>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</si>
  <si>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</si>
  <si>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</si>
  <si>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</si>
  <si>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</si>
  <si>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</si>
  <si>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</si>
  <si>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</si>
  <si>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</si>
  <si>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</si>
  <si>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</si>
  <si>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</si>
  <si>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</si>
  <si>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</si>
  <si>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</si>
  <si>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</si>
  <si>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</si>
  <si>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</si>
  <si>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</si>
  <si>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</si>
  <si>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</si>
  <si>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</si>
  <si>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</si>
  <si>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</si>
  <si>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</si>
  <si>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</si>
  <si>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</si>
  <si>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</si>
  <si>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</si>
  <si>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</si>
  <si>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</si>
  <si>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</si>
  <si>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</si>
  <si>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</si>
  <si>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</si>
  <si>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</si>
  <si>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</si>
  <si>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</si>
  <si>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</si>
  <si>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</si>
  <si>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</si>
  <si>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</si>
  <si>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</si>
  <si>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</si>
  <si>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</si>
  <si>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</si>
  <si>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</si>
  <si>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</si>
  <si>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</si>
  <si>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</si>
  <si>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</si>
  <si>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</si>
  <si>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</si>
  <si>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</si>
  <si>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</si>
  <si>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</si>
  <si>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</si>
  <si>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</si>
  <si>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</si>
  <si>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</si>
  <si>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</si>
  <si>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</si>
  <si>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</si>
  <si>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</si>
  <si>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</si>
  <si>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</si>
  <si>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</si>
  <si>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</si>
  <si>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</si>
  <si>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</si>
  <si>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</si>
  <si>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</si>
  <si>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</si>
  <si>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</si>
  <si>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</si>
  <si>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</si>
  <si>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</si>
  <si>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</si>
  <si>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</si>
  <si>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</si>
  <si>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</si>
  <si>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</si>
  <si>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</si>
  <si>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</si>
  <si>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</si>
  <si>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</si>
  <si>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</si>
  <si>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</si>
  <si>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</si>
  <si>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</si>
  <si>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</si>
  <si>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</si>
  <si>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</si>
  <si>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</si>
  <si>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</si>
  <si>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</si>
  <si>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</si>
  <si>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</si>
  <si>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</si>
  <si>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</si>
  <si>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</si>
  <si>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</si>
  <si>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</si>
  <si>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</si>
  <si>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</si>
  <si>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</si>
  <si>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</si>
  <si>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</si>
  <si>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</si>
  <si>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</si>
  <si>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</si>
  <si>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</si>
  <si>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</si>
  <si>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</si>
  <si>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</si>
  <si>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</si>
  <si>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</si>
  <si>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</si>
  <si>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</si>
  <si>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</si>
  <si>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</si>
  <si>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</si>
  <si>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</si>
  <si>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</si>
  <si>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</si>
  <si>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</si>
  <si>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</si>
  <si>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</si>
  <si>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</si>
  <si>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</si>
  <si>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</si>
  <si>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</si>
  <si>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</si>
  <si>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</si>
  <si>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</si>
  <si>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</si>
  <si>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</si>
  <si>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</si>
  <si>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</si>
  <si>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</si>
  <si>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</si>
  <si>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</si>
  <si>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</si>
  <si>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</si>
  <si>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</si>
  <si>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</si>
  <si>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</si>
  <si>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</si>
  <si>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</si>
  <si>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</si>
  <si>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</si>
  <si>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</si>
  <si>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</si>
  <si>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</si>
  <si>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</si>
  <si>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</si>
  <si>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</si>
  <si>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</si>
  <si>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</si>
  <si>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</si>
  <si>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</si>
  <si>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</si>
  <si>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</si>
  <si>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</si>
  <si>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</si>
  <si>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</si>
  <si>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</si>
  <si>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</si>
  <si>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</si>
  <si>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</si>
  <si>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</si>
  <si>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</si>
  <si>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</si>
  <si>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</si>
  <si>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</si>
  <si>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</si>
  <si>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</si>
  <si>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</si>
  <si>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</si>
  <si>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</si>
  <si>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</si>
  <si>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</si>
  <si>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</si>
  <si>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</si>
  <si>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</si>
  <si>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</si>
  <si>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</si>
  <si>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</si>
  <si>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</si>
  <si>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</si>
  <si>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</si>
  <si>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</si>
  <si>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</si>
  <si>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</si>
  <si>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</si>
  <si>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</si>
  <si>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</si>
  <si>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</si>
  <si>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</si>
  <si>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</si>
  <si>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</si>
  <si>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</si>
  <si>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</si>
  <si>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</si>
  <si>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</si>
  <si>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</si>
  <si>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</si>
  <si>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</si>
  <si>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</si>
  <si>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</si>
  <si>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</si>
  <si>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</si>
  <si>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</si>
  <si>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</si>
  <si>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</si>
  <si>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</si>
  <si>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</si>
  <si>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</si>
  <si>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</si>
  <si>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</si>
  <si>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</si>
  <si>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</si>
  <si>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</si>
  <si>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</si>
  <si>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</si>
  <si>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</si>
  <si>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</si>
  <si>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</si>
  <si>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</si>
  <si>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</si>
  <si>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</si>
  <si>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</si>
  <si>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</si>
  <si>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</si>
  <si>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</si>
  <si>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</si>
  <si>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</si>
  <si>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</si>
  <si>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</si>
  <si>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</si>
  <si>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</si>
  <si>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</si>
  <si>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</si>
  <si>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</si>
  <si>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</si>
  <si>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</si>
  <si>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</si>
  <si>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</si>
  <si>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</si>
  <si>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</si>
  <si>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</si>
  <si>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</si>
  <si>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</si>
  <si>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</si>
  <si>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</si>
  <si>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</si>
  <si>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</si>
  <si>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</si>
  <si>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</si>
  <si>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</si>
  <si>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</si>
  <si>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</si>
  <si>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</si>
  <si>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</si>
  <si>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</si>
  <si>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</si>
  <si>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</si>
  <si>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</si>
  <si>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</si>
  <si>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</si>
  <si>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</si>
  <si>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</si>
  <si>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</si>
  <si>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</si>
  <si>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</si>
  <si>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</si>
  <si>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</si>
  <si>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</si>
  <si>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</si>
  <si>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</si>
  <si>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</si>
  <si>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</si>
  <si>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</si>
  <si>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</si>
  <si>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</si>
  <si>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</si>
  <si>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</si>
  <si>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</si>
  <si>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</si>
  <si>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</si>
  <si>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</si>
  <si>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</si>
  <si>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</si>
  <si>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</si>
  <si>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</si>
  <si>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</si>
  <si>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</si>
  <si>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</si>
  <si>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</si>
  <si>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</si>
  <si>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</si>
  <si>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</si>
  <si>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</si>
  <si>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</si>
  <si>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</si>
  <si>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</si>
  <si>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</si>
  <si>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</si>
  <si>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</si>
  <si>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</si>
  <si>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</si>
  <si>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</si>
  <si>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</si>
  <si>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</si>
  <si>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</si>
  <si>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</si>
  <si>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</si>
  <si>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</si>
  <si>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</si>
  <si>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</si>
  <si>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</si>
  <si>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</si>
  <si>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</si>
  <si>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</si>
  <si>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</si>
  <si>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</si>
  <si>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</si>
  <si>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</si>
  <si>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</si>
  <si>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</si>
  <si>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</si>
  <si>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</si>
  <si>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</si>
  <si>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</si>
  <si>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</si>
  <si>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</si>
  <si>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</si>
  <si>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</si>
  <si>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</si>
  <si>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</si>
  <si>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</si>
  <si>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</si>
  <si>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</si>
  <si>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</si>
  <si>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</si>
  <si>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</si>
  <si>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</si>
  <si>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</si>
  <si>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</si>
  <si>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</si>
  <si>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</si>
  <si>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</si>
  <si>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</si>
  <si>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</si>
  <si>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</si>
  <si>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</si>
  <si>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</si>
  <si>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</si>
  <si>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</si>
  <si>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</si>
  <si>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</si>
  <si>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</si>
  <si>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</si>
  <si>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</si>
  <si>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</si>
  <si>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</si>
  <si>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</si>
  <si>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</si>
  <si>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</si>
  <si>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</si>
  <si>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</si>
  <si>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</si>
  <si>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</si>
  <si>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</si>
  <si>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</si>
  <si>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</si>
  <si>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</si>
  <si>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</si>
  <si>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</si>
  <si>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</si>
  <si>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</si>
  <si>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</si>
  <si>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</si>
  <si>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</si>
  <si>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</si>
  <si>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</si>
  <si>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</si>
  <si>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</si>
  <si>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</si>
  <si>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</si>
  <si>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</si>
  <si>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</si>
  <si>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</si>
  <si>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</si>
  <si>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</si>
  <si>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</si>
  <si>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</si>
  <si>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</si>
  <si>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</si>
  <si>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</si>
  <si>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</si>
  <si>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</si>
  <si>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</si>
  <si>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</si>
  <si>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</si>
  <si>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</si>
  <si>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</si>
  <si>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</si>
  <si>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</si>
  <si>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</si>
  <si>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</si>
  <si>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</si>
  <si>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</si>
  <si>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</si>
  <si>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</si>
  <si>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</si>
  <si>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</si>
  <si>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</si>
  <si>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</si>
  <si>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</si>
  <si>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</si>
  <si>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</si>
  <si>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</si>
  <si>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</si>
  <si>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</si>
  <si>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</si>
  <si>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</si>
  <si>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</si>
  <si>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</si>
  <si>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</si>
  <si>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</si>
  <si>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</si>
  <si>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</si>
  <si>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</si>
  <si>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</si>
  <si>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</si>
  <si>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</si>
  <si>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</si>
  <si>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</si>
  <si>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</si>
  <si>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</si>
  <si>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</si>
  <si>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</si>
  <si>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</si>
  <si>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</si>
  <si>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</si>
  <si>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</si>
  <si>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</si>
  <si>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</si>
  <si>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</si>
  <si>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</si>
  <si>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</si>
  <si>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</si>
  <si>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</si>
  <si>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</si>
  <si>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</si>
  <si>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</si>
  <si>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</si>
  <si>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</si>
  <si>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</si>
  <si>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</si>
  <si>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</si>
  <si>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</si>
  <si>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</si>
  <si>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</si>
  <si>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</si>
  <si>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</si>
  <si>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</si>
  <si>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</si>
  <si>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</si>
  <si>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</si>
  <si>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</si>
  <si>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</si>
  <si>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</si>
  <si>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</si>
  <si>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</si>
  <si>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</si>
  <si>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</si>
  <si>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</si>
  <si>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</si>
  <si>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</si>
  <si>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</si>
  <si>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</si>
  <si>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</si>
  <si>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</si>
  <si>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</si>
  <si>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</si>
  <si>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</si>
  <si>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</si>
  <si>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</si>
  <si>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</si>
  <si>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</si>
  <si>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</si>
  <si>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</si>
  <si>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</si>
  <si>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</si>
  <si>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</si>
  <si>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</si>
  <si>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</si>
  <si>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</si>
  <si>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</si>
  <si>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</si>
  <si>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</si>
  <si>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</si>
  <si>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</si>
  <si>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</si>
  <si>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</si>
  <si>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</si>
  <si>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</si>
  <si>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</si>
  <si>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</si>
  <si>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</si>
  <si>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</si>
  <si>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</si>
  <si>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</si>
  <si>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</si>
  <si>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</si>
  <si>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</si>
  <si>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</si>
  <si>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</si>
  <si>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</si>
  <si>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</si>
  <si>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</si>
  <si>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</si>
  <si>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</si>
  <si>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</si>
  <si>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</si>
  <si>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</si>
  <si>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</si>
  <si>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</si>
  <si>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</si>
  <si>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</si>
  <si>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</si>
  <si>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</si>
  <si>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</si>
  <si>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</si>
  <si>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</si>
  <si>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</si>
  <si>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</si>
  <si>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</si>
  <si>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</si>
  <si>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</si>
  <si>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</si>
  <si>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</si>
  <si>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</si>
  <si>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</si>
  <si>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</si>
  <si>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</si>
  <si>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</si>
  <si>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</si>
  <si>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</si>
  <si>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</si>
  <si>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</si>
  <si>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</si>
  <si>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</si>
  <si>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</si>
  <si>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</si>
  <si>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</si>
  <si>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</si>
  <si>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</si>
  <si>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</si>
  <si>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</si>
  <si>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</si>
  <si>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</si>
  <si>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</si>
  <si>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</si>
  <si>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</si>
  <si>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</si>
  <si>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</si>
  <si>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</si>
  <si>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</si>
  <si>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</si>
  <si>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</si>
  <si>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</si>
  <si>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</si>
  <si>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</si>
  <si>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</si>
  <si>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</si>
  <si>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</si>
  <si>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</si>
  <si>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</si>
  <si>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</si>
  <si>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</si>
  <si>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</si>
  <si>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</si>
  <si>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</si>
  <si>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</si>
  <si>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</si>
  <si>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</si>
  <si>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</si>
  <si>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</si>
  <si>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</si>
  <si>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</si>
  <si>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</si>
  <si>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</si>
  <si>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</si>
  <si>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</si>
  <si>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</si>
  <si>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</si>
  <si>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</si>
  <si>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</si>
  <si>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</si>
  <si>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</si>
  <si>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</si>
  <si>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</si>
  <si>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</si>
  <si>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</si>
  <si>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</si>
  <si>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</si>
  <si>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</si>
  <si>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</si>
  <si>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</si>
  <si>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</si>
  <si>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</si>
  <si>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</si>
  <si>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</si>
  <si>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</si>
  <si>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</si>
  <si>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</si>
  <si>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</si>
  <si>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</si>
  <si>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</si>
  <si>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</si>
  <si>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</si>
  <si>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</si>
  <si>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</si>
  <si>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</si>
  <si>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</si>
  <si>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</si>
  <si>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</si>
  <si>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</si>
  <si>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</si>
  <si>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</si>
  <si>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</si>
  <si>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</si>
  <si>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</si>
  <si>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</si>
  <si>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</si>
  <si>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</si>
  <si>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</si>
  <si>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</si>
  <si>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</si>
  <si>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</si>
  <si>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</si>
  <si>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</si>
  <si>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</si>
  <si>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</si>
  <si>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</si>
  <si>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</si>
  <si>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</si>
  <si>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</si>
  <si>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</si>
  <si>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</si>
  <si>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</si>
  <si>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</si>
  <si>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</si>
  <si>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</si>
  <si>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</si>
  <si>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</si>
  <si>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</si>
  <si>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</si>
  <si>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</si>
  <si>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</si>
  <si>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</si>
  <si>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</si>
  <si>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</si>
  <si>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</si>
  <si>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</si>
  <si>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</si>
  <si>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</si>
  <si>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</si>
  <si>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</si>
  <si>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</si>
  <si>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</si>
  <si>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</si>
  <si>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</si>
  <si>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</si>
  <si>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</si>
  <si>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</si>
  <si>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</si>
  <si>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</si>
  <si>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</si>
  <si>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</si>
  <si>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</si>
  <si>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</si>
  <si>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</si>
  <si>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</si>
  <si>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</si>
  <si>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</si>
  <si>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</si>
  <si>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</si>
  <si>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</si>
  <si>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</si>
  <si>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</si>
  <si>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</si>
  <si>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</si>
  <si>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</si>
  <si>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</si>
  <si>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</si>
  <si>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</si>
  <si>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</si>
  <si>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</si>
  <si>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</si>
  <si>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</si>
  <si>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</si>
  <si>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</si>
  <si>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</si>
  <si>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</si>
  <si>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</si>
  <si>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</si>
  <si>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</si>
  <si>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</si>
  <si>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</si>
  <si>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</si>
  <si>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</si>
  <si>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</si>
  <si>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</si>
  <si>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</si>
  <si>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</si>
  <si>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</si>
  <si>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</si>
  <si>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</si>
  <si>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</si>
  <si>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</si>
  <si>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</si>
  <si>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</si>
  <si>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</si>
  <si>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</si>
  <si>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</si>
  <si>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</si>
  <si>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</si>
  <si>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</si>
  <si>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</si>
  <si>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</si>
  <si>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</si>
  <si>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</si>
  <si>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</si>
  <si>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</si>
  <si>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</si>
  <si>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</si>
  <si>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</si>
  <si>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</si>
  <si>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</si>
  <si>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</si>
  <si>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</si>
  <si>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</si>
  <si>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</si>
  <si>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</si>
  <si>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</si>
  <si>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</si>
  <si>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</si>
  <si>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</si>
  <si>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</si>
  <si>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</si>
  <si>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</si>
  <si>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</si>
  <si>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</si>
  <si>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</si>
  <si>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</si>
  <si>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</si>
  <si>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</si>
  <si>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</si>
  <si>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</si>
  <si>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</si>
  <si>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</si>
  <si>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</si>
  <si>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</si>
  <si>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</si>
  <si>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</si>
  <si>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</si>
  <si>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</si>
  <si>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</si>
  <si>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</si>
  <si>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</si>
  <si>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</si>
  <si>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</si>
  <si>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</si>
  <si>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</si>
  <si>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</si>
  <si>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</si>
  <si>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</si>
  <si>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</si>
  <si>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</si>
  <si>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</si>
  <si>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</si>
  <si>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</si>
  <si>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</si>
  <si>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</si>
  <si>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</si>
  <si>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</si>
  <si>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</si>
  <si>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</si>
  <si>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</si>
  <si>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</si>
  <si>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</si>
  <si>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</si>
  <si>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</si>
  <si>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</si>
  <si>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</si>
  <si>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</si>
  <si>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</si>
  <si>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</si>
  <si>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</si>
  <si>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</si>
  <si>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</si>
  <si>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</si>
  <si>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</si>
  <si>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</si>
  <si>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</si>
  <si>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</si>
  <si>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</si>
  <si>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</si>
  <si>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</si>
  <si>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</si>
  <si>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</si>
  <si>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</si>
  <si>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</si>
  <si>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</si>
  <si>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</si>
  <si>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</si>
  <si>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</si>
  <si>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</si>
  <si>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</si>
  <si>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</si>
  <si>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</si>
  <si>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</si>
  <si>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</si>
  <si>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</si>
  <si>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</si>
  <si>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</si>
  <si>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</si>
  <si>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</si>
  <si>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</si>
  <si>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</si>
  <si>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</si>
  <si>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</si>
  <si>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</si>
  <si>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</si>
  <si>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</si>
  <si>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</si>
  <si>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</si>
  <si>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</si>
  <si>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</si>
  <si>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</si>
  <si>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</si>
  <si>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</si>
  <si>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</si>
  <si>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</si>
  <si>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</si>
  <si>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</si>
  <si>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</si>
  <si>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</si>
  <si>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</si>
  <si>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</si>
  <si>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</si>
  <si>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</si>
  <si>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</si>
  <si>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</si>
  <si>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</si>
  <si>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</si>
  <si>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</si>
  <si>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</si>
  <si>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</si>
  <si>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</si>
  <si>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</si>
  <si>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</si>
  <si>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</si>
  <si>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</si>
  <si>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</si>
  <si>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</si>
  <si>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</si>
  <si>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</si>
  <si>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</si>
  <si>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</si>
  <si>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</si>
  <si>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</si>
  <si>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</si>
  <si>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</si>
  <si>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</si>
  <si>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</si>
  <si>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</si>
  <si>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</si>
  <si>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</si>
  <si>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</si>
  <si>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</si>
  <si>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</si>
  <si>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</si>
  <si>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</si>
  <si>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</si>
  <si>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</si>
  <si>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</si>
  <si>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</si>
  <si>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</si>
  <si>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</si>
  <si>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</si>
  <si>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</si>
  <si>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</si>
  <si>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</si>
  <si>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</si>
  <si>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</si>
  <si>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</si>
  <si>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</si>
  <si>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</si>
  <si>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</si>
  <si>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</si>
  <si>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</si>
  <si>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</si>
  <si>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</si>
  <si>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</si>
  <si>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</si>
  <si>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</si>
  <si>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</si>
  <si>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</si>
  <si>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</si>
  <si>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</si>
  <si>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</si>
  <si>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</si>
  <si>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</si>
  <si>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</si>
  <si>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</si>
  <si>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</si>
  <si>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</si>
  <si>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</si>
  <si>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</si>
  <si>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</si>
  <si>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</si>
  <si>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</si>
  <si>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</si>
  <si>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</si>
  <si>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</si>
  <si>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</si>
  <si>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</si>
  <si>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</si>
  <si>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</si>
  <si>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</si>
  <si>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</si>
  <si>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</si>
  <si>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</si>
  <si>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</si>
  <si>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</si>
  <si>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</si>
  <si>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</si>
  <si>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</si>
  <si>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</si>
  <si>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</si>
  <si>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</si>
  <si>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</si>
  <si>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</si>
  <si>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</si>
  <si>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</si>
  <si>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</si>
  <si>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</si>
  <si>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</si>
  <si>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</si>
  <si>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</si>
  <si>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</si>
  <si>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</si>
  <si>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</si>
  <si>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</si>
  <si>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</si>
  <si>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</si>
  <si>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</si>
  <si>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</si>
  <si>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</si>
  <si>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</si>
  <si>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</si>
  <si>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</si>
  <si>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</si>
  <si>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</si>
  <si>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</si>
  <si>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</si>
  <si>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</si>
  <si>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</si>
  <si>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</si>
  <si>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</si>
  <si>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</si>
  <si>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</si>
  <si>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</si>
  <si>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</si>
  <si>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</si>
  <si>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</si>
  <si>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</si>
  <si>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</si>
  <si>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</si>
  <si>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</si>
  <si>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</si>
  <si>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</si>
  <si>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</si>
  <si>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</si>
  <si>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</si>
  <si>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</si>
  <si>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</si>
  <si>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</si>
  <si>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</si>
  <si>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</si>
  <si>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</si>
  <si>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</si>
  <si>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</si>
  <si>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</si>
  <si>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</si>
  <si>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</si>
  <si>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</si>
  <si>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</si>
  <si>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</si>
  <si>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</si>
  <si>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</si>
  <si>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</si>
  <si>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</si>
  <si>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</si>
  <si>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</si>
  <si>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</si>
  <si>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</si>
  <si>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</si>
  <si>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</si>
  <si>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</si>
  <si>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</si>
  <si>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</si>
  <si>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</si>
  <si>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</si>
  <si>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</si>
  <si>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</si>
  <si>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</si>
  <si>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</si>
  <si>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</si>
  <si>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</si>
  <si>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</si>
  <si>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</si>
  <si>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</si>
  <si>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</si>
  <si>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</si>
  <si>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</si>
  <si>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</si>
  <si>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</si>
  <si>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</si>
  <si>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</si>
  <si>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</si>
  <si>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</si>
  <si>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</si>
  <si>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</si>
  <si>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</si>
  <si>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</si>
  <si>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</si>
  <si>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</si>
  <si>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</si>
  <si>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</si>
  <si>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</si>
  <si>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</si>
  <si>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</si>
  <si>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</si>
  <si>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</si>
  <si>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</si>
  <si>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</si>
  <si>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</si>
  <si>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</si>
  <si>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</si>
  <si>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</si>
  <si>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</si>
  <si>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</si>
  <si>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</si>
  <si>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</si>
  <si>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</si>
  <si>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</si>
  <si>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</si>
  <si>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</si>
  <si>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</si>
  <si>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</si>
  <si>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</si>
  <si>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</si>
  <si>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</si>
  <si>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</si>
  <si>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</si>
  <si>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</si>
  <si>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</si>
  <si>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</si>
  <si>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</si>
  <si>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</si>
  <si>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</si>
  <si>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</si>
  <si>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</si>
  <si>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</si>
  <si>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</si>
  <si>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</si>
  <si>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</si>
  <si>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</si>
  <si>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</si>
  <si>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</si>
  <si>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</si>
  <si>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</si>
  <si>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</si>
  <si>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</si>
  <si>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</si>
  <si>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</si>
  <si>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</si>
  <si>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</si>
  <si>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</si>
  <si>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</si>
  <si>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</si>
  <si>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</si>
  <si>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</si>
  <si>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</si>
  <si>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</si>
  <si>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</si>
  <si>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</si>
  <si>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</si>
  <si>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</si>
  <si>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</si>
  <si>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</si>
  <si>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</si>
  <si>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</si>
  <si>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</si>
  <si>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</si>
  <si>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</si>
  <si>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</si>
  <si>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</si>
  <si>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</si>
  <si>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</si>
  <si>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</si>
  <si>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</si>
  <si>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</si>
  <si>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</si>
  <si>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</si>
  <si>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</si>
  <si>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</si>
  <si>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</si>
  <si>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</si>
  <si>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</si>
  <si>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</si>
  <si>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</si>
  <si>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</si>
  <si>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</si>
  <si>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</si>
  <si>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</si>
  <si>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</si>
  <si>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</si>
  <si>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</si>
  <si>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</si>
  <si>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</si>
  <si>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</si>
  <si>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</si>
  <si>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</si>
  <si>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</si>
  <si>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</si>
  <si>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</si>
  <si>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</si>
  <si>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</si>
  <si>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</si>
  <si>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</si>
  <si>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</si>
  <si>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</si>
  <si>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</si>
  <si>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</si>
  <si>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</si>
  <si>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</si>
  <si>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</si>
  <si>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</si>
  <si>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</si>
  <si>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</si>
  <si>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</si>
  <si>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</si>
  <si>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</si>
  <si>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</si>
  <si>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</si>
  <si>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</si>
  <si>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</si>
  <si>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</si>
  <si>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</si>
  <si>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</si>
  <si>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</si>
  <si>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</si>
  <si>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</si>
  <si>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</si>
  <si>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</si>
  <si>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</si>
  <si>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</si>
  <si>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</si>
  <si>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</si>
  <si>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</si>
  <si>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</si>
  <si>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</si>
  <si>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</si>
  <si>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</si>
  <si>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</si>
  <si>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</si>
  <si>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</si>
  <si>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</si>
  <si>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</si>
  <si>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</si>
  <si>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</si>
  <si>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</si>
  <si>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</si>
  <si>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</si>
  <si>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</si>
  <si>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</si>
  <si>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</si>
  <si>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</si>
  <si>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</si>
  <si>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</si>
  <si>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</si>
  <si>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</si>
  <si>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</si>
  <si>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</si>
  <si>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</si>
  <si>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</si>
  <si>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</si>
  <si>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</si>
  <si>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</si>
  <si>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</si>
  <si>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</si>
  <si>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</si>
  <si>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</si>
  <si>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</si>
  <si>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</si>
  <si>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</si>
  <si>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</si>
  <si>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</si>
  <si>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</si>
  <si>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</si>
  <si>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</si>
  <si>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</si>
  <si>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</si>
  <si>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</si>
  <si>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</si>
  <si>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</si>
  <si>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</si>
  <si>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</si>
  <si>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</si>
  <si>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</si>
  <si>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</si>
  <si>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</si>
  <si>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</si>
  <si>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</si>
  <si>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</si>
  <si>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</si>
  <si>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</si>
  <si>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</si>
  <si>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</si>
  <si>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</si>
  <si>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</si>
  <si>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</si>
  <si>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</si>
  <si>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</si>
  <si>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</si>
  <si>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</si>
  <si>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</si>
  <si>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</si>
  <si>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</si>
  <si>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</si>
  <si>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</si>
  <si>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</si>
  <si>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</si>
  <si>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</si>
  <si>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</si>
  <si>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</si>
  <si>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</si>
  <si>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</si>
  <si>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</si>
  <si>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</si>
  <si>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</si>
  <si>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</si>
  <si>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</si>
  <si>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</si>
  <si>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</si>
  <si>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</si>
  <si>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</si>
  <si>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</si>
  <si>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</si>
  <si>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</si>
  <si>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</si>
  <si>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</si>
  <si>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</si>
  <si>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</si>
  <si>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</si>
  <si>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</si>
  <si>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</si>
  <si>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</si>
  <si>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</si>
  <si>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</si>
  <si>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</si>
  <si>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</si>
  <si>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</si>
  <si>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</si>
  <si>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</si>
  <si>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</si>
  <si>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</si>
  <si>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</si>
  <si>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</si>
  <si>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</si>
  <si>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</si>
  <si>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</si>
  <si>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</si>
  <si>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</si>
  <si>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</si>
  <si>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</si>
  <si>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</si>
  <si>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</si>
  <si>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</si>
  <si>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</si>
  <si>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</si>
  <si>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</si>
  <si>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</si>
  <si>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</si>
  <si>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</si>
  <si>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</si>
  <si>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</si>
  <si>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</si>
  <si>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</si>
  <si>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</si>
  <si>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</si>
  <si>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</si>
  <si>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</si>
  <si>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</si>
  <si>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</si>
  <si>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</si>
  <si>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</si>
  <si>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</si>
  <si>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</si>
  <si>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</si>
  <si>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</si>
  <si>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</si>
  <si>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</si>
  <si>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</si>
  <si>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</si>
  <si>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</si>
  <si>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</si>
  <si>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</si>
  <si>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</si>
  <si>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</si>
  <si>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</si>
  <si>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</si>
  <si>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</si>
  <si>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</si>
  <si>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</si>
  <si>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</si>
  <si>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</si>
  <si>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</si>
  <si>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</si>
  <si>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</si>
  <si>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</si>
  <si>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</si>
  <si>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</si>
  <si>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</si>
  <si>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</si>
  <si>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</si>
  <si>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</si>
  <si>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</si>
  <si>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</si>
  <si>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</si>
  <si>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</si>
  <si>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</si>
  <si>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</si>
  <si>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</si>
  <si>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</si>
  <si>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</si>
  <si>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</si>
  <si>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</si>
  <si>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</si>
  <si>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</si>
  <si>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</si>
  <si>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</si>
  <si>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</si>
  <si>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</si>
  <si>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</si>
  <si>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</si>
  <si>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</si>
  <si>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</si>
  <si>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</si>
  <si>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</si>
  <si>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</si>
  <si>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</si>
  <si>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</si>
  <si>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</si>
  <si>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</si>
  <si>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</si>
  <si>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</si>
  <si>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</si>
  <si>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</si>
  <si>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</si>
  <si>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</si>
  <si>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</si>
  <si>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</si>
  <si>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</si>
  <si>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</si>
  <si>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</si>
  <si>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</si>
  <si>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</si>
  <si>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</si>
  <si>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</si>
  <si>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</si>
  <si>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</si>
  <si>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</si>
  <si>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</si>
  <si>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</si>
  <si>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</si>
  <si>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</si>
  <si>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</si>
  <si>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</si>
  <si>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</si>
  <si>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</si>
  <si>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</si>
  <si>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</si>
  <si>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</si>
  <si>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</si>
  <si>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</si>
  <si>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</si>
  <si>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</si>
  <si>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</si>
  <si>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</si>
  <si>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</si>
  <si>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</si>
  <si>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</si>
  <si>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</si>
  <si>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</si>
  <si>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</si>
  <si>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</si>
  <si>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</si>
  <si>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</si>
  <si>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</si>
  <si>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</si>
  <si>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</si>
  <si>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</si>
  <si>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</si>
  <si>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</si>
  <si>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</si>
  <si>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</si>
  <si>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</si>
  <si>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</si>
  <si>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</si>
  <si>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</si>
  <si>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</si>
  <si>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</si>
  <si>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</si>
  <si>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</si>
  <si>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</si>
  <si>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</si>
  <si>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</si>
  <si>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</si>
  <si>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</si>
  <si>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</si>
  <si>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</si>
  <si>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</si>
  <si>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</si>
  <si>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</si>
  <si>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</si>
  <si>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</si>
  <si>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</si>
  <si>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</si>
  <si>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</si>
  <si>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</si>
  <si>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</si>
  <si>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</si>
  <si>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</si>
  <si>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</si>
  <si>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</si>
  <si>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</si>
  <si>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</si>
  <si>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</si>
  <si>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</si>
  <si>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</si>
  <si>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</si>
  <si>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</si>
  <si>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</si>
  <si>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</si>
  <si>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</si>
  <si>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</si>
  <si>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</si>
  <si>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</si>
  <si>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</si>
  <si>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</si>
  <si>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</si>
  <si>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</si>
  <si>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</si>
  <si>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</si>
  <si>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</si>
  <si>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</si>
  <si>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</si>
  <si>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</si>
  <si>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</si>
  <si>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</si>
  <si>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</si>
  <si>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</si>
  <si>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</si>
  <si>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</si>
  <si>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</si>
  <si>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</si>
  <si>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</si>
  <si>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</si>
  <si>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</si>
  <si>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</si>
  <si>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</si>
  <si>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</si>
  <si>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</si>
  <si>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</si>
  <si>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</si>
  <si>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</si>
  <si>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</si>
  <si>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</si>
  <si>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</si>
  <si>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</si>
  <si>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</si>
  <si>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</si>
  <si>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</si>
  <si>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</si>
  <si>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</si>
  <si>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</si>
  <si>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</si>
  <si>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</si>
  <si>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</si>
  <si>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</si>
  <si>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</si>
  <si>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</si>
  <si>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</si>
  <si>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</si>
  <si>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</si>
  <si>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</si>
  <si>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</si>
  <si>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</si>
  <si>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</si>
  <si>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</si>
  <si>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</si>
  <si>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</si>
  <si>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</si>
  <si>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</si>
  <si>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</si>
  <si>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</si>
  <si>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</si>
  <si>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</si>
  <si>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</si>
  <si>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</si>
  <si>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</si>
  <si>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</si>
  <si>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</si>
  <si>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</si>
  <si>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</si>
  <si>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</si>
  <si>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</si>
  <si>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</si>
  <si>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</si>
  <si>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</si>
  <si>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</si>
  <si>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</si>
  <si>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</si>
  <si>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</si>
  <si>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</si>
  <si>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</si>
  <si>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</si>
  <si>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</si>
  <si>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</si>
  <si>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</si>
  <si>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</si>
  <si>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</si>
  <si>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</si>
  <si>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</si>
  <si>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</si>
  <si>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</si>
  <si>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</si>
  <si>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</si>
  <si>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</si>
  <si>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</si>
  <si>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</si>
  <si>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</si>
  <si>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</si>
  <si>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</si>
  <si>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</si>
  <si>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</si>
  <si>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</si>
  <si>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</si>
  <si>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</si>
  <si>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</si>
  <si>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</si>
  <si>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</si>
  <si>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</si>
  <si>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</si>
  <si>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</si>
  <si>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</si>
  <si>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</si>
  <si>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</si>
  <si>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</si>
  <si>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</si>
  <si>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</si>
  <si>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</si>
  <si>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</si>
  <si>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</si>
  <si>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</si>
  <si>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</si>
  <si>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</si>
  <si>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</si>
  <si>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</si>
  <si>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</si>
  <si>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</si>
  <si>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</si>
  <si>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</si>
  <si>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</si>
  <si>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</si>
  <si>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</si>
  <si>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</si>
  <si>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</si>
  <si>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</si>
  <si>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</si>
  <si>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</si>
  <si>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</si>
  <si>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</si>
  <si>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</si>
  <si>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</si>
  <si>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</si>
  <si>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</si>
  <si>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</si>
  <si>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</si>
  <si>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</si>
  <si>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</si>
  <si>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</si>
  <si>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</si>
  <si>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</si>
  <si>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</si>
  <si>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</si>
  <si>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</si>
  <si>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</si>
  <si>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</si>
  <si>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</si>
  <si>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</si>
  <si>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</si>
  <si>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</si>
  <si>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</si>
  <si>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</si>
  <si>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</si>
  <si>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</si>
  <si>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</si>
  <si>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</si>
  <si>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</si>
  <si>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</si>
  <si>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</si>
  <si>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</si>
  <si>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</si>
  <si>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</si>
  <si>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</si>
  <si>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</si>
  <si>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</si>
  <si>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</si>
  <si>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</si>
  <si>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</si>
  <si>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</si>
  <si>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</si>
  <si>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</si>
  <si>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</si>
  <si>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</si>
  <si>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</si>
  <si>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</si>
  <si>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</si>
  <si>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</si>
  <si>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</si>
  <si>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</si>
  <si>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</si>
  <si>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</si>
  <si>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</si>
  <si>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</si>
  <si>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</si>
  <si>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</si>
  <si>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</si>
  <si>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</si>
  <si>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</si>
  <si>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</si>
  <si>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</si>
  <si>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</si>
  <si>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</si>
  <si>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</si>
  <si>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</si>
  <si>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</si>
  <si>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</si>
  <si>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</si>
  <si>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</si>
  <si>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</si>
  <si>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</si>
  <si>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</si>
  <si>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</si>
  <si>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</si>
  <si>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</si>
  <si>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</si>
  <si>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</si>
  <si>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</si>
  <si>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</si>
  <si>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</si>
  <si>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</si>
  <si>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</si>
  <si>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</si>
  <si>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</si>
  <si>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</si>
  <si>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</si>
  <si>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</si>
  <si>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</si>
  <si>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</si>
  <si>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</si>
  <si>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</si>
  <si>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</si>
  <si>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</si>
  <si>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</si>
  <si>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</si>
  <si>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</si>
  <si>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</si>
  <si>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</si>
  <si>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</si>
  <si>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</si>
  <si>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</si>
  <si>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</si>
  <si>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</si>
  <si>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</si>
  <si>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</si>
  <si>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</si>
  <si>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</si>
  <si>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</si>
  <si>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</si>
  <si>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</si>
  <si>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</si>
  <si>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</si>
  <si>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</si>
  <si>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</si>
  <si>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</si>
  <si>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</si>
  <si>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</si>
  <si>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</si>
  <si>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</si>
  <si>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</si>
  <si>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</si>
  <si>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</si>
  <si>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</si>
  <si>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</si>
  <si>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</si>
  <si>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</si>
  <si>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</si>
  <si>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</si>
  <si>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</si>
  <si>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</si>
  <si>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</si>
  <si>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</si>
  <si>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</si>
  <si>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</si>
  <si>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</si>
  <si>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</si>
  <si>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</si>
  <si>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</si>
  <si>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</si>
  <si>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</si>
  <si>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</si>
  <si>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</si>
  <si>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</si>
  <si>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</si>
  <si>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</si>
  <si>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</si>
  <si>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</si>
  <si>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</si>
  <si>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</si>
  <si>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</si>
  <si>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</si>
  <si>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</si>
  <si>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</si>
  <si>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</si>
  <si>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</si>
  <si>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</si>
  <si>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</si>
  <si>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</si>
  <si>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</si>
  <si>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</si>
  <si>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</si>
  <si>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</si>
  <si>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</si>
  <si>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</si>
  <si>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</si>
  <si>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</si>
  <si>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</si>
  <si>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</si>
  <si>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</si>
  <si>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</si>
  <si>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</si>
  <si>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</si>
  <si>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</si>
  <si>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</si>
  <si>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</si>
  <si>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</si>
  <si>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</si>
  <si>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</si>
  <si>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</si>
  <si>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</si>
  <si>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</si>
  <si>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</si>
  <si>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</si>
  <si>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</si>
  <si>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</si>
  <si>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</si>
  <si>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</si>
  <si>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</si>
  <si>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</si>
  <si>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</si>
  <si>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</si>
  <si>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</si>
  <si>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</si>
  <si>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</si>
  <si>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</si>
  <si>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</si>
  <si>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</si>
  <si>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</si>
  <si>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</si>
  <si>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</si>
  <si>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</si>
  <si>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</si>
  <si>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</si>
  <si>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</si>
  <si>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</si>
  <si>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</si>
  <si>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</si>
  <si>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</si>
  <si>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</si>
  <si>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</si>
  <si>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</si>
  <si>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</si>
  <si>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</si>
  <si>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</si>
  <si>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</si>
  <si>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</si>
  <si>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</si>
  <si>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</si>
  <si>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</si>
  <si>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</si>
  <si>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</si>
  <si>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</si>
  <si>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</si>
  <si>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</si>
  <si>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</si>
  <si>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</si>
  <si>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</si>
  <si>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</si>
  <si>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</si>
  <si>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</si>
  <si>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</si>
  <si>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</si>
  <si>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</si>
  <si>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</si>
  <si>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</si>
  <si>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</si>
  <si>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</si>
  <si>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</si>
  <si>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</si>
  <si>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</si>
  <si>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</si>
  <si>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</si>
  <si>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</si>
  <si>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</si>
  <si>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</si>
  <si>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</si>
  <si>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</si>
  <si>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</si>
  <si>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</si>
  <si>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</si>
  <si>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</si>
  <si>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</si>
  <si>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</si>
  <si>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</si>
  <si>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</si>
  <si>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</si>
  <si>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</si>
  <si>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</si>
  <si>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</si>
  <si>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</si>
  <si>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</si>
  <si>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</si>
  <si>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</si>
  <si>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</si>
  <si>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</si>
  <si>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</si>
  <si>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</si>
  <si>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</si>
  <si>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</si>
  <si>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</si>
  <si>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</si>
  <si>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</si>
  <si>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</si>
  <si>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</si>
  <si>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</si>
  <si>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</si>
  <si>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</si>
  <si>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</si>
  <si>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</si>
  <si>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</si>
  <si>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</si>
  <si>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</si>
  <si>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</si>
  <si>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</si>
  <si>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</si>
  <si>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</si>
  <si>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</si>
  <si>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</si>
  <si>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</si>
  <si>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</si>
  <si>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</si>
  <si>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</si>
  <si>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</si>
  <si>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</si>
  <si>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</si>
  <si>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</si>
  <si>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</si>
  <si>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</si>
  <si>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</si>
  <si>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</si>
  <si>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</si>
  <si>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</si>
  <si>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</si>
  <si>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</si>
  <si>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</si>
  <si>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</si>
  <si>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</si>
  <si>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</si>
  <si>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</si>
  <si>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</si>
  <si>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</si>
  <si>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</si>
  <si>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</si>
  <si>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</si>
  <si>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</si>
  <si>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</si>
  <si>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</si>
  <si>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</si>
  <si>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</si>
  <si>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</si>
  <si>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</si>
  <si>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</si>
  <si>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</si>
  <si>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</si>
  <si>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</si>
  <si>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</si>
  <si>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</si>
  <si>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</si>
  <si>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</si>
  <si>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</si>
  <si>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</si>
  <si>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</si>
  <si>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</si>
  <si>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</si>
  <si>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</si>
  <si>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</si>
  <si>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</si>
  <si>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</si>
  <si>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</si>
  <si>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</si>
  <si>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</si>
  <si>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</si>
  <si>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</si>
  <si>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</si>
  <si>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</si>
  <si>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</si>
  <si>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</si>
  <si>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</si>
  <si>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</si>
  <si>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</si>
  <si>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</si>
  <si>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</si>
  <si>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</si>
  <si>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</si>
  <si>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</si>
  <si>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</si>
  <si>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</si>
  <si>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</si>
  <si>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</si>
  <si>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</si>
  <si>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</si>
  <si>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</si>
  <si>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</si>
  <si>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</si>
  <si>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</si>
  <si>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</si>
  <si>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</si>
  <si>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</si>
  <si>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</si>
  <si>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</si>
  <si>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</si>
  <si>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</si>
  <si>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</si>
  <si>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</si>
  <si>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</si>
  <si>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</si>
  <si>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</si>
  <si>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</si>
  <si>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</si>
  <si>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</si>
  <si>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</si>
  <si>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</si>
  <si>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</si>
  <si>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</si>
  <si>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</si>
  <si>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</si>
  <si>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</si>
  <si>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</si>
  <si>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</si>
  <si>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</si>
  <si>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</si>
  <si>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</si>
  <si>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</si>
  <si>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</si>
  <si>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</si>
  <si>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</si>
  <si>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</si>
  <si>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</si>
  <si>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</si>
  <si>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</si>
  <si>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</si>
  <si>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</si>
  <si>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</si>
  <si>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</si>
  <si>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</si>
  <si>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</si>
  <si>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</si>
  <si>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</si>
  <si>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</si>
  <si>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</si>
  <si>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</si>
  <si>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</si>
  <si>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</si>
  <si>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</si>
  <si>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</si>
  <si>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</si>
  <si>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</si>
  <si>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</si>
  <si>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</si>
  <si>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</si>
  <si>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</si>
  <si>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</si>
  <si>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</si>
  <si>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</si>
  <si>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</si>
  <si>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</si>
  <si>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</si>
  <si>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</si>
  <si>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</si>
  <si>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</si>
  <si>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</si>
  <si>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</si>
  <si>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</si>
  <si>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</si>
  <si>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</si>
  <si>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</si>
  <si>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</si>
  <si>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</si>
  <si>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</si>
  <si>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</si>
  <si>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</si>
  <si>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</si>
  <si>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</si>
  <si>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</si>
  <si>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</si>
  <si>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</si>
  <si>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</si>
  <si>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</si>
  <si>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</si>
  <si>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</si>
  <si>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</si>
  <si>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</si>
  <si>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</si>
  <si>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</si>
  <si>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</si>
  <si>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</si>
  <si>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</si>
  <si>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</si>
  <si>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</si>
  <si>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</si>
  <si>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</si>
  <si>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</si>
  <si>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</si>
  <si>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</si>
  <si>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</si>
  <si>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</si>
  <si>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</si>
  <si>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</si>
  <si>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</si>
  <si>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</si>
  <si>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</si>
  <si>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</si>
  <si>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</si>
  <si>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</si>
  <si>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</si>
  <si>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</si>
  <si>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</si>
  <si>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</si>
  <si>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</si>
  <si>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</si>
  <si>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</si>
  <si>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</si>
  <si>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</si>
  <si>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</si>
  <si>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</si>
  <si>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</si>
  <si>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</si>
  <si>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</si>
  <si>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</si>
  <si>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</si>
  <si>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</si>
  <si>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</si>
  <si>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</si>
  <si>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</si>
  <si>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</si>
  <si>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</si>
  <si>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</si>
  <si>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</si>
  <si>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</si>
  <si>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</si>
  <si>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</si>
  <si>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</si>
  <si>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</si>
  <si>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</si>
  <si>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</si>
  <si>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</si>
  <si>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</si>
  <si>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</si>
  <si>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</si>
  <si>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</si>
  <si>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</si>
  <si>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</si>
  <si>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</si>
  <si>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</si>
  <si>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</si>
  <si>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</si>
  <si>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</si>
  <si>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</si>
  <si>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</si>
  <si>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</si>
  <si>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</si>
  <si>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</si>
  <si>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</si>
  <si>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</si>
  <si>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</si>
  <si>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</si>
  <si>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</si>
  <si>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</si>
  <si>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</si>
  <si>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</si>
  <si>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</si>
  <si>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</si>
  <si>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</si>
  <si>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</si>
  <si>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</si>
  <si>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</si>
  <si>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</si>
  <si>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</si>
  <si>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</si>
  <si>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</si>
  <si>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</si>
  <si>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</si>
  <si>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</si>
  <si>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</si>
  <si>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</si>
  <si>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</si>
  <si>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</si>
  <si>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</si>
  <si>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</si>
  <si>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</si>
  <si>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</si>
  <si>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</si>
  <si>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</si>
  <si>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</si>
  <si>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</si>
  <si>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</si>
  <si>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</si>
  <si>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</si>
  <si>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</si>
  <si>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</si>
  <si>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</si>
  <si>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</si>
  <si>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</si>
  <si>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</si>
  <si>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</si>
  <si>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</si>
  <si>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</si>
  <si>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</si>
  <si>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</si>
  <si>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</si>
  <si>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</si>
  <si>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</si>
  <si>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</si>
  <si>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</si>
  <si>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</si>
  <si>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</si>
  <si>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</si>
  <si>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</si>
  <si>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</si>
  <si>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</si>
  <si>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</si>
  <si>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</si>
  <si>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</si>
  <si>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</si>
  <si>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</si>
  <si>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</si>
  <si>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</si>
  <si>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</si>
  <si>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</si>
  <si>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</si>
  <si>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</si>
  <si>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</si>
  <si>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</si>
  <si>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</si>
  <si>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</si>
  <si>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</si>
  <si>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</si>
  <si>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</si>
  <si>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</si>
  <si>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</si>
  <si>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</si>
  <si>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</si>
  <si>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</si>
  <si>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</si>
  <si>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</si>
  <si>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</si>
  <si>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</si>
  <si>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</si>
  <si>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</si>
  <si>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</si>
  <si>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</si>
  <si>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</si>
  <si>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</si>
  <si>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</si>
  <si>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</si>
  <si>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</si>
  <si>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</si>
  <si>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</si>
  <si>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</si>
  <si>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</si>
  <si>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</si>
  <si>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</si>
  <si>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</si>
  <si>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</si>
  <si>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</si>
  <si>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</si>
  <si>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</si>
  <si>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</si>
  <si>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</si>
  <si>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</si>
  <si>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</si>
  <si>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</si>
  <si>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</si>
  <si>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</si>
  <si>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</si>
  <si>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</si>
  <si>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</si>
  <si>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</si>
  <si>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</si>
  <si>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</si>
  <si>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</si>
  <si>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</si>
  <si>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</si>
  <si>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</si>
  <si>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</si>
  <si>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</si>
  <si>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</si>
  <si>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</si>
  <si>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</si>
  <si>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</si>
  <si>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</si>
  <si>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</si>
  <si>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</si>
  <si>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</si>
  <si>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</si>
  <si>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</si>
  <si>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</si>
  <si>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</si>
  <si>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</si>
  <si>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</si>
  <si>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</si>
  <si>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</si>
  <si>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</si>
  <si>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</si>
  <si>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</si>
  <si>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</si>
  <si>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</si>
  <si>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</si>
  <si>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</si>
  <si>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</si>
  <si>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</si>
  <si>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</si>
  <si>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</si>
  <si>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</si>
  <si>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</si>
  <si>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</si>
  <si>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</si>
  <si>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</si>
  <si>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</si>
  <si>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</si>
  <si>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</si>
  <si>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</si>
  <si>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</si>
  <si>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</si>
  <si>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</si>
  <si>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</si>
  <si>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</si>
  <si>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</si>
  <si>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</si>
  <si>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</si>
  <si>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</si>
  <si>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</si>
  <si>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</si>
  <si>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</si>
  <si>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</si>
  <si>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</si>
  <si>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</si>
  <si>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</si>
  <si>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</si>
  <si>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</si>
  <si>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</si>
  <si>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</si>
  <si>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</si>
  <si>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</si>
  <si>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</si>
  <si>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</si>
  <si>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</si>
  <si>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</si>
  <si>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</si>
  <si>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</si>
  <si>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</si>
  <si>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</si>
  <si>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</si>
  <si>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</si>
  <si>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</si>
  <si>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</si>
  <si>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</si>
  <si>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</si>
  <si>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</si>
  <si>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</si>
  <si>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</si>
  <si>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</si>
  <si>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</si>
  <si>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</si>
  <si>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</si>
  <si>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</si>
  <si>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</si>
  <si>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</si>
  <si>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</si>
  <si>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</si>
  <si>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</si>
  <si>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</si>
  <si>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</si>
  <si>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</si>
  <si>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</si>
  <si>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</si>
  <si>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</si>
  <si>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</si>
  <si>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</si>
  <si>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</si>
  <si>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</si>
  <si>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</si>
  <si>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</si>
  <si>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</si>
  <si>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</si>
  <si>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</si>
  <si>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</si>
  <si>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</si>
  <si>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</si>
  <si>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</si>
  <si>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</si>
  <si>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</si>
  <si>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</si>
  <si>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</si>
  <si>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</si>
  <si>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</si>
  <si>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</si>
  <si>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</si>
  <si>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</si>
  <si>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</si>
  <si>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</si>
  <si>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</si>
  <si>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</si>
  <si>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</si>
  <si>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</si>
  <si>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</si>
  <si>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</si>
  <si>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</si>
  <si>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</si>
  <si>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</si>
  <si>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</si>
  <si>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</si>
  <si>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</si>
  <si>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</si>
  <si>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</si>
  <si>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</si>
  <si>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</si>
  <si>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</si>
  <si>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</si>
  <si>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</si>
  <si>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</si>
  <si>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</si>
  <si>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</si>
  <si>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</si>
  <si>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</si>
  <si>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</si>
  <si>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</si>
  <si>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</si>
  <si>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</si>
  <si>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</si>
  <si>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</si>
  <si>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</si>
  <si>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</si>
  <si>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</si>
  <si>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</si>
  <si>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</si>
  <si>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</si>
  <si>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</si>
  <si>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</si>
  <si>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</si>
  <si>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</si>
  <si>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</si>
  <si>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</si>
  <si>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</si>
  <si>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</si>
  <si>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</si>
  <si>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</si>
  <si>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</si>
  <si>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</si>
  <si>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</si>
  <si>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</si>
  <si>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</si>
  <si>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</si>
  <si>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</si>
  <si>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</si>
  <si>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</si>
  <si>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</si>
  <si>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</si>
  <si>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</si>
  <si>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</si>
  <si>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</si>
  <si>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</si>
  <si>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</si>
  <si>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</si>
  <si>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</si>
  <si>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</si>
  <si>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</si>
  <si>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</si>
  <si>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</si>
  <si>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</si>
  <si>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</si>
  <si>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</si>
  <si>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</si>
  <si>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</si>
  <si>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</si>
  <si>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</si>
  <si>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</si>
  <si>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</si>
  <si>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</si>
  <si>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</si>
  <si>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</si>
  <si>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</si>
  <si>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</si>
  <si>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</si>
  <si>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</si>
  <si>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</si>
  <si>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</si>
  <si>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</si>
  <si>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</si>
  <si>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</si>
  <si>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</si>
  <si>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</si>
  <si>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</si>
  <si>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</si>
  <si>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</si>
  <si>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</si>
  <si>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</si>
  <si>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</si>
  <si>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</si>
  <si>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</si>
  <si>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</si>
  <si>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</si>
  <si>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</si>
  <si>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</si>
  <si>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</si>
  <si>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</si>
  <si>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</si>
  <si>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</si>
  <si>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</si>
  <si>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</si>
  <si>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</si>
  <si>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</si>
  <si>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</si>
  <si>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</si>
  <si>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</si>
  <si>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</si>
  <si>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</si>
  <si>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</si>
  <si>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</si>
  <si>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</si>
  <si>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</si>
  <si>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</si>
  <si>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</si>
  <si>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</si>
  <si>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</si>
  <si>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</si>
  <si>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</si>
  <si>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</si>
  <si>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</si>
  <si>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</si>
  <si>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</si>
  <si>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</si>
  <si>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</si>
  <si>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</si>
  <si>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</si>
  <si>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</si>
  <si>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</si>
  <si>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</si>
  <si>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</si>
  <si>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</si>
  <si>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</si>
  <si>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</si>
  <si>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</si>
  <si>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</si>
  <si>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</si>
  <si>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</si>
  <si>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</si>
  <si>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</si>
  <si>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</si>
  <si>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</si>
  <si>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</si>
  <si>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</si>
  <si>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</si>
  <si>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</si>
  <si>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</si>
  <si>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</si>
  <si>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</si>
  <si>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</si>
  <si>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</si>
  <si>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</si>
  <si>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</si>
  <si>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</si>
  <si>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</si>
  <si>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</si>
  <si>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</si>
  <si>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</si>
  <si>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</si>
  <si>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</si>
  <si>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</si>
  <si>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</si>
  <si>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</si>
  <si>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</si>
  <si>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</si>
  <si>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</si>
  <si>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</si>
  <si>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</si>
  <si>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</si>
  <si>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</si>
  <si>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</si>
  <si>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</si>
  <si>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</si>
  <si>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</si>
  <si>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</si>
  <si>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</si>
  <si>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</si>
  <si>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</si>
  <si>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</si>
  <si>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</si>
  <si>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</si>
  <si>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</si>
  <si>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</si>
  <si>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</si>
  <si>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</si>
  <si>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</si>
  <si>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</si>
  <si>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</si>
  <si>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</si>
  <si>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</si>
  <si>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</si>
  <si>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</si>
  <si>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</si>
  <si>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</si>
  <si>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</si>
  <si>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</si>
  <si>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</si>
  <si>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</si>
  <si>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</si>
  <si>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</si>
  <si>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</si>
  <si>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</si>
  <si>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</si>
  <si>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</si>
  <si>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</si>
  <si>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</si>
  <si>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</si>
  <si>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</si>
  <si>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</si>
  <si>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</si>
  <si>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</si>
  <si>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</si>
  <si>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</si>
  <si>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</si>
  <si>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</si>
  <si>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</si>
  <si>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</si>
  <si>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</si>
  <si>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</si>
  <si>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</si>
  <si>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</si>
  <si>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</si>
  <si>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</si>
  <si>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</si>
  <si>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</si>
  <si>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</si>
  <si>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</si>
  <si>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</si>
  <si>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</si>
  <si>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</si>
  <si>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</si>
  <si>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</si>
  <si>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</si>
  <si>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</si>
  <si>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</si>
  <si>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</si>
  <si>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</si>
  <si>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</si>
  <si>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</si>
  <si>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</si>
  <si>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</si>
  <si>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</si>
  <si>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</si>
  <si>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</si>
  <si>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</si>
  <si>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</si>
  <si>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</si>
  <si>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</si>
  <si>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</si>
  <si>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</si>
  <si>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</si>
  <si>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</si>
  <si>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</si>
  <si>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</si>
  <si>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</si>
  <si>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</si>
  <si>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</si>
  <si>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</si>
  <si>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</si>
  <si>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</si>
  <si>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</si>
  <si>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</si>
  <si>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</si>
  <si>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</si>
  <si>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</si>
  <si>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</si>
  <si>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</si>
  <si>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</si>
  <si>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</si>
  <si>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</si>
  <si>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</si>
  <si>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</si>
  <si>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</si>
  <si>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</si>
  <si>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</si>
  <si>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</si>
  <si>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</si>
  <si>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</si>
  <si>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</si>
  <si>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</si>
  <si>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</si>
  <si>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</si>
  <si>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</si>
  <si>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</si>
  <si>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</si>
  <si>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</si>
  <si>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</si>
  <si>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</si>
  <si>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</si>
  <si>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</si>
  <si>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</si>
  <si>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</si>
  <si>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</si>
  <si>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</si>
  <si>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</si>
  <si>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</si>
  <si>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</si>
  <si>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</si>
  <si>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</si>
  <si>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</si>
  <si>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</si>
  <si>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</si>
  <si>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</si>
  <si>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</si>
  <si>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</si>
  <si>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</si>
  <si>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</si>
  <si>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</si>
  <si>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</si>
  <si>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</si>
  <si>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</si>
  <si>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</si>
  <si>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</si>
  <si>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</si>
  <si>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</si>
  <si>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</si>
  <si>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</si>
  <si>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</si>
  <si>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</si>
  <si>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</si>
  <si>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</si>
  <si>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</si>
  <si>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</si>
  <si>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</si>
  <si>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</si>
  <si>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</si>
  <si>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</si>
  <si>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</si>
  <si>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</si>
  <si>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</si>
  <si>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</si>
  <si>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</si>
  <si>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</si>
  <si>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</si>
  <si>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</si>
  <si>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</si>
  <si>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</si>
  <si>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</si>
  <si>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</si>
  <si>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</si>
  <si>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</si>
  <si>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</si>
  <si>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</si>
  <si>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</si>
  <si>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</si>
  <si>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</si>
  <si>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</si>
  <si>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</si>
  <si>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</si>
  <si>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</si>
  <si>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</si>
  <si>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</si>
  <si>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</si>
  <si>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</si>
  <si>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</si>
  <si>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</si>
  <si>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</si>
  <si>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</si>
  <si>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</si>
  <si>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</si>
  <si>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</si>
  <si>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</si>
  <si>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</si>
  <si>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</si>
  <si>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</si>
  <si>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</si>
  <si>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</si>
  <si>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</si>
  <si>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</si>
  <si>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</si>
  <si>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</si>
  <si>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</si>
  <si>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</si>
  <si>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</si>
  <si>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</si>
  <si>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</si>
  <si>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</si>
  <si>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</si>
  <si>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</si>
  <si>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</si>
  <si>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</si>
  <si>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</si>
  <si>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</si>
  <si>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</si>
  <si>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</si>
  <si>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</si>
  <si>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</si>
  <si>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</si>
  <si>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</si>
  <si>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</si>
  <si>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</si>
  <si>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</si>
  <si>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</si>
  <si>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</si>
  <si>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</si>
  <si>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</si>
  <si>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</si>
  <si>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</si>
  <si>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</si>
  <si>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</si>
  <si>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</si>
  <si>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</si>
  <si>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</si>
  <si>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</si>
  <si>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</si>
  <si>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</si>
  <si>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</si>
  <si>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</si>
  <si>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</si>
  <si>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</si>
  <si>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</si>
  <si>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</si>
  <si>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</si>
  <si>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</si>
  <si>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</si>
  <si>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</si>
  <si>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</si>
  <si>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</si>
  <si>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</si>
  <si>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</si>
  <si>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</si>
  <si>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</si>
  <si>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</si>
  <si>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</si>
  <si>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</si>
  <si>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</si>
  <si>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</si>
  <si>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</si>
  <si>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</si>
  <si>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</si>
  <si>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</si>
  <si>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</si>
  <si>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</si>
  <si>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</si>
  <si>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</si>
  <si>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</si>
  <si>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</si>
  <si>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</si>
  <si>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</si>
  <si>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</si>
  <si>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</si>
  <si>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</si>
  <si>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</si>
  <si>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</si>
  <si>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</si>
  <si>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</si>
  <si>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</si>
  <si>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</si>
  <si>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</si>
  <si>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</si>
  <si>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</si>
  <si>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</si>
  <si>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</si>
  <si>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</si>
  <si>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</si>
  <si>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</si>
  <si>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</si>
  <si>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</si>
  <si>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</si>
  <si>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</si>
  <si>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</si>
  <si>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</si>
  <si>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</si>
  <si>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</si>
  <si>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</si>
  <si>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</si>
  <si>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</si>
  <si>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</si>
  <si>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</si>
  <si>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</si>
  <si>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</si>
  <si>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</si>
  <si>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</si>
  <si>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</si>
  <si>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</si>
  <si>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</si>
  <si>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</si>
  <si>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</si>
  <si>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</si>
  <si>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</si>
  <si>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</si>
  <si>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</si>
  <si>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</si>
  <si>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</si>
  <si>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</si>
  <si>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</si>
  <si>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</si>
  <si>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</si>
  <si>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</si>
  <si>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</si>
  <si>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</si>
  <si>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</si>
  <si>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</si>
  <si>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</si>
  <si>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</si>
  <si>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</si>
  <si>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</si>
  <si>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</si>
  <si>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</si>
  <si>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</si>
  <si>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</si>
  <si>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</si>
  <si>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</si>
  <si>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</si>
  <si>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</si>
  <si>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</si>
  <si>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</si>
  <si>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</si>
  <si>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</si>
  <si>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</si>
  <si>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</si>
  <si>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</si>
  <si>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</si>
  <si>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</si>
  <si>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</si>
  <si>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</si>
  <si>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</si>
  <si>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</si>
  <si>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</si>
  <si>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</si>
  <si>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</si>
  <si>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</si>
  <si>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</si>
  <si>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</si>
  <si>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</si>
  <si>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</si>
  <si>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</si>
  <si>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</si>
  <si>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</si>
  <si>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</si>
  <si>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</si>
  <si>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</si>
  <si>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</si>
  <si>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</si>
  <si>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</si>
  <si>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</si>
  <si>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</si>
  <si>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</si>
  <si>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</si>
  <si>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</si>
  <si>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</si>
  <si>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</si>
  <si>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</si>
  <si>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</si>
  <si>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</si>
  <si>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</si>
  <si>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</si>
  <si>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</si>
  <si>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</si>
  <si>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</si>
  <si>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</si>
  <si>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</si>
  <si>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</si>
  <si>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</si>
  <si>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</si>
  <si>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</si>
  <si>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</si>
  <si>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</si>
  <si>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</si>
  <si>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</si>
  <si>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</si>
  <si>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</si>
  <si>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</si>
  <si>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</si>
  <si>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</si>
  <si>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</si>
  <si>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</si>
  <si>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</si>
  <si>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</si>
  <si>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</si>
  <si>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</si>
  <si>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</si>
  <si>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</si>
  <si>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</si>
  <si>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</si>
  <si>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</si>
  <si>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</si>
  <si>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</si>
  <si>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</si>
  <si>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</si>
  <si>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</si>
  <si>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</si>
  <si>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</si>
  <si>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</si>
  <si>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</si>
  <si>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</si>
  <si>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</si>
  <si>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</si>
  <si>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</si>
  <si>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</si>
  <si>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</si>
  <si>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</si>
  <si>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</si>
  <si>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</si>
  <si>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</si>
  <si>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</si>
  <si>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</si>
  <si>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</si>
  <si>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</si>
  <si>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</si>
  <si>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</si>
  <si>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</si>
  <si>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</si>
  <si>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</si>
  <si>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</si>
  <si>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</si>
  <si>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</si>
  <si>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</si>
  <si>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</si>
  <si>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</si>
  <si>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</si>
  <si>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</si>
  <si>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</si>
  <si>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</si>
  <si>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</si>
  <si>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</si>
  <si>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</si>
  <si>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</si>
  <si>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</si>
  <si>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</si>
  <si>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</si>
  <si>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</si>
  <si>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</si>
  <si>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</si>
  <si>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</si>
  <si>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</si>
  <si>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</si>
  <si>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</si>
  <si>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</si>
  <si>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</si>
  <si>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</si>
  <si>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</si>
  <si>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</si>
  <si>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</si>
  <si>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</si>
  <si>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</si>
  <si>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</si>
  <si>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</si>
  <si>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</si>
  <si>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</si>
  <si>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</si>
  <si>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</si>
  <si>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</si>
  <si>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</si>
  <si>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</si>
  <si>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</si>
  <si>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</si>
  <si>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</si>
  <si>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</si>
  <si>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</si>
  <si>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</si>
  <si>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</si>
  <si>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</si>
  <si>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</si>
  <si>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</si>
  <si>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</si>
  <si>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</si>
  <si>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</si>
  <si>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</si>
  <si>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</si>
  <si>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</si>
  <si>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</si>
  <si>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</si>
  <si>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</si>
  <si>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</si>
  <si>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</si>
  <si>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</si>
  <si>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</si>
  <si>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</si>
  <si>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</si>
  <si>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</si>
  <si>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</si>
  <si>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</si>
  <si>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</si>
  <si>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</si>
  <si>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</si>
  <si>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</si>
  <si>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</si>
  <si>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</si>
  <si>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</si>
  <si>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</si>
  <si>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</si>
  <si>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</si>
  <si>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</si>
  <si>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</si>
  <si>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</si>
  <si>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</si>
  <si>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</si>
  <si>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</si>
  <si>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</si>
  <si>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</si>
  <si>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</si>
  <si>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</si>
  <si>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</si>
  <si>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</si>
  <si>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</si>
  <si>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</si>
  <si>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</si>
  <si>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</si>
  <si>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</si>
  <si>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</si>
  <si>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</si>
  <si>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</si>
  <si>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</si>
  <si>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</si>
  <si>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</si>
  <si>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</si>
  <si>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</si>
  <si>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</si>
  <si>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</si>
  <si>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</si>
  <si>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</si>
  <si>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</si>
  <si>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</si>
  <si>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</si>
  <si>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</si>
  <si>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</si>
  <si>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</si>
  <si>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</si>
  <si>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</si>
  <si>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</si>
  <si>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</si>
  <si>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</si>
  <si>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</si>
  <si>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</si>
  <si>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</si>
  <si>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</si>
  <si>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</si>
  <si>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</si>
  <si>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</si>
  <si>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</si>
  <si>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</si>
  <si>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</si>
  <si>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</si>
  <si>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</si>
  <si>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</si>
  <si>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</si>
  <si>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</si>
  <si>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</si>
  <si>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</si>
  <si>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</si>
  <si>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</si>
  <si>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</si>
  <si>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</si>
  <si>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</si>
  <si>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</si>
  <si>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</si>
  <si>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</si>
  <si>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</si>
  <si>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</si>
  <si>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</si>
  <si>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</si>
  <si>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</si>
  <si>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</si>
  <si>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</si>
  <si>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</si>
  <si>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</si>
  <si>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</si>
  <si>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</si>
  <si>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</si>
  <si>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</si>
  <si>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</si>
  <si>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</si>
  <si>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</si>
  <si>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</si>
  <si>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</si>
  <si>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</si>
  <si>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</si>
  <si>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</si>
  <si>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</si>
  <si>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</si>
  <si>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</si>
  <si>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</si>
  <si>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</si>
  <si>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</si>
  <si>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</si>
  <si>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</si>
  <si>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</si>
  <si>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</si>
  <si>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</si>
  <si>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</si>
  <si>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</si>
  <si>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</si>
  <si>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</si>
  <si>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</si>
  <si>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</si>
  <si>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</si>
  <si>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</si>
  <si>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</si>
  <si>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</si>
  <si>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</si>
  <si>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</si>
  <si>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</si>
  <si>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</si>
  <si>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</si>
  <si>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</si>
  <si>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</si>
  <si>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</si>
  <si>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</si>
  <si>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</si>
  <si>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</si>
  <si>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</si>
  <si>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</si>
  <si>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</si>
  <si>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</si>
  <si>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</si>
  <si>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</si>
  <si>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</si>
  <si>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</si>
  <si>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</si>
  <si>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</si>
  <si>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</si>
  <si>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</si>
  <si>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</si>
  <si>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</si>
  <si>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</si>
  <si>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</si>
  <si>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</si>
  <si>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</si>
  <si>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</si>
  <si>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</si>
  <si>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</si>
  <si>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</si>
  <si>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</si>
  <si>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</si>
  <si>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</si>
  <si>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</si>
  <si>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</si>
  <si>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</si>
  <si>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</si>
  <si>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</si>
  <si>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</si>
  <si>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</si>
  <si>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</si>
  <si>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</si>
  <si>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</si>
  <si>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</si>
  <si>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</si>
  <si>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</si>
  <si>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</si>
  <si>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</si>
  <si>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</si>
  <si>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</si>
  <si>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</si>
  <si>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</si>
  <si>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</si>
  <si>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</si>
  <si>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</si>
  <si>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</si>
  <si>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</si>
  <si>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</si>
  <si>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</si>
  <si>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</si>
  <si>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</si>
  <si>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</si>
  <si>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</si>
  <si>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</si>
  <si>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</si>
  <si>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</si>
  <si>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</si>
  <si>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</si>
  <si>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</si>
  <si>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</si>
  <si>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</si>
  <si>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</si>
  <si>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</si>
  <si>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</si>
  <si>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</si>
  <si>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</si>
  <si>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</si>
  <si>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</si>
  <si>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</si>
  <si>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</si>
  <si>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</si>
  <si>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</si>
  <si>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</si>
  <si>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</si>
  <si>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</si>
  <si>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</si>
  <si>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</si>
  <si>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</si>
  <si>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</si>
  <si>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</si>
  <si>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</si>
  <si>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</si>
  <si>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</si>
  <si>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</si>
  <si>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</si>
  <si>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</si>
  <si>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</si>
  <si>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</si>
  <si>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</si>
  <si>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</si>
  <si>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</si>
  <si>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</si>
  <si>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</si>
  <si>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</si>
  <si>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</si>
  <si>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</si>
  <si>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</si>
  <si>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</si>
  <si>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</si>
  <si>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</si>
  <si>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</si>
  <si>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</si>
  <si>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</si>
  <si>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</si>
  <si>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</si>
  <si>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</si>
  <si>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</si>
  <si>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</si>
  <si>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</si>
  <si>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</si>
  <si>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</si>
  <si>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</si>
  <si>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</si>
  <si>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</si>
  <si>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</si>
  <si>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</si>
  <si>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</si>
  <si>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</si>
  <si>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</si>
  <si>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</si>
  <si>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</si>
  <si>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</si>
  <si>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</si>
  <si>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</si>
  <si>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</si>
  <si>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</si>
  <si>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</si>
  <si>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</si>
  <si>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</si>
  <si>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</si>
  <si>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</si>
  <si>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</si>
  <si>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</si>
  <si>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</si>
  <si>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</si>
  <si>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</si>
  <si>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</si>
  <si>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</si>
  <si>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</si>
  <si>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</si>
  <si>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</si>
  <si>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</si>
  <si>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</si>
  <si>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</si>
  <si>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</si>
  <si>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</si>
  <si>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</si>
  <si>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</si>
  <si>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</si>
  <si>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</si>
  <si>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</si>
  <si>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</si>
  <si>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</si>
  <si>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</si>
  <si>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</si>
  <si>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</si>
  <si>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</si>
  <si>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</si>
  <si>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</si>
  <si>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</si>
  <si>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</si>
  <si>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</si>
  <si>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</si>
  <si>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</si>
  <si>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</si>
  <si>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</si>
  <si>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</si>
  <si>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</si>
  <si>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</si>
  <si>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</si>
  <si>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</si>
  <si>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</si>
  <si>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</si>
  <si>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</si>
  <si>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</si>
  <si>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</si>
  <si>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</si>
  <si>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</si>
  <si>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</si>
  <si>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</si>
  <si>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</si>
  <si>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</si>
  <si>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</si>
  <si>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</si>
  <si>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</si>
  <si>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</si>
  <si>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</si>
  <si>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</si>
  <si>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</si>
  <si>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</si>
  <si>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</si>
  <si>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</si>
  <si>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</si>
  <si>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</si>
  <si>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</si>
  <si>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</si>
  <si>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</si>
  <si>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</si>
  <si>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</si>
  <si>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</si>
  <si>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</si>
  <si>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</si>
  <si>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</si>
  <si>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</si>
  <si>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</si>
  <si>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</si>
  <si>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</si>
  <si>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</si>
  <si>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</si>
  <si>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</si>
  <si>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</si>
  <si>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</si>
  <si>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</si>
  <si>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</si>
  <si>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</si>
  <si>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</si>
  <si>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</si>
  <si>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</si>
  <si>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</si>
  <si>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</si>
  <si>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</si>
  <si>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</si>
  <si>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</si>
  <si>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</si>
  <si>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</si>
  <si>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</si>
  <si>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</si>
  <si>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</si>
  <si>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</si>
  <si>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</si>
  <si>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</si>
  <si>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</si>
  <si>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</si>
  <si>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</si>
  <si>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</si>
  <si>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</si>
  <si>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</si>
  <si>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</si>
  <si>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</si>
  <si>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</si>
  <si>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</si>
  <si>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</si>
  <si>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</si>
  <si>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</si>
  <si>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</si>
  <si>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</si>
  <si>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</si>
  <si>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</si>
  <si>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</si>
  <si>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</si>
  <si>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</si>
  <si>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</si>
  <si>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</si>
  <si>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</si>
  <si>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</si>
  <si>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</si>
  <si>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</si>
  <si>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</si>
  <si>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</si>
  <si>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</si>
  <si>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</si>
  <si>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</si>
  <si>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</si>
  <si>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</si>
  <si>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</si>
  <si>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</si>
  <si>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</si>
  <si>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</si>
  <si>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</si>
  <si>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</si>
  <si>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</si>
  <si>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</si>
  <si>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</si>
  <si>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</si>
  <si>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</si>
  <si>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</si>
  <si>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</si>
  <si>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</si>
  <si>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</si>
  <si>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</si>
  <si>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</si>
  <si>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</si>
  <si>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</si>
  <si>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</si>
  <si>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</si>
  <si>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</si>
  <si>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</si>
  <si>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</si>
  <si>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</si>
  <si>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</si>
  <si>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</si>
  <si>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</si>
  <si>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</si>
  <si>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</si>
  <si>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</si>
  <si>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</si>
  <si>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</si>
  <si>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</si>
  <si>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</si>
  <si>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</si>
  <si>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</si>
  <si>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</si>
  <si>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</si>
  <si>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</si>
  <si>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</si>
  <si>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</si>
  <si>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</si>
  <si>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</si>
  <si>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</si>
  <si>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</si>
  <si>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</si>
  <si>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</si>
  <si>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</si>
  <si>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</si>
  <si>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</si>
  <si>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</si>
  <si>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</si>
  <si>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</si>
  <si>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</si>
  <si>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</si>
  <si>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</si>
  <si>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</si>
  <si>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</si>
  <si>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</si>
  <si>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</si>
  <si>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</si>
  <si>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</si>
  <si>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</si>
  <si>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</si>
  <si>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</si>
  <si>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</si>
  <si>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</si>
  <si>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</si>
  <si>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</si>
  <si>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</si>
  <si>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</si>
  <si>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</si>
  <si>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</si>
  <si>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</si>
  <si>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</si>
  <si>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</si>
  <si>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</si>
  <si>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</si>
  <si>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</si>
  <si>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</si>
  <si>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</si>
  <si>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</si>
  <si>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</si>
  <si>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</si>
  <si>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</si>
  <si>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</si>
  <si>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</si>
  <si>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</si>
  <si>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</si>
  <si>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</si>
  <si>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</si>
  <si>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</si>
  <si>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</si>
  <si>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</si>
  <si>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</si>
  <si>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</si>
  <si>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</si>
  <si>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</si>
  <si>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</si>
  <si>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</si>
  <si>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</si>
  <si>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</si>
  <si>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</si>
  <si>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</si>
  <si>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</si>
  <si>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</si>
  <si>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</si>
  <si>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</si>
  <si>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</si>
  <si>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</si>
  <si>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</si>
  <si>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</si>
  <si>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</si>
  <si>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</si>
  <si>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</si>
  <si>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</si>
  <si>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</si>
  <si>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</si>
  <si>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</si>
  <si>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</si>
  <si>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</si>
  <si>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</si>
  <si>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</si>
  <si>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</si>
  <si>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</si>
  <si>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</si>
  <si>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</si>
  <si>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</si>
  <si>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</si>
  <si>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</si>
  <si>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</si>
  <si>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</si>
  <si>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</si>
  <si>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</si>
  <si>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</si>
  <si>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</si>
  <si>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</si>
  <si>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</si>
  <si>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</si>
  <si>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</si>
  <si>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</si>
  <si>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</si>
  <si>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</si>
  <si>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</si>
  <si>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</si>
  <si>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</si>
  <si>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</si>
  <si>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</si>
  <si>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</si>
  <si>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</si>
  <si>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</si>
  <si>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</si>
  <si>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</si>
  <si>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</si>
  <si>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</si>
  <si>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</si>
  <si>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</si>
  <si>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</si>
  <si>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</si>
  <si>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</si>
  <si>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</si>
  <si>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</si>
  <si>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</si>
  <si>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</si>
  <si>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</si>
  <si>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</si>
  <si>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</si>
  <si>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</si>
  <si>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</si>
  <si>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</si>
  <si>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</si>
  <si>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</si>
  <si>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</si>
  <si>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</si>
  <si>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</si>
  <si>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</si>
  <si>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</si>
  <si>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</si>
  <si>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</si>
  <si>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</si>
  <si>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</si>
  <si>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</si>
  <si>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</si>
  <si>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</si>
  <si>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</si>
  <si>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</si>
  <si>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</si>
  <si>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</si>
  <si>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</si>
  <si>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</si>
  <si>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</si>
  <si>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</si>
  <si>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</si>
  <si>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</si>
  <si>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</si>
  <si>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</si>
  <si>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</si>
  <si>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</si>
  <si>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</si>
  <si>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</si>
  <si>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</si>
  <si>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</si>
  <si>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</si>
  <si>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</si>
  <si>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</si>
  <si>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</si>
  <si>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</si>
  <si>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</si>
  <si>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</si>
  <si>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</si>
  <si>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</si>
  <si>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</si>
  <si>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</si>
  <si>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</si>
  <si>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</si>
  <si>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</si>
  <si>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</si>
  <si>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</si>
  <si>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</si>
  <si>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</si>
  <si>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</si>
  <si>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</si>
  <si>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</si>
  <si>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</si>
  <si>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</si>
  <si>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</si>
  <si>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</si>
  <si>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</si>
  <si>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</si>
  <si>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</si>
  <si>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</si>
  <si>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</si>
  <si>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</si>
  <si>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</si>
  <si>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</si>
  <si>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</si>
  <si>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</si>
  <si>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</si>
  <si>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</si>
  <si>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</si>
  <si>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</si>
  <si>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</si>
  <si>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</si>
  <si>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</si>
  <si>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</si>
  <si>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</si>
  <si>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</si>
  <si>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</si>
  <si>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</si>
  <si>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</si>
  <si>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</si>
  <si>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</si>
  <si>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</si>
  <si>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</si>
  <si>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</si>
  <si>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</si>
  <si>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</si>
  <si>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</si>
  <si>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</si>
  <si>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</si>
  <si>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</si>
  <si>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</si>
  <si>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</si>
  <si>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</si>
  <si>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</si>
  <si>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</si>
  <si>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</si>
  <si>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</si>
  <si>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</si>
  <si>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</si>
  <si>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</si>
  <si>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</si>
  <si>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</si>
  <si>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</si>
  <si>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</si>
  <si>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</si>
  <si>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</si>
  <si>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</si>
  <si>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</si>
  <si>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</si>
  <si>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</si>
  <si>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</si>
  <si>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</si>
  <si>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</si>
  <si>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</si>
  <si>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</si>
  <si>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</si>
  <si>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</si>
  <si>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</si>
  <si>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</si>
  <si>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</si>
  <si>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</si>
  <si>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</si>
  <si>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</si>
  <si>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</si>
  <si>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</si>
  <si>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</si>
  <si>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</si>
  <si>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</si>
  <si>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</si>
  <si>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</si>
  <si>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</si>
  <si>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</si>
  <si>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</si>
  <si>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</si>
  <si>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</si>
  <si>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</si>
  <si>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</si>
  <si>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</si>
  <si>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</si>
  <si>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</si>
  <si>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</si>
  <si>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</si>
  <si>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</si>
  <si>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</si>
  <si>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</si>
  <si>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</si>
  <si>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</si>
  <si>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</si>
  <si>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</si>
  <si>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</si>
  <si>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</si>
  <si>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</si>
  <si>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</si>
  <si>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</si>
  <si>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</si>
  <si>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</si>
  <si>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</si>
  <si>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</si>
  <si>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</si>
  <si>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</si>
  <si>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</si>
  <si>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</si>
  <si>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</si>
  <si>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</si>
  <si>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</si>
  <si>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</si>
  <si>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</si>
  <si>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</si>
  <si>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</si>
  <si>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</si>
  <si>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</si>
  <si>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</si>
  <si>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</si>
  <si>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</si>
  <si>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</si>
  <si>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</si>
  <si>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</si>
  <si>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</si>
  <si>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</si>
  <si>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</si>
  <si>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</si>
  <si>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</si>
  <si>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</si>
  <si>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</si>
  <si>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</si>
  <si>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</si>
  <si>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</si>
  <si>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</si>
  <si>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</si>
  <si>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</si>
  <si>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</si>
  <si>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</si>
  <si>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</si>
  <si>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</si>
  <si>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</si>
  <si>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</si>
  <si>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</si>
  <si>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</si>
  <si>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</si>
  <si>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</si>
  <si>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</si>
  <si>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</si>
  <si>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</si>
  <si>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</si>
  <si>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</si>
  <si>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</si>
  <si>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</si>
  <si>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</si>
  <si>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</si>
  <si>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</si>
  <si>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</si>
  <si>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</si>
  <si>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</si>
  <si>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</si>
  <si>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</si>
  <si>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</si>
  <si>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</si>
  <si>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</si>
  <si>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</si>
  <si>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</si>
  <si>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</si>
  <si>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</si>
  <si>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</si>
  <si>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</si>
  <si>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</si>
  <si>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</si>
  <si>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</si>
  <si>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</si>
  <si>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</si>
  <si>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</si>
  <si>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</si>
  <si>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</si>
  <si>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</si>
  <si>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</si>
  <si>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</si>
  <si>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</si>
  <si>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</si>
  <si>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</si>
  <si>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</si>
  <si>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</si>
  <si>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</si>
  <si>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</si>
  <si>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</si>
  <si>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</si>
  <si>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</si>
  <si>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</si>
  <si>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</si>
  <si>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</si>
  <si>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</si>
  <si>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</si>
  <si>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</si>
  <si>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</si>
  <si>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</si>
  <si>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</si>
  <si>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</si>
  <si>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</si>
  <si>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</si>
  <si>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</si>
  <si>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</si>
  <si>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</si>
  <si>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</si>
  <si>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</si>
  <si>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</si>
  <si>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</si>
  <si>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</si>
  <si>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</si>
  <si>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</si>
  <si>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</si>
  <si>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</si>
  <si>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</si>
  <si>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</si>
  <si>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</si>
  <si>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</si>
  <si>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</si>
  <si>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</si>
  <si>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</si>
  <si>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</si>
  <si>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</si>
  <si>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</si>
  <si>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</si>
  <si>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</si>
  <si>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</si>
  <si>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</si>
  <si>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</si>
  <si>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</si>
  <si>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</si>
  <si>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</si>
  <si>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</si>
  <si>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</si>
  <si>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</si>
  <si>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</si>
  <si>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</si>
  <si>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</si>
  <si>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</si>
  <si>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</si>
  <si>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</si>
  <si>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</si>
  <si>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</si>
  <si>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</si>
  <si>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</si>
  <si>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</si>
  <si>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</si>
  <si>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</si>
  <si>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</si>
  <si>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</si>
  <si>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</si>
  <si>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</si>
  <si>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</si>
  <si>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</si>
  <si>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</si>
  <si>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</si>
  <si>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</si>
  <si>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</si>
  <si>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</si>
  <si>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</si>
  <si>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</si>
  <si>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</si>
  <si>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</si>
  <si>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</si>
  <si>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</si>
  <si>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</si>
  <si>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</si>
  <si>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</si>
  <si>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</si>
  <si>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</si>
  <si>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</si>
  <si>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</si>
  <si>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</si>
  <si>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</si>
  <si>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</si>
  <si>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</si>
  <si>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</si>
  <si>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</si>
  <si>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</si>
  <si>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</si>
  <si>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</si>
  <si>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</si>
  <si>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</si>
  <si>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</si>
  <si>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</si>
  <si>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</si>
  <si>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</si>
  <si>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</si>
  <si>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</si>
  <si>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</si>
  <si>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</si>
  <si>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</si>
  <si>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</si>
  <si>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</si>
  <si>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</si>
  <si>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</si>
  <si>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</si>
  <si>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</si>
  <si>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</si>
  <si>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</si>
  <si>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</si>
  <si>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</si>
  <si>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</si>
  <si>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</si>
  <si>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</si>
  <si>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</si>
  <si>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</si>
  <si>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</si>
  <si>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</si>
  <si>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</si>
  <si>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</si>
  <si>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</si>
  <si>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</si>
  <si>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</si>
  <si>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</si>
  <si>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</si>
  <si>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</si>
  <si>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</si>
  <si>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</si>
  <si>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</si>
  <si>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</si>
  <si>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</si>
  <si>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</si>
  <si>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</si>
  <si>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</si>
  <si>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</si>
  <si>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</si>
  <si>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</si>
  <si>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</si>
  <si>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</si>
  <si>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</si>
  <si>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</si>
  <si>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</si>
  <si>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</si>
  <si>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</si>
  <si>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</si>
  <si>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</si>
  <si>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</si>
  <si>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</si>
  <si>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</si>
  <si>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</si>
  <si>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</si>
  <si>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</si>
  <si>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</si>
  <si>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</si>
  <si>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</si>
  <si>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</si>
  <si>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</si>
  <si>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</si>
  <si>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</si>
  <si>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</si>
  <si>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</si>
  <si>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</si>
  <si>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</si>
  <si>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</si>
  <si>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</si>
  <si>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</si>
  <si>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</si>
  <si>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</si>
  <si>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</si>
  <si>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</si>
  <si>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</si>
  <si>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</si>
  <si>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</si>
  <si>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</si>
  <si>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</si>
  <si>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</si>
  <si>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</si>
  <si>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</si>
  <si>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</si>
  <si>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</si>
  <si>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</si>
  <si>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</si>
  <si>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</si>
  <si>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</si>
  <si>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</si>
  <si>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</si>
  <si>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</si>
  <si>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</si>
  <si>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</si>
  <si>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</si>
  <si>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</si>
  <si>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</si>
  <si>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</si>
  <si>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</si>
  <si>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</si>
  <si>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</si>
  <si>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</si>
  <si>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</si>
  <si>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</si>
  <si>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</si>
  <si>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</si>
  <si>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</si>
  <si>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</si>
  <si>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</si>
  <si>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</si>
  <si>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</si>
  <si>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</si>
  <si>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</si>
  <si>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</si>
  <si>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</si>
  <si>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</si>
  <si>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</si>
  <si>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</si>
  <si>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</si>
  <si>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</si>
  <si>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</si>
  <si>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</si>
  <si>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</si>
  <si>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</si>
  <si>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</si>
  <si>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</si>
  <si>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</si>
  <si>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</si>
  <si>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</si>
  <si>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</si>
  <si>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</si>
  <si>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</si>
  <si>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</si>
  <si>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</si>
  <si>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</si>
  <si>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</si>
  <si>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</si>
  <si>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</si>
  <si>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</si>
  <si>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</si>
  <si>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</si>
  <si>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</si>
  <si>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</si>
  <si>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</si>
  <si>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</si>
  <si>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</si>
  <si>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</si>
  <si>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</si>
  <si>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</si>
  <si>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</si>
  <si>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</si>
  <si>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</si>
  <si>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</si>
  <si>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</si>
  <si>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</si>
  <si>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</si>
  <si>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</si>
  <si>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</si>
  <si>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</si>
  <si>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</si>
  <si>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</si>
  <si>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</si>
  <si>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</si>
  <si>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</si>
  <si>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</si>
  <si>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</si>
  <si>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</si>
  <si>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</si>
  <si>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</si>
  <si>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</si>
  <si>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</si>
  <si>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</si>
  <si>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</si>
  <si>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</si>
  <si>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</si>
  <si>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</si>
  <si>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</si>
  <si>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</si>
  <si>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</si>
  <si>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</si>
  <si>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</si>
  <si>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</si>
  <si>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</si>
  <si>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</si>
  <si>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</si>
  <si>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</si>
  <si>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</si>
  <si>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</si>
  <si>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</si>
  <si>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</si>
  <si>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</si>
  <si>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</si>
  <si>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</si>
  <si>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</si>
  <si>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</si>
  <si>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</si>
  <si>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</si>
  <si>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</si>
  <si>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</si>
  <si>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</si>
  <si>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</si>
  <si>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</si>
  <si>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</si>
  <si>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</si>
  <si>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</si>
  <si>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</si>
  <si>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</si>
  <si>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</si>
  <si>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</si>
  <si>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</si>
  <si>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</si>
  <si>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</si>
  <si>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</si>
  <si>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</si>
  <si>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</si>
  <si>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</si>
  <si>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</si>
  <si>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</si>
  <si>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</si>
  <si>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</si>
  <si>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</si>
  <si>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</si>
  <si>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</si>
  <si>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</si>
  <si>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</si>
  <si>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</si>
  <si>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</si>
  <si>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</si>
  <si>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</si>
  <si>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</si>
  <si>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</si>
  <si>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</si>
  <si>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</si>
  <si>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</si>
  <si>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</si>
  <si>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</si>
  <si>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</si>
  <si>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</si>
  <si>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</si>
  <si>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</si>
  <si>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</si>
  <si>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</si>
  <si>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</si>
  <si>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</si>
  <si>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</si>
  <si>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</si>
  <si>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</si>
  <si>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</si>
  <si>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</si>
  <si>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</si>
  <si>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</si>
  <si>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</si>
  <si>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</si>
  <si>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</si>
  <si>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</si>
  <si>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</si>
  <si>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</si>
  <si>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</si>
  <si>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</si>
  <si>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</si>
  <si>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</si>
  <si>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</si>
  <si>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</si>
  <si>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</si>
  <si>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</si>
  <si>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</si>
  <si>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</si>
  <si>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</si>
  <si>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</si>
  <si>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</si>
  <si>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</si>
  <si>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</si>
  <si>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</si>
  <si>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</si>
  <si>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</si>
  <si>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</si>
  <si>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</si>
  <si>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</si>
  <si>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</si>
  <si>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</si>
  <si>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</si>
  <si>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</si>
  <si>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</si>
  <si>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</si>
  <si>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</si>
  <si>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</si>
  <si>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</si>
  <si>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</si>
  <si>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</si>
  <si>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</si>
  <si>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</si>
  <si>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</si>
  <si>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</si>
  <si>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</si>
  <si>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</si>
  <si>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</si>
  <si>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</si>
  <si>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</si>
  <si>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</si>
  <si>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</si>
  <si>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</si>
  <si>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</si>
  <si>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</si>
  <si>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</si>
  <si>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</si>
  <si>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</si>
  <si>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</si>
  <si>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</si>
  <si>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</si>
  <si>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</si>
  <si>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</si>
  <si>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</si>
  <si>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</si>
  <si>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</si>
  <si>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</si>
  <si>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</si>
  <si>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</si>
  <si>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</si>
  <si>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</si>
  <si>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</si>
  <si>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</si>
  <si>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</si>
  <si>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</si>
  <si>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</si>
  <si>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</si>
  <si>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</si>
  <si>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</si>
  <si>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</si>
  <si>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</si>
  <si>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</si>
  <si>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</si>
  <si>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</si>
  <si>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</si>
  <si>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</si>
  <si>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</si>
  <si>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</si>
  <si>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</si>
  <si>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</si>
  <si>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</si>
  <si>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</si>
  <si>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</si>
  <si>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</si>
  <si>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</si>
  <si>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</si>
  <si>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</si>
  <si>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</si>
  <si>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</si>
  <si>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</si>
  <si>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</si>
  <si>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</si>
  <si>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</si>
  <si>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</si>
  <si>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</si>
  <si>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</si>
  <si>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</si>
  <si>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</si>
  <si>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</si>
  <si>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</si>
  <si>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</si>
  <si>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</si>
  <si>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</si>
  <si>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</si>
  <si>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</si>
  <si>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</si>
  <si>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</si>
  <si>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</si>
  <si>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</si>
  <si>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</si>
  <si>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</si>
  <si>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</si>
  <si>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</si>
  <si>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</si>
  <si>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</si>
  <si>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</si>
  <si>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</si>
  <si>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</si>
  <si>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</si>
  <si>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</si>
  <si>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</si>
  <si>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</si>
  <si>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</si>
  <si>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</si>
  <si>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</si>
  <si>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</si>
  <si>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</si>
  <si>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</si>
  <si>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</si>
  <si>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</si>
  <si>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</si>
  <si>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</si>
  <si>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</si>
  <si>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</si>
  <si>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</si>
  <si>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</si>
  <si>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</si>
  <si>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</si>
  <si>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</si>
  <si>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</si>
  <si>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</si>
  <si>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</si>
  <si>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</si>
  <si>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</si>
  <si>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</si>
  <si>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</si>
  <si>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</si>
  <si>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</si>
  <si>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</si>
  <si>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</si>
  <si>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</si>
  <si>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</si>
  <si>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</si>
  <si>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</si>
  <si>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</si>
  <si>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</si>
  <si>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</si>
  <si>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</si>
  <si>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</si>
  <si>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</si>
  <si>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</si>
  <si>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</si>
  <si>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</si>
  <si>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</si>
  <si>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</si>
  <si>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</si>
  <si>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</si>
  <si>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</si>
  <si>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</si>
  <si>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</si>
  <si>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</si>
  <si>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</si>
  <si>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</si>
  <si>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</si>
  <si>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</si>
  <si>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</si>
  <si>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</si>
  <si>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</si>
  <si>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</si>
  <si>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</si>
  <si>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</si>
  <si>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</si>
  <si>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</si>
  <si>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</si>
  <si>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</si>
  <si>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</si>
  <si>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</si>
  <si>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</si>
  <si>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</si>
  <si>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</si>
  <si>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</si>
  <si>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</si>
  <si>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</si>
  <si>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</si>
  <si>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</si>
  <si>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</si>
  <si>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</si>
  <si>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</si>
  <si>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</si>
  <si>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</si>
  <si>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</si>
  <si>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</si>
  <si>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</si>
  <si>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</si>
  <si>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</si>
  <si>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</si>
  <si>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</si>
  <si>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</si>
  <si>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</si>
  <si>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</si>
  <si>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</si>
  <si>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</si>
  <si>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</si>
  <si>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</si>
  <si>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</si>
  <si>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</si>
  <si>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</si>
  <si>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</si>
  <si>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</si>
  <si>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</si>
  <si>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</si>
  <si>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</si>
  <si>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</si>
  <si>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</si>
  <si>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</si>
  <si>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</si>
  <si>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</si>
  <si>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</si>
  <si>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</si>
  <si>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</si>
  <si>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</si>
  <si>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</si>
  <si>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</si>
  <si>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</si>
  <si>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</si>
  <si>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</si>
  <si>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</si>
  <si>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</si>
  <si>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</si>
  <si>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</si>
  <si>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</si>
  <si>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</si>
  <si>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</si>
  <si>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</si>
  <si>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</si>
  <si>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</si>
  <si>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</si>
  <si>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</si>
  <si>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</si>
  <si>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</si>
  <si>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</si>
  <si>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</si>
  <si>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</si>
  <si>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</si>
  <si>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</si>
  <si>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</si>
  <si>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</si>
  <si>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</si>
  <si>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</si>
  <si>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</si>
  <si>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</si>
  <si>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</si>
  <si>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</si>
  <si>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</si>
  <si>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</si>
  <si>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</si>
  <si>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</si>
  <si>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</si>
  <si>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</si>
  <si>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</si>
  <si>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</si>
  <si>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</si>
  <si>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</si>
  <si>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</si>
  <si>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</si>
  <si>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</si>
  <si>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</si>
  <si>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</si>
  <si>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</si>
  <si>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</si>
  <si>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</si>
  <si>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</si>
  <si>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</si>
  <si>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</si>
  <si>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</si>
  <si>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</si>
  <si>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</si>
  <si>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</si>
  <si>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</si>
  <si>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</si>
  <si>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</si>
  <si>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</si>
  <si>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</si>
  <si>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</si>
  <si>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</si>
  <si>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</si>
  <si>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</si>
  <si>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</si>
  <si>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</si>
  <si>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</si>
  <si>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</si>
  <si>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</si>
  <si>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</si>
  <si>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</si>
  <si>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</si>
  <si>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</si>
  <si>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</si>
  <si>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</si>
  <si>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</si>
  <si>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</si>
  <si>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</si>
  <si>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</si>
  <si>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</si>
  <si>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</si>
  <si>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</si>
  <si>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</si>
  <si>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</si>
  <si>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</si>
  <si>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</si>
  <si>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</si>
  <si>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</si>
  <si>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</si>
  <si>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</si>
  <si>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</si>
  <si>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</si>
  <si>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</si>
  <si>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</si>
  <si>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</si>
  <si>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</si>
  <si>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</si>
  <si>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</si>
  <si>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</si>
  <si>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</si>
  <si>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</si>
  <si>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</si>
  <si>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</si>
  <si>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</si>
  <si>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</si>
  <si>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</si>
  <si>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</si>
  <si>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</si>
  <si>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</si>
  <si>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</si>
  <si>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</si>
  <si>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</si>
  <si>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</si>
  <si>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</si>
  <si>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</si>
  <si>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</si>
  <si>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</si>
  <si>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</si>
  <si>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</si>
  <si>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</si>
  <si>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</si>
  <si>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</si>
  <si>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</si>
  <si>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</si>
  <si>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</si>
  <si>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</si>
  <si>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</si>
  <si>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</si>
  <si>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</si>
  <si>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</si>
  <si>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</si>
  <si>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</si>
  <si>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</si>
  <si>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</si>
  <si>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</si>
  <si>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</si>
  <si>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</si>
  <si>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</si>
  <si>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</si>
  <si>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</si>
  <si>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</si>
  <si>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</si>
  <si>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</si>
  <si>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</si>
  <si>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</si>
  <si>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</si>
  <si>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</si>
  <si>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</si>
  <si>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</si>
  <si>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</si>
  <si>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</si>
  <si>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</si>
  <si>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</si>
  <si>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</si>
  <si>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</si>
  <si>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</si>
  <si>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</si>
  <si>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</si>
  <si>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</si>
  <si>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</si>
  <si>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</si>
  <si>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</si>
  <si>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</si>
  <si>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</si>
  <si>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</si>
  <si>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</si>
  <si>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</si>
  <si>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</si>
  <si>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</si>
  <si>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</si>
  <si>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</si>
  <si>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</si>
  <si>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</si>
  <si>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</si>
  <si>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</si>
  <si>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</si>
  <si>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</si>
  <si>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</si>
  <si>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</si>
  <si>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</si>
  <si>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</si>
  <si>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</si>
  <si>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</si>
  <si>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</si>
  <si>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</si>
  <si>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</si>
  <si>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</si>
  <si>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</si>
  <si>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</si>
  <si>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</si>
  <si>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</si>
  <si>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</si>
  <si>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</si>
  <si>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</si>
  <si>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</si>
  <si>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</si>
  <si>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</si>
  <si>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</si>
  <si>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</si>
  <si>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</si>
  <si>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</si>
  <si>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</si>
  <si>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</si>
  <si>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</si>
  <si>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</si>
  <si>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</si>
  <si>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</si>
  <si>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</si>
  <si>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</si>
  <si>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</si>
  <si>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</si>
  <si>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</si>
  <si>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</si>
  <si>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</si>
  <si>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</si>
  <si>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</si>
  <si>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</si>
  <si>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</si>
  <si>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</si>
  <si>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</si>
  <si>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</si>
  <si>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</si>
  <si>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</si>
  <si>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</si>
  <si>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</si>
  <si>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</si>
  <si>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</si>
  <si>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</si>
  <si>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</si>
  <si>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</si>
  <si>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</si>
  <si>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</si>
  <si>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</si>
  <si>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</si>
  <si>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</si>
  <si>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</si>
  <si>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</si>
  <si>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</si>
  <si>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</si>
  <si>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</si>
  <si>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</si>
  <si>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</si>
  <si>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</si>
  <si>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</si>
  <si>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</si>
  <si>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</si>
  <si>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</si>
  <si>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</si>
  <si>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</si>
  <si>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</si>
  <si>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</si>
  <si>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</si>
  <si>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</si>
  <si>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</si>
  <si>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</si>
  <si>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</si>
  <si>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</si>
  <si>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</si>
  <si>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</si>
  <si>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</si>
  <si>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</si>
  <si>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</si>
  <si>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</si>
  <si>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</si>
  <si>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</si>
  <si>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</si>
  <si>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</si>
  <si>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</si>
  <si>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</si>
  <si>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</si>
  <si>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</si>
  <si>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</si>
  <si>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</si>
  <si>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</si>
  <si>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</si>
  <si>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</si>
  <si>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</si>
  <si>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</si>
  <si>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</si>
  <si>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</si>
  <si>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</si>
  <si>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</si>
  <si>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</si>
  <si>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</si>
  <si>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</si>
  <si>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</si>
  <si>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</si>
  <si>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</si>
  <si>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</si>
  <si>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</si>
  <si>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</si>
  <si>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</si>
  <si>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</si>
  <si>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</si>
  <si>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</si>
  <si>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</si>
  <si>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</si>
  <si>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</si>
  <si>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</si>
  <si>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</si>
  <si>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</si>
  <si>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</si>
  <si>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</si>
  <si>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</si>
  <si>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</si>
  <si>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</si>
  <si>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</si>
  <si>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</si>
  <si>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</si>
  <si>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</si>
  <si>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</si>
  <si>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</si>
  <si>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</si>
  <si>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</si>
  <si>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</si>
  <si>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</si>
  <si>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</si>
  <si>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</si>
  <si>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</si>
  <si>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</si>
  <si>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</si>
  <si>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</si>
  <si>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</si>
  <si>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</si>
  <si>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</si>
  <si>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</si>
  <si>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</si>
  <si>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</si>
  <si>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</si>
  <si>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</si>
  <si>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</si>
  <si>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</si>
  <si>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</si>
  <si>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</si>
  <si>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</si>
  <si>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</si>
  <si>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</si>
  <si>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</si>
  <si>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</si>
  <si>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</si>
  <si>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</si>
  <si>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</si>
  <si>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</si>
  <si>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</si>
  <si>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</si>
  <si>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</si>
  <si>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</si>
  <si>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</si>
  <si>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</si>
  <si>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</si>
  <si>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</si>
  <si>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</si>
  <si>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</si>
  <si>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</si>
  <si>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</si>
  <si>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</si>
  <si>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</si>
  <si>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</si>
  <si>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</si>
  <si>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</si>
  <si>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</si>
  <si>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</si>
  <si>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</si>
  <si>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</si>
  <si>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</si>
  <si>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</si>
  <si>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</si>
  <si>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</si>
  <si>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</si>
  <si>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</si>
  <si>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</si>
  <si>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</si>
  <si>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</si>
  <si>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</si>
  <si>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</si>
  <si>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</si>
  <si>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</si>
  <si>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</si>
  <si>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</si>
  <si>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</si>
  <si>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</si>
  <si>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92-001-09</t>
  </si>
  <si>
    <t>92-002-09</t>
  </si>
  <si>
    <t>92-003-09</t>
  </si>
  <si>
    <t>92-004-09</t>
  </si>
  <si>
    <t>92-005-09</t>
  </si>
  <si>
    <t>92-006-09</t>
  </si>
  <si>
    <t>92-007-09</t>
  </si>
  <si>
    <t>92-008-09</t>
  </si>
  <si>
    <t>92-009-09</t>
  </si>
  <si>
    <t>92-010-09</t>
  </si>
  <si>
    <t>92-011-09</t>
  </si>
  <si>
    <t>92-012-09</t>
  </si>
  <si>
    <t>92-013-09</t>
  </si>
  <si>
    <t>92-014-72</t>
  </si>
  <si>
    <t>92-015-09</t>
  </si>
  <si>
    <t>92-016-72</t>
  </si>
  <si>
    <t>92-017-72</t>
  </si>
  <si>
    <t>92-018-65</t>
  </si>
  <si>
    <t>92-019-72</t>
  </si>
  <si>
    <t>92-020-09</t>
  </si>
  <si>
    <t>92-021-72</t>
  </si>
  <si>
    <t>92-022-65</t>
  </si>
  <si>
    <t>92-023-08</t>
  </si>
  <si>
    <t>92-024-72</t>
  </si>
  <si>
    <t>92-025-72</t>
  </si>
  <si>
    <t>92-026-09</t>
  </si>
  <si>
    <t>92-027-32</t>
  </si>
  <si>
    <t>92-028-09</t>
  </si>
  <si>
    <t>92-029-10</t>
  </si>
  <si>
    <t>92-030-41</t>
  </si>
  <si>
    <t>92-031-65</t>
  </si>
  <si>
    <t>92-032-21</t>
  </si>
  <si>
    <t>92-033-26</t>
  </si>
  <si>
    <t>92-034-41</t>
  </si>
  <si>
    <t>92-035-09</t>
  </si>
  <si>
    <t>92-036-08</t>
  </si>
  <si>
    <t>92-037-09</t>
  </si>
  <si>
    <t>92-038-09</t>
  </si>
  <si>
    <t>92-039-09</t>
  </si>
  <si>
    <t>92-040-73</t>
  </si>
  <si>
    <t>92-041-83</t>
  </si>
  <si>
    <t>92-042-08</t>
  </si>
  <si>
    <t>92-043-83</t>
  </si>
  <si>
    <t>92-044-04</t>
  </si>
  <si>
    <t>92-045-72</t>
  </si>
  <si>
    <t>92-046-10</t>
  </si>
  <si>
    <t>92-047-11</t>
  </si>
  <si>
    <t>92-048-15</t>
  </si>
  <si>
    <t>92-049-72</t>
  </si>
  <si>
    <t>92-050-72</t>
  </si>
  <si>
    <t>100-CTW020-CA003-BK BEVERLY HILLS TONAL INTERLOCK</t>
  </si>
  <si>
    <t>100-CTW020-CA010-BK BEL AIR TONAL INTERLOCK</t>
  </si>
  <si>
    <t>100-CTW020-CA012-BK COMPTON TONAL INTERLOCK</t>
  </si>
  <si>
    <t>100-CTW020-CA013-BK SOUTH CENTRAL TONAL INTERLOCK</t>
  </si>
  <si>
    <t>100-CTW020-CA027-BK CHAVEZ RAVINE TONAL INTERLOCK</t>
  </si>
  <si>
    <t>100-CTW020-CA030-BK LONG BEACH TONAL INTERLOCK</t>
  </si>
  <si>
    <t>100-CTW020-MI001-BK 8 MILE TONAL INTERLOCK</t>
  </si>
  <si>
    <t>100-CTW020-NY003-BK BED STUY TONAL INTERLOCK</t>
  </si>
  <si>
    <t>100-CTW020-NY019-BK HARLEM TONAL INTERLOCK</t>
  </si>
  <si>
    <t>100-CTW020-NY022-BK HELL'S KITCHEN TONAL INTERLOCK</t>
  </si>
  <si>
    <t>100-CTW020-NY031-BK PARK HILL TONAL INTERLOCK</t>
  </si>
  <si>
    <t>100-CTW020-NY068-BK CONEY ISLAND TONAL INTERLOCK</t>
  </si>
  <si>
    <t>100-CTW020-PA003-BK LOVE PARK TONAL INTERLOCK</t>
  </si>
  <si>
    <t>100-MWL001-CA005-BK Hidden Hills, CA</t>
  </si>
  <si>
    <t>100-MWL001-NY015-BK Marcy, NY</t>
  </si>
  <si>
    <t>100-MWL001-NY022-BK Hell's Kitchen II</t>
  </si>
  <si>
    <t>100-MWL001-NY076-BK Kings County</t>
  </si>
  <si>
    <t>100-MWL003-PA013-NY HAPPY VALLEY Zombie Nation</t>
  </si>
  <si>
    <t>100-MWL005-CA069-BK Los Angeles VIII</t>
  </si>
  <si>
    <t>100-MWL005-CA069-BKA Los Angeles X</t>
  </si>
  <si>
    <t>100-MWL005-CA087-BK San Francisco II</t>
  </si>
  <si>
    <t>100-MWL005-CO005-MN Colorado II</t>
  </si>
  <si>
    <t>100-MWL005-GA003-HW Atlanta III</t>
  </si>
  <si>
    <t>100-MWL005-IL011-BK Chicago IV</t>
  </si>
  <si>
    <t>100-MWL005-IL011-BKA Chicago VII</t>
  </si>
  <si>
    <t>100-MWL005-MD007-BK Baltimore</t>
  </si>
  <si>
    <t>100-MWL005-MI010-NY Detroit III</t>
  </si>
  <si>
    <t>100-MWL005-NV001-BKA Las Vegas IV</t>
  </si>
  <si>
    <t>100-MWL005-NY020-HW Brooklyn II</t>
  </si>
  <si>
    <t>100-MWL005-NY066-AT New York IX</t>
  </si>
  <si>
    <t>100-MWL005-NY066-NY New York VII</t>
  </si>
  <si>
    <t>100-MWL005-NY066-RL New York III</t>
  </si>
  <si>
    <t>100-MWL005-TX005-HW Dallas III</t>
  </si>
  <si>
    <t>100-MWL005-WA004-AT Washington IV</t>
  </si>
  <si>
    <t>100-MWL025-CA006-FT VENICE TONAL 3D</t>
  </si>
  <si>
    <t>100-MWL025-CA012-HW COMPTON TONAL 3D</t>
  </si>
  <si>
    <t>100-MWL025-CA016-BK KOREATOWN TONAL 3D</t>
  </si>
  <si>
    <t>100-MWL025-NY018-BK BRONX TONAL 3D</t>
  </si>
  <si>
    <t>100-MWL025-NY027-FT QUEENS TONAL 3D</t>
  </si>
  <si>
    <t>103-SWC001-CA001-KH Brentwood Cord</t>
  </si>
  <si>
    <t>103-SWC001-CA002-KH Westwood Cord</t>
  </si>
  <si>
    <t>103-SWC001-CA007-GY Fairfax Cord</t>
  </si>
  <si>
    <t>103-SWC001-CA008-MC Malibu Cord II</t>
  </si>
  <si>
    <t>103-SWC001-NY001-KH Flatbush Cord</t>
  </si>
  <si>
    <t>103-SWC001-NY015-BK Marcy Cord</t>
  </si>
  <si>
    <t>103-SWC001-NY022-GY Hell's Kitchen Cord</t>
  </si>
  <si>
    <t>103-SWC001-NY037-BD Queensbridge Cord</t>
  </si>
  <si>
    <t>103-SWC001-UT002-MC Deer Valley Cord</t>
  </si>
  <si>
    <t>103-SWC002-NY020-BK Brooklyn Cord</t>
  </si>
  <si>
    <t>103-SWC003-CA047-ST Jack Murphy Cord</t>
  </si>
  <si>
    <t>Hood</t>
  </si>
  <si>
    <t>HOOD</t>
  </si>
  <si>
    <t>BLACK</t>
  </si>
  <si>
    <t>Maroon</t>
  </si>
  <si>
    <t>Highway</t>
  </si>
  <si>
    <t>Atlantic</t>
  </si>
  <si>
    <t>Royal</t>
  </si>
  <si>
    <t>FRESH TAR</t>
  </si>
  <si>
    <t>HIGHWAY</t>
  </si>
  <si>
    <t>Khaki</t>
  </si>
  <si>
    <t>Grey</t>
  </si>
  <si>
    <t>Mocha</t>
  </si>
  <si>
    <t>Bud</t>
  </si>
  <si>
    <t>Stout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</si>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</sst>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2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3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2" xfId="16" applyBorder="1"/>
    <xf numFmtId="0" fontId="28" fillId="0" borderId="0" xfId="16"/>
    <xf numFmtId="49" fontId="28" fillId="0" borderId="0" xfId="16" applyNumberFormat="1" applyAlignment="1">
      <alignment horizontal="center"/>
    </xf>
    <xf numFmtId="0" fontId="26" fillId="6" borderId="1" xfId="17" applyNumberFormat="1" applyFont="1" applyFill="1" applyBorder="1" applyAlignment="1">
      <alignment horizontal="left" vertical="top"/>
    </xf>
    <xf numFmtId="49" fontId="26" fillId="6" borderId="1" xfId="17" applyNumberFormat="1" applyFont="1" applyFill="1" applyBorder="1" applyAlignment="1">
      <alignment horizontal="right" vertical="top"/>
    </xf>
    <xf numFmtId="1" fontId="26" fillId="6" borderId="1" xfId="17" applyNumberFormat="1" applyFont="1" applyFill="1" applyBorder="1" applyAlignment="1">
      <alignment horizontal="right" vertical="top"/>
    </xf>
    <xf numFmtId="168" fontId="26" fillId="6" borderId="1" xfId="17" applyNumberFormat="1" applyFont="1" applyFill="1" applyBorder="1" applyAlignment="1">
      <alignment horizontal="right" vertical="top"/>
    </xf>
    <xf numFmtId="169" fontId="26" fillId="6" borderId="1" xfId="17" applyNumberFormat="1" applyFont="1" applyFill="1" applyBorder="1" applyAlignment="1">
      <alignment horizontal="right" vertical="top"/>
    </xf>
    <xf numFmtId="0" fontId="26" fillId="6" borderId="1" xfId="17" applyNumberFormat="1" applyFont="1" applyFill="1" applyBorder="1" applyAlignment="1">
      <alignment horizontal="right" vertical="top"/>
    </xf>
    <xf numFmtId="0" fontId="26" fillId="6" borderId="1" xfId="18" applyNumberFormat="1" applyFont="1" applyFill="1" applyBorder="1" applyAlignment="1">
      <alignment horizontal="left" vertical="top"/>
    </xf>
    <xf numFmtId="0" fontId="26" fillId="6" borderId="1" xfId="19" applyNumberFormat="1" applyFont="1" applyFill="1" applyBorder="1" applyAlignment="1">
      <alignment horizontal="left" vertical="top"/>
    </xf>
    <xf numFmtId="3" fontId="26" fillId="6" borderId="1" xfId="20" applyNumberFormat="1" applyFont="1" applyFill="1" applyBorder="1" applyAlignment="1">
      <alignment horizontal="right" vertical="top"/>
    </xf>
    <xf numFmtId="0" fontId="26" fillId="6" borderId="1" xfId="20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1" fontId="26" fillId="6" borderId="1" xfId="23" applyNumberFormat="1" applyFont="1" applyFill="1" applyBorder="1" applyAlignment="1">
      <alignment horizontal="right" vertical="top"/>
    </xf>
    <xf numFmtId="0" fontId="26" fillId="6" borderId="1" xfId="24" applyNumberFormat="1" applyFont="1" applyFill="1" applyBorder="1" applyAlignment="1">
      <alignment horizontal="left" vertical="top"/>
    </xf>
    <xf numFmtId="0" fontId="26" fillId="6" borderId="1" xfId="25" applyNumberFormat="1" applyFont="1" applyFill="1" applyBorder="1" applyAlignment="1">
      <alignment horizontal="left" vertical="top"/>
    </xf>
    <xf numFmtId="0" fontId="26" fillId="6" borderId="1" xfId="26" applyNumberFormat="1" applyFont="1" applyFill="1" applyBorder="1" applyAlignment="1">
      <alignment horizontal="left" vertical="top"/>
    </xf>
    <xf numFmtId="3" fontId="26" fillId="6" borderId="1" xfId="26" applyNumberFormat="1" applyFont="1" applyFill="1" applyBorder="1" applyAlignment="1">
      <alignment horizontal="righ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4" fillId="0" borderId="0" xfId="12" applyFont="1"/>
    <xf numFmtId="0" fontId="6" fillId="3" borderId="4" xfId="12" applyFont="1" applyFill="1" applyBorder="1" applyAlignment="1">
      <alignment horizontal="center"/>
    </xf>
    <xf numFmtId="0" fontId="6" fillId="3" borderId="5" xfId="12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3" fillId="0" borderId="0" xfId="12" applyFont="1"/>
    <xf numFmtId="0" fontId="3" fillId="0" borderId="0" xfId="12" applyFont="1" applyAlignment="1">
      <alignment horizontal="center" vertical="center"/>
    </xf>
    <xf numFmtId="0" fontId="31" fillId="2" borderId="3" xfId="12" applyFont="1" applyFill="1" applyBorder="1"/>
    <xf numFmtId="0" fontId="31" fillId="2" borderId="3" xfId="12" applyFont="1" applyFill="1" applyBorder="1" applyAlignment="1">
      <alignment horizontal="center"/>
    </xf>
    <xf numFmtId="0" fontId="31" fillId="2" borderId="3" xfId="12" applyFont="1" applyFill="1" applyBorder="1" applyAlignment="1">
      <alignment horizontal="center" vertical="center"/>
    </xf>
    <xf numFmtId="166" fontId="31" fillId="2" borderId="3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4" xfId="12" applyFill="1" applyBorder="1" applyAlignment="1">
      <alignment horizontal="center" vertical="center"/>
    </xf>
    <xf numFmtId="0" fontId="31" fillId="2" borderId="6" xfId="12" applyFont="1" applyFill="1" applyBorder="1"/>
    <xf numFmtId="0" fontId="31" fillId="2" borderId="7" xfId="12" applyFont="1" applyFill="1" applyBorder="1"/>
    <xf numFmtId="0" fontId="19" fillId="4" borderId="8" xfId="12" applyFont="1" applyFill="1" applyBorder="1"/>
    <xf numFmtId="0" fontId="15" fillId="0" borderId="9" xfId="0" applyFont="1" applyBorder="1"/>
    <xf numFmtId="0" fontId="0" fillId="0" borderId="9" xfId="0" applyBorder="1"/>
    <xf numFmtId="0" fontId="19" fillId="4" borderId="8" xfId="12" applyFont="1" applyFill="1" applyBorder="1" applyAlignment="1"/>
    <xf numFmtId="0" fontId="15" fillId="0" borderId="9" xfId="0" applyFont="1" applyBorder="1" applyAlignment="1"/>
    <xf numFmtId="0" fontId="0" fillId="0" borderId="9" xfId="0" applyBorder="1" applyAlignment="1"/>
    <xf numFmtId="0" fontId="29" fillId="11" borderId="8" xfId="0" applyFont="1" applyFill="1" applyBorder="1" applyAlignment="1">
      <alignment textRotation="90"/>
    </xf>
    <xf numFmtId="0" fontId="29" fillId="12" borderId="8" xfId="0" applyFont="1" applyFill="1" applyBorder="1" applyAlignment="1">
      <alignment textRotation="90"/>
    </xf>
    <xf numFmtId="0" fontId="31" fillId="2" borderId="10" xfId="12" applyFont="1" applyFill="1" applyBorder="1"/>
    <xf numFmtId="0" fontId="31" fillId="2" borderId="11" xfId="12" applyFont="1" applyFill="1" applyBorder="1"/>
    <xf numFmtId="0" fontId="21" fillId="0" borderId="9" xfId="12" applyFont="1" applyBorder="1"/>
    <xf numFmtId="44" fontId="16" fillId="0" borderId="9" xfId="14" applyFont="1" applyFill="1" applyBorder="1"/>
    <xf numFmtId="166" fontId="0" fillId="0" borderId="9" xfId="13" applyFont="1" applyBorder="1"/>
    <xf numFmtId="0" fontId="16" fillId="0" borderId="9" xfId="12" applyFont="1" applyBorder="1"/>
    <xf numFmtId="0" fontId="7" fillId="0" borderId="9" xfId="12" applyBorder="1"/>
    <xf numFmtId="0" fontId="6" fillId="3" borderId="5" xfId="12" applyFont="1" applyFill="1" applyBorder="1" applyAlignment="1">
      <alignment horizontal="left" vertical="center"/>
    </xf>
    <xf numFmtId="0" fontId="31" fillId="2" borderId="12" xfId="12" applyFont="1" applyFill="1" applyBorder="1" applyAlignment="1">
      <alignment horizontal="left" vertical="center"/>
    </xf>
    <xf numFmtId="0" fontId="6" fillId="3" borderId="13" xfId="12" applyFont="1" applyFill="1" applyBorder="1" applyAlignment="1">
      <alignment horizontal="center" vertical="center"/>
    </xf>
    <xf numFmtId="0" fontId="6" fillId="3" borderId="9" xfId="12" applyFont="1" applyFill="1" applyBorder="1" applyAlignment="1">
      <alignment horizontal="center"/>
    </xf>
    <xf numFmtId="0" fontId="19" fillId="2" borderId="10" xfId="12" applyFont="1" applyFill="1" applyBorder="1"/>
    <xf numFmtId="0" fontId="16" fillId="3" borderId="9" xfId="12" applyFont="1" applyFill="1" applyBorder="1"/>
    <xf numFmtId="0" fontId="31" fillId="2" borderId="11" xfId="12" applyFont="1" applyFill="1" applyBorder="1" applyAlignment="1">
      <alignment horizontal="left" vertical="center"/>
    </xf>
    <xf numFmtId="0" fontId="7" fillId="3" borderId="9" xfId="12" applyFill="1" applyBorder="1"/>
    <xf numFmtId="0" fontId="7" fillId="3" borderId="14" xfId="12" applyFill="1" applyBorder="1"/>
    <xf numFmtId="0" fontId="0" fillId="0" borderId="0" xfId="0" applyBorder="1"/>
    <xf numFmtId="0" fontId="15" fillId="3" borderId="15" xfId="0" applyFont="1" applyFill="1" applyBorder="1" applyAlignment="1">
      <alignment horizontal="center" textRotation="90"/>
    </xf>
    <xf numFmtId="0" fontId="15" fillId="3" borderId="13" xfId="0" applyFont="1" applyFill="1" applyBorder="1" applyAlignment="1">
      <alignment horizontal="center" textRotation="90"/>
    </xf>
    <xf numFmtId="0" fontId="29" fillId="3" borderId="15" xfId="0" applyFont="1" applyFill="1" applyBorder="1" applyAlignment="1">
      <alignment horizontal="center" textRotation="90"/>
    </xf>
    <xf numFmtId="0" fontId="29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6" fillId="0" borderId="13" xfId="12" applyFont="1" applyBorder="1"/>
    <xf numFmtId="0" fontId="31" fillId="2" borderId="16" xfId="12" applyFont="1" applyFill="1" applyBorder="1"/>
    <xf numFmtId="0" fontId="0" fillId="0" borderId="17" xfId="0" applyBorder="1"/>
    <xf numFmtId="0" fontId="15" fillId="0" borderId="17" xfId="0" applyFont="1" applyBorder="1"/>
    <xf numFmtId="0" fontId="16" fillId="0" borderId="17" xfId="12" applyFont="1" applyBorder="1"/>
    <xf numFmtId="0" fontId="2" fillId="0" borderId="0" xfId="31"/>
    <xf numFmtId="0" fontId="1" fillId="0" borderId="0" xfId="31" applyFont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37684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37685</v>
      </c>
      <c r="B531" s="28" t="s">
        <v>3453</v>
      </c>
    </row>
    <row r="532" spans="1:2" x14ac:dyDescent="0.25">
      <c r="A532" s="28" t="s">
        <v>37686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51"/>
  <sheetViews>
    <sheetView tabSelected="1" topLeftCell="T1" zoomScaleNormal="100" workbookViewId="0">
      <pane ySplit="1" topLeftCell="A2" activePane="bottomLeft" state="frozen"/>
      <selection pane="bottomLeft" activeCell="AO10" sqref="AO10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51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267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92-050-72</v>
      </c>
      <c r="B2" s="128" t="str">
        <f ca="1">UPPER(_xlfn.XLOOKUP($A2,Строчный!$A:$A,Строчный!B:B,"ERR",0))</f>
        <v>103-SWC003-CA047-ST JACK MURPHY CORD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 с прямым козырьком</v>
      </c>
      <c r="E2" s="101" t="str">
        <f ca="1">PROPER(_xlfn.XLOOKUP($A2,Строчный!$A:$A,Строчный!E:E,"ERR",0))</f>
        <v>Hood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HOOD</v>
      </c>
      <c r="H2" s="101" t="str">
        <f ca="1">LOWER(_xlfn.XLOOKUP($A2,Строчный!$A:$A,Строчный!H:H,"ERR",0))</f>
        <v>stout</v>
      </c>
      <c r="I2" s="101" t="str">
        <f ca="1">LOWER(_xlfn.XLOOKUP($A2,Строчный!$A:$A,Строчный!I:I,"ERR",0))</f>
        <v>коричневый / 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LOWER(_xlfn.XLOOKUP($A2,Строчный!$A:$A,Строчный!K:K,"ERR",0))</f>
        <v>хлопковые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Соединенные Штаты</v>
      </c>
      <c r="N2" s="110">
        <f ca="1">VALUE(_xlfn.XLOOKUP($A2,Строчный!$A:$A,Строчный!N:N,"ERR",0))</f>
        <v>2184</v>
      </c>
      <c r="O2" s="109" t="str">
        <f ca="1">_xlfn.XLOOKUP($G2,Фабрика!A:A,Фабрика!B:B,"ERR",0)</f>
        <v>HOOD HAT, LLC; 15332 Antioch st., #211 Pacific Palisades, CA 90272, USA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3</v>
      </c>
      <c r="R2" s="14" t="s">
        <v>283</v>
      </c>
      <c r="S2" s="122" t="str">
        <f t="shared" ref="S2:S33" ca="1" si="0">CONCATENATE(Y2," ",G2," арт. ",B2," (",I2,")")</f>
        <v>Бейсболка HOOD арт. 103-SWC003-CA047-ST JACK MURPHY CORD (коричневый / красный)</v>
      </c>
      <c r="T2" s="121" t="str">
        <f t="shared" ref="T2:T33" ca="1" si="1">CONCATENATE(Y2," ",G2," арт. ",B2," (",I2,") {",H2,"}")</f>
        <v>Бейсболка HOOD арт. 103-SWC003-CA047-ST JACK MURPHY CORD (коричневый / красный) {stout}</v>
      </c>
      <c r="U2" s="18" t="str">
        <f t="shared" ref="U2:U33" ca="1" si="2">IFERROR(MID(I2,FIND("-",I2)+1,LEN(I2)),IFERROR(MID(I2,1,FIND("/",I2)-2),I2))</f>
        <v>коричневый</v>
      </c>
      <c r="V2" s="18" t="str">
        <f t="shared" ref="V2:V33" ca="1" si="3">IFERROR(MID(I2,FIND("-",I2)+1,LEN(I2)),IFERROR(MID(I2,FIND("/",I2)+2,LEN(I2)),I2))</f>
        <v>красный</v>
      </c>
      <c r="W2" s="119" t="str">
        <f ca="1">_xlfn.XLOOKUP(A2,'Цвета артикулов'!A:A,'Цвета артикулов'!B:B,IFERROR(MID(I2,FIND("-",I2)+1,LEN(I2)),IFERROR(MID(I2,1,FIND("/",I2)-2),I2)),0)</f>
        <v>коричневый</v>
      </c>
      <c r="X2" s="93" t="str">
        <f ca="1">A2&amp;"-"&amp;IF(P2="ONE","00",P2)</f>
        <v>92-050-72-00</v>
      </c>
      <c r="Y2" s="95" t="str">
        <f ca="1">VLOOKUP(C2,Группа!A:B,2,FALSE)</f>
        <v>Бейсболка</v>
      </c>
      <c r="Z2" s="117" t="str">
        <f ca="1">IFERROR(VLOOKUP(P2,Размеры!A:C,3,FALSE),"")</f>
        <v>ONE</v>
      </c>
      <c r="AA2" s="117" t="str">
        <f ca="1">VLOOKUP(I2,ЦветПолный!A:B,2,FALSE)</f>
        <v>72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1</v>
      </c>
      <c r="AL2" s="117">
        <f ca="1">SUMIF(ЦветПолный!A:A,I2,ЦветПолный!C:C)</f>
        <v>2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92-049-72</v>
      </c>
      <c r="B3" s="128" t="str">
        <f ca="1">UPPER(_xlfn.XLOOKUP($A3,Строчный!$A:$A,Строчный!B:B,"ERR",0))</f>
        <v>103-SWC002-NY020-BK BROOKLYN CORD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прямым козырьком</v>
      </c>
      <c r="E3" s="101" t="str">
        <f ca="1">PROPER(_xlfn.XLOOKUP($A3,Строчный!$A:$A,Строчный!E:E,"ERR",0))</f>
        <v>Hood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HOOD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 / белый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LOWER(_xlfn.XLOOKUP($A3,Строчный!$A:$A,Строчный!K:K,"ERR",0))</f>
        <v>хлопковые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Соединенные Штаты</v>
      </c>
      <c r="N3" s="110">
        <f ca="1">VALUE(_xlfn.XLOOKUP($A3,Строчный!$A:$A,Строчный!N:N,"ERR",0))</f>
        <v>2184</v>
      </c>
      <c r="O3" s="109" t="str">
        <f ca="1">_xlfn.XLOOKUP($G3,Фабрика!A:A,Фабрика!B:B,"ERR",0)</f>
        <v>HOOD HAT, LLC; 15332 Antioch st., #211 Pacific Palisades, CA 90272, USA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18</v>
      </c>
      <c r="R3" s="14" t="s">
        <v>283</v>
      </c>
      <c r="S3" s="122" t="str">
        <f t="shared" ca="1" si="0"/>
        <v>Бейсболка HOOD арт. 103-SWC002-NY020-BK BROOKLYN CORD (черный / белый)</v>
      </c>
      <c r="T3" s="121" t="str">
        <f t="shared" ca="1" si="1"/>
        <v>Бейсболка HOOD арт. 103-SWC002-NY020-BK BROOKLYN CORD (черный / белый) {black}</v>
      </c>
      <c r="U3" s="18" t="str">
        <f t="shared" ca="1" si="2"/>
        <v>черный</v>
      </c>
      <c r="V3" s="18" t="str">
        <f t="shared" ca="1" si="3"/>
        <v>белый</v>
      </c>
      <c r="W3" s="119" t="str">
        <f ca="1">_xlfn.XLOOKUP(A3,'Цвета артикулов'!A:A,'Цвета артикулов'!B:B,IFERROR(MID(I3,FIND("-",I3)+1,LEN(I3)),IFERROR(MID(I3,1,FIND("/",I3)-2),I3)),0)</f>
        <v>черный</v>
      </c>
      <c r="X3" s="93" t="str">
        <f t="shared" ref="X3:X51" ca="1" si="4">A3&amp;"-"&amp;IF(P3="ONE","00",P3)</f>
        <v>92-049-72-00</v>
      </c>
      <c r="Y3" s="95" t="str">
        <f ca="1">VLOOKUP(C3,Группа!A:B,2,FALSE)</f>
        <v>Бейсболка</v>
      </c>
      <c r="Z3" s="117" t="str">
        <f ca="1">IFERROR(VLOOKUP(P3,Размеры!A:C,3,FALSE),"")</f>
        <v>ONE</v>
      </c>
      <c r="AA3" s="117" t="str">
        <f ca="1">VLOOKUP(I3,ЦветПолный!A:B,2,FALSE)</f>
        <v>72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3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92-048-15</v>
      </c>
      <c r="B4" s="128" t="str">
        <f ca="1">UPPER(_xlfn.XLOOKUP($A4,Строчный!$A:$A,Строчный!B:B,"ERR",0))</f>
        <v>103-SWC001-UT002-MC DEER VALLEY CORD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прямым козырьком</v>
      </c>
      <c r="E4" s="101" t="str">
        <f ca="1">PROPER(_xlfn.XLOOKUP($A4,Строчный!$A:$A,Строчный!E:E,"ERR",0))</f>
        <v>Hood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HOOD</v>
      </c>
      <c r="H4" s="101" t="str">
        <f ca="1">LOWER(_xlfn.XLOOKUP($A4,Строчный!$A:$A,Строчный!H:H,"ERR",0))</f>
        <v>mocha</v>
      </c>
      <c r="I4" s="101" t="str">
        <f ca="1">LOWER(_xlfn.XLOOKUP($A4,Строчный!$A:$A,Строчный!I:I,"ERR",0))</f>
        <v>светло-коричневый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LOWER(_xlfn.XLOOKUP($A4,Строчный!$A:$A,Строчный!K:K,"ERR",0))</f>
        <v>хлопковые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Соединенные Штаты</v>
      </c>
      <c r="N4" s="110">
        <f ca="1">VALUE(_xlfn.XLOOKUP($A4,Строчный!$A:$A,Строчный!N:N,"ERR",0))</f>
        <v>2184</v>
      </c>
      <c r="O4" s="109" t="str">
        <f ca="1">_xlfn.XLOOKUP($G4,Фабрика!A:A,Фабрика!B:B,"ERR",0)</f>
        <v>HOOD HAT, LLC; 15332 Antioch st., #211 Pacific Palisades, CA 90272, USA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15</v>
      </c>
      <c r="R4" s="14" t="s">
        <v>283</v>
      </c>
      <c r="S4" s="122" t="str">
        <f t="shared" ca="1" si="0"/>
        <v>Бейсболка HOOD арт. 103-SWC001-UT002-MC DEER VALLEY CORD (светло-коричневый)</v>
      </c>
      <c r="T4" s="121" t="str">
        <f t="shared" ca="1" si="1"/>
        <v>Бейсболка HOOD арт. 103-SWC001-UT002-MC DEER VALLEY CORD (светло-коричневый) {mocha}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_xlfn.XLOOKUP(A4,'Цвета артикулов'!A:A,'Цвета артикулов'!B:B,IFERROR(MID(I4,FIND("-",I4)+1,LEN(I4)),IFERROR(MID(I4,1,FIND("/",I4)-2),I4)),0)</f>
        <v>коричневый</v>
      </c>
      <c r="X4" s="93" t="str">
        <f t="shared" ca="1" si="4"/>
        <v>92-048-15-00</v>
      </c>
      <c r="Y4" s="95" t="str">
        <f ca="1">VLOOKUP(C4,Группа!A:B,2,FALSE)</f>
        <v>Бейсболка</v>
      </c>
      <c r="Z4" s="117" t="str">
        <f ca="1">IFERROR(VLOOKUP(P4,Размеры!A:C,3,FALSE),"")</f>
        <v>ONE</v>
      </c>
      <c r="AA4" s="117" t="str">
        <f ca="1">VLOOKUP(I4,ЦветПолный!A:B,2,FALSE)</f>
        <v>15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1</v>
      </c>
      <c r="AL4" s="117">
        <f ca="1">SUMIF(ЦветПолный!A:A,I4,ЦветПолный!C:C)</f>
        <v>11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92-047-11</v>
      </c>
      <c r="B5" s="128" t="str">
        <f ca="1">UPPER(_xlfn.XLOOKUP($A5,Строчный!$A:$A,Строчный!B:B,"ERR",0))</f>
        <v>103-SWC001-NY037-BD QUEENSBRIDGE CORD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прямым козырьком</v>
      </c>
      <c r="E5" s="101" t="str">
        <f ca="1">PROPER(_xlfn.XLOOKUP($A5,Строчный!$A:$A,Строчный!E:E,"ERR",0))</f>
        <v>Hood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HOOD</v>
      </c>
      <c r="H5" s="101" t="str">
        <f ca="1">LOWER(_xlfn.XLOOKUP($A5,Строчный!$A:$A,Строчный!H:H,"ERR",0))</f>
        <v>bud</v>
      </c>
      <c r="I5" s="101" t="str">
        <f ca="1">LOWER(_xlfn.XLOOKUP($A5,Строчный!$A:$A,Строчный!I:I,"ERR",0))</f>
        <v>оливковый / желтый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LOWER(_xlfn.XLOOKUP($A5,Строчный!$A:$A,Строчный!K:K,"ERR",0))</f>
        <v>хлопковые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Соединенные Штаты</v>
      </c>
      <c r="N5" s="110">
        <f ca="1">VALUE(_xlfn.XLOOKUP($A5,Строчный!$A:$A,Строчный!N:N,"ERR",0))</f>
        <v>2184</v>
      </c>
      <c r="O5" s="109" t="str">
        <f ca="1">_xlfn.XLOOKUP($G5,Фабрика!A:A,Фабрика!B:B,"ERR",0)</f>
        <v>HOOD HAT, LLC; 15332 Antioch st., #211 Pacific Palisades, CA 90272, USA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18</v>
      </c>
      <c r="R5" s="14" t="s">
        <v>283</v>
      </c>
      <c r="S5" s="122" t="str">
        <f t="shared" ca="1" si="0"/>
        <v>Бейсболка HOOD арт. 103-SWC001-NY037-BD QUEENSBRIDGE CORD (оливковый / желтый)</v>
      </c>
      <c r="T5" s="121" t="str">
        <f t="shared" ca="1" si="1"/>
        <v>Бейсболка HOOD арт. 103-SWC001-NY037-BD QUEENSBRIDGE CORD (оливковый / желтый) {bud}</v>
      </c>
      <c r="U5" s="18" t="str">
        <f t="shared" ca="1" si="2"/>
        <v>оливковый</v>
      </c>
      <c r="V5" s="18" t="str">
        <f t="shared" ca="1" si="3"/>
        <v>желтый</v>
      </c>
      <c r="W5" s="119" t="str">
        <f ca="1">_xlfn.XLOOKUP(A5,'Цвета артикулов'!A:A,'Цвета артикулов'!B:B,IFERROR(MID(I5,FIND("-",I5)+1,LEN(I5)),IFERROR(MID(I5,1,FIND("/",I5)-2),I5)),0)</f>
        <v>оливковый</v>
      </c>
      <c r="X5" s="93" t="str">
        <f t="shared" ca="1" si="4"/>
        <v>92-047-11-00</v>
      </c>
      <c r="Y5" s="95" t="str">
        <f ca="1">VLOOKUP(C5,Группа!A:B,2,FALSE)</f>
        <v>Бейсболка</v>
      </c>
      <c r="Z5" s="117" t="str">
        <f ca="1">IFERROR(VLOOKUP(P5,Размеры!A:C,3,FALSE),"")</f>
        <v>ONE</v>
      </c>
      <c r="AA5" s="117" t="str">
        <f ca="1">VLOOKUP(I5,ЦветПолный!A:B,2,FALSE)</f>
        <v>11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92-046-10</v>
      </c>
      <c r="B6" s="128" t="str">
        <f ca="1">UPPER(_xlfn.XLOOKUP($A6,Строчный!$A:$A,Строчный!B:B,"ERR",0))</f>
        <v>103-SWC001-NY022-GY HELL'S KITCHEN CORD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 с прямым козырьком</v>
      </c>
      <c r="E6" s="101" t="str">
        <f ca="1">PROPER(_xlfn.XLOOKUP($A6,Строчный!$A:$A,Строчный!E:E,"ERR",0))</f>
        <v>Hood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HOOD</v>
      </c>
      <c r="H6" s="101" t="str">
        <f ca="1">LOWER(_xlfn.XLOOKUP($A6,Строчный!$A:$A,Строчный!H:H,"ERR",0))</f>
        <v>grey</v>
      </c>
      <c r="I6" s="101" t="str">
        <f ca="1">LOWER(_xlfn.XLOOKUP($A6,Строчный!$A:$A,Строчный!I:I,"ERR",0))</f>
        <v>серый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LOWER(_xlfn.XLOOKUP($A6,Строчный!$A:$A,Строчный!K:K,"ERR",0))</f>
        <v>хлопковые</v>
      </c>
      <c r="L6" s="101" t="str">
        <f ca="1">PROPER(_xlfn.XLOOKUP($A6,Строчный!$A:$A,Строчный!L:L,"ERR",0))</f>
        <v>Унисекс</v>
      </c>
      <c r="M6" s="101" t="str">
        <f ca="1">PROPER(_xlfn.XLOOKUP($A6,Строчный!$A:$A,Строчный!M:M,"ERR",0))</f>
        <v>Соединенные Штаты</v>
      </c>
      <c r="N6" s="110">
        <f ca="1">VALUE(_xlfn.XLOOKUP($A6,Строчный!$A:$A,Строчный!N:N,"ERR",0))</f>
        <v>2184</v>
      </c>
      <c r="O6" s="109" t="str">
        <f ca="1">_xlfn.XLOOKUP($G6,Фабрика!A:A,Фабрика!B:B,"ERR",0)</f>
        <v>HOOD HAT, LLC; 15332 Antioch st., #211 Pacific Palisades, CA 90272, USA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15</v>
      </c>
      <c r="R6" s="14" t="s">
        <v>283</v>
      </c>
      <c r="S6" s="122" t="str">
        <f t="shared" ca="1" si="0"/>
        <v>Бейсболка HOOD арт. 103-SWC001-NY022-GY HELL'S KITCHEN CORD (серый / черный)</v>
      </c>
      <c r="T6" s="121" t="str">
        <f t="shared" ca="1" si="1"/>
        <v>Бейсболка HOOD арт. 103-SWC001-NY022-GY HELL'S KITCHEN CORD (серый / черный) {grey}</v>
      </c>
      <c r="U6" s="18" t="str">
        <f t="shared" ca="1" si="2"/>
        <v>серый</v>
      </c>
      <c r="V6" s="18" t="str">
        <f t="shared" ca="1" si="3"/>
        <v>черный</v>
      </c>
      <c r="W6" s="119" t="str">
        <f ca="1">_xlfn.XLOOKUP(A6,'Цвета артикулов'!A:A,'Цвета артикулов'!B:B,IFERROR(MID(I6,FIND("-",I6)+1,LEN(I6)),IFERROR(MID(I6,1,FIND("/",I6)-2),I6)),0)</f>
        <v>серый</v>
      </c>
      <c r="X6" s="93" t="str">
        <f t="shared" ca="1" si="4"/>
        <v>92-046-10-00</v>
      </c>
      <c r="Y6" s="95" t="str">
        <f ca="1">VLOOKUP(C6,Группа!A:B,2,FALSE)</f>
        <v>Бейсболка</v>
      </c>
      <c r="Z6" s="117" t="str">
        <f ca="1">IFERROR(VLOOKUP(P6,Размеры!A:C,3,FALSE),"")</f>
        <v>ONE</v>
      </c>
      <c r="AA6" s="117" t="str">
        <f ca="1">VLOOKUP(I6,ЦветПолный!A:B,2,FALSE)</f>
        <v>10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6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92-045-72</v>
      </c>
      <c r="B7" s="128" t="str">
        <f ca="1">UPPER(_xlfn.XLOOKUP($A7,Строчный!$A:$A,Строчный!B:B,"ERR",0))</f>
        <v>103-SWC001-NY015-BK MARCY CORD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 с прямым козырьком</v>
      </c>
      <c r="E7" s="101" t="str">
        <f ca="1">PROPER(_xlfn.XLOOKUP($A7,Строчный!$A:$A,Строчный!E:E,"ERR",0))</f>
        <v>Hood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HOOD</v>
      </c>
      <c r="H7" s="101" t="str">
        <f ca="1">LOWER(_xlfn.XLOOKUP($A7,Строчный!$A:$A,Строчный!H:H,"ERR",0))</f>
        <v>black</v>
      </c>
      <c r="I7" s="101" t="str">
        <f ca="1">LOWER(_xlfn.XLOOKUP($A7,Строчный!$A:$A,Строчный!I:I,"ERR",0))</f>
        <v>черный / 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LOWER(_xlfn.XLOOKUP($A7,Строчный!$A:$A,Строчный!K:K,"ERR",0))</f>
        <v>хлопковые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Соединенные Штаты</v>
      </c>
      <c r="N7" s="110">
        <f ca="1">VALUE(_xlfn.XLOOKUP($A7,Строчный!$A:$A,Строчный!N:N,"ERR",0))</f>
        <v>2184</v>
      </c>
      <c r="O7" s="109" t="str">
        <f ca="1">_xlfn.XLOOKUP($G7,Фабрика!A:A,Фабрика!B:B,"ERR",0)</f>
        <v>HOOD HAT, LLC; 15332 Antioch st., #211 Pacific Palisades, CA 90272, USA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15</v>
      </c>
      <c r="R7" s="14" t="s">
        <v>283</v>
      </c>
      <c r="S7" s="122" t="str">
        <f t="shared" ca="1" si="0"/>
        <v>Бейсболка HOOD арт. 103-SWC001-NY015-BK MARCY CORD (черный / белый)</v>
      </c>
      <c r="T7" s="121" t="str">
        <f t="shared" ca="1" si="1"/>
        <v>Бейсболка HOOD арт. 103-SWC001-NY015-BK MARCY CORD (черный / белый) {black}</v>
      </c>
      <c r="U7" s="18" t="str">
        <f t="shared" ca="1" si="2"/>
        <v>черный</v>
      </c>
      <c r="V7" s="18" t="str">
        <f t="shared" ca="1" si="3"/>
        <v>белый</v>
      </c>
      <c r="W7" s="119" t="str">
        <f ca="1">_xlfn.XLOOKUP(A7,'Цвета артикулов'!A:A,'Цвета артикулов'!B:B,IFERROR(MID(I7,FIND("-",I7)+1,LEN(I7)),IFERROR(MID(I7,1,FIND("/",I7)-2),I7)),0)</f>
        <v>черный</v>
      </c>
      <c r="X7" s="93" t="str">
        <f t="shared" ca="1" si="4"/>
        <v>92-045-72-00</v>
      </c>
      <c r="Y7" s="95" t="str">
        <f ca="1">VLOOKUP(C7,Группа!A:B,2,FALSE)</f>
        <v>Бейсболка</v>
      </c>
      <c r="Z7" s="117" t="str">
        <f ca="1">IFERROR(VLOOKUP(P7,Размеры!A:C,3,FALSE),"")</f>
        <v>ONE</v>
      </c>
      <c r="AA7" s="117" t="str">
        <f ca="1">VLOOKUP(I7,ЦветПолный!A:B,2,FALSE)</f>
        <v>72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3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92-044-04</v>
      </c>
      <c r="B8" s="128" t="str">
        <f ca="1">UPPER(_xlfn.XLOOKUP($A8,Строчный!$A:$A,Строчный!B:B,"ERR",0))</f>
        <v>103-SWC001-NY001-KH FLATBUSH CORD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 с прямым козырьком</v>
      </c>
      <c r="E8" s="101" t="str">
        <f ca="1">PROPER(_xlfn.XLOOKUP($A8,Строчный!$A:$A,Строчный!E:E,"ERR",0))</f>
        <v>Hood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HOOD</v>
      </c>
      <c r="H8" s="101" t="str">
        <f ca="1">LOWER(_xlfn.XLOOKUP($A8,Строчный!$A:$A,Строчный!H:H,"ERR",0))</f>
        <v>khaki</v>
      </c>
      <c r="I8" s="101" t="str">
        <f ca="1">LOWER(_xlfn.XLOOKUP($A8,Строчный!$A:$A,Строчный!I:I,"ERR",0))</f>
        <v>светло-бежевый / 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LOWER(_xlfn.XLOOKUP($A8,Строчный!$A:$A,Строчный!K:K,"ERR",0))</f>
        <v>хлопковые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Соединенные Штаты</v>
      </c>
      <c r="N8" s="110">
        <f ca="1">VALUE(_xlfn.XLOOKUP($A8,Строчный!$A:$A,Строчный!N:N,"ERR",0))</f>
        <v>2184</v>
      </c>
      <c r="O8" s="109" t="str">
        <f ca="1">_xlfn.XLOOKUP($G8,Фабрика!A:A,Фабрика!B:B,"ERR",0)</f>
        <v>HOOD HAT, LLC; 15332 Antioch st., #211 Pacific Palisades, CA 90272, USA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15</v>
      </c>
      <c r="R8" s="14" t="s">
        <v>283</v>
      </c>
      <c r="S8" s="122" t="str">
        <f t="shared" ca="1" si="0"/>
        <v>Бейсболка HOOD арт. 103-SWC001-NY001-KH FLATBUSH CORD (светло-бежевый / красный)</v>
      </c>
      <c r="T8" s="121" t="str">
        <f t="shared" ca="1" si="1"/>
        <v>Бейсболка HOOD арт. 103-SWC001-NY001-KH FLATBUSH CORD (светло-бежевый / красный) {khaki}</v>
      </c>
      <c r="U8" s="18" t="str">
        <f t="shared" ca="1" si="2"/>
        <v>бежевый / красный</v>
      </c>
      <c r="V8" s="18" t="str">
        <f t="shared" ca="1" si="3"/>
        <v>бежевый / красный</v>
      </c>
      <c r="W8" s="119" t="str">
        <f ca="1">_xlfn.XLOOKUP(A8,'Цвета артикулов'!A:A,'Цвета артикулов'!B:B,IFERROR(MID(I8,FIND("-",I8)+1,LEN(I8)),IFERROR(MID(I8,1,FIND("/",I8)-2),I8)),0)</f>
        <v>бежевый</v>
      </c>
      <c r="X8" s="93" t="str">
        <f t="shared" ca="1" si="4"/>
        <v>92-044-04-00</v>
      </c>
      <c r="Y8" s="95" t="str">
        <f ca="1">VLOOKUP(C8,Группа!A:B,2,FALSE)</f>
        <v>Бейсболка</v>
      </c>
      <c r="Z8" s="117" t="str">
        <f ca="1">IFERROR(VLOOKUP(P8,Размеры!A:C,3,FALSE),"")</f>
        <v>ONE</v>
      </c>
      <c r="AA8" s="117" t="str">
        <f ca="1">VLOOKUP(I8,ЦветПолный!A:B,2,FALSE)</f>
        <v>04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1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92-043-83</v>
      </c>
      <c r="B9" s="128" t="str">
        <f ca="1">UPPER(_xlfn.XLOOKUP($A9,Строчный!$A:$A,Строчный!B:B,"ERR",0))</f>
        <v>103-SWC001-CA008-MC MALIBU CORD II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 с прямым козырьком</v>
      </c>
      <c r="E9" s="101" t="str">
        <f ca="1">PROPER(_xlfn.XLOOKUP($A9,Строчный!$A:$A,Строчный!E:E,"ERR",0))</f>
        <v>Hood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HOOD</v>
      </c>
      <c r="H9" s="101" t="str">
        <f ca="1">LOWER(_xlfn.XLOOKUP($A9,Строчный!$A:$A,Строчный!H:H,"ERR",0))</f>
        <v>mocha</v>
      </c>
      <c r="I9" s="101" t="str">
        <f ca="1">LOWER(_xlfn.XLOOKUP($A9,Строчный!$A:$A,Строчный!I:I,"ERR",0))</f>
        <v>светло-коричневый / белый</v>
      </c>
      <c r="J9" s="101" t="str">
        <f ca="1">SUBSTITUTE(LOWER(_xlfn.XLOOKUP($A9,Строчный!$A:$A,Строчный!J:J,"ERR",0)),"подклад","Подклад")</f>
        <v>100% хлопок</v>
      </c>
      <c r="K9" s="101" t="str">
        <f ca="1">LOWER(_xlfn.XLOOKUP($A9,Строчный!$A:$A,Строчный!K:K,"ERR",0))</f>
        <v>хлопковые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Соединенные Штаты</v>
      </c>
      <c r="N9" s="110">
        <f ca="1">VALUE(_xlfn.XLOOKUP($A9,Строчный!$A:$A,Строчный!N:N,"ERR",0))</f>
        <v>2184</v>
      </c>
      <c r="O9" s="109" t="str">
        <f ca="1">_xlfn.XLOOKUP($G9,Фабрика!A:A,Фабрика!B:B,"ERR",0)</f>
        <v>HOOD HAT, LLC; 15332 Antioch st., #211 Pacific Palisades, CA 90272, USA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27</v>
      </c>
      <c r="R9" s="14" t="s">
        <v>283</v>
      </c>
      <c r="S9" s="122" t="str">
        <f t="shared" ca="1" si="0"/>
        <v>Бейсболка HOOD арт. 103-SWC001-CA008-MC MALIBU CORD II (светло-коричневый / белый)</v>
      </c>
      <c r="T9" s="121" t="str">
        <f t="shared" ca="1" si="1"/>
        <v>Бейсболка HOOD арт. 103-SWC001-CA008-MC MALIBU CORD II (светло-коричневый / белый) {mocha}</v>
      </c>
      <c r="U9" s="18" t="str">
        <f t="shared" ca="1" si="2"/>
        <v>коричневый / белый</v>
      </c>
      <c r="V9" s="18" t="str">
        <f t="shared" ca="1" si="3"/>
        <v>коричневый / белый</v>
      </c>
      <c r="W9" s="119" t="str">
        <f ca="1">_xlfn.XLOOKUP(A9,'Цвета артикулов'!A:A,'Цвета артикулов'!B:B,IFERROR(MID(I9,FIND("-",I9)+1,LEN(I9)),IFERROR(MID(I9,1,FIND("/",I9)-2),I9)),0)</f>
        <v>коричневый</v>
      </c>
      <c r="X9" s="93" t="str">
        <f t="shared" ca="1" si="4"/>
        <v>92-043-83-00</v>
      </c>
      <c r="Y9" s="95" t="str">
        <f ca="1">VLOOKUP(C9,Группа!A:B,2,FALSE)</f>
        <v>Бейсболка</v>
      </c>
      <c r="Z9" s="117" t="str">
        <f ca="1">IFERROR(VLOOKUP(P9,Размеры!A:C,3,FALSE),"")</f>
        <v>ONE</v>
      </c>
      <c r="AA9" s="117" t="str">
        <f ca="1">VLOOKUP(I9,ЦветПолный!A:B,2,FALSE)</f>
        <v>83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1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92-042-08</v>
      </c>
      <c r="B10" s="128" t="str">
        <f ca="1">UPPER(_xlfn.XLOOKUP($A10,Строчный!$A:$A,Строчный!B:B,"ERR",0))</f>
        <v>103-SWC001-CA007-GY FAIRFAX CORD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 с прямым козырьком</v>
      </c>
      <c r="E10" s="101" t="str">
        <f ca="1">PROPER(_xlfn.XLOOKUP($A10,Строчный!$A:$A,Строчный!E:E,"ERR",0))</f>
        <v>Hood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HOOD</v>
      </c>
      <c r="H10" s="101" t="str">
        <f ca="1">LOWER(_xlfn.XLOOKUP($A10,Строчный!$A:$A,Строчный!H:H,"ERR",0))</f>
        <v>grey</v>
      </c>
      <c r="I10" s="101" t="str">
        <f ca="1">LOWER(_xlfn.XLOOKUP($A10,Строчный!$A:$A,Строчный!I:I,"ERR",0))</f>
        <v>серый / красный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LOWER(_xlfn.XLOOKUP($A10,Строчный!$A:$A,Строчный!K:K,"ERR",0))</f>
        <v>хлопковые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Соединенные Штаты</v>
      </c>
      <c r="N10" s="110">
        <f ca="1">VALUE(_xlfn.XLOOKUP($A10,Строчный!$A:$A,Строчный!N:N,"ERR",0))</f>
        <v>2184</v>
      </c>
      <c r="O10" s="109" t="str">
        <f ca="1">_xlfn.XLOOKUP($G10,Фабрика!A:A,Фабрика!B:B,"ERR",0)</f>
        <v>HOOD HAT, LLC; 15332 Antioch st., #211 Pacific Palisades, CA 90272, USA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18</v>
      </c>
      <c r="R10" s="14" t="s">
        <v>283</v>
      </c>
      <c r="S10" s="122" t="str">
        <f t="shared" ca="1" si="0"/>
        <v>Бейсболка HOOD арт. 103-SWC001-CA007-GY FAIRFAX CORD (серый / красный)</v>
      </c>
      <c r="T10" s="121" t="str">
        <f t="shared" ca="1" si="1"/>
        <v>Бейсболка HOOD арт. 103-SWC001-CA007-GY FAIRFAX CORD (серый / красный) {grey}</v>
      </c>
      <c r="U10" s="18" t="str">
        <f t="shared" ca="1" si="2"/>
        <v>серый</v>
      </c>
      <c r="V10" s="18" t="str">
        <f t="shared" ca="1" si="3"/>
        <v>красный</v>
      </c>
      <c r="W10" s="119" t="str">
        <f ca="1">_xlfn.XLOOKUP(A10,'Цвета артикулов'!A:A,'Цвета артикулов'!B:B,IFERROR(MID(I10,FIND("-",I10)+1,LEN(I10)),IFERROR(MID(I10,1,FIND("/",I10)-2),I10)),0)</f>
        <v>серый</v>
      </c>
      <c r="X10" s="93" t="str">
        <f t="shared" ca="1" si="4"/>
        <v>92-042-08-00</v>
      </c>
      <c r="Y10" s="95" t="str">
        <f ca="1">VLOOKUP(C10,Группа!A:B,2,FALSE)</f>
        <v>Бейсболка</v>
      </c>
      <c r="Z10" s="117" t="str">
        <f ca="1">IFERROR(VLOOKUP(P10,Размеры!A:C,3,FALSE),"")</f>
        <v>ONE</v>
      </c>
      <c r="AA10" s="117" t="str">
        <f ca="1">VLOOKUP(I10,ЦветПолный!A:B,2,FALSE)</f>
        <v>08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9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92-041-83</v>
      </c>
      <c r="B11" s="128" t="str">
        <f ca="1">UPPER(_xlfn.XLOOKUP($A11,Строчный!$A:$A,Строчный!B:B,"ERR",0))</f>
        <v>103-SWC001-CA002-KH WESTWOOD CORD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 с прямым козырьком</v>
      </c>
      <c r="E11" s="101" t="str">
        <f ca="1">PROPER(_xlfn.XLOOKUP($A11,Строчный!$A:$A,Строчный!E:E,"ERR",0))</f>
        <v>Hood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HOOD</v>
      </c>
      <c r="H11" s="101" t="str">
        <f ca="1">LOWER(_xlfn.XLOOKUP($A11,Строчный!$A:$A,Строчный!H:H,"ERR",0))</f>
        <v>khaki</v>
      </c>
      <c r="I11" s="101" t="str">
        <f ca="1">LOWER(_xlfn.XLOOKUP($A11,Строчный!$A:$A,Строчный!I:I,"ERR",0))</f>
        <v>светло-бежевый / голубой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LOWER(_xlfn.XLOOKUP($A11,Строчный!$A:$A,Строчный!K:K,"ERR",0))</f>
        <v>хлопковые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Соединенные Штаты</v>
      </c>
      <c r="N11" s="110">
        <f ca="1">VALUE(_xlfn.XLOOKUP($A11,Строчный!$A:$A,Строчный!N:N,"ERR",0))</f>
        <v>2184</v>
      </c>
      <c r="O11" s="109" t="str">
        <f ca="1">_xlfn.XLOOKUP($G11,Фабрика!A:A,Фабрика!B:B,"ERR",0)</f>
        <v>HOOD HAT, LLC; 15332 Antioch st., #211 Pacific Palisades, CA 90272, USA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15</v>
      </c>
      <c r="R11" s="14" t="s">
        <v>283</v>
      </c>
      <c r="S11" s="122" t="str">
        <f t="shared" ca="1" si="0"/>
        <v>Бейсболка HOOD арт. 103-SWC001-CA002-KH WESTWOOD CORD (светло-бежевый / голубой)</v>
      </c>
      <c r="T11" s="121" t="str">
        <f t="shared" ca="1" si="1"/>
        <v>Бейсболка HOOD арт. 103-SWC001-CA002-KH WESTWOOD CORD (светло-бежевый / голубой) {khaki}</v>
      </c>
      <c r="U11" s="18" t="str">
        <f t="shared" ca="1" si="2"/>
        <v>бежевый / голубой</v>
      </c>
      <c r="V11" s="18" t="str">
        <f t="shared" ca="1" si="3"/>
        <v>бежевый / голубой</v>
      </c>
      <c r="W11" s="119" t="str">
        <f ca="1">_xlfn.XLOOKUP(A11,'Цвета артикулов'!A:A,'Цвета артикулов'!B:B,IFERROR(MID(I11,FIND("-",I11)+1,LEN(I11)),IFERROR(MID(I11,1,FIND("/",I11)-2),I11)),0)</f>
        <v>бежевый</v>
      </c>
      <c r="X11" s="93" t="str">
        <f t="shared" ca="1" si="4"/>
        <v>92-041-83-00</v>
      </c>
      <c r="Y11" s="95" t="str">
        <f ca="1">VLOOKUP(C11,Группа!A:B,2,FALSE)</f>
        <v>Бейсболка</v>
      </c>
      <c r="Z11" s="117" t="str">
        <f ca="1">IFERROR(VLOOKUP(P11,Размеры!A:C,3,FALSE),"")</f>
        <v>ONE</v>
      </c>
      <c r="AA11" s="117" t="str">
        <f ca="1">VLOOKUP(I11,ЦветПолный!A:B,2,FALSE)</f>
        <v>83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1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92-040-73</v>
      </c>
      <c r="B12" s="128" t="str">
        <f ca="1">UPPER(_xlfn.XLOOKUP($A12,Строчный!$A:$A,Строчный!B:B,"ERR",0))</f>
        <v>103-SWC001-CA001-KH BRENTWOOD CORD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 с прямым козырьком</v>
      </c>
      <c r="E12" s="101" t="str">
        <f ca="1">PROPER(_xlfn.XLOOKUP($A12,Строчный!$A:$A,Строчный!E:E,"ERR",0))</f>
        <v>Hood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HOOD</v>
      </c>
      <c r="H12" s="101" t="str">
        <f ca="1">LOWER(_xlfn.XLOOKUP($A12,Строчный!$A:$A,Строчный!H:H,"ERR",0))</f>
        <v>khaki</v>
      </c>
      <c r="I12" s="101" t="str">
        <f ca="1">LOWER(_xlfn.XLOOKUP($A12,Строчный!$A:$A,Строчный!I:I,"ERR",0))</f>
        <v>бежевый / коричневый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LOWER(_xlfn.XLOOKUP($A12,Строчный!$A:$A,Строчный!K:K,"ERR",0))</f>
        <v>хлопковые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Соединенные Штаты</v>
      </c>
      <c r="N12" s="110">
        <f ca="1">VALUE(_xlfn.XLOOKUP($A12,Строчный!$A:$A,Строчный!N:N,"ERR",0))</f>
        <v>2184</v>
      </c>
      <c r="O12" s="109" t="str">
        <f ca="1">_xlfn.XLOOKUP($G12,Фабрика!A:A,Фабрика!B:B,"ERR",0)</f>
        <v>HOOD HAT, LLC; 15332 Antioch st., #211 Pacific Palisades, CA 90272, USA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15</v>
      </c>
      <c r="R12" s="14" t="s">
        <v>283</v>
      </c>
      <c r="S12" s="122" t="str">
        <f t="shared" ca="1" si="0"/>
        <v>Бейсболка HOOD арт. 103-SWC001-CA001-KH BRENTWOOD CORD (бежевый / коричневый)</v>
      </c>
      <c r="T12" s="121" t="str">
        <f t="shared" ca="1" si="1"/>
        <v>Бейсболка HOOD арт. 103-SWC001-CA001-KH BRENTWOOD CORD (бежевый / коричневый) {khaki}</v>
      </c>
      <c r="U12" s="18" t="str">
        <f t="shared" ca="1" si="2"/>
        <v>бежевый</v>
      </c>
      <c r="V12" s="18" t="str">
        <f t="shared" ca="1" si="3"/>
        <v>коричневый</v>
      </c>
      <c r="W12" s="119" t="str">
        <f ca="1">_xlfn.XLOOKUP(A12,'Цвета артикулов'!A:A,'Цвета артикулов'!B:B,IFERROR(MID(I12,FIND("-",I12)+1,LEN(I12)),IFERROR(MID(I12,1,FIND("/",I12)-2),I12)),0)</f>
        <v>кремовый</v>
      </c>
      <c r="X12" s="93" t="str">
        <f t="shared" ca="1" si="4"/>
        <v>92-040-73-00</v>
      </c>
      <c r="Y12" s="95" t="str">
        <f ca="1">VLOOKUP(C12,Группа!A:B,2,FALSE)</f>
        <v>Бейсболка</v>
      </c>
      <c r="Z12" s="117" t="str">
        <f ca="1">IFERROR(VLOOKUP(P12,Размеры!A:C,3,FALSE),"")</f>
        <v>ONE</v>
      </c>
      <c r="AA12" s="117" t="str">
        <f ca="1">VLOOKUP(I12,ЦветПолный!A:B,2,FALSE)</f>
        <v>73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4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92-039-09</v>
      </c>
      <c r="B13" s="128" t="str">
        <f ca="1">UPPER(_xlfn.XLOOKUP($A13,Строчный!$A:$A,Строчный!B:B,"ERR",0))</f>
        <v>100-MWL025-NY027-FT QUEENS TONAL 3D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 с прямым козырьком</v>
      </c>
      <c r="E13" s="101" t="str">
        <f ca="1">PROPER(_xlfn.XLOOKUP($A13,Строчный!$A:$A,Строчный!E:E,"ERR",0))</f>
        <v>Hood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HOOD</v>
      </c>
      <c r="H13" s="101" t="str">
        <f ca="1">LOWER(_xlfn.XLOOKUP($A13,Строчный!$A:$A,Строчный!H:H,"ERR",0))</f>
        <v>fresh tar</v>
      </c>
      <c r="I13" s="101" t="str">
        <f ca="1">LOWER(_xlfn.XLOOKUP($A13,Строчный!$A:$A,Строчный!I:I,"ERR",0))</f>
        <v>черный</v>
      </c>
      <c r="J13" s="101" t="str">
        <f ca="1">SUBSTITUTE(LOWER(_xlfn.XLOOKUP($A13,Строчный!$A:$A,Строчный!J:J,"ERR",0)),"подклад","Подклад")</f>
        <v>100% шерсть мериноса</v>
      </c>
      <c r="K13" s="101" t="str">
        <f ca="1">LOWER(_xlfn.XLOOKUP($A13,Строчный!$A:$A,Строчный!K:K,"ERR",0))</f>
        <v>шерстяные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Соединенные Штаты</v>
      </c>
      <c r="N13" s="110">
        <f ca="1">VALUE(_xlfn.XLOOKUP($A13,Строчный!$A:$A,Строчный!N:N,"ERR",0))</f>
        <v>2184</v>
      </c>
      <c r="O13" s="109" t="str">
        <f ca="1">_xlfn.XLOOKUP($G13,Фабрика!A:A,Фабрика!B:B,"ERR",0)</f>
        <v>HOOD HAT, LLC; 15332 Antioch st., #211 Pacific Palisades, CA 90272, USA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27</v>
      </c>
      <c r="R13" s="14" t="s">
        <v>283</v>
      </c>
      <c r="S13" s="122" t="str">
        <f t="shared" ca="1" si="0"/>
        <v>Бейсболка HOOD арт. 100-MWL025-NY027-FT QUEENS TONAL 3D (черный)</v>
      </c>
      <c r="T13" s="121" t="str">
        <f t="shared" ca="1" si="1"/>
        <v>Бейсболка HOOD арт. 100-MWL025-NY027-FT QUEENS TONAL 3D (черный) {fresh tar}</v>
      </c>
      <c r="U13" s="18" t="str">
        <f t="shared" ca="1" si="2"/>
        <v>черный</v>
      </c>
      <c r="V13" s="18" t="str">
        <f t="shared" ca="1" si="3"/>
        <v>черный</v>
      </c>
      <c r="W13" s="119" t="str">
        <f ca="1">_xlfn.XLOOKUP(A13,'Цвета артикулов'!A:A,'Цвета артикулов'!B:B,IFERROR(MID(I13,FIND("-",I13)+1,LEN(I13)),IFERROR(MID(I13,1,FIND("/",I13)-2),I13)),0)</f>
        <v>черный</v>
      </c>
      <c r="X13" s="93" t="str">
        <f t="shared" ca="1" si="4"/>
        <v>92-039-09-00</v>
      </c>
      <c r="Y13" s="95" t="str">
        <f ca="1">VLOOKUP(C13,Группа!A:B,2,FALSE)</f>
        <v>Бейсболка</v>
      </c>
      <c r="Z13" s="117" t="str">
        <f ca="1">IFERROR(VLOOKUP(P13,Размеры!A:C,3,FALSE),"")</f>
        <v>ONE</v>
      </c>
      <c r="AA13" s="117" t="str">
        <f ca="1">VLOOKUP(I13,ЦветПолный!A:B,2,FALSE)</f>
        <v>09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11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92-038-09</v>
      </c>
      <c r="B14" s="128" t="str">
        <f ca="1">UPPER(_xlfn.XLOOKUP($A14,Строчный!$A:$A,Строчный!B:B,"ERR",0))</f>
        <v>100-MWL025-NY018-BK BRONX TONAL 3D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 с прямым козырьком</v>
      </c>
      <c r="E14" s="101" t="str">
        <f ca="1">PROPER(_xlfn.XLOOKUP($A14,Строчный!$A:$A,Строчный!E:E,"ERR",0))</f>
        <v>Hood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HOOD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шерсть мериноса</v>
      </c>
      <c r="K14" s="101" t="str">
        <f ca="1">LOWER(_xlfn.XLOOKUP($A14,Строчный!$A:$A,Строчный!K:K,"ERR",0))</f>
        <v>шерстяные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Соединенные Штаты</v>
      </c>
      <c r="N14" s="110">
        <f ca="1">VALUE(_xlfn.XLOOKUP($A14,Строчный!$A:$A,Строчный!N:N,"ERR",0))</f>
        <v>2184</v>
      </c>
      <c r="O14" s="109" t="str">
        <f ca="1">_xlfn.XLOOKUP($G14,Фабрика!A:A,Фабрика!B:B,"ERR",0)</f>
        <v>HOOD HAT, LLC; 15332 Antioch st., #211 Pacific Palisades, CA 90272, USA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18</v>
      </c>
      <c r="R14" s="14" t="s">
        <v>283</v>
      </c>
      <c r="S14" s="122" t="str">
        <f t="shared" ca="1" si="0"/>
        <v>Бейсболка HOOD арт. 100-MWL025-NY018-BK BRONX TONAL 3D (черный)</v>
      </c>
      <c r="T14" s="121" t="str">
        <f t="shared" ca="1" si="1"/>
        <v>Бейсболка HOOD арт. 100-MWL025-NY018-BK BRONX TONAL 3D (черный) {black}</v>
      </c>
      <c r="U14" s="18" t="str">
        <f t="shared" ca="1" si="2"/>
        <v>черный</v>
      </c>
      <c r="V14" s="18" t="str">
        <f t="shared" ca="1" si="3"/>
        <v>черный</v>
      </c>
      <c r="W14" s="119" t="str">
        <f ca="1">_xlfn.XLOOKUP(A14,'Цвета артикулов'!A:A,'Цвета артикулов'!B:B,IFERROR(MID(I14,FIND("-",I14)+1,LEN(I14)),IFERROR(MID(I14,1,FIND("/",I14)-2),I14)),0)</f>
        <v>черный</v>
      </c>
      <c r="X14" s="93" t="str">
        <f t="shared" ca="1" si="4"/>
        <v>92-038-09-00</v>
      </c>
      <c r="Y14" s="95" t="str">
        <f ca="1">VLOOKUP(C14,Группа!A:B,2,FALSE)</f>
        <v>Бейсболка</v>
      </c>
      <c r="Z14" s="117" t="str">
        <f ca="1">IFERROR(VLOOKUP(P14,Размеры!A:C,3,FALSE),"")</f>
        <v>ONE</v>
      </c>
      <c r="AA14" s="117" t="str">
        <f ca="1">VLOOKUP(I14,ЦветПолный!A:B,2,FALSE)</f>
        <v>09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11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92-037-09</v>
      </c>
      <c r="B15" s="128" t="str">
        <f ca="1">UPPER(_xlfn.XLOOKUP($A15,Строчный!$A:$A,Строчный!B:B,"ERR",0))</f>
        <v>100-MWL025-CA016-BK KOREATOWN TONAL 3D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 с прямым козырьком</v>
      </c>
      <c r="E15" s="101" t="str">
        <f ca="1">PROPER(_xlfn.XLOOKUP($A15,Строчный!$A:$A,Строчный!E:E,"ERR",0))</f>
        <v>Hood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HOOD</v>
      </c>
      <c r="H15" s="101" t="str">
        <f ca="1">LOWER(_xlfn.XLOOKUP($A15,Строчный!$A:$A,Строчный!H:H,"ERR",0))</f>
        <v>black</v>
      </c>
      <c r="I15" s="101" t="str">
        <f ca="1">LOWER(_xlfn.XLOOKUP($A15,Строчный!$A:$A,Строчный!I:I,"ERR",0))</f>
        <v>черный</v>
      </c>
      <c r="J15" s="101" t="str">
        <f ca="1">SUBSTITUTE(LOWER(_xlfn.XLOOKUP($A15,Строчный!$A:$A,Строчный!J:J,"ERR",0)),"подклад","Подклад")</f>
        <v>100% шерсть мериноса</v>
      </c>
      <c r="K15" s="101" t="str">
        <f ca="1">LOWER(_xlfn.XLOOKUP($A15,Строчный!$A:$A,Строчный!K:K,"ERR",0))</f>
        <v>шерстяные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Соединенные Штаты</v>
      </c>
      <c r="N15" s="110">
        <f ca="1">VALUE(_xlfn.XLOOKUP($A15,Строчный!$A:$A,Строчный!N:N,"ERR",0))</f>
        <v>2184</v>
      </c>
      <c r="O15" s="109" t="str">
        <f ca="1">_xlfn.XLOOKUP($G15,Фабрика!A:A,Фабрика!B:B,"ERR",0)</f>
        <v>HOOD HAT, LLC; 15332 Antioch st., #211 Pacific Palisades, CA 90272, USA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12</v>
      </c>
      <c r="R15" s="14" t="s">
        <v>283</v>
      </c>
      <c r="S15" s="122" t="str">
        <f t="shared" ca="1" si="0"/>
        <v>Бейсболка HOOD арт. 100-MWL025-CA016-BK KOREATOWN TONAL 3D (черный)</v>
      </c>
      <c r="T15" s="121" t="str">
        <f t="shared" ca="1" si="1"/>
        <v>Бейсболка HOOD арт. 100-MWL025-CA016-BK KOREATOWN TONAL 3D (черный) {black}</v>
      </c>
      <c r="U15" s="18" t="str">
        <f t="shared" ca="1" si="2"/>
        <v>черный</v>
      </c>
      <c r="V15" s="18" t="str">
        <f t="shared" ca="1" si="3"/>
        <v>черный</v>
      </c>
      <c r="W15" s="119" t="str">
        <f ca="1">_xlfn.XLOOKUP(A15,'Цвета артикулов'!A:A,'Цвета артикулов'!B:B,IFERROR(MID(I15,FIND("-",I15)+1,LEN(I15)),IFERROR(MID(I15,1,FIND("/",I15)-2),I15)),0)</f>
        <v>черный</v>
      </c>
      <c r="X15" s="93" t="str">
        <f t="shared" ca="1" si="4"/>
        <v>92-037-09-00</v>
      </c>
      <c r="Y15" s="95" t="str">
        <f ca="1">VLOOKUP(C15,Группа!A:B,2,FALSE)</f>
        <v>Бейсболка</v>
      </c>
      <c r="Z15" s="117" t="str">
        <f ca="1">IFERROR(VLOOKUP(P15,Размеры!A:C,3,FALSE),"")</f>
        <v>ONE</v>
      </c>
      <c r="AA15" s="117" t="str">
        <f ca="1">VLOOKUP(I15,ЦветПолный!A:B,2,FALSE)</f>
        <v>09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11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92-036-08</v>
      </c>
      <c r="B16" s="128" t="str">
        <f ca="1">UPPER(_xlfn.XLOOKUP($A16,Строчный!$A:$A,Строчный!B:B,"ERR",0))</f>
        <v>100-MWL025-CA012-HW COMPTON TONAL 3D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 с прямым козырьком</v>
      </c>
      <c r="E16" s="101" t="str">
        <f ca="1">PROPER(_xlfn.XLOOKUP($A16,Строчный!$A:$A,Строчный!E:E,"ERR",0))</f>
        <v>Hood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HOOD</v>
      </c>
      <c r="H16" s="101" t="str">
        <f ca="1">LOWER(_xlfn.XLOOKUP($A16,Строчный!$A:$A,Строчный!H:H,"ERR",0))</f>
        <v>highway</v>
      </c>
      <c r="I16" s="101" t="str">
        <f ca="1">LOWER(_xlfn.XLOOKUP($A16,Строчный!$A:$A,Строчный!I:I,"ERR",0))</f>
        <v>серый</v>
      </c>
      <c r="J16" s="101" t="str">
        <f ca="1">SUBSTITUTE(LOWER(_xlfn.XLOOKUP($A16,Строчный!$A:$A,Строчный!J:J,"ERR",0)),"подклад","Подклад")</f>
        <v>100% шерсть мериноса</v>
      </c>
      <c r="K16" s="101" t="str">
        <f ca="1">LOWER(_xlfn.XLOOKUP($A16,Строчный!$A:$A,Строчный!K:K,"ERR",0))</f>
        <v>шерстяные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Соединенные Штаты</v>
      </c>
      <c r="N16" s="110">
        <f ca="1">VALUE(_xlfn.XLOOKUP($A16,Строчный!$A:$A,Строчный!N:N,"ERR",0))</f>
        <v>2184</v>
      </c>
      <c r="O16" s="109" t="str">
        <f ca="1">_xlfn.XLOOKUP($G16,Фабрика!A:A,Фабрика!B:B,"ERR",0)</f>
        <v>HOOD HAT, LLC; 15332 Antioch st., #211 Pacific Palisades, CA 90272, USA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15</v>
      </c>
      <c r="R16" s="14" t="s">
        <v>283</v>
      </c>
      <c r="S16" s="122" t="str">
        <f t="shared" ca="1" si="0"/>
        <v>Бейсболка HOOD арт. 100-MWL025-CA012-HW COMPTON TONAL 3D (серый)</v>
      </c>
      <c r="T16" s="121" t="str">
        <f t="shared" ca="1" si="1"/>
        <v>Бейсболка HOOD арт. 100-MWL025-CA012-HW COMPTON TONAL 3D (серый) {highway}</v>
      </c>
      <c r="U16" s="18" t="str">
        <f t="shared" ca="1" si="2"/>
        <v>серый</v>
      </c>
      <c r="V16" s="18" t="str">
        <f t="shared" ca="1" si="3"/>
        <v>серый</v>
      </c>
      <c r="W16" s="119" t="str">
        <f ca="1">_xlfn.XLOOKUP(A16,'Цвета артикулов'!A:A,'Цвета артикулов'!B:B,IFERROR(MID(I16,FIND("-",I16)+1,LEN(I16)),IFERROR(MID(I16,1,FIND("/",I16)-2),I16)),0)</f>
        <v>серый</v>
      </c>
      <c r="X16" s="93" t="str">
        <f t="shared" ca="1" si="4"/>
        <v>92-036-08-00</v>
      </c>
      <c r="Y16" s="95" t="str">
        <f ca="1">VLOOKUP(C16,Группа!A:B,2,FALSE)</f>
        <v>Бейсболка</v>
      </c>
      <c r="Z16" s="117" t="str">
        <f ca="1">IFERROR(VLOOKUP(P16,Размеры!A:C,3,FALSE),"")</f>
        <v>ONE</v>
      </c>
      <c r="AA16" s="117" t="str">
        <f ca="1">VLOOKUP(I16,ЦветПолный!A:B,2,FALSE)</f>
        <v>08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11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92-035-09</v>
      </c>
      <c r="B17" s="128" t="str">
        <f ca="1">UPPER(_xlfn.XLOOKUP($A17,Строчный!$A:$A,Строчный!B:B,"ERR",0))</f>
        <v>100-MWL025-CA006-FT VENICE TONAL 3D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 с прямым козырьком</v>
      </c>
      <c r="E17" s="101" t="str">
        <f ca="1">PROPER(_xlfn.XLOOKUP($A17,Строчный!$A:$A,Строчный!E:E,"ERR",0))</f>
        <v>Hood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HOOD</v>
      </c>
      <c r="H17" s="101" t="str">
        <f ca="1">LOWER(_xlfn.XLOOKUP($A17,Строчный!$A:$A,Строчный!H:H,"ERR",0))</f>
        <v>fresh tar</v>
      </c>
      <c r="I17" s="101" t="str">
        <f ca="1">LOWER(_xlfn.XLOOKUP($A17,Строчный!$A:$A,Строчный!I:I,"ERR",0))</f>
        <v>черный</v>
      </c>
      <c r="J17" s="101" t="str">
        <f ca="1">SUBSTITUTE(LOWER(_xlfn.XLOOKUP($A17,Строчный!$A:$A,Строчный!J:J,"ERR",0)),"подклад","Подклад")</f>
        <v>100% шерсть мериноса</v>
      </c>
      <c r="K17" s="101" t="str">
        <f ca="1">LOWER(_xlfn.XLOOKUP($A17,Строчный!$A:$A,Строчный!K:K,"ERR",0))</f>
        <v>шерстяные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Соединенные Штаты</v>
      </c>
      <c r="N17" s="110">
        <f ca="1">VALUE(_xlfn.XLOOKUP($A17,Строчный!$A:$A,Строчный!N:N,"ERR",0))</f>
        <v>2184</v>
      </c>
      <c r="O17" s="109" t="str">
        <f ca="1">_xlfn.XLOOKUP($G17,Фабрика!A:A,Фабрика!B:B,"ERR",0)</f>
        <v>HOOD HAT, LLC; 15332 Antioch st., #211 Pacific Palisades, CA 90272, USA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27</v>
      </c>
      <c r="R17" s="14" t="s">
        <v>283</v>
      </c>
      <c r="S17" s="122" t="str">
        <f t="shared" ca="1" si="0"/>
        <v>Бейсболка HOOD арт. 100-MWL025-CA006-FT VENICE TONAL 3D (черный)</v>
      </c>
      <c r="T17" s="121" t="str">
        <f t="shared" ca="1" si="1"/>
        <v>Бейсболка HOOD арт. 100-MWL025-CA006-FT VENICE TONAL 3D (черный) {fresh tar}</v>
      </c>
      <c r="U17" s="18" t="str">
        <f t="shared" ca="1" si="2"/>
        <v>черный</v>
      </c>
      <c r="V17" s="18" t="str">
        <f t="shared" ca="1" si="3"/>
        <v>черный</v>
      </c>
      <c r="W17" s="119" t="str">
        <f ca="1">_xlfn.XLOOKUP(A17,'Цвета артикулов'!A:A,'Цвета артикулов'!B:B,IFERROR(MID(I17,FIND("-",I17)+1,LEN(I17)),IFERROR(MID(I17,1,FIND("/",I17)-2),I17)),0)</f>
        <v>черный</v>
      </c>
      <c r="X17" s="93" t="str">
        <f t="shared" ca="1" si="4"/>
        <v>92-035-09-00</v>
      </c>
      <c r="Y17" s="95" t="str">
        <f ca="1">VLOOKUP(C17,Группа!A:B,2,FALSE)</f>
        <v>Бейсболка</v>
      </c>
      <c r="Z17" s="117" t="str">
        <f ca="1">IFERROR(VLOOKUP(P17,Размеры!A:C,3,FALSE),"")</f>
        <v>ONE</v>
      </c>
      <c r="AA17" s="117" t="str">
        <f ca="1">VLOOKUP(I17,ЦветПолный!A:B,2,FALSE)</f>
        <v>09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11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92-034-41</v>
      </c>
      <c r="B18" s="128" t="str">
        <f ca="1">UPPER(_xlfn.XLOOKUP($A18,Строчный!$A:$A,Строчный!B:B,"ERR",0))</f>
        <v>100-MWL005-WA004-AT WASHINGTON IV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 с прямым козырьком</v>
      </c>
      <c r="E18" s="101" t="str">
        <f ca="1">PROPER(_xlfn.XLOOKUP($A18,Строчный!$A:$A,Строчный!E:E,"ERR",0))</f>
        <v>Hood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HOOD</v>
      </c>
      <c r="H18" s="101" t="str">
        <f ca="1">LOWER(_xlfn.XLOOKUP($A18,Строчный!$A:$A,Строчный!H:H,"ERR",0))</f>
        <v>atlantic</v>
      </c>
      <c r="I18" s="101" t="str">
        <f ca="1">LOWER(_xlfn.XLOOKUP($A18,Строчный!$A:$A,Строчный!I:I,"ERR",0))</f>
        <v>фиолетовый / красный</v>
      </c>
      <c r="J18" s="101" t="str">
        <f ca="1">SUBSTITUTE(LOWER(_xlfn.XLOOKUP($A18,Строчный!$A:$A,Строчный!J:J,"ERR",0)),"подклад","Подклад")</f>
        <v>100% шерсть мериноса</v>
      </c>
      <c r="K18" s="101" t="str">
        <f ca="1">LOWER(_xlfn.XLOOKUP($A18,Строчный!$A:$A,Строчный!K:K,"ERR",0))</f>
        <v>шерстяные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Соединенные Штаты</v>
      </c>
      <c r="N18" s="110">
        <f ca="1">VALUE(_xlfn.XLOOKUP($A18,Строчный!$A:$A,Строчный!N:N,"ERR",0))</f>
        <v>2184</v>
      </c>
      <c r="O18" s="109" t="str">
        <f ca="1">_xlfn.XLOOKUP($G18,Фабрика!A:A,Фабрика!B:B,"ERR",0)</f>
        <v>HOOD HAT, LLC; 15332 Antioch st., #211 Pacific Palisades, CA 90272, USA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3</v>
      </c>
      <c r="R18" s="14" t="s">
        <v>283</v>
      </c>
      <c r="S18" s="122" t="str">
        <f t="shared" ca="1" si="0"/>
        <v>Бейсболка HOOD арт. 100-MWL005-WA004-AT WASHINGTON IV (фиолетовый / красный)</v>
      </c>
      <c r="T18" s="121" t="str">
        <f t="shared" ca="1" si="1"/>
        <v>Бейсболка HOOD арт. 100-MWL005-WA004-AT WASHINGTON IV (фиолетовый / красный) {atlantic}</v>
      </c>
      <c r="U18" s="18" t="str">
        <f t="shared" ca="1" si="2"/>
        <v>фиолетовый</v>
      </c>
      <c r="V18" s="18" t="str">
        <f t="shared" ca="1" si="3"/>
        <v>красный</v>
      </c>
      <c r="W18" s="119" t="str">
        <f ca="1">_xlfn.XLOOKUP(A18,'Цвета артикулов'!A:A,'Цвета артикулов'!B:B,IFERROR(MID(I18,FIND("-",I18)+1,LEN(I18)),IFERROR(MID(I18,1,FIND("/",I18)-2),I18)),0)</f>
        <v>фиолетовый</v>
      </c>
      <c r="X18" s="93" t="str">
        <f t="shared" ca="1" si="4"/>
        <v>92-034-41-00</v>
      </c>
      <c r="Y18" s="95" t="str">
        <f ca="1">VLOOKUP(C18,Группа!A:B,2,FALSE)</f>
        <v>Бейсболка</v>
      </c>
      <c r="Z18" s="117" t="str">
        <f ca="1">IFERROR(VLOOKUP(P18,Размеры!A:C,3,FALSE),"")</f>
        <v>ONE</v>
      </c>
      <c r="AA18" s="117" t="str">
        <f ca="1">VLOOKUP(I18,ЦветПолный!A:B,2,FALSE)</f>
        <v>41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1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92-033-26</v>
      </c>
      <c r="B19" s="128" t="str">
        <f ca="1">UPPER(_xlfn.XLOOKUP($A19,Строчный!$A:$A,Строчный!B:B,"ERR",0))</f>
        <v>100-MWL005-TX005-HW DALLAS III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101" t="str">
        <f ca="1">PROPER(_xlfn.XLOOKUP($A19,Строчный!$A:$A,Строчный!E:E,"ERR",0))</f>
        <v>Hood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HOOD</v>
      </c>
      <c r="H19" s="101" t="str">
        <f ca="1">LOWER(_xlfn.XLOOKUP($A19,Строчный!$A:$A,Строчный!H:H,"ERR",0))</f>
        <v>highway</v>
      </c>
      <c r="I19" s="101" t="str">
        <f ca="1">LOWER(_xlfn.XLOOKUP($A19,Строчный!$A:$A,Строчный!I:I,"ERR",0))</f>
        <v>серый / синий</v>
      </c>
      <c r="J19" s="101" t="str">
        <f ca="1">SUBSTITUTE(LOWER(_xlfn.XLOOKUP($A19,Строчный!$A:$A,Строчный!J:J,"ERR",0)),"подклад","Подклад")</f>
        <v>100% шерсть мериноса</v>
      </c>
      <c r="K19" s="101" t="str">
        <f ca="1">LOWER(_xlfn.XLOOKUP($A19,Строчный!$A:$A,Строчный!K:K,"ERR",0))</f>
        <v>шерстяные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Соединенные Штаты</v>
      </c>
      <c r="N19" s="110">
        <f ca="1">VALUE(_xlfn.XLOOKUP($A19,Строчный!$A:$A,Строчный!N:N,"ERR",0))</f>
        <v>2184</v>
      </c>
      <c r="O19" s="109" t="str">
        <f ca="1">_xlfn.XLOOKUP($G19,Фабрика!A:A,Фабрика!B:B,"ERR",0)</f>
        <v>HOOD HAT, LLC; 15332 Antioch st., #211 Pacific Palisades, CA 90272, USA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3</v>
      </c>
      <c r="R19" s="14" t="s">
        <v>283</v>
      </c>
      <c r="S19" s="122" t="str">
        <f t="shared" ca="1" si="0"/>
        <v>Бейсболка HOOD арт. 100-MWL005-TX005-HW DALLAS III (серый / синий)</v>
      </c>
      <c r="T19" s="121" t="str">
        <f t="shared" ca="1" si="1"/>
        <v>Бейсболка HOOD арт. 100-MWL005-TX005-HW DALLAS III (серый / синий) {highway}</v>
      </c>
      <c r="U19" s="18" t="str">
        <f t="shared" ca="1" si="2"/>
        <v>серый</v>
      </c>
      <c r="V19" s="18" t="str">
        <f t="shared" ca="1" si="3"/>
        <v>синий</v>
      </c>
      <c r="W19" s="119" t="str">
        <f ca="1">_xlfn.XLOOKUP(A19,'Цвета артикулов'!A:A,'Цвета артикулов'!B:B,IFERROR(MID(I19,FIND("-",I19)+1,LEN(I19)),IFERROR(MID(I19,1,FIND("/",I19)-2),I19)),0)</f>
        <v>серый</v>
      </c>
      <c r="X19" s="93" t="str">
        <f t="shared" ca="1" si="4"/>
        <v>92-033-26-00</v>
      </c>
      <c r="Y19" s="95" t="str">
        <f ca="1">VLOOKUP(C19,Группа!A:B,2,FALSE)</f>
        <v>Бейсболка</v>
      </c>
      <c r="Z19" s="117" t="str">
        <f ca="1">IFERROR(VLOOKUP(P19,Размеры!A:C,3,FALSE),"")</f>
        <v>ONE</v>
      </c>
      <c r="AA19" s="117" t="str">
        <f ca="1">VLOOKUP(I19,ЦветПолный!A:B,2,FALSE)</f>
        <v>26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5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92-032-21</v>
      </c>
      <c r="B20" s="128" t="str">
        <f ca="1">UPPER(_xlfn.XLOOKUP($A20,Строчный!$A:$A,Строчный!B:B,"ERR",0))</f>
        <v>100-MWL005-NY066-RL NEW YORK III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 с прямым козырьком</v>
      </c>
      <c r="E20" s="101" t="str">
        <f ca="1">PROPER(_xlfn.XLOOKUP($A20,Строчный!$A:$A,Строчный!E:E,"ERR",0))</f>
        <v>Hood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HOOD</v>
      </c>
      <c r="H20" s="101" t="str">
        <f ca="1">LOWER(_xlfn.XLOOKUP($A20,Строчный!$A:$A,Строчный!H:H,"ERR",0))</f>
        <v>royal</v>
      </c>
      <c r="I20" s="101" t="str">
        <f ca="1">LOWER(_xlfn.XLOOKUP($A20,Строчный!$A:$A,Строчный!I:I,"ERR",0))</f>
        <v>синий / красный</v>
      </c>
      <c r="J20" s="101" t="str">
        <f ca="1">SUBSTITUTE(LOWER(_xlfn.XLOOKUP($A20,Строчный!$A:$A,Строчный!J:J,"ERR",0)),"подклад","Подклад")</f>
        <v>100% шерсть мериноса</v>
      </c>
      <c r="K20" s="101" t="str">
        <f ca="1">LOWER(_xlfn.XLOOKUP($A20,Строчный!$A:$A,Строчный!K:K,"ERR",0))</f>
        <v>шерстяные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Соединенные Штаты</v>
      </c>
      <c r="N20" s="110">
        <f ca="1">VALUE(_xlfn.XLOOKUP($A20,Строчный!$A:$A,Строчный!N:N,"ERR",0))</f>
        <v>2184</v>
      </c>
      <c r="O20" s="109" t="str">
        <f ca="1">_xlfn.XLOOKUP($G20,Фабрика!A:A,Фабрика!B:B,"ERR",0)</f>
        <v>HOOD HAT, LLC; 15332 Antioch st., #211 Pacific Palisades, CA 90272, USA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</v>
      </c>
      <c r="R20" s="14" t="s">
        <v>283</v>
      </c>
      <c r="S20" s="122" t="str">
        <f t="shared" ca="1" si="0"/>
        <v>Бейсболка HOOD арт. 100-MWL005-NY066-RL NEW YORK III (синий / красный)</v>
      </c>
      <c r="T20" s="121" t="str">
        <f t="shared" ca="1" si="1"/>
        <v>Бейсболка HOOD арт. 100-MWL005-NY066-RL NEW YORK III (синий / красный) {royal}</v>
      </c>
      <c r="U20" s="18" t="str">
        <f t="shared" ca="1" si="2"/>
        <v>синий</v>
      </c>
      <c r="V20" s="18" t="str">
        <f t="shared" ca="1" si="3"/>
        <v>красный</v>
      </c>
      <c r="W20" s="119" t="str">
        <f ca="1">_xlfn.XLOOKUP(A20,'Цвета артикулов'!A:A,'Цвета артикулов'!B:B,IFERROR(MID(I20,FIND("-",I20)+1,LEN(I20)),IFERROR(MID(I20,1,FIND("/",I20)-2),I20)),0)</f>
        <v>синий</v>
      </c>
      <c r="X20" s="93" t="str">
        <f t="shared" ca="1" si="4"/>
        <v>92-032-21-00</v>
      </c>
      <c r="Y20" s="95" t="str">
        <f ca="1">VLOOKUP(C20,Группа!A:B,2,FALSE)</f>
        <v>Бейсболка</v>
      </c>
      <c r="Z20" s="117" t="str">
        <f ca="1">IFERROR(VLOOKUP(P20,Размеры!A:C,3,FALSE),"")</f>
        <v>ONE</v>
      </c>
      <c r="AA20" s="117" t="str">
        <f ca="1">VLOOKUP(I20,ЦветПолный!A:B,2,FALSE)</f>
        <v>21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5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92-031-65</v>
      </c>
      <c r="B21" s="128" t="str">
        <f ca="1">UPPER(_xlfn.XLOOKUP($A21,Строчный!$A:$A,Строчный!B:B,"ERR",0))</f>
        <v>100-MWL005-NY066-NY NEW YORK VII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 с прямым козырьком</v>
      </c>
      <c r="E21" s="101" t="str">
        <f ca="1">PROPER(_xlfn.XLOOKUP($A21,Строчный!$A:$A,Строчный!E:E,"ERR",0))</f>
        <v>Hood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HOOD</v>
      </c>
      <c r="H21" s="101" t="str">
        <f ca="1">LOWER(_xlfn.XLOOKUP($A21,Строчный!$A:$A,Строчный!H:H,"ERR",0))</f>
        <v>navy</v>
      </c>
      <c r="I21" s="101" t="str">
        <f ca="1">LOWER(_xlfn.XLOOKUP($A21,Строчный!$A:$A,Строчный!I:I,"ERR",0))</f>
        <v>темно-синий / белый</v>
      </c>
      <c r="J21" s="101" t="str">
        <f ca="1">SUBSTITUTE(LOWER(_xlfn.XLOOKUP($A21,Строчный!$A:$A,Строчный!J:J,"ERR",0)),"подклад","Подклад")</f>
        <v>100% шерсть мериноса</v>
      </c>
      <c r="K21" s="101" t="str">
        <f ca="1">LOWER(_xlfn.XLOOKUP($A21,Строчный!$A:$A,Строчный!K:K,"ERR",0))</f>
        <v>шерстяные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Соединенные Штаты</v>
      </c>
      <c r="N21" s="110">
        <f ca="1">VALUE(_xlfn.XLOOKUP($A21,Строчный!$A:$A,Строчный!N:N,"ERR",0))</f>
        <v>2184</v>
      </c>
      <c r="O21" s="109" t="str">
        <f ca="1">_xlfn.XLOOKUP($G21,Фабрика!A:A,Фабрика!B:B,"ERR",0)</f>
        <v>HOOD HAT, LLC; 15332 Antioch st., #211 Pacific Palisades, CA 90272, USA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12</v>
      </c>
      <c r="R21" s="14" t="s">
        <v>283</v>
      </c>
      <c r="S21" s="122" t="str">
        <f t="shared" ca="1" si="0"/>
        <v>Бейсболка HOOD арт. 100-MWL005-NY066-NY NEW YORK VII (темно-синий / белый)</v>
      </c>
      <c r="T21" s="121" t="str">
        <f t="shared" ca="1" si="1"/>
        <v>Бейсболка HOOD арт. 100-MWL005-NY066-NY NEW YORK VII (темно-синий / белый) {navy}</v>
      </c>
      <c r="U21" s="18" t="str">
        <f t="shared" ca="1" si="2"/>
        <v>синий / белый</v>
      </c>
      <c r="V21" s="18" t="str">
        <f t="shared" ca="1" si="3"/>
        <v>синий / белый</v>
      </c>
      <c r="W21" s="119" t="str">
        <f ca="1">_xlfn.XLOOKUP(A21,'Цвета артикулов'!A:A,'Цвета артикулов'!B:B,IFERROR(MID(I21,FIND("-",I21)+1,LEN(I21)),IFERROR(MID(I21,1,FIND("/",I21)-2),I21)),0)</f>
        <v>синий</v>
      </c>
      <c r="X21" s="93" t="str">
        <f t="shared" ca="1" si="4"/>
        <v>92-031-65-00</v>
      </c>
      <c r="Y21" s="95" t="str">
        <f ca="1">VLOOKUP(C21,Группа!A:B,2,FALSE)</f>
        <v>Бейсболка</v>
      </c>
      <c r="Z21" s="117" t="str">
        <f ca="1">IFERROR(VLOOKUP(P21,Размеры!A:C,3,FALSE),"")</f>
        <v>ONE</v>
      </c>
      <c r="AA21" s="117" t="str">
        <f ca="1">VLOOKUP(I21,ЦветПолный!A:B,2,FALSE)</f>
        <v>65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1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92-030-41</v>
      </c>
      <c r="B22" s="128" t="str">
        <f ca="1">UPPER(_xlfn.XLOOKUP($A22,Строчный!$A:$A,Строчный!B:B,"ERR",0))</f>
        <v>100-MWL005-NY066-AT NEW YORK IX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 с прямым козырьком</v>
      </c>
      <c r="E22" s="101" t="str">
        <f ca="1">PROPER(_xlfn.XLOOKUP($A22,Строчный!$A:$A,Строчный!E:E,"ERR",0))</f>
        <v>Hood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HOOD</v>
      </c>
      <c r="H22" s="101" t="str">
        <f ca="1">LOWER(_xlfn.XLOOKUP($A22,Строчный!$A:$A,Строчный!H:H,"ERR",0))</f>
        <v>atlantic</v>
      </c>
      <c r="I22" s="101" t="str">
        <f ca="1">LOWER(_xlfn.XLOOKUP($A22,Строчный!$A:$A,Строчный!I:I,"ERR",0))</f>
        <v>фиолетовый / желтый</v>
      </c>
      <c r="J22" s="101" t="str">
        <f ca="1">SUBSTITUTE(LOWER(_xlfn.XLOOKUP($A22,Строчный!$A:$A,Строчный!J:J,"ERR",0)),"подклад","Подклад")</f>
        <v>100% шерсть мериноса</v>
      </c>
      <c r="K22" s="101" t="str">
        <f ca="1">LOWER(_xlfn.XLOOKUP($A22,Строчный!$A:$A,Строчный!K:K,"ERR",0))</f>
        <v>шерстяные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Соединенные Штаты</v>
      </c>
      <c r="N22" s="110">
        <f ca="1">VALUE(_xlfn.XLOOKUP($A22,Строчный!$A:$A,Строчный!N:N,"ERR",0))</f>
        <v>2184</v>
      </c>
      <c r="O22" s="109" t="str">
        <f ca="1">_xlfn.XLOOKUP($G22,Фабрика!A:A,Фабрика!B:B,"ERR",0)</f>
        <v>HOOD HAT, LLC; 15332 Antioch st., #211 Pacific Palisades, CA 90272, USA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6</v>
      </c>
      <c r="R22" s="14" t="s">
        <v>283</v>
      </c>
      <c r="S22" s="122" t="str">
        <f t="shared" ca="1" si="0"/>
        <v>Бейсболка HOOD арт. 100-MWL005-NY066-AT NEW YORK IX (фиолетовый / желтый)</v>
      </c>
      <c r="T22" s="121" t="str">
        <f t="shared" ca="1" si="1"/>
        <v>Бейсболка HOOD арт. 100-MWL005-NY066-AT NEW YORK IX (фиолетовый / желтый) {atlantic}</v>
      </c>
      <c r="U22" s="18" t="str">
        <f t="shared" ca="1" si="2"/>
        <v>фиолетовый</v>
      </c>
      <c r="V22" s="18" t="str">
        <f t="shared" ca="1" si="3"/>
        <v>желтый</v>
      </c>
      <c r="W22" s="119" t="str">
        <f ca="1">_xlfn.XLOOKUP(A22,'Цвета артикулов'!A:A,'Цвета артикулов'!B:B,IFERROR(MID(I22,FIND("-",I22)+1,LEN(I22)),IFERROR(MID(I22,1,FIND("/",I22)-2),I22)),0)</f>
        <v>фиолетовый</v>
      </c>
      <c r="X22" s="93" t="str">
        <f t="shared" ca="1" si="4"/>
        <v>92-030-41-00</v>
      </c>
      <c r="Y22" s="95" t="str">
        <f ca="1">VLOOKUP(C22,Группа!A:B,2,FALSE)</f>
        <v>Бейсболка</v>
      </c>
      <c r="Z22" s="117" t="str">
        <f ca="1">IFERROR(VLOOKUP(P22,Размеры!A:C,3,FALSE),"")</f>
        <v>ONE</v>
      </c>
      <c r="AA22" s="117" t="str">
        <f ca="1">VLOOKUP(I22,ЦветПолный!A:B,2,FALSE)</f>
        <v>41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1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92-029-10</v>
      </c>
      <c r="B23" s="128" t="str">
        <f ca="1">UPPER(_xlfn.XLOOKUP($A23,Строчный!$A:$A,Строчный!B:B,"ERR",0))</f>
        <v>100-MWL005-NY020-HW BROOKLYN II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 с прямым козырьком</v>
      </c>
      <c r="E23" s="101" t="str">
        <f ca="1">PROPER(_xlfn.XLOOKUP($A23,Строчный!$A:$A,Строчный!E:E,"ERR",0))</f>
        <v>Hood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HOOD</v>
      </c>
      <c r="H23" s="101" t="str">
        <f ca="1">LOWER(_xlfn.XLOOKUP($A23,Строчный!$A:$A,Строчный!H:H,"ERR",0))</f>
        <v>highway</v>
      </c>
      <c r="I23" s="101" t="str">
        <f ca="1">LOWER(_xlfn.XLOOKUP($A23,Строчный!$A:$A,Строчный!I:I,"ERR",0))</f>
        <v>серый / черный</v>
      </c>
      <c r="J23" s="101" t="str">
        <f ca="1">SUBSTITUTE(LOWER(_xlfn.XLOOKUP($A23,Строчный!$A:$A,Строчный!J:J,"ERR",0)),"подклад","Подклад")</f>
        <v>100% шерсть мериноса</v>
      </c>
      <c r="K23" s="101" t="str">
        <f ca="1">LOWER(_xlfn.XLOOKUP($A23,Строчный!$A:$A,Строчный!K:K,"ERR",0))</f>
        <v>шерстяные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Соединенные Штаты</v>
      </c>
      <c r="N23" s="110">
        <f ca="1">VALUE(_xlfn.XLOOKUP($A23,Строчный!$A:$A,Строчный!N:N,"ERR",0))</f>
        <v>2184</v>
      </c>
      <c r="O23" s="109" t="str">
        <f ca="1">_xlfn.XLOOKUP($G23,Фабрика!A:A,Фабрика!B:B,"ERR",0)</f>
        <v>HOOD HAT, LLC; 15332 Antioch st., #211 Pacific Palisades, CA 90272, USA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3</v>
      </c>
      <c r="R23" s="14" t="s">
        <v>283</v>
      </c>
      <c r="S23" s="122" t="str">
        <f t="shared" ca="1" si="0"/>
        <v>Бейсболка HOOD арт. 100-MWL005-NY020-HW BROOKLYN II (серый / черный)</v>
      </c>
      <c r="T23" s="121" t="str">
        <f t="shared" ca="1" si="1"/>
        <v>Бейсболка HOOD арт. 100-MWL005-NY020-HW BROOKLYN II (серый / черный) {highway}</v>
      </c>
      <c r="U23" s="18" t="str">
        <f t="shared" ca="1" si="2"/>
        <v>серый</v>
      </c>
      <c r="V23" s="18" t="str">
        <f t="shared" ca="1" si="3"/>
        <v>черный</v>
      </c>
      <c r="W23" s="119" t="str">
        <f ca="1">_xlfn.XLOOKUP(A23,'Цвета артикулов'!A:A,'Цвета артикулов'!B:B,IFERROR(MID(I23,FIND("-",I23)+1,LEN(I23)),IFERROR(MID(I23,1,FIND("/",I23)-2),I23)),0)</f>
        <v>серый</v>
      </c>
      <c r="X23" s="93" t="str">
        <f t="shared" ca="1" si="4"/>
        <v>92-029-10-00</v>
      </c>
      <c r="Y23" s="95" t="str">
        <f ca="1">VLOOKUP(C23,Группа!A:B,2,FALSE)</f>
        <v>Бейсболка</v>
      </c>
      <c r="Z23" s="117" t="str">
        <f ca="1">IFERROR(VLOOKUP(P23,Размеры!A:C,3,FALSE),"")</f>
        <v>ONE</v>
      </c>
      <c r="AA23" s="117" t="str">
        <f ca="1">VLOOKUP(I23,ЦветПолный!A:B,2,FALSE)</f>
        <v>10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6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92-028-09</v>
      </c>
      <c r="B24" s="128" t="str">
        <f ca="1">UPPER(_xlfn.XLOOKUP($A24,Строчный!$A:$A,Строчный!B:B,"ERR",0))</f>
        <v>100-MWL005-NV001-BKA LAS VEGAS IV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 с прямым козырьком</v>
      </c>
      <c r="E24" s="101" t="str">
        <f ca="1">PROPER(_xlfn.XLOOKUP($A24,Строчный!$A:$A,Строчный!E:E,"ERR",0))</f>
        <v>Hood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HOOD</v>
      </c>
      <c r="H24" s="101" t="str">
        <f ca="1">LOWER(_xlfn.XLOOKUP($A24,Строчный!$A:$A,Строчный!H:H,"ERR",0))</f>
        <v>black</v>
      </c>
      <c r="I24" s="101" t="str">
        <f ca="1">LOWER(_xlfn.XLOOKUP($A24,Строчный!$A:$A,Строчный!I:I,"ERR",0))</f>
        <v>черный</v>
      </c>
      <c r="J24" s="101" t="str">
        <f ca="1">SUBSTITUTE(LOWER(_xlfn.XLOOKUP($A24,Строчный!$A:$A,Строчный!J:J,"ERR",0)),"подклад","Подклад")</f>
        <v>100% шерсть мериноса</v>
      </c>
      <c r="K24" s="101" t="str">
        <f ca="1">LOWER(_xlfn.XLOOKUP($A24,Строчный!$A:$A,Строчный!K:K,"ERR",0))</f>
        <v>шерстяные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Соединенные Штаты</v>
      </c>
      <c r="N24" s="110">
        <f ca="1">VALUE(_xlfn.XLOOKUP($A24,Строчный!$A:$A,Строчный!N:N,"ERR",0))</f>
        <v>2184</v>
      </c>
      <c r="O24" s="109" t="str">
        <f ca="1">_xlfn.XLOOKUP($G24,Фабрика!A:A,Фабрика!B:B,"ERR",0)</f>
        <v>HOOD HAT, LLC; 15332 Antioch st., #211 Pacific Palisades, CA 90272, USA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3</v>
      </c>
      <c r="R24" s="14" t="s">
        <v>283</v>
      </c>
      <c r="S24" s="122" t="str">
        <f t="shared" ca="1" si="0"/>
        <v>Бейсболка HOOD арт. 100-MWL005-NV001-BKA LAS VEGAS IV (черный)</v>
      </c>
      <c r="T24" s="121" t="str">
        <f t="shared" ca="1" si="1"/>
        <v>Бейсболка HOOD арт. 100-MWL005-NV001-BKA LAS VEGAS IV (черный) {black}</v>
      </c>
      <c r="U24" s="18" t="str">
        <f t="shared" ca="1" si="2"/>
        <v>черный</v>
      </c>
      <c r="V24" s="18" t="str">
        <f t="shared" ca="1" si="3"/>
        <v>черный</v>
      </c>
      <c r="W24" s="119" t="str">
        <f ca="1">_xlfn.XLOOKUP(A24,'Цвета артикулов'!A:A,'Цвета артикулов'!B:B,IFERROR(MID(I24,FIND("-",I24)+1,LEN(I24)),IFERROR(MID(I24,1,FIND("/",I24)-2),I24)),0)</f>
        <v>черный</v>
      </c>
      <c r="X24" s="93" t="str">
        <f t="shared" ca="1" si="4"/>
        <v>92-028-09-00</v>
      </c>
      <c r="Y24" s="95" t="str">
        <f ca="1">VLOOKUP(C24,Группа!A:B,2,FALSE)</f>
        <v>Бейсболка</v>
      </c>
      <c r="Z24" s="117" t="str">
        <f ca="1">IFERROR(VLOOKUP(P24,Размеры!A:C,3,FALSE),"")</f>
        <v>ONE</v>
      </c>
      <c r="AA24" s="117" t="str">
        <f ca="1">VLOOKUP(I24,ЦветПолный!A:B,2,FALSE)</f>
        <v>09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11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92-027-32</v>
      </c>
      <c r="B25" s="128" t="str">
        <f ca="1">UPPER(_xlfn.XLOOKUP($A25,Строчный!$A:$A,Строчный!B:B,"ERR",0))</f>
        <v>100-MWL005-MI010-NY DETROIT III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 с прямым козырьком</v>
      </c>
      <c r="E25" s="101" t="str">
        <f ca="1">PROPER(_xlfn.XLOOKUP($A25,Строчный!$A:$A,Строчный!E:E,"ERR",0))</f>
        <v>Hood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HOOD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 / желтый</v>
      </c>
      <c r="J25" s="101" t="str">
        <f ca="1">SUBSTITUTE(LOWER(_xlfn.XLOOKUP($A25,Строчный!$A:$A,Строчный!J:J,"ERR",0)),"подклад","Подклад")</f>
        <v>100% шерсть мериноса</v>
      </c>
      <c r="K25" s="101" t="str">
        <f ca="1">LOWER(_xlfn.XLOOKUP($A25,Строчный!$A:$A,Строчный!K:K,"ERR",0))</f>
        <v>шерстяные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Соединенные Штаты</v>
      </c>
      <c r="N25" s="110">
        <f ca="1">VALUE(_xlfn.XLOOKUP($A25,Строчный!$A:$A,Строчный!N:N,"ERR",0))</f>
        <v>2184</v>
      </c>
      <c r="O25" s="109" t="str">
        <f ca="1">_xlfn.XLOOKUP($G25,Фабрика!A:A,Фабрика!B:B,"ERR",0)</f>
        <v>HOOD HAT, LLC; 15332 Antioch st., #211 Pacific Palisades, CA 90272, USA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3</v>
      </c>
      <c r="R25" s="14" t="s">
        <v>283</v>
      </c>
      <c r="S25" s="122" t="str">
        <f t="shared" ca="1" si="0"/>
        <v>Бейсболка HOOD арт. 100-MWL005-MI010-NY DETROIT III (темно-синий / желтый)</v>
      </c>
      <c r="T25" s="121" t="str">
        <f t="shared" ca="1" si="1"/>
        <v>Бейсболка HOOD арт. 100-MWL005-MI010-NY DETROIT III (темно-синий / желтый) {navy}</v>
      </c>
      <c r="U25" s="18" t="str">
        <f t="shared" ca="1" si="2"/>
        <v>синий / желтый</v>
      </c>
      <c r="V25" s="18" t="str">
        <f t="shared" ca="1" si="3"/>
        <v>синий / желтый</v>
      </c>
      <c r="W25" s="119" t="str">
        <f ca="1">_xlfn.XLOOKUP(A25,'Цвета артикулов'!A:A,'Цвета артикулов'!B:B,IFERROR(MID(I25,FIND("-",I25)+1,LEN(I25)),IFERROR(MID(I25,1,FIND("/",I25)-2),I25)),0)</f>
        <v>синий</v>
      </c>
      <c r="X25" s="93" t="str">
        <f t="shared" ca="1" si="4"/>
        <v>92-027-32-00</v>
      </c>
      <c r="Y25" s="95" t="str">
        <f ca="1">VLOOKUP(C25,Группа!A:B,2,FALSE)</f>
        <v>Бейсболка</v>
      </c>
      <c r="Z25" s="117" t="str">
        <f ca="1">IFERROR(VLOOKUP(P25,Размеры!A:C,3,FALSE),"")</f>
        <v>ONE</v>
      </c>
      <c r="AA25" s="117" t="str">
        <f ca="1">VLOOKUP(I25,ЦветПолный!A:B,2,FALSE)</f>
        <v>32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2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92-026-09</v>
      </c>
      <c r="B26" s="128" t="str">
        <f ca="1">UPPER(_xlfn.XLOOKUP($A26,Строчный!$A:$A,Строчный!B:B,"ERR",0))</f>
        <v>100-MWL005-MD007-BK BALTIMORE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 с прямым козырьком</v>
      </c>
      <c r="E26" s="101" t="str">
        <f ca="1">PROPER(_xlfn.XLOOKUP($A26,Строчный!$A:$A,Строчный!E:E,"ERR",0))</f>
        <v>Hood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HOOD</v>
      </c>
      <c r="H26" s="101" t="str">
        <f ca="1">LOWER(_xlfn.XLOOKUP($A26,Строчный!$A:$A,Строчный!H:H,"ERR",0))</f>
        <v>black</v>
      </c>
      <c r="I26" s="101" t="str">
        <f ca="1">LOWER(_xlfn.XLOOKUP($A26,Строчный!$A:$A,Строчный!I:I,"ERR",0))</f>
        <v>черный / фиолетовый</v>
      </c>
      <c r="J26" s="101" t="str">
        <f ca="1">SUBSTITUTE(LOWER(_xlfn.XLOOKUP($A26,Строчный!$A:$A,Строчный!J:J,"ERR",0)),"подклад","Подклад")</f>
        <v>100% шерсть мериноса</v>
      </c>
      <c r="K26" s="101" t="str">
        <f ca="1">LOWER(_xlfn.XLOOKUP($A26,Строчный!$A:$A,Строчный!K:K,"ERR",0))</f>
        <v>шерстяные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Соединенные Штаты</v>
      </c>
      <c r="N26" s="110">
        <f ca="1">VALUE(_xlfn.XLOOKUP($A26,Строчный!$A:$A,Строчный!N:N,"ERR",0))</f>
        <v>2184</v>
      </c>
      <c r="O26" s="109" t="str">
        <f ca="1">_xlfn.XLOOKUP($G26,Фабрика!A:A,Фабрика!B:B,"ERR",0)</f>
        <v>HOOD HAT, LLC; 15332 Antioch st., #211 Pacific Palisades, CA 90272, USA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3</v>
      </c>
      <c r="R26" s="14" t="s">
        <v>283</v>
      </c>
      <c r="S26" s="122" t="str">
        <f t="shared" ca="1" si="0"/>
        <v>Бейсболка HOOD арт. 100-MWL005-MD007-BK BALTIMORE (черный / фиолетовый)</v>
      </c>
      <c r="T26" s="121" t="str">
        <f t="shared" ca="1" si="1"/>
        <v>Бейсболка HOOD арт. 100-MWL005-MD007-BK BALTIMORE (черный / фиолетовый) {black}</v>
      </c>
      <c r="U26" s="18" t="str">
        <f t="shared" ca="1" si="2"/>
        <v>черный</v>
      </c>
      <c r="V26" s="18" t="str">
        <f t="shared" ca="1" si="3"/>
        <v>фиолетовый</v>
      </c>
      <c r="W26" s="119" t="str">
        <f ca="1">_xlfn.XLOOKUP(A26,'Цвета артикулов'!A:A,'Цвета артикулов'!B:B,IFERROR(MID(I26,FIND("-",I26)+1,LEN(I26)),IFERROR(MID(I26,1,FIND("/",I26)-2),I26)),0)</f>
        <v>черный</v>
      </c>
      <c r="X26" s="93" t="str">
        <f t="shared" ca="1" si="4"/>
        <v>92-026-09-00</v>
      </c>
      <c r="Y26" s="95" t="str">
        <f ca="1">VLOOKUP(C26,Группа!A:B,2,FALSE)</f>
        <v>Бейсболка</v>
      </c>
      <c r="Z26" s="117" t="str">
        <f ca="1">IFERROR(VLOOKUP(P26,Размеры!A:C,3,FALSE),"")</f>
        <v>ONE</v>
      </c>
      <c r="AA26" s="117" t="str">
        <f ca="1">VLOOKUP(I26,ЦветПолный!A:B,2,FALSE)</f>
        <v>09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1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92-025-72</v>
      </c>
      <c r="B27" s="128" t="str">
        <f ca="1">UPPER(_xlfn.XLOOKUP($A27,Строчный!$A:$A,Строчный!B:B,"ERR",0))</f>
        <v>100-MWL005-IL011-BKA CHICAGO VII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 с прямым козырьком</v>
      </c>
      <c r="E27" s="101" t="str">
        <f ca="1">PROPER(_xlfn.XLOOKUP($A27,Строчный!$A:$A,Строчный!E:E,"ERR",0))</f>
        <v>Hood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HOOD</v>
      </c>
      <c r="H27" s="101" t="str">
        <f ca="1">LOWER(_xlfn.XLOOKUP($A27,Строчный!$A:$A,Строчный!H:H,"ERR",0))</f>
        <v>black</v>
      </c>
      <c r="I27" s="101" t="str">
        <f ca="1">LOWER(_xlfn.XLOOKUP($A27,Строчный!$A:$A,Строчный!I:I,"ERR",0))</f>
        <v>черный / красный</v>
      </c>
      <c r="J27" s="101" t="str">
        <f ca="1">SUBSTITUTE(LOWER(_xlfn.XLOOKUP($A27,Строчный!$A:$A,Строчный!J:J,"ERR",0)),"подклад","Подклад")</f>
        <v>100% шерсть мериноса</v>
      </c>
      <c r="K27" s="101" t="str">
        <f ca="1">LOWER(_xlfn.XLOOKUP($A27,Строчный!$A:$A,Строчный!K:K,"ERR",0))</f>
        <v>шерстяные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Соединенные Штаты</v>
      </c>
      <c r="N27" s="110">
        <f ca="1">VALUE(_xlfn.XLOOKUP($A27,Строчный!$A:$A,Строчный!N:N,"ERR",0))</f>
        <v>2184</v>
      </c>
      <c r="O27" s="109" t="str">
        <f ca="1">_xlfn.XLOOKUP($G27,Фабрика!A:A,Фабрика!B:B,"ERR",0)</f>
        <v>HOOD HAT, LLC; 15332 Antioch st., #211 Pacific Palisades, CA 90272, USA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3</v>
      </c>
      <c r="R27" s="14" t="s">
        <v>283</v>
      </c>
      <c r="S27" s="122" t="str">
        <f t="shared" ca="1" si="0"/>
        <v>Бейсболка HOOD арт. 100-MWL005-IL011-BKA CHICAGO VII (черный / красный)</v>
      </c>
      <c r="T27" s="121" t="str">
        <f t="shared" ca="1" si="1"/>
        <v>Бейсболка HOOD арт. 100-MWL005-IL011-BKA CHICAGO VII (черный / красный) {black}</v>
      </c>
      <c r="U27" s="18" t="str">
        <f t="shared" ca="1" si="2"/>
        <v>черный</v>
      </c>
      <c r="V27" s="18" t="str">
        <f t="shared" ca="1" si="3"/>
        <v>красный</v>
      </c>
      <c r="W27" s="119" t="str">
        <f ca="1">_xlfn.XLOOKUP(A27,'Цвета артикулов'!A:A,'Цвета артикулов'!B:B,IFERROR(MID(I27,FIND("-",I27)+1,LEN(I27)),IFERROR(MID(I27,1,FIND("/",I27)-2),I27)),0)</f>
        <v>черный</v>
      </c>
      <c r="X27" s="93" t="str">
        <f t="shared" ca="1" si="4"/>
        <v>92-025-72-00</v>
      </c>
      <c r="Y27" s="95" t="str">
        <f ca="1">VLOOKUP(C27,Группа!A:B,2,FALSE)</f>
        <v>Бейсболка</v>
      </c>
      <c r="Z27" s="117" t="str">
        <f ca="1">IFERROR(VLOOKUP(P27,Размеры!A:C,3,FALSE),"")</f>
        <v>ONE</v>
      </c>
      <c r="AA27" s="117" t="str">
        <f ca="1">VLOOKUP(I27,ЦветПолный!A:B,2,FALSE)</f>
        <v>72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3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92-024-72</v>
      </c>
      <c r="B28" s="128" t="str">
        <f ca="1">UPPER(_xlfn.XLOOKUP($A28,Строчный!$A:$A,Строчный!B:B,"ERR",0))</f>
        <v>100-MWL005-IL011-BK CHICAGO IV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 с прямым козырьком</v>
      </c>
      <c r="E28" s="101" t="str">
        <f ca="1">PROPER(_xlfn.XLOOKUP($A28,Строчный!$A:$A,Строчный!E:E,"ERR",0))</f>
        <v>Hood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HOOD</v>
      </c>
      <c r="H28" s="101" t="str">
        <f ca="1">LOWER(_xlfn.XLOOKUP($A28,Строчный!$A:$A,Строчный!H:H,"ERR",0))</f>
        <v>black</v>
      </c>
      <c r="I28" s="101" t="str">
        <f ca="1">LOWER(_xlfn.XLOOKUP($A28,Строчный!$A:$A,Строчный!I:I,"ERR",0))</f>
        <v>черный / белый</v>
      </c>
      <c r="J28" s="101" t="str">
        <f ca="1">SUBSTITUTE(LOWER(_xlfn.XLOOKUP($A28,Строчный!$A:$A,Строчный!J:J,"ERR",0)),"подклад","Подклад")</f>
        <v>100% шерсть мериноса</v>
      </c>
      <c r="K28" s="101" t="str">
        <f ca="1">LOWER(_xlfn.XLOOKUP($A28,Строчный!$A:$A,Строчный!K:K,"ERR",0))</f>
        <v>шерстяные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Соединенные Штаты</v>
      </c>
      <c r="N28" s="110">
        <f ca="1">VALUE(_xlfn.XLOOKUP($A28,Строчный!$A:$A,Строчный!N:N,"ERR",0))</f>
        <v>2184</v>
      </c>
      <c r="O28" s="109" t="str">
        <f ca="1">_xlfn.XLOOKUP($G28,Фабрика!A:A,Фабрика!B:B,"ERR",0)</f>
        <v>HOOD HAT, LLC; 15332 Antioch st., #211 Pacific Palisades, CA 90272, USA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3</v>
      </c>
      <c r="R28" s="14" t="s">
        <v>283</v>
      </c>
      <c r="S28" s="122" t="str">
        <f t="shared" ca="1" si="0"/>
        <v>Бейсболка HOOD арт. 100-MWL005-IL011-BK CHICAGO IV (черный / белый)</v>
      </c>
      <c r="T28" s="121" t="str">
        <f t="shared" ca="1" si="1"/>
        <v>Бейсболка HOOD арт. 100-MWL005-IL011-BK CHICAGO IV (черный / белый) {black}</v>
      </c>
      <c r="U28" s="18" t="str">
        <f t="shared" ca="1" si="2"/>
        <v>черный</v>
      </c>
      <c r="V28" s="18" t="str">
        <f t="shared" ca="1" si="3"/>
        <v>белый</v>
      </c>
      <c r="W28" s="119" t="str">
        <f ca="1">_xlfn.XLOOKUP(A28,'Цвета артикулов'!A:A,'Цвета артикулов'!B:B,IFERROR(MID(I28,FIND("-",I28)+1,LEN(I28)),IFERROR(MID(I28,1,FIND("/",I28)-2),I28)),0)</f>
        <v>черный</v>
      </c>
      <c r="X28" s="93" t="str">
        <f t="shared" ca="1" si="4"/>
        <v>92-024-72-00</v>
      </c>
      <c r="Y28" s="95" t="str">
        <f ca="1">VLOOKUP(C28,Группа!A:B,2,FALSE)</f>
        <v>Бейсболка</v>
      </c>
      <c r="Z28" s="117" t="str">
        <f ca="1">IFERROR(VLOOKUP(P28,Размеры!A:C,3,FALSE),"")</f>
        <v>ONE</v>
      </c>
      <c r="AA28" s="117" t="str">
        <f ca="1">VLOOKUP(I28,ЦветПолный!A:B,2,FALSE)</f>
        <v>72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3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92-023-08</v>
      </c>
      <c r="B29" s="128" t="str">
        <f ca="1">UPPER(_xlfn.XLOOKUP($A29,Строчный!$A:$A,Строчный!B:B,"ERR",0))</f>
        <v>100-MWL005-GA003-HW ATLANTA III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прямым козырьком</v>
      </c>
      <c r="E29" s="101" t="str">
        <f ca="1">PROPER(_xlfn.XLOOKUP($A29,Строчный!$A:$A,Строчный!E:E,"ERR",0))</f>
        <v>Hood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HOOD</v>
      </c>
      <c r="H29" s="101" t="str">
        <f ca="1">LOWER(_xlfn.XLOOKUP($A29,Строчный!$A:$A,Строчный!H:H,"ERR",0))</f>
        <v>highway</v>
      </c>
      <c r="I29" s="101" t="str">
        <f ca="1">LOWER(_xlfn.XLOOKUP($A29,Строчный!$A:$A,Строчный!I:I,"ERR",0))</f>
        <v>серый / красный</v>
      </c>
      <c r="J29" s="101" t="str">
        <f ca="1">SUBSTITUTE(LOWER(_xlfn.XLOOKUP($A29,Строчный!$A:$A,Строчный!J:J,"ERR",0)),"подклад","Подклад")</f>
        <v>100% шерсть мериноса</v>
      </c>
      <c r="K29" s="101" t="str">
        <f ca="1">LOWER(_xlfn.XLOOKUP($A29,Строчный!$A:$A,Строчный!K:K,"ERR",0))</f>
        <v>шерстяные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Соединенные Штаты</v>
      </c>
      <c r="N29" s="110">
        <f ca="1">VALUE(_xlfn.XLOOKUP($A29,Строчный!$A:$A,Строчный!N:N,"ERR",0))</f>
        <v>2184</v>
      </c>
      <c r="O29" s="109" t="str">
        <f ca="1">_xlfn.XLOOKUP($G29,Фабрика!A:A,Фабрика!B:B,"ERR",0)</f>
        <v>HOOD HAT, LLC; 15332 Antioch st., #211 Pacific Palisades, CA 90272, USA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3</v>
      </c>
      <c r="R29" s="14" t="s">
        <v>283</v>
      </c>
      <c r="S29" s="122" t="str">
        <f t="shared" ca="1" si="0"/>
        <v>Бейсболка HOOD арт. 100-MWL005-GA003-HW ATLANTA III (серый / красный)</v>
      </c>
      <c r="T29" s="121" t="str">
        <f t="shared" ca="1" si="1"/>
        <v>Бейсболка HOOD арт. 100-MWL005-GA003-HW ATLANTA III (серый / красный) {highway}</v>
      </c>
      <c r="U29" s="18" t="str">
        <f t="shared" ca="1" si="2"/>
        <v>серый</v>
      </c>
      <c r="V29" s="18" t="str">
        <f t="shared" ca="1" si="3"/>
        <v>красный</v>
      </c>
      <c r="W29" s="119" t="str">
        <f ca="1">_xlfn.XLOOKUP(A29,'Цвета артикулов'!A:A,'Цвета артикулов'!B:B,IFERROR(MID(I29,FIND("-",I29)+1,LEN(I29)),IFERROR(MID(I29,1,FIND("/",I29)-2),I29)),0)</f>
        <v>бордовый</v>
      </c>
      <c r="X29" s="93" t="str">
        <f t="shared" ca="1" si="4"/>
        <v>92-023-08-00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08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0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9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e">
        <f ca="1">IF(VLOOKUP(T29,Товары!A:B,2,FALSE)=A29,"Есть в 1С","ERR")</f>
        <v>#N/A</v>
      </c>
      <c r="AR29" s="84" t="e">
        <f ca="1">IF(VLOOKUP(A29,Товары!B:B,1,FALSE)=A29,"Есть в 1С","ERR")</f>
        <v>#N/A</v>
      </c>
      <c r="AS29" s="116" t="e">
        <f ca="1">VLOOKUP(T29,Товары!A:B,2,FALSE)</f>
        <v>#N/A</v>
      </c>
      <c r="AT29" s="114" t="e">
        <f ca="1">VLOOKUP(T29,Товары!A:B,1,FALSE)</f>
        <v>#N/A</v>
      </c>
    </row>
    <row r="30" spans="1:46" x14ac:dyDescent="0.25">
      <c r="A30" s="131" t="str">
        <f ca="1"/>
        <v>92-022-65</v>
      </c>
      <c r="B30" s="128" t="str">
        <f ca="1">UPPER(_xlfn.XLOOKUP($A30,Строчный!$A:$A,Строчный!B:B,"ERR",0))</f>
        <v>100-MWL005-CO005-MN COLORADO II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 с прямым козырьком</v>
      </c>
      <c r="E30" s="101" t="str">
        <f ca="1">PROPER(_xlfn.XLOOKUP($A30,Строчный!$A:$A,Строчный!E:E,"ERR",0))</f>
        <v>Hood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HOOD</v>
      </c>
      <c r="H30" s="101" t="str">
        <f ca="1">LOWER(_xlfn.XLOOKUP($A30,Строчный!$A:$A,Строчный!H:H,"ERR",0))</f>
        <v>maroon</v>
      </c>
      <c r="I30" s="101" t="str">
        <f ca="1">LOWER(_xlfn.XLOOKUP($A30,Строчный!$A:$A,Строчный!I:I,"ERR",0))</f>
        <v>бордовый / голубой</v>
      </c>
      <c r="J30" s="101" t="str">
        <f ca="1">SUBSTITUTE(LOWER(_xlfn.XLOOKUP($A30,Строчный!$A:$A,Строчный!J:J,"ERR",0)),"подклад","Подклад")</f>
        <v>100% шерсть мериноса</v>
      </c>
      <c r="K30" s="101" t="str">
        <f ca="1">LOWER(_xlfn.XLOOKUP($A30,Строчный!$A:$A,Строчный!K:K,"ERR",0))</f>
        <v>шерстяные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Соединенные Штаты</v>
      </c>
      <c r="N30" s="110">
        <f ca="1">VALUE(_xlfn.XLOOKUP($A30,Строчный!$A:$A,Строчный!N:N,"ERR",0))</f>
        <v>2184</v>
      </c>
      <c r="O30" s="109" t="str">
        <f ca="1">_xlfn.XLOOKUP($G30,Фабрика!A:A,Фабрика!B:B,"ERR",0)</f>
        <v>HOOD HAT, LLC; 15332 Antioch st., #211 Pacific Palisades, CA 90272, USA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3</v>
      </c>
      <c r="R30" s="14" t="s">
        <v>283</v>
      </c>
      <c r="S30" s="122" t="str">
        <f t="shared" ca="1" si="0"/>
        <v>Бейсболка HOOD арт. 100-MWL005-CO005-MN COLORADO II (бордовый / голубой)</v>
      </c>
      <c r="T30" s="121" t="str">
        <f t="shared" ca="1" si="1"/>
        <v>Бейсболка HOOD арт. 100-MWL005-CO005-MN COLORADO II (бордовый / голубой) {maroon}</v>
      </c>
      <c r="U30" s="18" t="str">
        <f t="shared" ca="1" si="2"/>
        <v>бордовый</v>
      </c>
      <c r="V30" s="18" t="str">
        <f t="shared" ca="1" si="3"/>
        <v>голубой</v>
      </c>
      <c r="W30" s="119" t="str">
        <f ca="1">_xlfn.XLOOKUP(A30,'Цвета артикулов'!A:A,'Цвета артикулов'!B:B,IFERROR(MID(I30,FIND("-",I30)+1,LEN(I30)),IFERROR(MID(I30,1,FIND("/",I30)-2),I30)),0)</f>
        <v>бордовый</v>
      </c>
      <c r="X30" s="93" t="str">
        <f t="shared" ca="1" si="4"/>
        <v>92-022-65-00</v>
      </c>
      <c r="Y30" s="95" t="str">
        <f ca="1">VLOOKUP(C30,Группа!A:B,2,FALSE)</f>
        <v>Бейсболка</v>
      </c>
      <c r="Z30" s="117" t="str">
        <f ca="1">IFERROR(VLOOKUP(P30,Размеры!A:C,3,FALSE),"")</f>
        <v>ONE</v>
      </c>
      <c r="AA30" s="117" t="str">
        <f ca="1">VLOOKUP(I30,ЦветПолный!A:B,2,FALSE)</f>
        <v>65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0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2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e">
        <f ca="1">IF(VLOOKUP(T30,Товары!A:B,2,FALSE)=A30,"Есть в 1С","ERR")</f>
        <v>#N/A</v>
      </c>
      <c r="AR30" s="84" t="e">
        <f ca="1">IF(VLOOKUP(A30,Товары!B:B,1,FALSE)=A30,"Есть в 1С","ERR")</f>
        <v>#N/A</v>
      </c>
      <c r="AS30" s="116" t="e">
        <f ca="1">VLOOKUP(T30,Товары!A:B,2,FALSE)</f>
        <v>#N/A</v>
      </c>
      <c r="AT30" s="114" t="e">
        <f ca="1">VLOOKUP(T30,Товары!A:B,1,FALSE)</f>
        <v>#N/A</v>
      </c>
    </row>
    <row r="31" spans="1:46" x14ac:dyDescent="0.25">
      <c r="A31" s="131" t="str">
        <f ca="1"/>
        <v>92-021-72</v>
      </c>
      <c r="B31" s="128" t="str">
        <f ca="1">UPPER(_xlfn.XLOOKUP($A31,Строчный!$A:$A,Строчный!B:B,"ERR",0))</f>
        <v>100-MWL005-CA087-BK SAN FRANCISCO II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 с прямым козырьком</v>
      </c>
      <c r="E31" s="101" t="str">
        <f ca="1">PROPER(_xlfn.XLOOKUP($A31,Строчный!$A:$A,Строчный!E:E,"ERR",0))</f>
        <v>Hood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HOOD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 / красный</v>
      </c>
      <c r="J31" s="101" t="str">
        <f ca="1">SUBSTITUTE(LOWER(_xlfn.XLOOKUP($A31,Строчный!$A:$A,Строчный!J:J,"ERR",0)),"подклад","Подклад")</f>
        <v>100% шерсть мериноса</v>
      </c>
      <c r="K31" s="101" t="str">
        <f ca="1">LOWER(_xlfn.XLOOKUP($A31,Строчный!$A:$A,Строчный!K:K,"ERR",0))</f>
        <v>шерстяные</v>
      </c>
      <c r="L31" s="101" t="str">
        <f ca="1">PROPER(_xlfn.XLOOKUP($A31,Строчный!$A:$A,Строчный!L:L,"ERR",0))</f>
        <v>Унисекс</v>
      </c>
      <c r="M31" s="101" t="str">
        <f ca="1">PROPER(_xlfn.XLOOKUP($A31,Строчный!$A:$A,Строчный!M:M,"ERR",0))</f>
        <v>Соединенные Штаты</v>
      </c>
      <c r="N31" s="110">
        <f ca="1">VALUE(_xlfn.XLOOKUP($A31,Строчный!$A:$A,Строчный!N:N,"ERR",0))</f>
        <v>2184</v>
      </c>
      <c r="O31" s="109" t="str">
        <f ca="1">_xlfn.XLOOKUP($G31,Фабрика!A:A,Фабрика!B:B,"ERR",0)</f>
        <v>HOOD HAT, LLC; 15332 Antioch st., #211 Pacific Palisades, CA 90272, USA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3</v>
      </c>
      <c r="R31" s="14" t="s">
        <v>283</v>
      </c>
      <c r="S31" s="122" t="str">
        <f t="shared" ca="1" si="0"/>
        <v>Бейсболка HOOD арт. 100-MWL005-CA087-BK SAN FRANCISCO II (черный / красный)</v>
      </c>
      <c r="T31" s="121" t="str">
        <f t="shared" ca="1" si="1"/>
        <v>Бейсболка HOOD арт. 100-MWL005-CA087-BK SAN FRANCISCO II (черный / красный) {black}</v>
      </c>
      <c r="U31" s="18" t="str">
        <f t="shared" ca="1" si="2"/>
        <v>черный</v>
      </c>
      <c r="V31" s="18" t="str">
        <f t="shared" ca="1" si="3"/>
        <v>красный</v>
      </c>
      <c r="W31" s="119" t="str">
        <f ca="1">_xlfn.XLOOKUP(A31,'Цвета артикулов'!A:A,'Цвета артикулов'!B:B,IFERROR(MID(I31,FIND("-",I31)+1,LEN(I31)),IFERROR(MID(I31,1,FIND("/",I31)-2),I31)),0)</f>
        <v>черный</v>
      </c>
      <c r="X31" s="93" t="str">
        <f t="shared" ca="1" si="4"/>
        <v>92-021-72-00</v>
      </c>
      <c r="Y31" s="95" t="str">
        <f ca="1">VLOOKUP(C31,Группа!A:B,2,FALSE)</f>
        <v>Бейсболка</v>
      </c>
      <c r="Z31" s="117" t="str">
        <f ca="1">IFERROR(VLOOKUP(P31,Размеры!A:C,3,FALSE),"")</f>
        <v>ONE</v>
      </c>
      <c r="AA31" s="117" t="str">
        <f ca="1">VLOOKUP(I31,ЦветПолный!A:B,2,FALSE)</f>
        <v>72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0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3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e">
        <f ca="1">IF(VLOOKUP(T31,Товары!A:B,2,FALSE)=A31,"Есть в 1С","ERR")</f>
        <v>#N/A</v>
      </c>
      <c r="AR31" s="84" t="e">
        <f ca="1">IF(VLOOKUP(A31,Товары!B:B,1,FALSE)=A31,"Есть в 1С","ERR")</f>
        <v>#N/A</v>
      </c>
      <c r="AS31" s="116" t="e">
        <f ca="1">VLOOKUP(T31,Товары!A:B,2,FALSE)</f>
        <v>#N/A</v>
      </c>
      <c r="AT31" s="114" t="e">
        <f ca="1">VLOOKUP(T31,Товары!A:B,1,FALSE)</f>
        <v>#N/A</v>
      </c>
    </row>
    <row r="32" spans="1:46" x14ac:dyDescent="0.25">
      <c r="A32" s="131" t="str">
        <f ca="1"/>
        <v>92-020-09</v>
      </c>
      <c r="B32" s="128" t="str">
        <f ca="1">UPPER(_xlfn.XLOOKUP($A32,Строчный!$A:$A,Строчный!B:B,"ERR",0))</f>
        <v>100-MWL005-CA069-BKA LOS ANGELES X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прямым козырьком</v>
      </c>
      <c r="E32" s="101" t="str">
        <f ca="1">PROPER(_xlfn.XLOOKUP($A32,Строчный!$A:$A,Строчный!E:E,"ERR",0))</f>
        <v>Hood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HOOD</v>
      </c>
      <c r="H32" s="101" t="str">
        <f ca="1">LOWER(_xlfn.XLOOKUP($A32,Строчный!$A:$A,Строчный!H:H,"ERR",0))</f>
        <v>black</v>
      </c>
      <c r="I32" s="101" t="str">
        <f ca="1">LOWER(_xlfn.XLOOKUP($A32,Строчный!$A:$A,Строчный!I:I,"ERR",0))</f>
        <v>черный / оранжевый</v>
      </c>
      <c r="J32" s="101" t="str">
        <f ca="1">SUBSTITUTE(LOWER(_xlfn.XLOOKUP($A32,Строчный!$A:$A,Строчный!J:J,"ERR",0)),"подклад","Подклад")</f>
        <v>100% шерсть мериноса</v>
      </c>
      <c r="K32" s="101" t="str">
        <f ca="1">LOWER(_xlfn.XLOOKUP($A32,Строчный!$A:$A,Строчный!K:K,"ERR",0))</f>
        <v>шерстяные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Соединенные Штаты</v>
      </c>
      <c r="N32" s="110">
        <f ca="1">VALUE(_xlfn.XLOOKUP($A32,Строчный!$A:$A,Строчный!N:N,"ERR",0))</f>
        <v>2184</v>
      </c>
      <c r="O32" s="109" t="str">
        <f ca="1">_xlfn.XLOOKUP($G32,Фабрика!A:A,Фабрика!B:B,"ERR",0)</f>
        <v>HOOD HAT, LLC; 15332 Antioch st., #211 Pacific Palisades, CA 90272, USA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3</v>
      </c>
      <c r="R32" s="14" t="s">
        <v>283</v>
      </c>
      <c r="S32" s="122" t="str">
        <f t="shared" ca="1" si="0"/>
        <v>Бейсболка HOOD арт. 100-MWL005-CA069-BKA LOS ANGELES X (черный / оранжевый)</v>
      </c>
      <c r="T32" s="121" t="str">
        <f t="shared" ca="1" si="1"/>
        <v>Бейсболка HOOD арт. 100-MWL005-CA069-BKA LOS ANGELES X (черный / оранжевый) {black}</v>
      </c>
      <c r="U32" s="18" t="str">
        <f t="shared" ca="1" si="2"/>
        <v>черный</v>
      </c>
      <c r="V32" s="18" t="str">
        <f t="shared" ca="1" si="3"/>
        <v>оранжевый</v>
      </c>
      <c r="W32" s="119" t="str">
        <f ca="1">_xlfn.XLOOKUP(A32,'Цвета артикулов'!A:A,'Цвета артикулов'!B:B,IFERROR(MID(I32,FIND("-",I32)+1,LEN(I32)),IFERROR(MID(I32,1,FIND("/",I32)-2),I32)),0)</f>
        <v>черный</v>
      </c>
      <c r="X32" s="93" t="str">
        <f t="shared" ca="1" si="4"/>
        <v>92-020-09-00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09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0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5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e">
        <f ca="1">IF(VLOOKUP(T32,Товары!A:B,2,FALSE)=A32,"Есть в 1С","ERR")</f>
        <v>#N/A</v>
      </c>
      <c r="AR32" s="84" t="e">
        <f ca="1">IF(VLOOKUP(A32,Товары!B:B,1,FALSE)=A32,"Есть в 1С","ERR")</f>
        <v>#N/A</v>
      </c>
      <c r="AS32" s="116" t="e">
        <f ca="1">VLOOKUP(T32,Товары!A:B,2,FALSE)</f>
        <v>#N/A</v>
      </c>
      <c r="AT32" s="114" t="e">
        <f ca="1">VLOOKUP(T32,Товары!A:B,1,FALSE)</f>
        <v>#N/A</v>
      </c>
    </row>
    <row r="33" spans="1:46" x14ac:dyDescent="0.25">
      <c r="A33" s="131" t="str">
        <f ca="1"/>
        <v>92-019-72</v>
      </c>
      <c r="B33" s="128" t="str">
        <f ca="1">UPPER(_xlfn.XLOOKUP($A33,Строчный!$A:$A,Строчный!B:B,"ERR",0))</f>
        <v>100-MWL005-CA069-BK LOS ANGELES VIII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прямым козырьком</v>
      </c>
      <c r="E33" s="101" t="str">
        <f ca="1">PROPER(_xlfn.XLOOKUP($A33,Строчный!$A:$A,Строчный!E:E,"ERR",0))</f>
        <v>Hood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HOOD</v>
      </c>
      <c r="H33" s="101" t="str">
        <f ca="1">LOWER(_xlfn.XLOOKUP($A33,Строчный!$A:$A,Строчный!H:H,"ERR",0))</f>
        <v>black</v>
      </c>
      <c r="I33" s="101" t="str">
        <f ca="1">LOWER(_xlfn.XLOOKUP($A33,Строчный!$A:$A,Строчный!I:I,"ERR",0))</f>
        <v>черный / белый</v>
      </c>
      <c r="J33" s="101" t="str">
        <f ca="1">SUBSTITUTE(LOWER(_xlfn.XLOOKUP($A33,Строчный!$A:$A,Строчный!J:J,"ERR",0)),"подклад","Подклад")</f>
        <v>100% шерсть мериноса</v>
      </c>
      <c r="K33" s="101" t="str">
        <f ca="1">LOWER(_xlfn.XLOOKUP($A33,Строчный!$A:$A,Строчный!K:K,"ERR",0))</f>
        <v>шерстяные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Соединенные Штаты</v>
      </c>
      <c r="N33" s="110">
        <f ca="1">VALUE(_xlfn.XLOOKUP($A33,Строчный!$A:$A,Строчный!N:N,"ERR",0))</f>
        <v>2184</v>
      </c>
      <c r="O33" s="109" t="str">
        <f ca="1">_xlfn.XLOOKUP($G33,Фабрика!A:A,Фабрика!B:B,"ERR",0)</f>
        <v>HOOD HAT, LLC; 15332 Antioch st., #211 Pacific Palisades, CA 90272, USA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6</v>
      </c>
      <c r="R33" s="14" t="s">
        <v>283</v>
      </c>
      <c r="S33" s="122" t="str">
        <f t="shared" ca="1" si="0"/>
        <v>Бейсболка HOOD арт. 100-MWL005-CA069-BK LOS ANGELES VIII (черный / белый)</v>
      </c>
      <c r="T33" s="121" t="str">
        <f t="shared" ca="1" si="1"/>
        <v>Бейсболка HOOD арт. 100-MWL005-CA069-BK LOS ANGELES VIII (черный / белый) {black}</v>
      </c>
      <c r="U33" s="18" t="str">
        <f t="shared" ca="1" si="2"/>
        <v>черный</v>
      </c>
      <c r="V33" s="18" t="str">
        <f t="shared" ca="1" si="3"/>
        <v>белый</v>
      </c>
      <c r="W33" s="119" t="str">
        <f ca="1">_xlfn.XLOOKUP(A33,'Цвета артикулов'!A:A,'Цвета артикулов'!B:B,IFERROR(MID(I33,FIND("-",I33)+1,LEN(I33)),IFERROR(MID(I33,1,FIND("/",I33)-2),I33)),0)</f>
        <v>черный</v>
      </c>
      <c r="X33" s="93" t="str">
        <f t="shared" ca="1" si="4"/>
        <v>92-019-72-00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72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0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3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e">
        <f ca="1">IF(VLOOKUP(T33,Товары!A:B,2,FALSE)=A33,"Есть в 1С","ERR")</f>
        <v>#N/A</v>
      </c>
      <c r="AR33" s="84" t="e">
        <f ca="1">IF(VLOOKUP(A33,Товары!B:B,1,FALSE)=A33,"Есть в 1С","ERR")</f>
        <v>#N/A</v>
      </c>
      <c r="AS33" s="116" t="e">
        <f ca="1">VLOOKUP(T33,Товары!A:B,2,FALSE)</f>
        <v>#N/A</v>
      </c>
      <c r="AT33" s="114" t="e">
        <f ca="1">VLOOKUP(T33,Товары!A:B,1,FALSE)</f>
        <v>#N/A</v>
      </c>
    </row>
    <row r="34" spans="1:46" x14ac:dyDescent="0.25">
      <c r="A34" s="131" t="str">
        <f ca="1"/>
        <v>92-018-65</v>
      </c>
      <c r="B34" s="128" t="str">
        <f ca="1">UPPER(_xlfn.XLOOKUP($A34,Строчный!$A:$A,Строчный!B:B,"ERR",0))</f>
        <v>100-MWL003-PA013-NY HAPPY VALLEY ZOMBIE NATION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 с прямым козырьком</v>
      </c>
      <c r="E34" s="101" t="str">
        <f ca="1">PROPER(_xlfn.XLOOKUP($A34,Строчный!$A:$A,Строчный!E:E,"ERR",0))</f>
        <v>Hood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HOOD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темно-синий / белый</v>
      </c>
      <c r="J34" s="101" t="str">
        <f ca="1">SUBSTITUTE(LOWER(_xlfn.XLOOKUP($A34,Строчный!$A:$A,Строчный!J:J,"ERR",0)),"подклад","Подклад")</f>
        <v>100% шерсть мериноса</v>
      </c>
      <c r="K34" s="101" t="str">
        <f ca="1">LOWER(_xlfn.XLOOKUP($A34,Строчный!$A:$A,Строчный!K:K,"ERR",0))</f>
        <v>шерстяные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Соединенные Штаты</v>
      </c>
      <c r="N34" s="110">
        <f ca="1">VALUE(_xlfn.XLOOKUP($A34,Строчный!$A:$A,Строчный!N:N,"ERR",0))</f>
        <v>2184</v>
      </c>
      <c r="O34" s="109" t="str">
        <f ca="1">_xlfn.XLOOKUP($G34,Фабрика!A:A,Фабрика!B:B,"ERR",0)</f>
        <v>HOOD HAT, LLC; 15332 Antioch st., #211 Pacific Palisades, CA 90272, USA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3</v>
      </c>
      <c r="R34" s="14" t="s">
        <v>283</v>
      </c>
      <c r="S34" s="122" t="str">
        <f t="shared" ref="S34:S51" ca="1" si="5">CONCATENATE(Y34," ",G34," арт. ",B34," (",I34,")")</f>
        <v>Бейсболка HOOD арт. 100-MWL003-PA013-NY HAPPY VALLEY ZOMBIE NATION (темно-синий / белый)</v>
      </c>
      <c r="T34" s="121" t="str">
        <f t="shared" ref="T34:T51" ca="1" si="6">CONCATENATE(Y34," ",G34," арт. ",B34," (",I34,") {",H34,"}")</f>
        <v>Бейсболка HOOD арт. 100-MWL003-PA013-NY HAPPY VALLEY ZOMBIE NATION (темно-синий / белый) {navy}</v>
      </c>
      <c r="U34" s="18" t="str">
        <f t="shared" ref="U34:U51" ca="1" si="7">IFERROR(MID(I34,FIND("-",I34)+1,LEN(I34)),IFERROR(MID(I34,1,FIND("/",I34)-2),I34))</f>
        <v>синий / белый</v>
      </c>
      <c r="V34" s="18" t="str">
        <f t="shared" ref="V34:V51" ca="1" si="8">IFERROR(MID(I34,FIND("-",I34)+1,LEN(I34)),IFERROR(MID(I34,FIND("/",I34)+2,LEN(I34)),I34))</f>
        <v>синий / белый</v>
      </c>
      <c r="W34" s="119" t="str">
        <f ca="1">_xlfn.XLOOKUP(A34,'Цвета артикулов'!A:A,'Цвета артикулов'!B:B,IFERROR(MID(I34,FIND("-",I34)+1,LEN(I34)),IFERROR(MID(I34,1,FIND("/",I34)-2),I34)),0)</f>
        <v>синий</v>
      </c>
      <c r="X34" s="93" t="str">
        <f t="shared" ca="1" si="4"/>
        <v>92-018-65-00</v>
      </c>
      <c r="Y34" s="95" t="str">
        <f ca="1">VLOOKUP(C34,Группа!A:B,2,FALSE)</f>
        <v>Бейсболка</v>
      </c>
      <c r="Z34" s="117" t="str">
        <f ca="1">IFERROR(VLOOKUP(P34,Размеры!A:C,3,FALSE),"")</f>
        <v>ONE</v>
      </c>
      <c r="AA34" s="117" t="str">
        <f ca="1">VLOOKUP(I34,ЦветПолный!A:B,2,FALSE)</f>
        <v>65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0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1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92-017-72</v>
      </c>
      <c r="B35" s="128" t="str">
        <f ca="1">UPPER(_xlfn.XLOOKUP($A35,Строчный!$A:$A,Строчный!B:B,"ERR",0))</f>
        <v>100-MWL001-NY076-BK KINGS COUNTY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 с прямым козырьком</v>
      </c>
      <c r="E35" s="101" t="str">
        <f ca="1">PROPER(_xlfn.XLOOKUP($A35,Строчный!$A:$A,Строчный!E:E,"ERR",0))</f>
        <v>Hood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HOOD</v>
      </c>
      <c r="H35" s="101" t="str">
        <f ca="1">LOWER(_xlfn.XLOOKUP($A35,Строчный!$A:$A,Строчный!H:H,"ERR",0))</f>
        <v>black</v>
      </c>
      <c r="I35" s="101" t="str">
        <f ca="1">LOWER(_xlfn.XLOOKUP($A35,Строчный!$A:$A,Строчный!I:I,"ERR",0))</f>
        <v>черный / белый</v>
      </c>
      <c r="J35" s="101" t="str">
        <f ca="1">SUBSTITUTE(LOWER(_xlfn.XLOOKUP($A35,Строчный!$A:$A,Строчный!J:J,"ERR",0)),"подклад","Подклад")</f>
        <v>100% шерсть мериноса</v>
      </c>
      <c r="K35" s="101" t="str">
        <f ca="1">LOWER(_xlfn.XLOOKUP($A35,Строчный!$A:$A,Строчный!K:K,"ERR",0))</f>
        <v>шерстяные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Соединенные Штаты</v>
      </c>
      <c r="N35" s="110">
        <f ca="1">VALUE(_xlfn.XLOOKUP($A35,Строчный!$A:$A,Строчный!N:N,"ERR",0))</f>
        <v>2184</v>
      </c>
      <c r="O35" s="109" t="str">
        <f ca="1">_xlfn.XLOOKUP($G35,Фабрика!A:A,Фабрика!B:B,"ERR",0)</f>
        <v>HOOD HAT, LLC; 15332 Antioch st., #211 Pacific Palisades, CA 90272, USA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3</v>
      </c>
      <c r="R35" s="14" t="s">
        <v>283</v>
      </c>
      <c r="S35" s="122" t="str">
        <f t="shared" ca="1" si="5"/>
        <v>Бейсболка HOOD арт. 100-MWL001-NY076-BK KINGS COUNTY (черный / белый)</v>
      </c>
      <c r="T35" s="121" t="str">
        <f t="shared" ca="1" si="6"/>
        <v>Бейсболка HOOD арт. 100-MWL001-NY076-BK KINGS COUNTY (черный / белый) {black}</v>
      </c>
      <c r="U35" s="18" t="str">
        <f t="shared" ca="1" si="7"/>
        <v>черный</v>
      </c>
      <c r="V35" s="18" t="str">
        <f t="shared" ca="1" si="8"/>
        <v>белый</v>
      </c>
      <c r="W35" s="119" t="str">
        <f ca="1">_xlfn.XLOOKUP(A35,'Цвета артикулов'!A:A,'Цвета артикулов'!B:B,IFERROR(MID(I35,FIND("-",I35)+1,LEN(I35)),IFERROR(MID(I35,1,FIND("/",I35)-2),I35)),0)</f>
        <v>черный</v>
      </c>
      <c r="X35" s="93" t="str">
        <f t="shared" ca="1" si="4"/>
        <v>92-017-72-00</v>
      </c>
      <c r="Y35" s="95" t="str">
        <f ca="1">VLOOKUP(C35,Группа!A:B,2,FALSE)</f>
        <v>Бейсболка</v>
      </c>
      <c r="Z35" s="117" t="str">
        <f ca="1">IFERROR(VLOOKUP(P35,Размеры!A:C,3,FALSE),"")</f>
        <v>ONE</v>
      </c>
      <c r="AA35" s="117" t="str">
        <f ca="1">VLOOKUP(I35,ЦветПолный!A:B,2,FALSE)</f>
        <v>72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0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3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e">
        <f ca="1">IF(VLOOKUP(T35,Товары!A:B,2,FALSE)=A35,"Есть в 1С","ERR")</f>
        <v>#N/A</v>
      </c>
      <c r="AR35" s="84" t="e">
        <f ca="1">IF(VLOOKUP(A35,Товары!B:B,1,FALSE)=A35,"Есть в 1С","ERR")</f>
        <v>#N/A</v>
      </c>
      <c r="AS35" s="116" t="e">
        <f ca="1">VLOOKUP(T35,Товары!A:B,2,FALSE)</f>
        <v>#N/A</v>
      </c>
      <c r="AT35" s="114" t="e">
        <f ca="1">VLOOKUP(T35,Товары!A:B,1,FALSE)</f>
        <v>#N/A</v>
      </c>
    </row>
    <row r="36" spans="1:46" x14ac:dyDescent="0.25">
      <c r="A36" s="131" t="str">
        <f ca="1"/>
        <v>92-016-72</v>
      </c>
      <c r="B36" s="128" t="str">
        <f ca="1">UPPER(_xlfn.XLOOKUP($A36,Строчный!$A:$A,Строчный!B:B,"ERR",0))</f>
        <v>100-MWL001-NY022-BK HELL'S KITCHEN II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 с прямым козырьком</v>
      </c>
      <c r="E36" s="101" t="str">
        <f ca="1">PROPER(_xlfn.XLOOKUP($A36,Строчный!$A:$A,Строчный!E:E,"ERR",0))</f>
        <v>Hood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HOOD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 / белый</v>
      </c>
      <c r="J36" s="101" t="str">
        <f ca="1">SUBSTITUTE(LOWER(_xlfn.XLOOKUP($A36,Строчный!$A:$A,Строчный!J:J,"ERR",0)),"подклад","Подклад")</f>
        <v>100% шерсть мериноса</v>
      </c>
      <c r="K36" s="101" t="str">
        <f ca="1">LOWER(_xlfn.XLOOKUP($A36,Строчный!$A:$A,Строчный!K:K,"ERR",0))</f>
        <v>шерстяные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Соединенные Штаты</v>
      </c>
      <c r="N36" s="110">
        <f ca="1">VALUE(_xlfn.XLOOKUP($A36,Строчный!$A:$A,Строчный!N:N,"ERR",0))</f>
        <v>2184</v>
      </c>
      <c r="O36" s="109" t="str">
        <f ca="1">_xlfn.XLOOKUP($G36,Фабрика!A:A,Фабрика!B:B,"ERR",0)</f>
        <v>HOOD HAT, LLC; 15332 Antioch st., #211 Pacific Palisades, CA 90272, USA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3</v>
      </c>
      <c r="R36" s="14" t="s">
        <v>283</v>
      </c>
      <c r="S36" s="122" t="str">
        <f t="shared" ca="1" si="5"/>
        <v>Бейсболка HOOD арт. 100-MWL001-NY022-BK HELL'S KITCHEN II (черный / белый)</v>
      </c>
      <c r="T36" s="121" t="str">
        <f t="shared" ca="1" si="6"/>
        <v>Бейсболка HOOD арт. 100-MWL001-NY022-BK HELL'S KITCHEN II (черный / белый) {black}</v>
      </c>
      <c r="U36" s="18" t="str">
        <f t="shared" ca="1" si="7"/>
        <v>черный</v>
      </c>
      <c r="V36" s="18" t="str">
        <f t="shared" ca="1" si="8"/>
        <v>белый</v>
      </c>
      <c r="W36" s="119" t="str">
        <f ca="1">_xlfn.XLOOKUP(A36,'Цвета артикулов'!A:A,'Цвета артикулов'!B:B,IFERROR(MID(I36,FIND("-",I36)+1,LEN(I36)),IFERROR(MID(I36,1,FIND("/",I36)-2),I36)),0)</f>
        <v>черный</v>
      </c>
      <c r="X36" s="93" t="str">
        <f t="shared" ca="1" si="4"/>
        <v>92-016-72-00</v>
      </c>
      <c r="Y36" s="95" t="str">
        <f ca="1">VLOOKUP(C36,Группа!A:B,2,FALSE)</f>
        <v>Бейсболка</v>
      </c>
      <c r="Z36" s="117" t="str">
        <f ca="1">IFERROR(VLOOKUP(P36,Размеры!A:C,3,FALSE),"")</f>
        <v>ONE</v>
      </c>
      <c r="AA36" s="117" t="str">
        <f ca="1">VLOOKUP(I36,ЦветПолный!A:B,2,FALSE)</f>
        <v>72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0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3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92-015-09</v>
      </c>
      <c r="B37" s="128" t="str">
        <f ca="1">UPPER(_xlfn.XLOOKUP($A37,Строчный!$A:$A,Строчный!B:B,"ERR",0))</f>
        <v>100-MWL001-NY015-BK MARCY, NY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прямым козырьком</v>
      </c>
      <c r="E37" s="101" t="str">
        <f ca="1">PROPER(_xlfn.XLOOKUP($A37,Строчный!$A:$A,Строчный!E:E,"ERR",0))</f>
        <v>Hood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HOOD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шерсть мериноса</v>
      </c>
      <c r="K37" s="101" t="str">
        <f ca="1">LOWER(_xlfn.XLOOKUP($A37,Строчный!$A:$A,Строчный!K:K,"ERR",0))</f>
        <v>шерстяные</v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Соединенные Штаты</v>
      </c>
      <c r="N37" s="110">
        <f ca="1">VALUE(_xlfn.XLOOKUP($A37,Строчный!$A:$A,Строчный!N:N,"ERR",0))</f>
        <v>2184</v>
      </c>
      <c r="O37" s="109" t="str">
        <f ca="1">_xlfn.XLOOKUP($G37,Фабрика!A:A,Фабрика!B:B,"ERR",0)</f>
        <v>HOOD HAT, LLC; 15332 Antioch st., #211 Pacific Palisades, CA 90272, USA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3</v>
      </c>
      <c r="R37" s="14" t="s">
        <v>283</v>
      </c>
      <c r="S37" s="122" t="str">
        <f t="shared" ca="1" si="5"/>
        <v>Бейсболка HOOD арт. 100-MWL001-NY015-BK MARCY, NY (черный)</v>
      </c>
      <c r="T37" s="121" t="str">
        <f t="shared" ca="1" si="6"/>
        <v>Бейсболка HOOD арт. 100-MWL001-NY015-BK MARCY, NY (черный) {black}</v>
      </c>
      <c r="U37" s="18" t="str">
        <f t="shared" ca="1" si="7"/>
        <v>черный</v>
      </c>
      <c r="V37" s="18" t="str">
        <f t="shared" ca="1" si="8"/>
        <v>черный</v>
      </c>
      <c r="W37" s="119" t="str">
        <f ca="1">_xlfn.XLOOKUP(A37,'Цвета артикулов'!A:A,'Цвета артикулов'!B:B,IFERROR(MID(I37,FIND("-",I37)+1,LEN(I37)),IFERROR(MID(I37,1,FIND("/",I37)-2),I37)),0)</f>
        <v>черный</v>
      </c>
      <c r="X37" s="93" t="str">
        <f t="shared" ca="1" si="4"/>
        <v>92-015-09-00</v>
      </c>
      <c r="Y37" s="95" t="str">
        <f ca="1">VLOOKUP(C37,Группа!A:B,2,FALSE)</f>
        <v>Бейсболка</v>
      </c>
      <c r="Z37" s="117" t="str">
        <f ca="1">IFERROR(VLOOKUP(P37,Размеры!A:C,3,FALSE),"")</f>
        <v>ONE</v>
      </c>
      <c r="AA37" s="117" t="str">
        <f ca="1">VLOOKUP(I37,ЦветПолный!A:B,2,FALSE)</f>
        <v>09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0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11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e">
        <f ca="1">IF(VLOOKUP(T37,Товары!A:B,2,FALSE)=A37,"Есть в 1С","ERR")</f>
        <v>#N/A</v>
      </c>
      <c r="AR37" s="84" t="e">
        <f ca="1">IF(VLOOKUP(A37,Товары!B:B,1,FALSE)=A37,"Есть в 1С","ERR")</f>
        <v>#N/A</v>
      </c>
      <c r="AS37" s="116" t="e">
        <f ca="1">VLOOKUP(T37,Товары!A:B,2,FALSE)</f>
        <v>#N/A</v>
      </c>
      <c r="AT37" s="114" t="e">
        <f ca="1">VLOOKUP(T37,Товары!A:B,1,FALSE)</f>
        <v>#N/A</v>
      </c>
    </row>
    <row r="38" spans="1:46" x14ac:dyDescent="0.25">
      <c r="A38" s="131" t="str">
        <f ca="1"/>
        <v>92-014-72</v>
      </c>
      <c r="B38" s="128" t="str">
        <f ca="1">UPPER(_xlfn.XLOOKUP($A38,Строчный!$A:$A,Строчный!B:B,"ERR",0))</f>
        <v>100-MWL001-CA005-BK HIDDEN HILLS, CA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 с прямым козырьком</v>
      </c>
      <c r="E38" s="101" t="str">
        <f ca="1">PROPER(_xlfn.XLOOKUP($A38,Строчный!$A:$A,Строчный!E:E,"ERR",0))</f>
        <v>Hood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HOOD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 / белый</v>
      </c>
      <c r="J38" s="101" t="str">
        <f ca="1">SUBSTITUTE(LOWER(_xlfn.XLOOKUP($A38,Строчный!$A:$A,Строчный!J:J,"ERR",0)),"подклад","Подклад")</f>
        <v>100% шерсть мериноса</v>
      </c>
      <c r="K38" s="101" t="str">
        <f ca="1">LOWER(_xlfn.XLOOKUP($A38,Строчный!$A:$A,Строчный!K:K,"ERR",0))</f>
        <v>шерстяные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Соединенные Штаты</v>
      </c>
      <c r="N38" s="110">
        <f ca="1">VALUE(_xlfn.XLOOKUP($A38,Строчный!$A:$A,Строчный!N:N,"ERR",0))</f>
        <v>2184</v>
      </c>
      <c r="O38" s="109" t="str">
        <f ca="1">_xlfn.XLOOKUP($G38,Фабрика!A:A,Фабрика!B:B,"ERR",0)</f>
        <v>HOOD HAT, LLC; 15332 Antioch st., #211 Pacific Palisades, CA 90272, USA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3</v>
      </c>
      <c r="R38" s="14" t="s">
        <v>283</v>
      </c>
      <c r="S38" s="122" t="str">
        <f t="shared" ca="1" si="5"/>
        <v>Бейсболка HOOD арт. 100-MWL001-CA005-BK HIDDEN HILLS, CA (черный / белый)</v>
      </c>
      <c r="T38" s="121" t="str">
        <f t="shared" ca="1" si="6"/>
        <v>Бейсболка HOOD арт. 100-MWL001-CA005-BK HIDDEN HILLS, CA (черный / белый) {black}</v>
      </c>
      <c r="U38" s="18" t="str">
        <f t="shared" ca="1" si="7"/>
        <v>черный</v>
      </c>
      <c r="V38" s="18" t="str">
        <f t="shared" ca="1" si="8"/>
        <v>белый</v>
      </c>
      <c r="W38" s="119" t="str">
        <f ca="1">_xlfn.XLOOKUP(A38,'Цвета артикулов'!A:A,'Цвета артикулов'!B:B,IFERROR(MID(I38,FIND("-",I38)+1,LEN(I38)),IFERROR(MID(I38,1,FIND("/",I38)-2),I38)),0)</f>
        <v>черный</v>
      </c>
      <c r="X38" s="93" t="str">
        <f t="shared" ca="1" si="4"/>
        <v>92-014-72-00</v>
      </c>
      <c r="Y38" s="95" t="str">
        <f ca="1">VLOOKUP(C38,Группа!A:B,2,FALSE)</f>
        <v>Бейсболка</v>
      </c>
      <c r="Z38" s="117" t="str">
        <f ca="1">IFERROR(VLOOKUP(P38,Размеры!A:C,3,FALSE),"")</f>
        <v>ONE</v>
      </c>
      <c r="AA38" s="117" t="str">
        <f ca="1">VLOOKUP(I38,ЦветПолный!A:B,2,FALSE)</f>
        <v>72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0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3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e">
        <f ca="1">IF(VLOOKUP(T38,Товары!A:B,2,FALSE)=A38,"Есть в 1С","ERR")</f>
        <v>#N/A</v>
      </c>
      <c r="AR38" s="84" t="e">
        <f ca="1">IF(VLOOKUP(A38,Товары!B:B,1,FALSE)=A38,"Есть в 1С","ERR")</f>
        <v>#N/A</v>
      </c>
      <c r="AS38" s="116" t="e">
        <f ca="1">VLOOKUP(T38,Товары!A:B,2,FALSE)</f>
        <v>#N/A</v>
      </c>
      <c r="AT38" s="114" t="e">
        <f ca="1">VLOOKUP(T38,Товары!A:B,1,FALSE)</f>
        <v>#N/A</v>
      </c>
    </row>
    <row r="39" spans="1:46" x14ac:dyDescent="0.25">
      <c r="A39" s="131" t="str">
        <f ca="1"/>
        <v>92-013-09</v>
      </c>
      <c r="B39" s="128" t="str">
        <f ca="1">UPPER(_xlfn.XLOOKUP($A39,Строчный!$A:$A,Строчный!B:B,"ERR",0))</f>
        <v>100-CTW020-PA003-BK LOVE PARK TONAL INTERLOCK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прямым козырьком</v>
      </c>
      <c r="E39" s="101" t="str">
        <f ca="1">PROPER(_xlfn.XLOOKUP($A39,Строчный!$A:$A,Строчный!E:E,"ERR",0))</f>
        <v>Hood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HOOD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LOWER(_xlfn.XLOOKUP($A39,Строчный!$A:$A,Строчный!K:K,"ERR",0))</f>
        <v>хлопковые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10">
        <f ca="1">VALUE(_xlfn.XLOOKUP($A39,Строчный!$A:$A,Строчный!N:N,"ERR",0))</f>
        <v>1820</v>
      </c>
      <c r="O39" s="109" t="str">
        <f ca="1">_xlfn.XLOOKUP($G39,Фабрика!A:A,Фабрика!B:B,"ERR",0)</f>
        <v>HOOD HAT, LLC; 15332 Antioch st., #211 Pacific Palisades, CA 90272, USA</v>
      </c>
      <c r="P39" s="100" t="str">
        <f ca="1">_xlfn.XLOOKUP($A39,Строчный!$A:$A,Строчный!P:P,"ERR",0)</f>
        <v>ONE</v>
      </c>
      <c r="Q39" s="100">
        <f ca="1">VALUE(_xlfn.XLOOKUP($A39,Строчный!$A:$A,Строчный!Q:Q,"ERR",0))</f>
        <v>12</v>
      </c>
      <c r="R39" s="14" t="s">
        <v>283</v>
      </c>
      <c r="S39" s="122" t="str">
        <f t="shared" ca="1" si="5"/>
        <v>Бейсболка HOOD арт. 100-CTW020-PA003-BK LOVE PARK TONAL INTERLOCK (черный)</v>
      </c>
      <c r="T39" s="121" t="str">
        <f t="shared" ca="1" si="6"/>
        <v>Бейсболка HOOD арт. 100-CTW020-PA003-BK LOVE PARK TONAL INTERLOCK (черный) {black}</v>
      </c>
      <c r="U39" s="18" t="str">
        <f t="shared" ca="1" si="7"/>
        <v>черный</v>
      </c>
      <c r="V39" s="18" t="str">
        <f t="shared" ca="1" si="8"/>
        <v>черный</v>
      </c>
      <c r="W39" s="119" t="str">
        <f ca="1">_xlfn.XLOOKUP(A39,'Цвета артикулов'!A:A,'Цвета артикулов'!B:B,IFERROR(MID(I39,FIND("-",I39)+1,LEN(I39)),IFERROR(MID(I39,1,FIND("/",I39)-2),I39)),0)</f>
        <v>черный</v>
      </c>
      <c r="X39" s="93" t="str">
        <f t="shared" ca="1" si="4"/>
        <v>92-013-09-00</v>
      </c>
      <c r="Y39" s="95" t="str">
        <f ca="1">VLOOKUP(C39,Группа!A:B,2,FALSE)</f>
        <v>Бейсболка</v>
      </c>
      <c r="Z39" s="117" t="str">
        <f ca="1">IFERROR(VLOOKUP(P39,Размеры!A:C,3,FALSE),"")</f>
        <v>ONE</v>
      </c>
      <c r="AA39" s="117" t="str">
        <f ca="1">VLOOKUP(I39,ЦветПолный!A:B,2,FALSE)</f>
        <v>09</v>
      </c>
      <c r="AB39" s="117" t="str">
        <f ca="1">IFERROR(VLOOKUP(P39,Размеры!A:D,4,FALSE),"")</f>
        <v>00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11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92-012-09</v>
      </c>
      <c r="B40" s="128" t="str">
        <f ca="1">UPPER(_xlfn.XLOOKUP($A40,Строчный!$A:$A,Строчный!B:B,"ERR",0))</f>
        <v>100-CTW020-NY068-BK CONEY ISLAND TONAL INTERLOCK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прямым козырьком</v>
      </c>
      <c r="E40" s="101" t="str">
        <f ca="1">PROPER(_xlfn.XLOOKUP($A40,Строчный!$A:$A,Строчный!E:E,"ERR",0))</f>
        <v>Hood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HOOD</v>
      </c>
      <c r="H40" s="101" t="str">
        <f ca="1">LOWER(_xlfn.XLOOKUP($A40,Строчный!$A:$A,Строчный!H:H,"ERR",0))</f>
        <v>black</v>
      </c>
      <c r="I40" s="101" t="str">
        <f ca="1">LOWER(_xlfn.XLOOKUP($A40,Строчный!$A:$A,Строчный!I:I,"ERR",0))</f>
        <v>черный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LOWER(_xlfn.XLOOKUP($A40,Строчный!$A:$A,Строчный!K:K,"ERR",0))</f>
        <v>хлопковые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10">
        <f ca="1">VALUE(_xlfn.XLOOKUP($A40,Строчный!$A:$A,Строчный!N:N,"ERR",0))</f>
        <v>1820</v>
      </c>
      <c r="O40" s="109" t="str">
        <f ca="1">_xlfn.XLOOKUP($G40,Фабрика!A:A,Фабрика!B:B,"ERR",0)</f>
        <v>HOOD HAT, LLC; 15332 Antioch st., #211 Pacific Palisades, CA 90272, USA</v>
      </c>
      <c r="P40" s="100" t="str">
        <f ca="1">_xlfn.XLOOKUP($A40,Строчный!$A:$A,Строчный!P:P,"ERR",0)</f>
        <v>ONE</v>
      </c>
      <c r="Q40" s="100">
        <f ca="1">VALUE(_xlfn.XLOOKUP($A40,Строчный!$A:$A,Строчный!Q:Q,"ERR",0))</f>
        <v>12</v>
      </c>
      <c r="R40" s="14" t="s">
        <v>283</v>
      </c>
      <c r="S40" s="122" t="str">
        <f t="shared" ca="1" si="5"/>
        <v>Бейсболка HOOD арт. 100-CTW020-NY068-BK CONEY ISLAND TONAL INTERLOCK (черный)</v>
      </c>
      <c r="T40" s="121" t="str">
        <f t="shared" ca="1" si="6"/>
        <v>Бейсболка HOOD арт. 100-CTW020-NY068-BK CONEY ISLAND TONAL INTERLOCK (черный) {black}</v>
      </c>
      <c r="U40" s="18" t="str">
        <f t="shared" ca="1" si="7"/>
        <v>черный</v>
      </c>
      <c r="V40" s="18" t="str">
        <f t="shared" ca="1" si="8"/>
        <v>черный</v>
      </c>
      <c r="W40" s="119" t="str">
        <f ca="1">_xlfn.XLOOKUP(A40,'Цвета артикулов'!A:A,'Цвета артикулов'!B:B,IFERROR(MID(I40,FIND("-",I40)+1,LEN(I40)),IFERROR(MID(I40,1,FIND("/",I40)-2),I40)),0)</f>
        <v>черный</v>
      </c>
      <c r="X40" s="93" t="str">
        <f t="shared" ca="1" si="4"/>
        <v>92-012-09-00</v>
      </c>
      <c r="Y40" s="95" t="str">
        <f ca="1">VLOOKUP(C40,Группа!A:B,2,FALSE)</f>
        <v>Бейсболка</v>
      </c>
      <c r="Z40" s="117" t="str">
        <f ca="1">IFERROR(VLOOKUP(P40,Размеры!A:C,3,FALSE),"")</f>
        <v>ONE</v>
      </c>
      <c r="AA40" s="117" t="str">
        <f ca="1">VLOOKUP(I40,ЦветПолный!A:B,2,FALSE)</f>
        <v>09</v>
      </c>
      <c r="AB40" s="117" t="str">
        <f ca="1">IFERROR(VLOOKUP(P40,Размеры!A:D,4,FALSE),"")</f>
        <v>00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11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92-011-09</v>
      </c>
      <c r="B41" s="128" t="str">
        <f ca="1">UPPER(_xlfn.XLOOKUP($A41,Строчный!$A:$A,Строчный!B:B,"ERR",0))</f>
        <v>100-CTW020-NY031-BK PARK HILL TONAL INTERLOCK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прямым козырьком</v>
      </c>
      <c r="E41" s="101" t="str">
        <f ca="1">PROPER(_xlfn.XLOOKUP($A41,Строчный!$A:$A,Строчный!E:E,"ERR",0))</f>
        <v>Hood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HOOD</v>
      </c>
      <c r="H41" s="101" t="str">
        <f ca="1">LOWER(_xlfn.XLOOKUP($A41,Строчный!$A:$A,Строчный!H:H,"ERR",0))</f>
        <v>black</v>
      </c>
      <c r="I41" s="101" t="str">
        <f ca="1">LOWER(_xlfn.XLOOKUP($A41,Строчный!$A:$A,Строчный!I:I,"ERR",0))</f>
        <v>черный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LOWER(_xlfn.XLOOKUP($A41,Строчный!$A:$A,Строчный!K:K,"ERR",0))</f>
        <v>хлопковые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10">
        <f ca="1">VALUE(_xlfn.XLOOKUP($A41,Строчный!$A:$A,Строчный!N:N,"ERR",0))</f>
        <v>1820</v>
      </c>
      <c r="O41" s="109" t="str">
        <f ca="1">_xlfn.XLOOKUP($G41,Фабрика!A:A,Фабрика!B:B,"ERR",0)</f>
        <v>HOOD HAT, LLC; 15332 Antioch st., #211 Pacific Palisades, CA 90272, USA</v>
      </c>
      <c r="P41" s="100" t="str">
        <f ca="1">_xlfn.XLOOKUP($A41,Строчный!$A:$A,Строчный!P:P,"ERR",0)</f>
        <v>ONE</v>
      </c>
      <c r="Q41" s="100">
        <f ca="1">VALUE(_xlfn.XLOOKUP($A41,Строчный!$A:$A,Строчный!Q:Q,"ERR",0))</f>
        <v>12</v>
      </c>
      <c r="R41" s="14" t="s">
        <v>283</v>
      </c>
      <c r="S41" s="122" t="str">
        <f t="shared" ca="1" si="5"/>
        <v>Бейсболка HOOD арт. 100-CTW020-NY031-BK PARK HILL TONAL INTERLOCK (черный)</v>
      </c>
      <c r="T41" s="121" t="str">
        <f t="shared" ca="1" si="6"/>
        <v>Бейсболка HOOD арт. 100-CTW020-NY031-BK PARK HILL TONAL INTERLOCK (черный) {black}</v>
      </c>
      <c r="U41" s="18" t="str">
        <f t="shared" ca="1" si="7"/>
        <v>черный</v>
      </c>
      <c r="V41" s="18" t="str">
        <f t="shared" ca="1" si="8"/>
        <v>черный</v>
      </c>
      <c r="W41" s="119" t="str">
        <f ca="1">_xlfn.XLOOKUP(A41,'Цвета артикулов'!A:A,'Цвета артикулов'!B:B,IFERROR(MID(I41,FIND("-",I41)+1,LEN(I41)),IFERROR(MID(I41,1,FIND("/",I41)-2),I41)),0)</f>
        <v>черный</v>
      </c>
      <c r="X41" s="93" t="str">
        <f t="shared" ca="1" si="4"/>
        <v>92-011-09-00</v>
      </c>
      <c r="Y41" s="95" t="str">
        <f ca="1">VLOOKUP(C41,Группа!A:B,2,FALSE)</f>
        <v>Бейсболка</v>
      </c>
      <c r="Z41" s="117" t="str">
        <f ca="1">IFERROR(VLOOKUP(P41,Размеры!A:C,3,FALSE),"")</f>
        <v>ONE</v>
      </c>
      <c r="AA41" s="117" t="str">
        <f ca="1">VLOOKUP(I41,ЦветПолный!A:B,2,FALSE)</f>
        <v>09</v>
      </c>
      <c r="AB41" s="117" t="str">
        <f ca="1">IFERROR(VLOOKUP(P41,Размеры!A:D,4,FALSE),"")</f>
        <v>00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11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92-010-09</v>
      </c>
      <c r="B42" s="128" t="str">
        <f ca="1">UPPER(_xlfn.XLOOKUP($A42,Строчный!$A:$A,Строчный!B:B,"ERR",0))</f>
        <v>100-CTW020-NY022-BK HELL'S KITCHEN TONAL INTERLOCK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прямым козырьком</v>
      </c>
      <c r="E42" s="101" t="str">
        <f ca="1">PROPER(_xlfn.XLOOKUP($A42,Строчный!$A:$A,Строчный!E:E,"ERR",0))</f>
        <v>Hood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HOOD</v>
      </c>
      <c r="H42" s="101" t="str">
        <f ca="1">LOWER(_xlfn.XLOOKUP($A42,Строчный!$A:$A,Строчный!H:H,"ERR",0))</f>
        <v>black</v>
      </c>
      <c r="I42" s="101" t="str">
        <f ca="1">LOWER(_xlfn.XLOOKUP($A42,Строчный!$A:$A,Строчный!I:I,"ERR",0))</f>
        <v>черный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LOWER(_xlfn.XLOOKUP($A42,Строчный!$A:$A,Строчный!K:K,"ERR",0))</f>
        <v>хлопковые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10">
        <f ca="1">VALUE(_xlfn.XLOOKUP($A42,Строчный!$A:$A,Строчный!N:N,"ERR",0))</f>
        <v>1820</v>
      </c>
      <c r="O42" s="109" t="str">
        <f ca="1">_xlfn.XLOOKUP($G42,Фабрика!A:A,Фабрика!B:B,"ERR",0)</f>
        <v>HOOD HAT, LLC; 15332 Antioch st., #211 Pacific Palisades, CA 90272, USA</v>
      </c>
      <c r="P42" s="100" t="str">
        <f ca="1">_xlfn.XLOOKUP($A42,Строчный!$A:$A,Строчный!P:P,"ERR",0)</f>
        <v>ONE</v>
      </c>
      <c r="Q42" s="100">
        <f ca="1">VALUE(_xlfn.XLOOKUP($A42,Строчный!$A:$A,Строчный!Q:Q,"ERR",0))</f>
        <v>12</v>
      </c>
      <c r="R42" s="14" t="s">
        <v>283</v>
      </c>
      <c r="S42" s="122" t="str">
        <f t="shared" ca="1" si="5"/>
        <v>Бейсболка HOOD арт. 100-CTW020-NY022-BK HELL'S KITCHEN TONAL INTERLOCK (черный)</v>
      </c>
      <c r="T42" s="121" t="str">
        <f t="shared" ca="1" si="6"/>
        <v>Бейсболка HOOD арт. 100-CTW020-NY022-BK HELL'S KITCHEN TONAL INTERLOCK (черный) {black}</v>
      </c>
      <c r="U42" s="18" t="str">
        <f t="shared" ca="1" si="7"/>
        <v>черный</v>
      </c>
      <c r="V42" s="18" t="str">
        <f t="shared" ca="1" si="8"/>
        <v>черный</v>
      </c>
      <c r="W42" s="119" t="str">
        <f ca="1">_xlfn.XLOOKUP(A42,'Цвета артикулов'!A:A,'Цвета артикулов'!B:B,IFERROR(MID(I42,FIND("-",I42)+1,LEN(I42)),IFERROR(MID(I42,1,FIND("/",I42)-2),I42)),0)</f>
        <v>черный</v>
      </c>
      <c r="X42" s="93" t="str">
        <f t="shared" ca="1" si="4"/>
        <v>92-010-09-00</v>
      </c>
      <c r="Y42" s="95" t="str">
        <f ca="1">VLOOKUP(C42,Группа!A:B,2,FALSE)</f>
        <v>Бейсболка</v>
      </c>
      <c r="Z42" s="117" t="str">
        <f ca="1">IFERROR(VLOOKUP(P42,Размеры!A:C,3,FALSE),"")</f>
        <v>ONE</v>
      </c>
      <c r="AA42" s="117" t="str">
        <f ca="1">VLOOKUP(I42,ЦветПолный!A:B,2,FALSE)</f>
        <v>09</v>
      </c>
      <c r="AB42" s="117" t="str">
        <f ca="1">IFERROR(VLOOKUP(P42,Размеры!A:D,4,FALSE),"")</f>
        <v>00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11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92-009-09</v>
      </c>
      <c r="B43" s="128" t="str">
        <f ca="1">UPPER(_xlfn.XLOOKUP($A43,Строчный!$A:$A,Строчный!B:B,"ERR",0))</f>
        <v>100-CTW020-NY019-BK HARLEM TONAL INTERLOCK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прямым козырьком</v>
      </c>
      <c r="E43" s="101" t="str">
        <f ca="1">PROPER(_xlfn.XLOOKUP($A43,Строчный!$A:$A,Строчный!E:E,"ERR",0))</f>
        <v>Hood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HOOD</v>
      </c>
      <c r="H43" s="101" t="str">
        <f ca="1">LOWER(_xlfn.XLOOKUP($A43,Строчный!$A:$A,Строчный!H:H,"ERR",0))</f>
        <v>black</v>
      </c>
      <c r="I43" s="101" t="str">
        <f ca="1">LOWER(_xlfn.XLOOKUP($A43,Строчный!$A:$A,Строчный!I:I,"ERR",0))</f>
        <v>черный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LOWER(_xlfn.XLOOKUP($A43,Строчный!$A:$A,Строчный!K:K,"ERR",0))</f>
        <v>хлопковые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10">
        <f ca="1">VALUE(_xlfn.XLOOKUP($A43,Строчный!$A:$A,Строчный!N:N,"ERR",0))</f>
        <v>1820</v>
      </c>
      <c r="O43" s="109" t="str">
        <f ca="1">_xlfn.XLOOKUP($G43,Фабрика!A:A,Фабрика!B:B,"ERR",0)</f>
        <v>HOOD HAT, LLC; 15332 Antioch st., #211 Pacific Palisades, CA 90272, USA</v>
      </c>
      <c r="P43" s="100" t="str">
        <f ca="1">_xlfn.XLOOKUP($A43,Строчный!$A:$A,Строчный!P:P,"ERR",0)</f>
        <v>ONE</v>
      </c>
      <c r="Q43" s="100">
        <f ca="1">VALUE(_xlfn.XLOOKUP($A43,Строчный!$A:$A,Строчный!Q:Q,"ERR",0))</f>
        <v>12</v>
      </c>
      <c r="R43" s="14" t="s">
        <v>283</v>
      </c>
      <c r="S43" s="122" t="str">
        <f t="shared" ca="1" si="5"/>
        <v>Бейсболка HOOD арт. 100-CTW020-NY019-BK HARLEM TONAL INTERLOCK (черный)</v>
      </c>
      <c r="T43" s="121" t="str">
        <f t="shared" ca="1" si="6"/>
        <v>Бейсболка HOOD арт. 100-CTW020-NY019-BK HARLEM TONAL INTERLOCK (черный) {black}</v>
      </c>
      <c r="U43" s="18" t="str">
        <f t="shared" ca="1" si="7"/>
        <v>черный</v>
      </c>
      <c r="V43" s="18" t="str">
        <f t="shared" ca="1" si="8"/>
        <v>черный</v>
      </c>
      <c r="W43" s="119" t="str">
        <f ca="1">_xlfn.XLOOKUP(A43,'Цвета артикулов'!A:A,'Цвета артикулов'!B:B,IFERROR(MID(I43,FIND("-",I43)+1,LEN(I43)),IFERROR(MID(I43,1,FIND("/",I43)-2),I43)),0)</f>
        <v>черный</v>
      </c>
      <c r="X43" s="93" t="str">
        <f t="shared" ca="1" si="4"/>
        <v>92-009-09-00</v>
      </c>
      <c r="Y43" s="95" t="str">
        <f ca="1">VLOOKUP(C43,Группа!A:B,2,FALSE)</f>
        <v>Бейсболка</v>
      </c>
      <c r="Z43" s="117" t="str">
        <f ca="1">IFERROR(VLOOKUP(P43,Размеры!A:C,3,FALSE),"")</f>
        <v>ONE</v>
      </c>
      <c r="AA43" s="117" t="str">
        <f ca="1">VLOOKUP(I43,ЦветПолный!A:B,2,FALSE)</f>
        <v>09</v>
      </c>
      <c r="AB43" s="117" t="str">
        <f ca="1">IFERROR(VLOOKUP(P43,Размеры!A:D,4,FALSE),"")</f>
        <v>00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11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92-008-09</v>
      </c>
      <c r="B44" s="128" t="str">
        <f ca="1">UPPER(_xlfn.XLOOKUP($A44,Строчный!$A:$A,Строчный!B:B,"ERR",0))</f>
        <v>100-CTW020-NY003-BK BED STUY TONAL INTERLOCK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прямым козырьком</v>
      </c>
      <c r="E44" s="101" t="str">
        <f ca="1">PROPER(_xlfn.XLOOKUP($A44,Строчный!$A:$A,Строчный!E:E,"ERR",0))</f>
        <v>Hood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HOOD</v>
      </c>
      <c r="H44" s="101" t="str">
        <f ca="1">LOWER(_xlfn.XLOOKUP($A44,Строчный!$A:$A,Строчный!H:H,"ERR",0))</f>
        <v>black</v>
      </c>
      <c r="I44" s="101" t="str">
        <f ca="1">LOWER(_xlfn.XLOOKUP($A44,Строчный!$A:$A,Строчный!I:I,"ERR",0))</f>
        <v>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LOWER(_xlfn.XLOOKUP($A44,Строчный!$A:$A,Строчный!K:K,"ERR",0))</f>
        <v>хлопковые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10">
        <f ca="1">VALUE(_xlfn.XLOOKUP($A44,Строчный!$A:$A,Строчный!N:N,"ERR",0))</f>
        <v>1820</v>
      </c>
      <c r="O44" s="109" t="str">
        <f ca="1">_xlfn.XLOOKUP($G44,Фабрика!A:A,Фабрика!B:B,"ERR",0)</f>
        <v>HOOD HAT, LLC; 15332 Antioch st., #211 Pacific Palisades, CA 90272, USA</v>
      </c>
      <c r="P44" s="100" t="str">
        <f ca="1">_xlfn.XLOOKUP($A44,Строчный!$A:$A,Строчный!P:P,"ERR",0)</f>
        <v>ONE</v>
      </c>
      <c r="Q44" s="100">
        <f ca="1">VALUE(_xlfn.XLOOKUP($A44,Строчный!$A:$A,Строчный!Q:Q,"ERR",0))</f>
        <v>12</v>
      </c>
      <c r="R44" s="14" t="s">
        <v>283</v>
      </c>
      <c r="S44" s="122" t="str">
        <f t="shared" ca="1" si="5"/>
        <v>Бейсболка HOOD арт. 100-CTW020-NY003-BK BED STUY TONAL INTERLOCK (черный)</v>
      </c>
      <c r="T44" s="121" t="str">
        <f t="shared" ca="1" si="6"/>
        <v>Бейсболка HOOD арт. 100-CTW020-NY003-BK BED STUY TONAL INTERLOCK (черный) {black}</v>
      </c>
      <c r="U44" s="18" t="str">
        <f t="shared" ca="1" si="7"/>
        <v>черный</v>
      </c>
      <c r="V44" s="18" t="str">
        <f t="shared" ca="1" si="8"/>
        <v>черный</v>
      </c>
      <c r="W44" s="119" t="str">
        <f ca="1">_xlfn.XLOOKUP(A44,'Цвета артикулов'!A:A,'Цвета артикулов'!B:B,IFERROR(MID(I44,FIND("-",I44)+1,LEN(I44)),IFERROR(MID(I44,1,FIND("/",I44)-2),I44)),0)</f>
        <v>черный</v>
      </c>
      <c r="X44" s="93" t="str">
        <f t="shared" ca="1" si="4"/>
        <v>92-008-09-00</v>
      </c>
      <c r="Y44" s="95" t="str">
        <f ca="1">VLOOKUP(C44,Группа!A:B,2,FALSE)</f>
        <v>Бейсболка</v>
      </c>
      <c r="Z44" s="117" t="str">
        <f ca="1">IFERROR(VLOOKUP(P44,Размеры!A:C,3,FALSE),"")</f>
        <v>ONE</v>
      </c>
      <c r="AA44" s="117" t="str">
        <f ca="1">VLOOKUP(I44,ЦветПолный!A:B,2,FALSE)</f>
        <v>09</v>
      </c>
      <c r="AB44" s="117" t="str">
        <f ca="1">IFERROR(VLOOKUP(P44,Размеры!A:D,4,FALSE),"")</f>
        <v>00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11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92-007-09</v>
      </c>
      <c r="B45" s="128" t="str">
        <f ca="1">UPPER(_xlfn.XLOOKUP($A45,Строчный!$A:$A,Строчный!B:B,"ERR",0))</f>
        <v>100-CTW020-MI001-BK 8 MILE TONAL INTERLOCK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Hood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HOOD</v>
      </c>
      <c r="H45" s="101" t="str">
        <f ca="1">LOWER(_xlfn.XLOOKUP($A45,Строчный!$A:$A,Строчный!H:H,"ERR",0))</f>
        <v>black</v>
      </c>
      <c r="I45" s="101" t="str">
        <f ca="1">LOWER(_xlfn.XLOOKUP($A45,Строчный!$A:$A,Строчный!I:I,"ERR",0))</f>
        <v>черный</v>
      </c>
      <c r="J45" s="101" t="str">
        <f ca="1">SUBSTITUTE(LOWER(_xlfn.XLOOKUP($A45,Строчный!$A:$A,Строчный!J:J,"ERR",0)),"подклад","Подклад")</f>
        <v>100% хлопок</v>
      </c>
      <c r="K45" s="101" t="str">
        <f ca="1">LOWER(_xlfn.XLOOKUP($A45,Строчный!$A:$A,Строчный!K:K,"ERR",0))</f>
        <v>хлопковые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10">
        <f ca="1">VALUE(_xlfn.XLOOKUP($A45,Строчный!$A:$A,Строчный!N:N,"ERR",0))</f>
        <v>1820</v>
      </c>
      <c r="O45" s="109" t="str">
        <f ca="1">_xlfn.XLOOKUP($G45,Фабрика!A:A,Фабрика!B:B,"ERR",0)</f>
        <v>HOOD HAT, LLC; 15332 Antioch st., #211 Pacific Palisades, CA 90272, USA</v>
      </c>
      <c r="P45" s="100" t="str">
        <f ca="1">_xlfn.XLOOKUP($A45,Строчный!$A:$A,Строчный!P:P,"ERR",0)</f>
        <v>ONE</v>
      </c>
      <c r="Q45" s="100">
        <f ca="1">VALUE(_xlfn.XLOOKUP($A45,Строчный!$A:$A,Строчный!Q:Q,"ERR",0))</f>
        <v>12</v>
      </c>
      <c r="R45" s="14" t="s">
        <v>283</v>
      </c>
      <c r="S45" s="122" t="str">
        <f t="shared" ca="1" si="5"/>
        <v>Бейсболка HOOD арт. 100-CTW020-MI001-BK 8 MILE TONAL INTERLOCK (черный)</v>
      </c>
      <c r="T45" s="121" t="str">
        <f t="shared" ca="1" si="6"/>
        <v>Бейсболка HOOD арт. 100-CTW020-MI001-BK 8 MILE TONAL INTERLOCK (черный) {black}</v>
      </c>
      <c r="U45" s="18" t="str">
        <f t="shared" ca="1" si="7"/>
        <v>черный</v>
      </c>
      <c r="V45" s="18" t="str">
        <f t="shared" ca="1" si="8"/>
        <v>черный</v>
      </c>
      <c r="W45" s="119" t="str">
        <f ca="1">_xlfn.XLOOKUP(A45,'Цвета артикулов'!A:A,'Цвета артикулов'!B:B,IFERROR(MID(I45,FIND("-",I45)+1,LEN(I45)),IFERROR(MID(I45,1,FIND("/",I45)-2),I45)),0)</f>
        <v>черный</v>
      </c>
      <c r="X45" s="93" t="str">
        <f t="shared" ca="1" si="4"/>
        <v>92-007-09-00</v>
      </c>
      <c r="Y45" s="95" t="str">
        <f ca="1">VLOOKUP(C45,Группа!A:B,2,FALSE)</f>
        <v>Бейсболка</v>
      </c>
      <c r="Z45" s="117" t="str">
        <f ca="1">IFERROR(VLOOKUP(P45,Размеры!A:C,3,FALSE),"")</f>
        <v>ONE</v>
      </c>
      <c r="AA45" s="117" t="str">
        <f ca="1">VLOOKUP(I45,ЦветПолный!A:B,2,FALSE)</f>
        <v>09</v>
      </c>
      <c r="AB45" s="117" t="str">
        <f ca="1">IFERROR(VLOOKUP(P45,Размеры!A:D,4,FALSE),"")</f>
        <v>00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11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92-006-09</v>
      </c>
      <c r="B46" s="128" t="str">
        <f ca="1">UPPER(_xlfn.XLOOKUP($A46,Строчный!$A:$A,Строчный!B:B,"ERR",0))</f>
        <v>100-CTW020-CA030-BK LONG BEACH TONAL INTERLOCK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 с прямым козырьком</v>
      </c>
      <c r="E46" s="101" t="str">
        <f ca="1">PROPER(_xlfn.XLOOKUP($A46,Строчный!$A:$A,Строчный!E:E,"ERR",0))</f>
        <v>Hood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HOOD</v>
      </c>
      <c r="H46" s="101" t="str">
        <f ca="1">LOWER(_xlfn.XLOOKUP($A46,Строчный!$A:$A,Строчный!H:H,"ERR",0))</f>
        <v>black</v>
      </c>
      <c r="I46" s="101" t="str">
        <f ca="1">LOWER(_xlfn.XLOOKUP($A46,Строчный!$A:$A,Строчный!I:I,"ERR",0))</f>
        <v>черный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LOWER(_xlfn.XLOOKUP($A46,Строчный!$A:$A,Строчный!K:K,"ERR",0))</f>
        <v>хлопковые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Соединенные Штаты</v>
      </c>
      <c r="N46" s="110">
        <f ca="1">VALUE(_xlfn.XLOOKUP($A46,Строчный!$A:$A,Строчный!N:N,"ERR",0))</f>
        <v>1820</v>
      </c>
      <c r="O46" s="109" t="str">
        <f ca="1">_xlfn.XLOOKUP($G46,Фабрика!A:A,Фабрика!B:B,"ERR",0)</f>
        <v>HOOD HAT, LLC; 15332 Antioch st., #211 Pacific Palisades, CA 90272, USA</v>
      </c>
      <c r="P46" s="100" t="str">
        <f ca="1">_xlfn.XLOOKUP($A46,Строчный!$A:$A,Строчный!P:P,"ERR",0)</f>
        <v>ONE</v>
      </c>
      <c r="Q46" s="100">
        <f ca="1">VALUE(_xlfn.XLOOKUP($A46,Строчный!$A:$A,Строчный!Q:Q,"ERR",0))</f>
        <v>6</v>
      </c>
      <c r="R46" s="14" t="s">
        <v>283</v>
      </c>
      <c r="S46" s="122" t="str">
        <f t="shared" ca="1" si="5"/>
        <v>Бейсболка HOOD арт. 100-CTW020-CA030-BK LONG BEACH TONAL INTERLOCK (черный)</v>
      </c>
      <c r="T46" s="121" t="str">
        <f t="shared" ca="1" si="6"/>
        <v>Бейсболка HOOD арт. 100-CTW020-CA030-BK LONG BEACH TONAL INTERLOCK (черный) {black}</v>
      </c>
      <c r="U46" s="18" t="str">
        <f t="shared" ca="1" si="7"/>
        <v>черный</v>
      </c>
      <c r="V46" s="18" t="str">
        <f t="shared" ca="1" si="8"/>
        <v>черный</v>
      </c>
      <c r="W46" s="119" t="str">
        <f ca="1">_xlfn.XLOOKUP(A46,'Цвета артикулов'!A:A,'Цвета артикулов'!B:B,IFERROR(MID(I46,FIND("-",I46)+1,LEN(I46)),IFERROR(MID(I46,1,FIND("/",I46)-2),I46)),0)</f>
        <v>черный</v>
      </c>
      <c r="X46" s="93" t="str">
        <f t="shared" ca="1" si="4"/>
        <v>92-006-09-00</v>
      </c>
      <c r="Y46" s="95" t="str">
        <f ca="1">VLOOKUP(C46,Группа!A:B,2,FALSE)</f>
        <v>Бейсболка</v>
      </c>
      <c r="Z46" s="117" t="str">
        <f ca="1">IFERROR(VLOOKUP(P46,Размеры!A:C,3,FALSE),"")</f>
        <v>ONE</v>
      </c>
      <c r="AA46" s="117" t="str">
        <f ca="1">VLOOKUP(I46,ЦветПолный!A:B,2,FALSE)</f>
        <v>09</v>
      </c>
      <c r="AB46" s="117" t="str">
        <f ca="1">IFERROR(VLOOKUP(P46,Размеры!A:D,4,FALSE),"")</f>
        <v>00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11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92-005-09</v>
      </c>
      <c r="B47" s="128" t="str">
        <f ca="1">UPPER(_xlfn.XLOOKUP($A47,Строчный!$A:$A,Строчный!B:B,"ERR",0))</f>
        <v>100-CTW020-CA027-BK CHAVEZ RAVINE TONAL INTERLOCK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 с прямым козырьком</v>
      </c>
      <c r="E47" s="101" t="str">
        <f ca="1">PROPER(_xlfn.XLOOKUP($A47,Строчный!$A:$A,Строчный!E:E,"ERR",0))</f>
        <v>Hood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HOOD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LOWER(_xlfn.XLOOKUP($A47,Строчный!$A:$A,Строчный!K:K,"ERR",0))</f>
        <v>хлопковые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Соединенные Штаты</v>
      </c>
      <c r="N47" s="110">
        <f ca="1">VALUE(_xlfn.XLOOKUP($A47,Строчный!$A:$A,Строчный!N:N,"ERR",0))</f>
        <v>1820</v>
      </c>
      <c r="O47" s="109" t="str">
        <f ca="1">_xlfn.XLOOKUP($G47,Фабрика!A:A,Фабрика!B:B,"ERR",0)</f>
        <v>HOOD HAT, LLC; 15332 Antioch st., #211 Pacific Palisades, CA 90272, USA</v>
      </c>
      <c r="P47" s="100" t="str">
        <f ca="1">_xlfn.XLOOKUP($A47,Строчный!$A:$A,Строчный!P:P,"ERR",0)</f>
        <v>ONE</v>
      </c>
      <c r="Q47" s="100">
        <f ca="1">VALUE(_xlfn.XLOOKUP($A47,Строчный!$A:$A,Строчный!Q:Q,"ERR",0))</f>
        <v>6</v>
      </c>
      <c r="R47" s="14" t="s">
        <v>283</v>
      </c>
      <c r="S47" s="122" t="str">
        <f t="shared" ca="1" si="5"/>
        <v>Бейсболка HOOD арт. 100-CTW020-CA027-BK CHAVEZ RAVINE TONAL INTERLOCK (черный)</v>
      </c>
      <c r="T47" s="121" t="str">
        <f t="shared" ca="1" si="6"/>
        <v>Бейсболка HOOD арт. 100-CTW020-CA027-BK CHAVEZ RAVINE TONAL INTERLOCK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_xlfn.XLOOKUP(A47,'Цвета артикулов'!A:A,'Цвета артикулов'!B:B,IFERROR(MID(I47,FIND("-",I47)+1,LEN(I47)),IFERROR(MID(I47,1,FIND("/",I47)-2),I47)),0)</f>
        <v>черный</v>
      </c>
      <c r="X47" s="93" t="str">
        <f t="shared" ca="1" si="4"/>
        <v>92-005-09-00</v>
      </c>
      <c r="Y47" s="95" t="str">
        <f ca="1">VLOOKUP(C47,Группа!A:B,2,FALSE)</f>
        <v>Бейсболка</v>
      </c>
      <c r="Z47" s="117" t="str">
        <f ca="1">IFERROR(VLOOKUP(P47,Размеры!A:C,3,FALSE),"")</f>
        <v>ONE</v>
      </c>
      <c r="AA47" s="117" t="str">
        <f ca="1">VLOOKUP(I47,ЦветПолный!A:B,2,FALSE)</f>
        <v>09</v>
      </c>
      <c r="AB47" s="117" t="str">
        <f ca="1">IFERROR(VLOOKUP(P47,Размеры!A:D,4,FALSE),"")</f>
        <v>00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92-004-09</v>
      </c>
      <c r="B48" s="128" t="str">
        <f ca="1">UPPER(_xlfn.XLOOKUP($A48,Строчный!$A:$A,Строчный!B:B,"ERR",0))</f>
        <v>100-CTW020-CA013-BK SOUTH CENTRAL TONAL INTERLOCK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 с прямым козырьком</v>
      </c>
      <c r="E48" s="101" t="str">
        <f ca="1">PROPER(_xlfn.XLOOKUP($A48,Строчный!$A:$A,Строчный!E:E,"ERR",0))</f>
        <v>Hood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HOOD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LOWER(_xlfn.XLOOKUP($A48,Строчный!$A:$A,Строчный!K:K,"ERR",0))</f>
        <v>хлопковые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10">
        <f ca="1">VALUE(_xlfn.XLOOKUP($A48,Строчный!$A:$A,Строчный!N:N,"ERR",0))</f>
        <v>1820</v>
      </c>
      <c r="O48" s="109" t="str">
        <f ca="1">_xlfn.XLOOKUP($G48,Фабрика!A:A,Фабрика!B:B,"ERR",0)</f>
        <v>HOOD HAT, LLC; 15332 Antioch st., #211 Pacific Palisades, CA 90272, USA</v>
      </c>
      <c r="P48" s="100" t="str">
        <f ca="1">_xlfn.XLOOKUP($A48,Строчный!$A:$A,Строчный!P:P,"ERR",0)</f>
        <v>ONE</v>
      </c>
      <c r="Q48" s="100">
        <f ca="1">VALUE(_xlfn.XLOOKUP($A48,Строчный!$A:$A,Строчный!Q:Q,"ERR",0))</f>
        <v>6</v>
      </c>
      <c r="R48" s="14" t="s">
        <v>283</v>
      </c>
      <c r="S48" s="122" t="str">
        <f t="shared" ca="1" si="5"/>
        <v>Бейсболка HOOD арт. 100-CTW020-CA013-BK SOUTH CENTRAL TONAL INTERLOCK (черный)</v>
      </c>
      <c r="T48" s="121" t="str">
        <f t="shared" ca="1" si="6"/>
        <v>Бейсболка HOOD арт. 100-CTW020-CA013-BK SOUTH CENTRAL TONAL INTERLOCK (черный) {black}</v>
      </c>
      <c r="U48" s="18" t="str">
        <f t="shared" ca="1" si="7"/>
        <v>черный</v>
      </c>
      <c r="V48" s="18" t="str">
        <f t="shared" ca="1" si="8"/>
        <v>черный</v>
      </c>
      <c r="W48" s="119" t="str">
        <f ca="1">_xlfn.XLOOKUP(A48,'Цвета артикулов'!A:A,'Цвета артикулов'!B:B,IFERROR(MID(I48,FIND("-",I48)+1,LEN(I48)),IFERROR(MID(I48,1,FIND("/",I48)-2),I48)),0)</f>
        <v>черный</v>
      </c>
      <c r="X48" s="93" t="str">
        <f t="shared" ca="1" si="4"/>
        <v>92-004-09-00</v>
      </c>
      <c r="Y48" s="95" t="str">
        <f ca="1">VLOOKUP(C48,Группа!A:B,2,FALSE)</f>
        <v>Бейсболка</v>
      </c>
      <c r="Z48" s="117" t="str">
        <f ca="1">IFERROR(VLOOKUP(P48,Размеры!A:C,3,FALSE),"")</f>
        <v>ONE</v>
      </c>
      <c r="AA48" s="117" t="str">
        <f ca="1">VLOOKUP(I48,ЦветПолный!A:B,2,FALSE)</f>
        <v>09</v>
      </c>
      <c r="AB48" s="117" t="str">
        <f ca="1">IFERROR(VLOOKUP(P48,Размеры!A:D,4,FALSE),"")</f>
        <v>00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11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92-003-09</v>
      </c>
      <c r="B49" s="128" t="str">
        <f ca="1">UPPER(_xlfn.XLOOKUP($A49,Строчный!$A:$A,Строчный!B:B,"ERR",0))</f>
        <v>100-CTW020-CA012-BK COMPTON TONAL INTERLOCK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 с прямым козырьком</v>
      </c>
      <c r="E49" s="101" t="str">
        <f ca="1">PROPER(_xlfn.XLOOKUP($A49,Строчный!$A:$A,Строчный!E:E,"ERR",0))</f>
        <v>Hood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HOOD</v>
      </c>
      <c r="H49" s="101" t="str">
        <f ca="1">LOWER(_xlfn.XLOOKUP($A49,Строчный!$A:$A,Строчный!H:H,"ERR",0))</f>
        <v>black</v>
      </c>
      <c r="I49" s="101" t="str">
        <f ca="1">LOWER(_xlfn.XLOOKUP($A49,Строчный!$A:$A,Строчный!I:I,"ERR",0))</f>
        <v>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LOWER(_xlfn.XLOOKUP($A49,Строчный!$A:$A,Строчный!K:K,"ERR",0))</f>
        <v>хлопковые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10">
        <f ca="1">VALUE(_xlfn.XLOOKUP($A49,Строчный!$A:$A,Строчный!N:N,"ERR",0))</f>
        <v>1820</v>
      </c>
      <c r="O49" s="109" t="str">
        <f ca="1">_xlfn.XLOOKUP($G49,Фабрика!A:A,Фабрика!B:B,"ERR",0)</f>
        <v>HOOD HAT, LLC; 15332 Antioch st., #211 Pacific Palisades, CA 90272, USA</v>
      </c>
      <c r="P49" s="100" t="str">
        <f ca="1">_xlfn.XLOOKUP($A49,Строчный!$A:$A,Строчный!P:P,"ERR",0)</f>
        <v>ONE</v>
      </c>
      <c r="Q49" s="100">
        <f ca="1">VALUE(_xlfn.XLOOKUP($A49,Строчный!$A:$A,Строчный!Q:Q,"ERR",0))</f>
        <v>6</v>
      </c>
      <c r="R49" s="14" t="s">
        <v>283</v>
      </c>
      <c r="S49" s="122" t="str">
        <f t="shared" ca="1" si="5"/>
        <v>Бейсболка HOOD арт. 100-CTW020-CA012-BK COMPTON TONAL INTERLOCK (черный)</v>
      </c>
      <c r="T49" s="121" t="str">
        <f t="shared" ca="1" si="6"/>
        <v>Бейсболка HOOD арт. 100-CTW020-CA012-BK COMPTON TONAL INTERLOCK (черный) {black}</v>
      </c>
      <c r="U49" s="18" t="str">
        <f t="shared" ca="1" si="7"/>
        <v>черный</v>
      </c>
      <c r="V49" s="18" t="str">
        <f t="shared" ca="1" si="8"/>
        <v>черный</v>
      </c>
      <c r="W49" s="119" t="str">
        <f ca="1">_xlfn.XLOOKUP(A49,'Цвета артикулов'!A:A,'Цвета артикулов'!B:B,IFERROR(MID(I49,FIND("-",I49)+1,LEN(I49)),IFERROR(MID(I49,1,FIND("/",I49)-2),I49)),0)</f>
        <v>черный</v>
      </c>
      <c r="X49" s="93" t="str">
        <f t="shared" ca="1" si="4"/>
        <v>92-003-09-00</v>
      </c>
      <c r="Y49" s="95" t="str">
        <f ca="1">VLOOKUP(C49,Группа!A:B,2,FALSE)</f>
        <v>Бейсболка</v>
      </c>
      <c r="Z49" s="117" t="str">
        <f ca="1">IFERROR(VLOOKUP(P49,Размеры!A:C,3,FALSE),"")</f>
        <v>ONE</v>
      </c>
      <c r="AA49" s="117" t="str">
        <f ca="1">VLOOKUP(I49,ЦветПолный!A:B,2,FALSE)</f>
        <v>09</v>
      </c>
      <c r="AB49" s="117" t="str">
        <f ca="1">IFERROR(VLOOKUP(P49,Размеры!A:D,4,FALSE),"")</f>
        <v>00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11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92-002-09</v>
      </c>
      <c r="B50" s="128" t="str">
        <f ca="1">UPPER(_xlfn.XLOOKUP($A50,Строчный!$A:$A,Строчный!B:B,"ERR",0))</f>
        <v>100-CTW020-CA010-BK BEL AIR TONAL INTERLOCK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Hood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HOOD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LOWER(_xlfn.XLOOKUP($A50,Строчный!$A:$A,Строчный!K:K,"ERR",0))</f>
        <v>хлопковые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10">
        <f ca="1">VALUE(_xlfn.XLOOKUP($A50,Строчный!$A:$A,Строчный!N:N,"ERR",0))</f>
        <v>1820</v>
      </c>
      <c r="O50" s="109" t="str">
        <f ca="1">_xlfn.XLOOKUP($G50,Фабрика!A:A,Фабрика!B:B,"ERR",0)</f>
        <v>HOOD HAT, LLC; 15332 Antioch st., #211 Pacific Palisades, CA 90272, USA</v>
      </c>
      <c r="P50" s="100" t="str">
        <f ca="1">_xlfn.XLOOKUP($A50,Строчный!$A:$A,Строчный!P:P,"ERR",0)</f>
        <v>ONE</v>
      </c>
      <c r="Q50" s="100">
        <f ca="1">VALUE(_xlfn.XLOOKUP($A50,Строчный!$A:$A,Строчный!Q:Q,"ERR",0))</f>
        <v>6</v>
      </c>
      <c r="R50" s="14" t="s">
        <v>283</v>
      </c>
      <c r="S50" s="122" t="str">
        <f t="shared" ca="1" si="5"/>
        <v>Бейсболка HOOD арт. 100-CTW020-CA010-BK BEL AIR TONAL INTERLOCK (черный)</v>
      </c>
      <c r="T50" s="121" t="str">
        <f t="shared" ca="1" si="6"/>
        <v>Бейсболка HOOD арт. 100-CTW020-CA010-BK BEL AIR TONAL INTERLOCK (черный) {black}</v>
      </c>
      <c r="U50" s="18" t="str">
        <f t="shared" ca="1" si="7"/>
        <v>черный</v>
      </c>
      <c r="V50" s="18" t="str">
        <f t="shared" ca="1" si="8"/>
        <v>черный</v>
      </c>
      <c r="W50" s="119" t="str">
        <f ca="1">_xlfn.XLOOKUP(A50,'Цвета артикулов'!A:A,'Цвета артикулов'!B:B,IFERROR(MID(I50,FIND("-",I50)+1,LEN(I50)),IFERROR(MID(I50,1,FIND("/",I50)-2),I50)),0)</f>
        <v>черный</v>
      </c>
      <c r="X50" s="93" t="str">
        <f t="shared" ca="1" si="4"/>
        <v>92-002-09-00</v>
      </c>
      <c r="Y50" s="95" t="str">
        <f ca="1">VLOOKUP(C50,Группа!A:B,2,FALSE)</f>
        <v>Бейсболка</v>
      </c>
      <c r="Z50" s="117" t="str">
        <f ca="1">IFERROR(VLOOKUP(P50,Размеры!A:C,3,FALSE),"")</f>
        <v>ONE</v>
      </c>
      <c r="AA50" s="117" t="str">
        <f ca="1">VLOOKUP(I50,ЦветПолный!A:B,2,FALSE)</f>
        <v>09</v>
      </c>
      <c r="AB50" s="117" t="str">
        <f ca="1">IFERROR(VLOOKUP(P50,Размеры!A:D,4,FALSE),"")</f>
        <v>00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11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92-001-09</v>
      </c>
      <c r="B51" s="128" t="str">
        <f ca="1">UPPER(_xlfn.XLOOKUP($A51,Строчный!$A:$A,Строчный!B:B,"ERR",0))</f>
        <v>100-CTW020-CA003-BK BEVERLY HILLS TONAL INTERLOCK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Hood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HOOD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LOWER(_xlfn.XLOOKUP($A51,Строчный!$A:$A,Строчный!K:K,"ERR",0))</f>
        <v>хлопковые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10">
        <f ca="1">VALUE(_xlfn.XLOOKUP($A51,Строчный!$A:$A,Строчный!N:N,"ERR",0))</f>
        <v>1820</v>
      </c>
      <c r="O51" s="109" t="str">
        <f ca="1">_xlfn.XLOOKUP($G51,Фабрика!A:A,Фабрика!B:B,"ERR",0)</f>
        <v>HOOD HAT, LLC; 15332 Antioch st., #211 Pacific Palisades, CA 90272, USA</v>
      </c>
      <c r="P51" s="100" t="str">
        <f ca="1">_xlfn.XLOOKUP($A51,Строчный!$A:$A,Строчный!P:P,"ERR",0)</f>
        <v>ONE</v>
      </c>
      <c r="Q51" s="100">
        <f ca="1">VALUE(_xlfn.XLOOKUP($A51,Строчный!$A:$A,Строчный!Q:Q,"ERR",0))</f>
        <v>6</v>
      </c>
      <c r="R51" s="14" t="s">
        <v>283</v>
      </c>
      <c r="S51" s="122" t="str">
        <f t="shared" ca="1" si="5"/>
        <v>Бейсболка HOOD арт. 100-CTW020-CA003-BK BEVERLY HILLS TONAL INTERLOCK (черный)</v>
      </c>
      <c r="T51" s="121" t="str">
        <f t="shared" ca="1" si="6"/>
        <v>Бейсболка HOOD арт. 100-CTW020-CA003-BK BEVERLY HILLS TONAL INTERLOCK (черный) {black}</v>
      </c>
      <c r="U51" s="18" t="str">
        <f t="shared" ca="1" si="7"/>
        <v>черный</v>
      </c>
      <c r="V51" s="18" t="str">
        <f t="shared" ca="1" si="8"/>
        <v>черный</v>
      </c>
      <c r="W51" s="119" t="str">
        <f ca="1">_xlfn.XLOOKUP(A51,'Цвета артикулов'!A:A,'Цвета артикулов'!B:B,IFERROR(MID(I51,FIND("-",I51)+1,LEN(I51)),IFERROR(MID(I51,1,FIND("/",I51)-2),I51)),0)</f>
        <v>черный</v>
      </c>
      <c r="X51" s="93" t="str">
        <f t="shared" ca="1" si="4"/>
        <v>92-001-09-00</v>
      </c>
      <c r="Y51" s="95" t="str">
        <f ca="1">VLOOKUP(C51,Группа!A:B,2,FALSE)</f>
        <v>Бейсболка</v>
      </c>
      <c r="Z51" s="117" t="str">
        <f ca="1">IFERROR(VLOOKUP(P51,Размеры!A:C,3,FALSE),"")</f>
        <v>ONE</v>
      </c>
      <c r="AA51" s="117" t="str">
        <f ca="1">VLOOKUP(I51,ЦветПолный!A:B,2,FALSE)</f>
        <v>09</v>
      </c>
      <c r="AB51" s="117" t="str">
        <f ca="1">IFERROR(VLOOKUP(P51,Размеры!A:D,4,FALSE),"")</f>
        <v>00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11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</sheetData>
  <autoFilter ref="G1:AT51" xr:uid="{00000000-0009-0000-0000-000000000000}"/>
  <conditionalFormatting sqref="AQ2">
    <cfRule type="expression" dxfId="51" priority="35">
      <formula>IFERROR(AQ2,TRUE)</formula>
    </cfRule>
  </conditionalFormatting>
  <conditionalFormatting sqref="AQ3:AQ51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51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51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51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51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51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51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508" workbookViewId="0">
      <selection activeCell="F519" sqref="F519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37801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37802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37803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37804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37805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dimension ref="A1:B78"/>
  <sheetViews>
    <sheetView topLeftCell="A46" workbookViewId="0">
      <selection activeCell="D31" sqref="D31"/>
    </sheetView>
  </sheetViews>
  <sheetFormatPr defaultRowHeight="15" x14ac:dyDescent="0.25"/>
  <cols>
    <col min="1" max="1" width="20" style="134" bestFit="1" customWidth="1"/>
    <col min="2" max="2" width="11.140625" style="134" bestFit="1" customWidth="1"/>
    <col min="3" max="16384" width="9.140625" style="134"/>
  </cols>
  <sheetData>
    <row r="1" spans="1:2" x14ac:dyDescent="0.25">
      <c r="A1" s="134" t="s">
        <v>37683</v>
      </c>
      <c r="B1" s="134" t="s">
        <v>2</v>
      </c>
    </row>
    <row r="2" spans="1:2" x14ac:dyDescent="0.25">
      <c r="A2" s="134" t="s">
        <v>37687</v>
      </c>
      <c r="B2" s="134" t="s">
        <v>1</v>
      </c>
    </row>
    <row r="3" spans="1:2" x14ac:dyDescent="0.25">
      <c r="A3" s="134" t="s">
        <v>37688</v>
      </c>
      <c r="B3" s="134" t="s">
        <v>1</v>
      </c>
    </row>
    <row r="4" spans="1:2" x14ac:dyDescent="0.25">
      <c r="A4" s="134" t="s">
        <v>37689</v>
      </c>
      <c r="B4" s="134" t="s">
        <v>1</v>
      </c>
    </row>
    <row r="5" spans="1:2" x14ac:dyDescent="0.25">
      <c r="A5" s="134" t="s">
        <v>37690</v>
      </c>
      <c r="B5" s="134" t="s">
        <v>1</v>
      </c>
    </row>
    <row r="6" spans="1:2" x14ac:dyDescent="0.25">
      <c r="A6" s="134" t="s">
        <v>37691</v>
      </c>
      <c r="B6" s="134" t="s">
        <v>1</v>
      </c>
    </row>
    <row r="7" spans="1:2" x14ac:dyDescent="0.25">
      <c r="A7" s="134" t="s">
        <v>37692</v>
      </c>
      <c r="B7" s="134" t="s">
        <v>1</v>
      </c>
    </row>
    <row r="8" spans="1:2" x14ac:dyDescent="0.25">
      <c r="A8" s="134" t="s">
        <v>37693</v>
      </c>
      <c r="B8" s="134" t="s">
        <v>1</v>
      </c>
    </row>
    <row r="9" spans="1:2" x14ac:dyDescent="0.25">
      <c r="A9" s="134" t="s">
        <v>37694</v>
      </c>
      <c r="B9" s="134" t="s">
        <v>1</v>
      </c>
    </row>
    <row r="10" spans="1:2" x14ac:dyDescent="0.25">
      <c r="A10" s="134" t="s">
        <v>37695</v>
      </c>
      <c r="B10" s="134" t="s">
        <v>1</v>
      </c>
    </row>
    <row r="11" spans="1:2" x14ac:dyDescent="0.25">
      <c r="A11" s="134" t="s">
        <v>37696</v>
      </c>
      <c r="B11" s="134" t="s">
        <v>1</v>
      </c>
    </row>
    <row r="12" spans="1:2" x14ac:dyDescent="0.25">
      <c r="A12" s="134" t="s">
        <v>37697</v>
      </c>
      <c r="B12" s="134" t="s">
        <v>1</v>
      </c>
    </row>
    <row r="13" spans="1:2" x14ac:dyDescent="0.25">
      <c r="A13" s="134" t="s">
        <v>37698</v>
      </c>
      <c r="B13" s="134" t="s">
        <v>1</v>
      </c>
    </row>
    <row r="14" spans="1:2" x14ac:dyDescent="0.25">
      <c r="A14" s="134" t="s">
        <v>37699</v>
      </c>
      <c r="B14" s="134" t="s">
        <v>1</v>
      </c>
    </row>
    <row r="15" spans="1:2" x14ac:dyDescent="0.25">
      <c r="A15" s="134" t="s">
        <v>37700</v>
      </c>
      <c r="B15" s="134" t="s">
        <v>1</v>
      </c>
    </row>
    <row r="16" spans="1:2" x14ac:dyDescent="0.25">
      <c r="A16" s="134" t="s">
        <v>37701</v>
      </c>
      <c r="B16" s="134" t="s">
        <v>1</v>
      </c>
    </row>
    <row r="17" spans="1:2" x14ac:dyDescent="0.25">
      <c r="A17" s="134" t="s">
        <v>37702</v>
      </c>
      <c r="B17" s="134" t="s">
        <v>1</v>
      </c>
    </row>
    <row r="18" spans="1:2" x14ac:dyDescent="0.25">
      <c r="A18" s="134" t="s">
        <v>37703</v>
      </c>
      <c r="B18" s="134" t="s">
        <v>1</v>
      </c>
    </row>
    <row r="19" spans="1:2" x14ac:dyDescent="0.25">
      <c r="A19" s="134" t="s">
        <v>37704</v>
      </c>
      <c r="B19" s="135" t="s">
        <v>27</v>
      </c>
    </row>
    <row r="20" spans="1:2" x14ac:dyDescent="0.25">
      <c r="A20" s="134" t="s">
        <v>37705</v>
      </c>
      <c r="B20" s="134" t="s">
        <v>1</v>
      </c>
    </row>
    <row r="21" spans="1:2" x14ac:dyDescent="0.25">
      <c r="A21" s="134" t="s">
        <v>37706</v>
      </c>
      <c r="B21" s="134" t="s">
        <v>1</v>
      </c>
    </row>
    <row r="22" spans="1:2" x14ac:dyDescent="0.25">
      <c r="A22" s="134" t="s">
        <v>37707</v>
      </c>
      <c r="B22" s="134" t="s">
        <v>1</v>
      </c>
    </row>
    <row r="23" spans="1:2" x14ac:dyDescent="0.25">
      <c r="A23" s="134" t="s">
        <v>37708</v>
      </c>
      <c r="B23" s="134" t="s">
        <v>96</v>
      </c>
    </row>
    <row r="24" spans="1:2" x14ac:dyDescent="0.25">
      <c r="A24" s="134" t="s">
        <v>37709</v>
      </c>
      <c r="B24" s="134" t="s">
        <v>96</v>
      </c>
    </row>
    <row r="25" spans="1:2" x14ac:dyDescent="0.25">
      <c r="A25" s="134" t="s">
        <v>37710</v>
      </c>
      <c r="B25" s="134" t="s">
        <v>1</v>
      </c>
    </row>
    <row r="26" spans="1:2" x14ac:dyDescent="0.25">
      <c r="A26" s="134" t="s">
        <v>37711</v>
      </c>
      <c r="B26" s="134" t="s">
        <v>1</v>
      </c>
    </row>
    <row r="27" spans="1:2" x14ac:dyDescent="0.25">
      <c r="A27" s="134" t="s">
        <v>37712</v>
      </c>
      <c r="B27" s="134" t="s">
        <v>1</v>
      </c>
    </row>
    <row r="28" spans="1:2" x14ac:dyDescent="0.25">
      <c r="A28" s="134" t="s">
        <v>37713</v>
      </c>
      <c r="B28" s="135" t="s">
        <v>27</v>
      </c>
    </row>
    <row r="29" spans="1:2" x14ac:dyDescent="0.25">
      <c r="A29" s="134" t="s">
        <v>37714</v>
      </c>
      <c r="B29" s="134" t="s">
        <v>1</v>
      </c>
    </row>
    <row r="30" spans="1:2" x14ac:dyDescent="0.25">
      <c r="A30" s="134" t="s">
        <v>37715</v>
      </c>
      <c r="B30" s="134" t="s">
        <v>28</v>
      </c>
    </row>
    <row r="31" spans="1:2" x14ac:dyDescent="0.25">
      <c r="A31" s="134" t="s">
        <v>37716</v>
      </c>
      <c r="B31" s="134" t="s">
        <v>25555</v>
      </c>
    </row>
    <row r="32" spans="1:2" x14ac:dyDescent="0.25">
      <c r="A32" s="134" t="s">
        <v>37717</v>
      </c>
      <c r="B32" s="135" t="s">
        <v>27</v>
      </c>
    </row>
    <row r="33" spans="1:2" x14ac:dyDescent="0.25">
      <c r="A33" s="134" t="s">
        <v>37718</v>
      </c>
      <c r="B33" s="134" t="s">
        <v>27</v>
      </c>
    </row>
    <row r="34" spans="1:2" x14ac:dyDescent="0.25">
      <c r="A34" s="134" t="s">
        <v>37719</v>
      </c>
      <c r="B34" s="134" t="s">
        <v>28</v>
      </c>
    </row>
    <row r="35" spans="1:2" x14ac:dyDescent="0.25">
      <c r="A35" s="134" t="s">
        <v>37720</v>
      </c>
      <c r="B35" s="134" t="s">
        <v>25555</v>
      </c>
    </row>
    <row r="36" spans="1:2" x14ac:dyDescent="0.25">
      <c r="A36" s="134" t="s">
        <v>37721</v>
      </c>
      <c r="B36" s="134" t="s">
        <v>1</v>
      </c>
    </row>
    <row r="37" spans="1:2" x14ac:dyDescent="0.25">
      <c r="A37" s="134" t="s">
        <v>37722</v>
      </c>
      <c r="B37" s="134" t="s">
        <v>28</v>
      </c>
    </row>
    <row r="38" spans="1:2" x14ac:dyDescent="0.25">
      <c r="A38" s="134" t="s">
        <v>37723</v>
      </c>
      <c r="B38" s="134" t="s">
        <v>1</v>
      </c>
    </row>
    <row r="39" spans="1:2" x14ac:dyDescent="0.25">
      <c r="A39" s="134" t="s">
        <v>37724</v>
      </c>
      <c r="B39" s="134" t="s">
        <v>1</v>
      </c>
    </row>
    <row r="40" spans="1:2" x14ac:dyDescent="0.25">
      <c r="A40" s="134" t="s">
        <v>37725</v>
      </c>
      <c r="B40" s="134" t="s">
        <v>1</v>
      </c>
    </row>
    <row r="41" spans="1:2" x14ac:dyDescent="0.25">
      <c r="A41" s="134" t="s">
        <v>37726</v>
      </c>
      <c r="B41" s="134" t="s">
        <v>212</v>
      </c>
    </row>
    <row r="42" spans="1:2" x14ac:dyDescent="0.25">
      <c r="A42" s="134" t="s">
        <v>37727</v>
      </c>
      <c r="B42" s="134" t="s">
        <v>52</v>
      </c>
    </row>
    <row r="43" spans="1:2" x14ac:dyDescent="0.25">
      <c r="A43" s="134" t="s">
        <v>37728</v>
      </c>
      <c r="B43" s="134" t="s">
        <v>28</v>
      </c>
    </row>
    <row r="44" spans="1:2" x14ac:dyDescent="0.25">
      <c r="A44" s="134" t="s">
        <v>37729</v>
      </c>
      <c r="B44" s="134" t="s">
        <v>22</v>
      </c>
    </row>
    <row r="45" spans="1:2" x14ac:dyDescent="0.25">
      <c r="A45" s="134" t="s">
        <v>37730</v>
      </c>
      <c r="B45" s="134" t="s">
        <v>52</v>
      </c>
    </row>
    <row r="46" spans="1:2" x14ac:dyDescent="0.25">
      <c r="A46" s="134" t="s">
        <v>37731</v>
      </c>
      <c r="B46" s="134" t="s">
        <v>1</v>
      </c>
    </row>
    <row r="47" spans="1:2" x14ac:dyDescent="0.25">
      <c r="A47" s="134" t="s">
        <v>37732</v>
      </c>
      <c r="B47" s="134" t="s">
        <v>28</v>
      </c>
    </row>
    <row r="48" spans="1:2" x14ac:dyDescent="0.25">
      <c r="A48" s="134" t="s">
        <v>37733</v>
      </c>
      <c r="B48" s="134" t="s">
        <v>58</v>
      </c>
    </row>
    <row r="49" spans="1:2" x14ac:dyDescent="0.25">
      <c r="A49" s="134" t="s">
        <v>37734</v>
      </c>
      <c r="B49" s="134" t="s">
        <v>22</v>
      </c>
    </row>
    <row r="50" spans="1:2" x14ac:dyDescent="0.25">
      <c r="A50" s="134" t="s">
        <v>37735</v>
      </c>
      <c r="B50" s="134" t="s">
        <v>1</v>
      </c>
    </row>
    <row r="51" spans="1:2" x14ac:dyDescent="0.25">
      <c r="A51" s="134" t="s">
        <v>37736</v>
      </c>
      <c r="B51" s="134" t="s">
        <v>22</v>
      </c>
    </row>
    <row r="52" spans="1:2" x14ac:dyDescent="0.25">
      <c r="A52" s="134" t="s">
        <v>3377</v>
      </c>
      <c r="B52" s="134" t="s">
        <v>1</v>
      </c>
    </row>
    <row r="53" spans="1:2" x14ac:dyDescent="0.25">
      <c r="A53" s="134" t="s">
        <v>2956</v>
      </c>
      <c r="B53" s="134" t="s">
        <v>1</v>
      </c>
    </row>
    <row r="54" spans="1:2" x14ac:dyDescent="0.25">
      <c r="A54" s="134" t="s">
        <v>2960</v>
      </c>
      <c r="B54" s="134" t="s">
        <v>54</v>
      </c>
    </row>
    <row r="55" spans="1:2" x14ac:dyDescent="0.25">
      <c r="A55" s="134" t="s">
        <v>2966</v>
      </c>
      <c r="B55" s="134" t="s">
        <v>27</v>
      </c>
    </row>
    <row r="56" spans="1:2" x14ac:dyDescent="0.25">
      <c r="A56" s="134" t="s">
        <v>3400</v>
      </c>
      <c r="B56" s="134" t="s">
        <v>52</v>
      </c>
    </row>
    <row r="57" spans="1:2" x14ac:dyDescent="0.25">
      <c r="A57" s="134" t="s">
        <v>2972</v>
      </c>
      <c r="B57" s="134" t="s">
        <v>27</v>
      </c>
    </row>
    <row r="58" spans="1:2" x14ac:dyDescent="0.25">
      <c r="A58" s="134" t="s">
        <v>2976</v>
      </c>
      <c r="B58" s="134" t="s">
        <v>1</v>
      </c>
    </row>
    <row r="59" spans="1:2" x14ac:dyDescent="0.25">
      <c r="A59" s="134" t="s">
        <v>2978</v>
      </c>
      <c r="B59" s="134" t="s">
        <v>27</v>
      </c>
    </row>
    <row r="60" spans="1:2" x14ac:dyDescent="0.25">
      <c r="A60" s="134" t="s">
        <v>3414</v>
      </c>
      <c r="B60" s="134" t="s">
        <v>27</v>
      </c>
    </row>
    <row r="61" spans="1:2" x14ac:dyDescent="0.25">
      <c r="A61" s="134" t="s">
        <v>2980</v>
      </c>
      <c r="B61" s="134" t="s">
        <v>28</v>
      </c>
    </row>
    <row r="62" spans="1:2" x14ac:dyDescent="0.25">
      <c r="A62" s="134" t="s">
        <v>3416</v>
      </c>
      <c r="B62" s="134" t="s">
        <v>27</v>
      </c>
    </row>
    <row r="63" spans="1:2" x14ac:dyDescent="0.25">
      <c r="A63" s="134" t="s">
        <v>2982</v>
      </c>
      <c r="B63" s="134" t="s">
        <v>27</v>
      </c>
    </row>
    <row r="64" spans="1:2" x14ac:dyDescent="0.25">
      <c r="A64" s="134" t="s">
        <v>3421</v>
      </c>
      <c r="B64" s="134" t="s">
        <v>27</v>
      </c>
    </row>
    <row r="65" spans="1:2" x14ac:dyDescent="0.25">
      <c r="A65" s="134" t="s">
        <v>3423</v>
      </c>
      <c r="B65" s="134" t="s">
        <v>27</v>
      </c>
    </row>
    <row r="66" spans="1:2" x14ac:dyDescent="0.25">
      <c r="A66" s="134" t="s">
        <v>2984</v>
      </c>
      <c r="B66" s="134" t="s">
        <v>28</v>
      </c>
    </row>
    <row r="67" spans="1:2" x14ac:dyDescent="0.25">
      <c r="A67" s="134" t="s">
        <v>2986</v>
      </c>
      <c r="B67" s="134" t="s">
        <v>144</v>
      </c>
    </row>
    <row r="68" spans="1:2" x14ac:dyDescent="0.25">
      <c r="A68" s="134" t="s">
        <v>2990</v>
      </c>
      <c r="B68" s="134" t="s">
        <v>27</v>
      </c>
    </row>
    <row r="69" spans="1:2" x14ac:dyDescent="0.25">
      <c r="A69" s="134" t="s">
        <v>2996</v>
      </c>
      <c r="B69" s="134" t="s">
        <v>1</v>
      </c>
    </row>
    <row r="70" spans="1:2" x14ac:dyDescent="0.25">
      <c r="A70" s="134" t="s">
        <v>3010</v>
      </c>
      <c r="B70" s="134" t="s">
        <v>150</v>
      </c>
    </row>
    <row r="71" spans="1:2" x14ac:dyDescent="0.25">
      <c r="A71" s="134" t="s">
        <v>3449</v>
      </c>
      <c r="B71" s="134" t="s">
        <v>1</v>
      </c>
    </row>
    <row r="72" spans="1:2" x14ac:dyDescent="0.25">
      <c r="A72" s="134" t="s">
        <v>3451</v>
      </c>
      <c r="B72" s="134" t="s">
        <v>27</v>
      </c>
    </row>
    <row r="73" spans="1:2" x14ac:dyDescent="0.25">
      <c r="A73" s="134" t="s">
        <v>3014</v>
      </c>
      <c r="B73" s="134" t="s">
        <v>1</v>
      </c>
    </row>
    <row r="74" spans="1:2" x14ac:dyDescent="0.25">
      <c r="A74" s="134" t="s">
        <v>3452</v>
      </c>
      <c r="B74" s="134" t="s">
        <v>1</v>
      </c>
    </row>
    <row r="75" spans="1:2" x14ac:dyDescent="0.25">
      <c r="A75" s="134" t="s">
        <v>3453</v>
      </c>
      <c r="B75" s="134" t="s">
        <v>27</v>
      </c>
    </row>
    <row r="76" spans="1:2" x14ac:dyDescent="0.25">
      <c r="A76" s="134" t="s">
        <v>3028</v>
      </c>
      <c r="B76" s="134" t="s">
        <v>1</v>
      </c>
    </row>
    <row r="77" spans="1:2" x14ac:dyDescent="0.25">
      <c r="A77" s="134" t="s">
        <v>3038</v>
      </c>
      <c r="B77" s="134" t="s">
        <v>1</v>
      </c>
    </row>
    <row r="78" spans="1:2" x14ac:dyDescent="0.25">
      <c r="A78" s="134" t="s">
        <v>3046</v>
      </c>
      <c r="B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8"/>
  <sheetViews>
    <sheetView workbookViewId="0">
      <selection activeCell="D25" sqref="D25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8" spans="1:2" x14ac:dyDescent="0.25">
      <c r="A18" s="14" t="s">
        <v>212</v>
      </c>
      <c r="B18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37788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37788</v>
      </c>
      <c r="B22" s="49" t="s">
        <v>37806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H1" workbookViewId="0">
      <pane ySplit="1" topLeftCell="A2" activePane="bottomLeft" state="frozen"/>
      <selection pane="bottomLeft" activeCell="N6" sqref="N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37687</v>
      </c>
      <c r="B2" s="100" t="s">
        <v>37737</v>
      </c>
      <c r="C2" s="100" t="s">
        <v>46</v>
      </c>
      <c r="D2" s="100" t="s">
        <v>37679</v>
      </c>
      <c r="E2" s="100" t="s">
        <v>37787</v>
      </c>
      <c r="F2" s="100" t="s">
        <v>91</v>
      </c>
      <c r="G2" s="100" t="s">
        <v>37788</v>
      </c>
      <c r="H2" s="100" t="s">
        <v>37789</v>
      </c>
      <c r="I2" s="100" t="s">
        <v>1</v>
      </c>
      <c r="J2" s="103" t="s">
        <v>11</v>
      </c>
      <c r="K2" s="100" t="s">
        <v>30109</v>
      </c>
      <c r="L2" s="100" t="s">
        <v>30025</v>
      </c>
      <c r="M2" s="100" t="s">
        <v>31087</v>
      </c>
      <c r="N2" s="100">
        <v>1820</v>
      </c>
      <c r="O2" s="100"/>
      <c r="R2" s="101">
        <v>6</v>
      </c>
    </row>
    <row r="3" spans="1:41" ht="15" customHeight="1" x14ac:dyDescent="0.2">
      <c r="A3" s="101" t="s">
        <v>37688</v>
      </c>
      <c r="B3" s="101" t="s">
        <v>37738</v>
      </c>
      <c r="C3" s="101" t="s">
        <v>46</v>
      </c>
      <c r="D3" s="101" t="s">
        <v>37679</v>
      </c>
      <c r="E3" s="101" t="s">
        <v>37787</v>
      </c>
      <c r="F3" s="101" t="s">
        <v>91</v>
      </c>
      <c r="G3" s="101" t="s">
        <v>37788</v>
      </c>
      <c r="H3" s="101" t="s">
        <v>37789</v>
      </c>
      <c r="I3" s="101" t="s">
        <v>1</v>
      </c>
      <c r="J3" s="104" t="s">
        <v>11</v>
      </c>
      <c r="K3" s="101" t="s">
        <v>30109</v>
      </c>
      <c r="L3" s="101" t="s">
        <v>30025</v>
      </c>
      <c r="M3" s="101" t="s">
        <v>31087</v>
      </c>
      <c r="N3" s="101">
        <v>1820</v>
      </c>
      <c r="O3" s="100"/>
      <c r="R3" s="101">
        <v>6</v>
      </c>
    </row>
    <row r="4" spans="1:41" ht="15" customHeight="1" x14ac:dyDescent="0.2">
      <c r="A4" s="101" t="s">
        <v>37689</v>
      </c>
      <c r="B4" s="101" t="s">
        <v>37739</v>
      </c>
      <c r="C4" s="101" t="s">
        <v>46</v>
      </c>
      <c r="D4" s="101" t="s">
        <v>37679</v>
      </c>
      <c r="E4" s="101" t="s">
        <v>37787</v>
      </c>
      <c r="F4" s="101" t="s">
        <v>91</v>
      </c>
      <c r="G4" s="101" t="s">
        <v>37788</v>
      </c>
      <c r="H4" s="101" t="s">
        <v>37789</v>
      </c>
      <c r="I4" s="101" t="s">
        <v>1</v>
      </c>
      <c r="J4" s="104" t="s">
        <v>11</v>
      </c>
      <c r="K4" s="101" t="s">
        <v>30109</v>
      </c>
      <c r="L4" s="101" t="s">
        <v>30025</v>
      </c>
      <c r="M4" s="101" t="s">
        <v>31087</v>
      </c>
      <c r="N4" s="101">
        <v>1820</v>
      </c>
      <c r="O4" s="100"/>
      <c r="R4" s="101">
        <v>6</v>
      </c>
    </row>
    <row r="5" spans="1:41" ht="15" customHeight="1" x14ac:dyDescent="0.2">
      <c r="A5" s="101" t="s">
        <v>37690</v>
      </c>
      <c r="B5" s="101" t="s">
        <v>37740</v>
      </c>
      <c r="C5" s="101" t="s">
        <v>46</v>
      </c>
      <c r="D5" s="101" t="s">
        <v>37679</v>
      </c>
      <c r="E5" s="101" t="s">
        <v>37787</v>
      </c>
      <c r="F5" s="101" t="s">
        <v>91</v>
      </c>
      <c r="G5" s="101" t="s">
        <v>37788</v>
      </c>
      <c r="H5" s="101" t="s">
        <v>37789</v>
      </c>
      <c r="I5" s="101" t="s">
        <v>1</v>
      </c>
      <c r="J5" s="104" t="s">
        <v>11</v>
      </c>
      <c r="K5" s="101" t="s">
        <v>30109</v>
      </c>
      <c r="L5" s="101" t="s">
        <v>30025</v>
      </c>
      <c r="M5" s="101" t="s">
        <v>31087</v>
      </c>
      <c r="N5" s="101">
        <v>1820</v>
      </c>
      <c r="O5" s="100"/>
      <c r="R5" s="101">
        <v>6</v>
      </c>
    </row>
    <row r="6" spans="1:41" ht="15" customHeight="1" x14ac:dyDescent="0.2">
      <c r="A6" s="101" t="s">
        <v>37691</v>
      </c>
      <c r="B6" s="101" t="s">
        <v>37741</v>
      </c>
      <c r="C6" s="101" t="s">
        <v>46</v>
      </c>
      <c r="D6" s="101" t="s">
        <v>37679</v>
      </c>
      <c r="E6" s="101" t="s">
        <v>37787</v>
      </c>
      <c r="F6" s="101" t="s">
        <v>91</v>
      </c>
      <c r="G6" s="101" t="s">
        <v>37788</v>
      </c>
      <c r="H6" s="101" t="s">
        <v>37789</v>
      </c>
      <c r="I6" s="101" t="s">
        <v>1</v>
      </c>
      <c r="J6" s="104" t="s">
        <v>11</v>
      </c>
      <c r="K6" s="101" t="s">
        <v>30109</v>
      </c>
      <c r="L6" s="101" t="s">
        <v>30025</v>
      </c>
      <c r="M6" s="101" t="s">
        <v>31087</v>
      </c>
      <c r="N6" s="101">
        <v>1820</v>
      </c>
      <c r="O6" s="100"/>
      <c r="R6" s="101">
        <v>6</v>
      </c>
    </row>
    <row r="7" spans="1:41" ht="15" customHeight="1" x14ac:dyDescent="0.2">
      <c r="A7" s="101" t="s">
        <v>37692</v>
      </c>
      <c r="B7" s="101" t="s">
        <v>37742</v>
      </c>
      <c r="C7" s="101" t="s">
        <v>46</v>
      </c>
      <c r="D7" s="101" t="s">
        <v>37679</v>
      </c>
      <c r="E7" s="101" t="s">
        <v>37787</v>
      </c>
      <c r="F7" s="101" t="s">
        <v>91</v>
      </c>
      <c r="G7" s="101" t="s">
        <v>37788</v>
      </c>
      <c r="H7" s="101" t="s">
        <v>37789</v>
      </c>
      <c r="I7" s="101" t="s">
        <v>1</v>
      </c>
      <c r="J7" s="104" t="s">
        <v>11</v>
      </c>
      <c r="K7" s="101" t="s">
        <v>30109</v>
      </c>
      <c r="L7" s="101" t="s">
        <v>30025</v>
      </c>
      <c r="M7" s="101" t="s">
        <v>31087</v>
      </c>
      <c r="N7" s="101">
        <v>1820</v>
      </c>
      <c r="O7" s="100"/>
      <c r="R7" s="101">
        <v>6</v>
      </c>
    </row>
    <row r="8" spans="1:41" ht="15" customHeight="1" x14ac:dyDescent="0.2">
      <c r="A8" s="101" t="s">
        <v>37693</v>
      </c>
      <c r="B8" s="101" t="s">
        <v>37743</v>
      </c>
      <c r="C8" s="101" t="s">
        <v>46</v>
      </c>
      <c r="D8" s="101" t="s">
        <v>37679</v>
      </c>
      <c r="E8" s="101" t="s">
        <v>37787</v>
      </c>
      <c r="F8" s="101" t="s">
        <v>91</v>
      </c>
      <c r="G8" s="101" t="s">
        <v>37788</v>
      </c>
      <c r="H8" s="101" t="s">
        <v>37789</v>
      </c>
      <c r="I8" s="101" t="s">
        <v>1</v>
      </c>
      <c r="J8" s="104" t="s">
        <v>11</v>
      </c>
      <c r="K8" s="101" t="s">
        <v>30109</v>
      </c>
      <c r="L8" s="101" t="s">
        <v>30025</v>
      </c>
      <c r="M8" s="101" t="s">
        <v>31087</v>
      </c>
      <c r="N8" s="101">
        <v>1820</v>
      </c>
      <c r="O8" s="100"/>
      <c r="R8" s="101">
        <v>12</v>
      </c>
    </row>
    <row r="9" spans="1:41" ht="15" customHeight="1" x14ac:dyDescent="0.2">
      <c r="A9" s="101" t="s">
        <v>37694</v>
      </c>
      <c r="B9" s="101" t="s">
        <v>37744</v>
      </c>
      <c r="C9" s="101" t="s">
        <v>46</v>
      </c>
      <c r="D9" s="101" t="s">
        <v>37679</v>
      </c>
      <c r="E9" s="101" t="s">
        <v>37787</v>
      </c>
      <c r="F9" s="101" t="s">
        <v>91</v>
      </c>
      <c r="G9" s="101" t="s">
        <v>37788</v>
      </c>
      <c r="H9" s="101" t="s">
        <v>37789</v>
      </c>
      <c r="I9" s="101" t="s">
        <v>1</v>
      </c>
      <c r="J9" s="104" t="s">
        <v>11</v>
      </c>
      <c r="K9" s="101" t="s">
        <v>30109</v>
      </c>
      <c r="L9" s="101" t="s">
        <v>30025</v>
      </c>
      <c r="M9" s="101" t="s">
        <v>31087</v>
      </c>
      <c r="N9" s="101">
        <v>1820</v>
      </c>
      <c r="O9" s="100"/>
      <c r="R9" s="101">
        <v>12</v>
      </c>
    </row>
    <row r="10" spans="1:41" ht="15" customHeight="1" x14ac:dyDescent="0.2">
      <c r="A10" s="101" t="s">
        <v>37695</v>
      </c>
      <c r="B10" s="101" t="s">
        <v>37745</v>
      </c>
      <c r="C10" s="101" t="s">
        <v>46</v>
      </c>
      <c r="D10" s="101" t="s">
        <v>37679</v>
      </c>
      <c r="E10" s="101" t="s">
        <v>37787</v>
      </c>
      <c r="F10" s="101" t="s">
        <v>91</v>
      </c>
      <c r="G10" s="101" t="s">
        <v>37788</v>
      </c>
      <c r="H10" s="101" t="s">
        <v>37789</v>
      </c>
      <c r="I10" s="101" t="s">
        <v>1</v>
      </c>
      <c r="J10" s="104" t="s">
        <v>11</v>
      </c>
      <c r="K10" s="101" t="s">
        <v>30109</v>
      </c>
      <c r="L10" s="101" t="s">
        <v>30025</v>
      </c>
      <c r="M10" s="101" t="s">
        <v>31087</v>
      </c>
      <c r="N10" s="101">
        <v>1820</v>
      </c>
      <c r="O10" s="100"/>
      <c r="R10" s="101">
        <v>12</v>
      </c>
    </row>
    <row r="11" spans="1:41" ht="15" customHeight="1" x14ac:dyDescent="0.2">
      <c r="A11" s="101" t="s">
        <v>37696</v>
      </c>
      <c r="B11" s="101" t="s">
        <v>37746</v>
      </c>
      <c r="C11" s="101" t="s">
        <v>46</v>
      </c>
      <c r="D11" s="101" t="s">
        <v>37679</v>
      </c>
      <c r="E11" s="101" t="s">
        <v>37787</v>
      </c>
      <c r="F11" s="101" t="s">
        <v>91</v>
      </c>
      <c r="G11" s="101" t="s">
        <v>37788</v>
      </c>
      <c r="H11" s="101" t="s">
        <v>37789</v>
      </c>
      <c r="I11" s="101" t="s">
        <v>1</v>
      </c>
      <c r="J11" s="104" t="s">
        <v>11</v>
      </c>
      <c r="K11" s="101" t="s">
        <v>30109</v>
      </c>
      <c r="L11" s="101" t="s">
        <v>30025</v>
      </c>
      <c r="M11" s="101" t="s">
        <v>31087</v>
      </c>
      <c r="N11" s="101">
        <v>1820</v>
      </c>
      <c r="O11" s="100"/>
      <c r="R11" s="101">
        <v>12</v>
      </c>
    </row>
    <row r="12" spans="1:41" ht="15" customHeight="1" x14ac:dyDescent="0.2">
      <c r="A12" s="101" t="s">
        <v>37697</v>
      </c>
      <c r="B12" s="101" t="s">
        <v>37747</v>
      </c>
      <c r="C12" s="101" t="s">
        <v>46</v>
      </c>
      <c r="D12" s="101" t="s">
        <v>37679</v>
      </c>
      <c r="E12" s="101" t="s">
        <v>37787</v>
      </c>
      <c r="F12" s="101" t="s">
        <v>91</v>
      </c>
      <c r="G12" s="101" t="s">
        <v>37788</v>
      </c>
      <c r="H12" s="101" t="s">
        <v>37789</v>
      </c>
      <c r="I12" s="101" t="s">
        <v>1</v>
      </c>
      <c r="J12" s="104" t="s">
        <v>11</v>
      </c>
      <c r="K12" s="101" t="s">
        <v>30109</v>
      </c>
      <c r="L12" s="101" t="s">
        <v>30025</v>
      </c>
      <c r="M12" s="101" t="s">
        <v>31087</v>
      </c>
      <c r="N12" s="101">
        <v>1820</v>
      </c>
      <c r="O12" s="100"/>
      <c r="R12" s="101">
        <v>12</v>
      </c>
    </row>
    <row r="13" spans="1:41" ht="15" customHeight="1" x14ac:dyDescent="0.2">
      <c r="A13" s="101" t="s">
        <v>37698</v>
      </c>
      <c r="B13" s="101" t="s">
        <v>37748</v>
      </c>
      <c r="C13" s="101" t="s">
        <v>46</v>
      </c>
      <c r="D13" s="101" t="s">
        <v>37679</v>
      </c>
      <c r="E13" s="101" t="s">
        <v>37787</v>
      </c>
      <c r="F13" s="101" t="s">
        <v>91</v>
      </c>
      <c r="G13" s="101" t="s">
        <v>37788</v>
      </c>
      <c r="H13" s="101" t="s">
        <v>37789</v>
      </c>
      <c r="I13" s="101" t="s">
        <v>1</v>
      </c>
      <c r="J13" s="104" t="s">
        <v>11</v>
      </c>
      <c r="K13" s="101" t="s">
        <v>30109</v>
      </c>
      <c r="L13" s="101" t="s">
        <v>30025</v>
      </c>
      <c r="M13" s="101" t="s">
        <v>31087</v>
      </c>
      <c r="N13" s="101">
        <v>1820</v>
      </c>
      <c r="O13" s="100"/>
      <c r="R13" s="101">
        <v>12</v>
      </c>
    </row>
    <row r="14" spans="1:41" ht="15" customHeight="1" x14ac:dyDescent="0.2">
      <c r="A14" s="101" t="s">
        <v>37699</v>
      </c>
      <c r="B14" s="101" t="s">
        <v>37749</v>
      </c>
      <c r="C14" s="101" t="s">
        <v>46</v>
      </c>
      <c r="D14" s="101" t="s">
        <v>37679</v>
      </c>
      <c r="E14" s="101" t="s">
        <v>37787</v>
      </c>
      <c r="F14" s="101" t="s">
        <v>91</v>
      </c>
      <c r="G14" s="101" t="s">
        <v>37788</v>
      </c>
      <c r="H14" s="101" t="s">
        <v>37789</v>
      </c>
      <c r="I14" s="101" t="s">
        <v>1</v>
      </c>
      <c r="J14" s="104" t="s">
        <v>11</v>
      </c>
      <c r="K14" s="101" t="s">
        <v>30109</v>
      </c>
      <c r="L14" s="101" t="s">
        <v>30025</v>
      </c>
      <c r="M14" s="101" t="s">
        <v>31087</v>
      </c>
      <c r="N14" s="101">
        <v>1820</v>
      </c>
      <c r="O14" s="100"/>
      <c r="R14" s="101">
        <v>12</v>
      </c>
    </row>
    <row r="15" spans="1:41" ht="15" customHeight="1" x14ac:dyDescent="0.2">
      <c r="A15" s="101" t="s">
        <v>37700</v>
      </c>
      <c r="B15" s="101" t="s">
        <v>37750</v>
      </c>
      <c r="C15" s="101" t="s">
        <v>46</v>
      </c>
      <c r="D15" s="101" t="s">
        <v>37679</v>
      </c>
      <c r="E15" s="101" t="s">
        <v>37787</v>
      </c>
      <c r="F15" s="101" t="s">
        <v>91</v>
      </c>
      <c r="G15" s="101" t="s">
        <v>37788</v>
      </c>
      <c r="H15" s="101" t="s">
        <v>37682</v>
      </c>
      <c r="I15" s="101" t="s">
        <v>174</v>
      </c>
      <c r="J15" s="104" t="s">
        <v>53</v>
      </c>
      <c r="K15" s="101" t="s">
        <v>282</v>
      </c>
      <c r="L15" s="101" t="s">
        <v>30025</v>
      </c>
      <c r="M15" s="101" t="s">
        <v>31087</v>
      </c>
      <c r="N15" s="101">
        <v>2184</v>
      </c>
      <c r="O15" s="100"/>
      <c r="R15" s="101">
        <v>3</v>
      </c>
    </row>
    <row r="16" spans="1:41" ht="15" customHeight="1" x14ac:dyDescent="0.2">
      <c r="A16" s="101" t="s">
        <v>37701</v>
      </c>
      <c r="B16" s="101" t="s">
        <v>37751</v>
      </c>
      <c r="C16" s="101" t="s">
        <v>46</v>
      </c>
      <c r="D16" s="101" t="s">
        <v>37679</v>
      </c>
      <c r="E16" s="101" t="s">
        <v>37787</v>
      </c>
      <c r="F16" s="101" t="s">
        <v>91</v>
      </c>
      <c r="G16" s="101" t="s">
        <v>37788</v>
      </c>
      <c r="H16" s="101" t="s">
        <v>37682</v>
      </c>
      <c r="I16" s="101" t="s">
        <v>1</v>
      </c>
      <c r="J16" s="104" t="s">
        <v>53</v>
      </c>
      <c r="K16" s="101" t="s">
        <v>282</v>
      </c>
      <c r="L16" s="101" t="s">
        <v>30025</v>
      </c>
      <c r="M16" s="101" t="s">
        <v>31087</v>
      </c>
      <c r="N16" s="101">
        <v>2184</v>
      </c>
      <c r="O16" s="100"/>
      <c r="R16" s="101">
        <v>3</v>
      </c>
    </row>
    <row r="17" spans="1:18" ht="15" customHeight="1" x14ac:dyDescent="0.2">
      <c r="A17" s="101" t="s">
        <v>37702</v>
      </c>
      <c r="B17" s="101" t="s">
        <v>37752</v>
      </c>
      <c r="C17" s="101" t="s">
        <v>46</v>
      </c>
      <c r="D17" s="101" t="s">
        <v>37679</v>
      </c>
      <c r="E17" s="101" t="s">
        <v>37787</v>
      </c>
      <c r="F17" s="101" t="s">
        <v>91</v>
      </c>
      <c r="G17" s="101" t="s">
        <v>37788</v>
      </c>
      <c r="H17" s="101" t="s">
        <v>37682</v>
      </c>
      <c r="I17" s="101" t="s">
        <v>174</v>
      </c>
      <c r="J17" s="104" t="s">
        <v>53</v>
      </c>
      <c r="K17" s="101" t="s">
        <v>282</v>
      </c>
      <c r="L17" s="101" t="s">
        <v>30025</v>
      </c>
      <c r="M17" s="101" t="s">
        <v>31087</v>
      </c>
      <c r="N17" s="101">
        <v>2184</v>
      </c>
      <c r="O17" s="100"/>
      <c r="R17" s="101">
        <v>3</v>
      </c>
    </row>
    <row r="18" spans="1:18" ht="15" customHeight="1" x14ac:dyDescent="0.2">
      <c r="A18" s="101" t="s">
        <v>37703</v>
      </c>
      <c r="B18" s="101" t="s">
        <v>37753</v>
      </c>
      <c r="C18" s="101" t="s">
        <v>46</v>
      </c>
      <c r="D18" s="101" t="s">
        <v>37679</v>
      </c>
      <c r="E18" s="101" t="s">
        <v>37787</v>
      </c>
      <c r="F18" s="101" t="s">
        <v>91</v>
      </c>
      <c r="G18" s="101" t="s">
        <v>37788</v>
      </c>
      <c r="H18" s="101" t="s">
        <v>37682</v>
      </c>
      <c r="I18" s="101" t="s">
        <v>174</v>
      </c>
      <c r="J18" s="104" t="s">
        <v>53</v>
      </c>
      <c r="K18" s="101" t="s">
        <v>282</v>
      </c>
      <c r="L18" s="101" t="s">
        <v>30025</v>
      </c>
      <c r="M18" s="101" t="s">
        <v>31087</v>
      </c>
      <c r="N18" s="101">
        <v>2184</v>
      </c>
      <c r="O18" s="100"/>
      <c r="R18" s="101">
        <v>3</v>
      </c>
    </row>
    <row r="19" spans="1:18" ht="15" customHeight="1" x14ac:dyDescent="0.2">
      <c r="A19" s="101" t="s">
        <v>37704</v>
      </c>
      <c r="B19" s="101" t="s">
        <v>37754</v>
      </c>
      <c r="C19" s="101" t="s">
        <v>46</v>
      </c>
      <c r="D19" s="101" t="s">
        <v>37679</v>
      </c>
      <c r="E19" s="101" t="s">
        <v>37787</v>
      </c>
      <c r="F19" s="101" t="s">
        <v>91</v>
      </c>
      <c r="G19" s="101" t="s">
        <v>37788</v>
      </c>
      <c r="H19" s="101" t="s">
        <v>37681</v>
      </c>
      <c r="I19" s="101" t="s">
        <v>37504</v>
      </c>
      <c r="J19" s="104" t="s">
        <v>53</v>
      </c>
      <c r="K19" s="101" t="s">
        <v>282</v>
      </c>
      <c r="L19" s="101" t="s">
        <v>30025</v>
      </c>
      <c r="M19" s="101" t="s">
        <v>31087</v>
      </c>
      <c r="N19" s="101">
        <v>2184</v>
      </c>
      <c r="O19" s="100"/>
      <c r="R19" s="101">
        <v>3</v>
      </c>
    </row>
    <row r="20" spans="1:18" ht="15" customHeight="1" x14ac:dyDescent="0.2">
      <c r="A20" s="101" t="s">
        <v>37705</v>
      </c>
      <c r="B20" s="101" t="s">
        <v>37755</v>
      </c>
      <c r="C20" s="101" t="s">
        <v>46</v>
      </c>
      <c r="D20" s="101" t="s">
        <v>37679</v>
      </c>
      <c r="E20" s="101" t="s">
        <v>37787</v>
      </c>
      <c r="F20" s="101" t="s">
        <v>91</v>
      </c>
      <c r="G20" s="101" t="s">
        <v>37788</v>
      </c>
      <c r="H20" s="101" t="s">
        <v>37682</v>
      </c>
      <c r="I20" s="101" t="s">
        <v>174</v>
      </c>
      <c r="J20" s="104" t="s">
        <v>53</v>
      </c>
      <c r="K20" s="101" t="s">
        <v>282</v>
      </c>
      <c r="L20" s="101" t="s">
        <v>30025</v>
      </c>
      <c r="M20" s="101" t="s">
        <v>31087</v>
      </c>
      <c r="N20" s="101">
        <v>2184</v>
      </c>
      <c r="O20" s="100"/>
      <c r="R20" s="101">
        <v>6</v>
      </c>
    </row>
    <row r="21" spans="1:18" ht="15" customHeight="1" x14ac:dyDescent="0.2">
      <c r="A21" s="101" t="s">
        <v>37706</v>
      </c>
      <c r="B21" s="101" t="s">
        <v>37756</v>
      </c>
      <c r="C21" s="101" t="s">
        <v>46</v>
      </c>
      <c r="D21" s="101" t="s">
        <v>37679</v>
      </c>
      <c r="E21" s="101" t="s">
        <v>37787</v>
      </c>
      <c r="F21" s="101" t="s">
        <v>91</v>
      </c>
      <c r="G21" s="101" t="s">
        <v>37788</v>
      </c>
      <c r="H21" s="101" t="s">
        <v>37682</v>
      </c>
      <c r="I21" s="101" t="s">
        <v>55</v>
      </c>
      <c r="J21" s="104" t="s">
        <v>53</v>
      </c>
      <c r="K21" s="101" t="s">
        <v>282</v>
      </c>
      <c r="L21" s="101" t="s">
        <v>30025</v>
      </c>
      <c r="M21" s="101" t="s">
        <v>31087</v>
      </c>
      <c r="N21" s="101">
        <v>2184</v>
      </c>
      <c r="O21" s="100"/>
      <c r="R21" s="101">
        <v>3</v>
      </c>
    </row>
    <row r="22" spans="1:18" ht="15" customHeight="1" x14ac:dyDescent="0.2">
      <c r="A22" s="101" t="s">
        <v>37707</v>
      </c>
      <c r="B22" s="101" t="s">
        <v>37757</v>
      </c>
      <c r="C22" s="101" t="s">
        <v>46</v>
      </c>
      <c r="D22" s="101" t="s">
        <v>37679</v>
      </c>
      <c r="E22" s="101" t="s">
        <v>37787</v>
      </c>
      <c r="F22" s="101" t="s">
        <v>91</v>
      </c>
      <c r="G22" s="101" t="s">
        <v>37788</v>
      </c>
      <c r="H22" s="101" t="s">
        <v>37682</v>
      </c>
      <c r="I22" s="101" t="s">
        <v>140</v>
      </c>
      <c r="J22" s="104" t="s">
        <v>53</v>
      </c>
      <c r="K22" s="101" t="s">
        <v>282</v>
      </c>
      <c r="L22" s="101" t="s">
        <v>30025</v>
      </c>
      <c r="M22" s="101" t="s">
        <v>31087</v>
      </c>
      <c r="N22" s="101">
        <v>2184</v>
      </c>
      <c r="O22" s="100"/>
      <c r="R22" s="101">
        <v>3</v>
      </c>
    </row>
    <row r="23" spans="1:18" ht="15" customHeight="1" x14ac:dyDescent="0.2">
      <c r="A23" s="101" t="s">
        <v>37708</v>
      </c>
      <c r="B23" s="101" t="s">
        <v>37758</v>
      </c>
      <c r="C23" s="101" t="s">
        <v>46</v>
      </c>
      <c r="D23" s="101" t="s">
        <v>37679</v>
      </c>
      <c r="E23" s="101" t="s">
        <v>37787</v>
      </c>
      <c r="F23" s="101" t="s">
        <v>91</v>
      </c>
      <c r="G23" s="101" t="s">
        <v>37788</v>
      </c>
      <c r="H23" s="101" t="s">
        <v>37790</v>
      </c>
      <c r="I23" s="101" t="s">
        <v>25410</v>
      </c>
      <c r="J23" s="104" t="s">
        <v>53</v>
      </c>
      <c r="K23" s="101" t="s">
        <v>282</v>
      </c>
      <c r="L23" s="101" t="s">
        <v>30025</v>
      </c>
      <c r="M23" s="101" t="s">
        <v>31087</v>
      </c>
      <c r="N23" s="101">
        <v>2184</v>
      </c>
      <c r="O23" s="100"/>
      <c r="R23" s="101">
        <v>3</v>
      </c>
    </row>
    <row r="24" spans="1:18" ht="15" customHeight="1" x14ac:dyDescent="0.2">
      <c r="A24" s="101" t="s">
        <v>37709</v>
      </c>
      <c r="B24" s="101" t="s">
        <v>37759</v>
      </c>
      <c r="C24" s="101" t="s">
        <v>46</v>
      </c>
      <c r="D24" s="101" t="s">
        <v>37679</v>
      </c>
      <c r="E24" s="101" t="s">
        <v>37787</v>
      </c>
      <c r="F24" s="101" t="s">
        <v>91</v>
      </c>
      <c r="G24" s="101" t="s">
        <v>37788</v>
      </c>
      <c r="H24" s="101" t="s">
        <v>37791</v>
      </c>
      <c r="I24" s="101" t="s">
        <v>25515</v>
      </c>
      <c r="J24" s="104" t="s">
        <v>53</v>
      </c>
      <c r="K24" s="101" t="s">
        <v>282</v>
      </c>
      <c r="L24" s="101" t="s">
        <v>30025</v>
      </c>
      <c r="M24" s="101" t="s">
        <v>31087</v>
      </c>
      <c r="N24" s="101">
        <v>2184</v>
      </c>
      <c r="O24" s="100"/>
      <c r="R24" s="101">
        <v>3</v>
      </c>
    </row>
    <row r="25" spans="1:18" ht="15" customHeight="1" x14ac:dyDescent="0.2">
      <c r="A25" s="101" t="s">
        <v>37710</v>
      </c>
      <c r="B25" s="101" t="s">
        <v>37760</v>
      </c>
      <c r="C25" s="101" t="s">
        <v>46</v>
      </c>
      <c r="D25" s="101" t="s">
        <v>37679</v>
      </c>
      <c r="E25" s="101" t="s">
        <v>37787</v>
      </c>
      <c r="F25" s="101" t="s">
        <v>91</v>
      </c>
      <c r="G25" s="101" t="s">
        <v>37788</v>
      </c>
      <c r="H25" s="101" t="s">
        <v>37682</v>
      </c>
      <c r="I25" s="101" t="s">
        <v>174</v>
      </c>
      <c r="J25" s="104" t="s">
        <v>53</v>
      </c>
      <c r="K25" s="101" t="s">
        <v>282</v>
      </c>
      <c r="L25" s="101" t="s">
        <v>30025</v>
      </c>
      <c r="M25" s="101" t="s">
        <v>31087</v>
      </c>
      <c r="N25" s="101">
        <v>2184</v>
      </c>
      <c r="O25" s="100"/>
      <c r="R25" s="101">
        <v>3</v>
      </c>
    </row>
    <row r="26" spans="1:18" ht="15" customHeight="1" x14ac:dyDescent="0.2">
      <c r="A26" s="101" t="s">
        <v>37711</v>
      </c>
      <c r="B26" s="101" t="s">
        <v>37761</v>
      </c>
      <c r="C26" s="101" t="s">
        <v>46</v>
      </c>
      <c r="D26" s="101" t="s">
        <v>37679</v>
      </c>
      <c r="E26" s="101" t="s">
        <v>37787</v>
      </c>
      <c r="F26" s="101" t="s">
        <v>91</v>
      </c>
      <c r="G26" s="101" t="s">
        <v>37788</v>
      </c>
      <c r="H26" s="101" t="s">
        <v>37682</v>
      </c>
      <c r="I26" s="101" t="s">
        <v>140</v>
      </c>
      <c r="J26" s="104" t="s">
        <v>53</v>
      </c>
      <c r="K26" s="101" t="s">
        <v>282</v>
      </c>
      <c r="L26" s="101" t="s">
        <v>30025</v>
      </c>
      <c r="M26" s="101" t="s">
        <v>31087</v>
      </c>
      <c r="N26" s="101">
        <v>2184</v>
      </c>
      <c r="O26" s="100"/>
      <c r="R26" s="101">
        <v>3</v>
      </c>
    </row>
    <row r="27" spans="1:18" ht="15" customHeight="1" x14ac:dyDescent="0.2">
      <c r="A27" s="101" t="s">
        <v>37712</v>
      </c>
      <c r="B27" s="101" t="s">
        <v>37762</v>
      </c>
      <c r="C27" s="101" t="s">
        <v>46</v>
      </c>
      <c r="D27" s="101" t="s">
        <v>37679</v>
      </c>
      <c r="E27" s="101" t="s">
        <v>37787</v>
      </c>
      <c r="F27" s="101" t="s">
        <v>91</v>
      </c>
      <c r="G27" s="101" t="s">
        <v>37788</v>
      </c>
      <c r="H27" s="101" t="s">
        <v>37682</v>
      </c>
      <c r="I27" s="101" t="s">
        <v>37518</v>
      </c>
      <c r="J27" s="104" t="s">
        <v>53</v>
      </c>
      <c r="K27" s="101" t="s">
        <v>282</v>
      </c>
      <c r="L27" s="101" t="s">
        <v>30025</v>
      </c>
      <c r="M27" s="101" t="s">
        <v>31087</v>
      </c>
      <c r="N27" s="101">
        <v>2184</v>
      </c>
      <c r="O27" s="100"/>
      <c r="R27" s="101">
        <v>3</v>
      </c>
    </row>
    <row r="28" spans="1:18" ht="15" customHeight="1" x14ac:dyDescent="0.2">
      <c r="A28" s="101" t="s">
        <v>37713</v>
      </c>
      <c r="B28" s="101" t="s">
        <v>37763</v>
      </c>
      <c r="C28" s="101" t="s">
        <v>46</v>
      </c>
      <c r="D28" s="101" t="s">
        <v>37679</v>
      </c>
      <c r="E28" s="101" t="s">
        <v>37787</v>
      </c>
      <c r="F28" s="101" t="s">
        <v>91</v>
      </c>
      <c r="G28" s="101" t="s">
        <v>37788</v>
      </c>
      <c r="H28" s="101" t="s">
        <v>37681</v>
      </c>
      <c r="I28" s="101" t="s">
        <v>25549</v>
      </c>
      <c r="J28" s="104" t="s">
        <v>53</v>
      </c>
      <c r="K28" s="101" t="s">
        <v>282</v>
      </c>
      <c r="L28" s="101" t="s">
        <v>30025</v>
      </c>
      <c r="M28" s="101" t="s">
        <v>31087</v>
      </c>
      <c r="N28" s="101">
        <v>2184</v>
      </c>
      <c r="O28" s="100"/>
      <c r="R28" s="101">
        <v>3</v>
      </c>
    </row>
    <row r="29" spans="1:18" ht="15" customHeight="1" x14ac:dyDescent="0.2">
      <c r="A29" s="101" t="s">
        <v>37714</v>
      </c>
      <c r="B29" s="101" t="s">
        <v>37764</v>
      </c>
      <c r="C29" s="101" t="s">
        <v>46</v>
      </c>
      <c r="D29" s="101" t="s">
        <v>37679</v>
      </c>
      <c r="E29" s="101" t="s">
        <v>37787</v>
      </c>
      <c r="F29" s="101" t="s">
        <v>91</v>
      </c>
      <c r="G29" s="101" t="s">
        <v>37788</v>
      </c>
      <c r="H29" s="101" t="s">
        <v>37682</v>
      </c>
      <c r="I29" s="101" t="s">
        <v>1</v>
      </c>
      <c r="J29" s="104" t="s">
        <v>53</v>
      </c>
      <c r="K29" s="101" t="s">
        <v>282</v>
      </c>
      <c r="L29" s="101" t="s">
        <v>30025</v>
      </c>
      <c r="M29" s="101" t="s">
        <v>31087</v>
      </c>
      <c r="N29" s="101">
        <v>2184</v>
      </c>
      <c r="O29" s="100"/>
      <c r="R29" s="101">
        <v>3</v>
      </c>
    </row>
    <row r="30" spans="1:18" ht="15" customHeight="1" x14ac:dyDescent="0.2">
      <c r="A30" s="101" t="s">
        <v>37715</v>
      </c>
      <c r="B30" s="101" t="s">
        <v>37765</v>
      </c>
      <c r="C30" s="101" t="s">
        <v>46</v>
      </c>
      <c r="D30" s="101" t="s">
        <v>37679</v>
      </c>
      <c r="E30" s="101" t="s">
        <v>37787</v>
      </c>
      <c r="F30" s="101" t="s">
        <v>91</v>
      </c>
      <c r="G30" s="101" t="s">
        <v>37788</v>
      </c>
      <c r="H30" s="101" t="s">
        <v>37791</v>
      </c>
      <c r="I30" s="101" t="s">
        <v>25520</v>
      </c>
      <c r="J30" s="104" t="s">
        <v>53</v>
      </c>
      <c r="K30" s="101" t="s">
        <v>282</v>
      </c>
      <c r="L30" s="101" t="s">
        <v>30025</v>
      </c>
      <c r="M30" s="101" t="s">
        <v>31087</v>
      </c>
      <c r="N30" s="101">
        <v>2184</v>
      </c>
      <c r="O30" s="100"/>
      <c r="R30" s="101">
        <v>3</v>
      </c>
    </row>
    <row r="31" spans="1:18" ht="15" customHeight="1" x14ac:dyDescent="0.2">
      <c r="A31" s="101" t="s">
        <v>37716</v>
      </c>
      <c r="B31" s="101" t="s">
        <v>37766</v>
      </c>
      <c r="C31" s="101" t="s">
        <v>46</v>
      </c>
      <c r="D31" s="101" t="s">
        <v>37679</v>
      </c>
      <c r="E31" s="101" t="s">
        <v>37787</v>
      </c>
      <c r="F31" s="101" t="s">
        <v>91</v>
      </c>
      <c r="G31" s="101" t="s">
        <v>37788</v>
      </c>
      <c r="H31" s="101" t="s">
        <v>37792</v>
      </c>
      <c r="I31" s="101" t="s">
        <v>37801</v>
      </c>
      <c r="J31" s="104" t="s">
        <v>53</v>
      </c>
      <c r="K31" s="101" t="s">
        <v>282</v>
      </c>
      <c r="L31" s="101" t="s">
        <v>30025</v>
      </c>
      <c r="M31" s="101" t="s">
        <v>31087</v>
      </c>
      <c r="N31" s="101">
        <v>2184</v>
      </c>
      <c r="O31" s="100"/>
      <c r="R31" s="101">
        <v>6</v>
      </c>
    </row>
    <row r="32" spans="1:18" ht="15" customHeight="1" x14ac:dyDescent="0.2">
      <c r="A32" s="101" t="s">
        <v>37717</v>
      </c>
      <c r="B32" s="101" t="s">
        <v>37767</v>
      </c>
      <c r="C32" s="101" t="s">
        <v>46</v>
      </c>
      <c r="D32" s="101" t="s">
        <v>37679</v>
      </c>
      <c r="E32" s="101" t="s">
        <v>37787</v>
      </c>
      <c r="F32" s="101" t="s">
        <v>91</v>
      </c>
      <c r="G32" s="101" t="s">
        <v>37788</v>
      </c>
      <c r="H32" s="101" t="s">
        <v>37681</v>
      </c>
      <c r="I32" s="101" t="s">
        <v>37504</v>
      </c>
      <c r="J32" s="104" t="s">
        <v>53</v>
      </c>
      <c r="K32" s="101" t="s">
        <v>282</v>
      </c>
      <c r="L32" s="101" t="s">
        <v>30025</v>
      </c>
      <c r="M32" s="101" t="s">
        <v>31087</v>
      </c>
      <c r="N32" s="101">
        <v>2184</v>
      </c>
      <c r="O32" s="100"/>
      <c r="R32" s="101">
        <v>12</v>
      </c>
    </row>
    <row r="33" spans="1:18" ht="15" customHeight="1" x14ac:dyDescent="0.2">
      <c r="A33" s="101" t="s">
        <v>37718</v>
      </c>
      <c r="B33" s="101" t="s">
        <v>37768</v>
      </c>
      <c r="C33" s="101" t="s">
        <v>46</v>
      </c>
      <c r="D33" s="101" t="s">
        <v>37679</v>
      </c>
      <c r="E33" s="101" t="s">
        <v>37787</v>
      </c>
      <c r="F33" s="101" t="s">
        <v>91</v>
      </c>
      <c r="G33" s="101" t="s">
        <v>37788</v>
      </c>
      <c r="H33" s="101" t="s">
        <v>37793</v>
      </c>
      <c r="I33" s="101" t="s">
        <v>133</v>
      </c>
      <c r="J33" s="104" t="s">
        <v>53</v>
      </c>
      <c r="K33" s="101" t="s">
        <v>282</v>
      </c>
      <c r="L33" s="101" t="s">
        <v>30025</v>
      </c>
      <c r="M33" s="101" t="s">
        <v>31087</v>
      </c>
      <c r="N33" s="101">
        <v>2184</v>
      </c>
      <c r="O33" s="100"/>
      <c r="R33" s="101">
        <v>3</v>
      </c>
    </row>
    <row r="34" spans="1:18" ht="15" customHeight="1" x14ac:dyDescent="0.2">
      <c r="A34" s="101" t="s">
        <v>37719</v>
      </c>
      <c r="B34" s="101" t="s">
        <v>37769</v>
      </c>
      <c r="C34" s="101" t="s">
        <v>46</v>
      </c>
      <c r="D34" s="101" t="s">
        <v>37679</v>
      </c>
      <c r="E34" s="101" t="s">
        <v>37787</v>
      </c>
      <c r="F34" s="101" t="s">
        <v>91</v>
      </c>
      <c r="G34" s="101" t="s">
        <v>37788</v>
      </c>
      <c r="H34" s="101" t="s">
        <v>37791</v>
      </c>
      <c r="I34" s="101" t="s">
        <v>25519</v>
      </c>
      <c r="J34" s="104" t="s">
        <v>53</v>
      </c>
      <c r="K34" s="101" t="s">
        <v>282</v>
      </c>
      <c r="L34" s="101" t="s">
        <v>30025</v>
      </c>
      <c r="M34" s="101" t="s">
        <v>31087</v>
      </c>
      <c r="N34" s="101">
        <v>2184</v>
      </c>
      <c r="O34" s="100"/>
      <c r="R34" s="101">
        <v>3</v>
      </c>
    </row>
    <row r="35" spans="1:18" ht="15" customHeight="1" x14ac:dyDescent="0.2">
      <c r="A35" s="101" t="s">
        <v>37720</v>
      </c>
      <c r="B35" s="101" t="s">
        <v>37770</v>
      </c>
      <c r="C35" s="101" t="s">
        <v>46</v>
      </c>
      <c r="D35" s="101" t="s">
        <v>37679</v>
      </c>
      <c r="E35" s="101" t="s">
        <v>37787</v>
      </c>
      <c r="F35" s="101" t="s">
        <v>91</v>
      </c>
      <c r="G35" s="101" t="s">
        <v>37788</v>
      </c>
      <c r="H35" s="101" t="s">
        <v>37792</v>
      </c>
      <c r="I35" s="101" t="s">
        <v>37644</v>
      </c>
      <c r="J35" s="104" t="s">
        <v>53</v>
      </c>
      <c r="K35" s="101" t="s">
        <v>282</v>
      </c>
      <c r="L35" s="101" t="s">
        <v>30025</v>
      </c>
      <c r="M35" s="101" t="s">
        <v>31087</v>
      </c>
      <c r="N35" s="101">
        <v>2184</v>
      </c>
      <c r="O35" s="100"/>
      <c r="R35" s="101">
        <v>3</v>
      </c>
    </row>
    <row r="36" spans="1:18" ht="15" customHeight="1" x14ac:dyDescent="0.2">
      <c r="A36" s="101" t="s">
        <v>37721</v>
      </c>
      <c r="B36" s="101" t="s">
        <v>37771</v>
      </c>
      <c r="C36" s="101" t="s">
        <v>46</v>
      </c>
      <c r="D36" s="101" t="s">
        <v>37679</v>
      </c>
      <c r="E36" s="101" t="s">
        <v>37787</v>
      </c>
      <c r="F36" s="101" t="s">
        <v>91</v>
      </c>
      <c r="G36" s="101" t="s">
        <v>37788</v>
      </c>
      <c r="H36" s="101" t="s">
        <v>37794</v>
      </c>
      <c r="I36" s="101" t="s">
        <v>1</v>
      </c>
      <c r="J36" s="104" t="s">
        <v>53</v>
      </c>
      <c r="K36" s="101" t="s">
        <v>282</v>
      </c>
      <c r="L36" s="101" t="s">
        <v>30025</v>
      </c>
      <c r="M36" s="101" t="s">
        <v>31087</v>
      </c>
      <c r="N36" s="101">
        <v>2184</v>
      </c>
      <c r="O36" s="100"/>
      <c r="R36" s="101">
        <v>27</v>
      </c>
    </row>
    <row r="37" spans="1:18" ht="15" customHeight="1" x14ac:dyDescent="0.2">
      <c r="A37" s="101" t="s">
        <v>37722</v>
      </c>
      <c r="B37" s="101" t="s">
        <v>37772</v>
      </c>
      <c r="C37" s="101" t="s">
        <v>46</v>
      </c>
      <c r="D37" s="101" t="s">
        <v>37679</v>
      </c>
      <c r="E37" s="101" t="s">
        <v>37787</v>
      </c>
      <c r="F37" s="101" t="s">
        <v>91</v>
      </c>
      <c r="G37" s="101" t="s">
        <v>37788</v>
      </c>
      <c r="H37" s="101" t="s">
        <v>37795</v>
      </c>
      <c r="I37" s="101" t="s">
        <v>28</v>
      </c>
      <c r="J37" s="104" t="s">
        <v>53</v>
      </c>
      <c r="K37" s="101" t="s">
        <v>282</v>
      </c>
      <c r="L37" s="101" t="s">
        <v>30025</v>
      </c>
      <c r="M37" s="101" t="s">
        <v>31087</v>
      </c>
      <c r="N37" s="101">
        <v>2184</v>
      </c>
      <c r="O37" s="100"/>
      <c r="R37" s="101">
        <v>15</v>
      </c>
    </row>
    <row r="38" spans="1:18" ht="15" customHeight="1" x14ac:dyDescent="0.2">
      <c r="A38" s="101" t="s">
        <v>37723</v>
      </c>
      <c r="B38" s="101" t="s">
        <v>37773</v>
      </c>
      <c r="C38" s="101" t="s">
        <v>46</v>
      </c>
      <c r="D38" s="101" t="s">
        <v>37679</v>
      </c>
      <c r="E38" s="101" t="s">
        <v>37787</v>
      </c>
      <c r="F38" s="101" t="s">
        <v>91</v>
      </c>
      <c r="G38" s="101" t="s">
        <v>37788</v>
      </c>
      <c r="H38" s="101" t="s">
        <v>37789</v>
      </c>
      <c r="I38" s="101" t="s">
        <v>1</v>
      </c>
      <c r="J38" s="104" t="s">
        <v>53</v>
      </c>
      <c r="K38" s="101" t="s">
        <v>282</v>
      </c>
      <c r="L38" s="101" t="s">
        <v>30025</v>
      </c>
      <c r="M38" s="101" t="s">
        <v>31087</v>
      </c>
      <c r="N38" s="101">
        <v>2184</v>
      </c>
      <c r="O38" s="100"/>
      <c r="R38" s="101">
        <v>12</v>
      </c>
    </row>
    <row r="39" spans="1:18" ht="15" customHeight="1" x14ac:dyDescent="0.2">
      <c r="A39" s="101" t="s">
        <v>37724</v>
      </c>
      <c r="B39" s="101" t="s">
        <v>37774</v>
      </c>
      <c r="C39" s="101" t="s">
        <v>46</v>
      </c>
      <c r="D39" s="101" t="s">
        <v>37679</v>
      </c>
      <c r="E39" s="101" t="s">
        <v>37787</v>
      </c>
      <c r="F39" s="101" t="s">
        <v>91</v>
      </c>
      <c r="G39" s="101" t="s">
        <v>37788</v>
      </c>
      <c r="H39" s="101" t="s">
        <v>37789</v>
      </c>
      <c r="I39" s="101" t="s">
        <v>1</v>
      </c>
      <c r="J39" s="104" t="s">
        <v>53</v>
      </c>
      <c r="K39" s="101" t="s">
        <v>282</v>
      </c>
      <c r="L39" s="101" t="s">
        <v>30025</v>
      </c>
      <c r="M39" s="101" t="s">
        <v>31087</v>
      </c>
      <c r="N39" s="101">
        <v>2184</v>
      </c>
      <c r="O39" s="100"/>
      <c r="R39" s="101">
        <v>18</v>
      </c>
    </row>
    <row r="40" spans="1:18" ht="15" customHeight="1" x14ac:dyDescent="0.2">
      <c r="A40" s="101" t="s">
        <v>37725</v>
      </c>
      <c r="B40" s="101" t="s">
        <v>37775</v>
      </c>
      <c r="C40" s="101" t="s">
        <v>46</v>
      </c>
      <c r="D40" s="101" t="s">
        <v>37679</v>
      </c>
      <c r="E40" s="101" t="s">
        <v>37787</v>
      </c>
      <c r="F40" s="101" t="s">
        <v>91</v>
      </c>
      <c r="G40" s="101" t="s">
        <v>37788</v>
      </c>
      <c r="H40" s="101" t="s">
        <v>37794</v>
      </c>
      <c r="I40" s="101" t="s">
        <v>1</v>
      </c>
      <c r="J40" s="104" t="s">
        <v>53</v>
      </c>
      <c r="K40" s="101" t="s">
        <v>282</v>
      </c>
      <c r="L40" s="101" t="s">
        <v>30025</v>
      </c>
      <c r="M40" s="101" t="s">
        <v>31087</v>
      </c>
      <c r="N40" s="101">
        <v>2184</v>
      </c>
      <c r="O40" s="100"/>
      <c r="R40" s="101">
        <v>27</v>
      </c>
    </row>
    <row r="41" spans="1:18" ht="15" customHeight="1" x14ac:dyDescent="0.2">
      <c r="A41" s="101" t="s">
        <v>37726</v>
      </c>
      <c r="B41" s="101" t="s">
        <v>37776</v>
      </c>
      <c r="C41" s="101" t="s">
        <v>46</v>
      </c>
      <c r="D41" s="101" t="s">
        <v>37679</v>
      </c>
      <c r="E41" s="101" t="s">
        <v>37787</v>
      </c>
      <c r="F41" s="101" t="s">
        <v>91</v>
      </c>
      <c r="G41" s="101" t="s">
        <v>37788</v>
      </c>
      <c r="H41" s="101" t="s">
        <v>37796</v>
      </c>
      <c r="I41" s="101" t="s">
        <v>25380</v>
      </c>
      <c r="J41" s="104" t="s">
        <v>11</v>
      </c>
      <c r="K41" s="101" t="s">
        <v>30109</v>
      </c>
      <c r="L41" s="101" t="s">
        <v>30025</v>
      </c>
      <c r="M41" s="101" t="s">
        <v>31087</v>
      </c>
      <c r="N41" s="101">
        <v>2184</v>
      </c>
      <c r="O41" s="100"/>
      <c r="R41" s="101">
        <v>15</v>
      </c>
    </row>
    <row r="42" spans="1:18" ht="15" customHeight="1" x14ac:dyDescent="0.2">
      <c r="A42" s="101" t="s">
        <v>37727</v>
      </c>
      <c r="B42" s="101" t="s">
        <v>37777</v>
      </c>
      <c r="C42" s="101" t="s">
        <v>46</v>
      </c>
      <c r="D42" s="101" t="s">
        <v>37679</v>
      </c>
      <c r="E42" s="101" t="s">
        <v>37787</v>
      </c>
      <c r="F42" s="101" t="s">
        <v>91</v>
      </c>
      <c r="G42" s="101" t="s">
        <v>37788</v>
      </c>
      <c r="H42" s="101" t="s">
        <v>37796</v>
      </c>
      <c r="I42" s="101" t="s">
        <v>37802</v>
      </c>
      <c r="J42" s="104" t="s">
        <v>11</v>
      </c>
      <c r="K42" s="101" t="s">
        <v>30109</v>
      </c>
      <c r="L42" s="101" t="s">
        <v>30025</v>
      </c>
      <c r="M42" s="101" t="s">
        <v>31087</v>
      </c>
      <c r="N42" s="101">
        <v>2184</v>
      </c>
      <c r="O42" s="100"/>
      <c r="R42" s="101">
        <v>15</v>
      </c>
    </row>
    <row r="43" spans="1:18" ht="15" customHeight="1" x14ac:dyDescent="0.2">
      <c r="A43" s="101" t="s">
        <v>37728</v>
      </c>
      <c r="B43" s="101" t="s">
        <v>37778</v>
      </c>
      <c r="C43" s="101" t="s">
        <v>46</v>
      </c>
      <c r="D43" s="101" t="s">
        <v>37679</v>
      </c>
      <c r="E43" s="101" t="s">
        <v>37787</v>
      </c>
      <c r="F43" s="101" t="s">
        <v>91</v>
      </c>
      <c r="G43" s="101" t="s">
        <v>37788</v>
      </c>
      <c r="H43" s="101" t="s">
        <v>37797</v>
      </c>
      <c r="I43" s="101" t="s">
        <v>25515</v>
      </c>
      <c r="J43" s="104" t="s">
        <v>11</v>
      </c>
      <c r="K43" s="101" t="s">
        <v>30109</v>
      </c>
      <c r="L43" s="101" t="s">
        <v>30025</v>
      </c>
      <c r="M43" s="101" t="s">
        <v>31087</v>
      </c>
      <c r="N43" s="101">
        <v>2184</v>
      </c>
      <c r="O43" s="100"/>
      <c r="R43" s="101">
        <v>18</v>
      </c>
    </row>
    <row r="44" spans="1:18" ht="15" customHeight="1" x14ac:dyDescent="0.2">
      <c r="A44" s="101" t="s">
        <v>37729</v>
      </c>
      <c r="B44" s="101" t="s">
        <v>37779</v>
      </c>
      <c r="C44" s="101" t="s">
        <v>46</v>
      </c>
      <c r="D44" s="101" t="s">
        <v>37679</v>
      </c>
      <c r="E44" s="101" t="s">
        <v>37787</v>
      </c>
      <c r="F44" s="101" t="s">
        <v>91</v>
      </c>
      <c r="G44" s="101" t="s">
        <v>37788</v>
      </c>
      <c r="H44" s="101" t="s">
        <v>37798</v>
      </c>
      <c r="I44" s="101" t="s">
        <v>37803</v>
      </c>
      <c r="J44" s="104" t="s">
        <v>11</v>
      </c>
      <c r="K44" s="101" t="s">
        <v>30109</v>
      </c>
      <c r="L44" s="101" t="s">
        <v>30025</v>
      </c>
      <c r="M44" s="101" t="s">
        <v>31087</v>
      </c>
      <c r="N44" s="101">
        <v>2184</v>
      </c>
      <c r="O44" s="100"/>
      <c r="R44" s="101">
        <v>27</v>
      </c>
    </row>
    <row r="45" spans="1:18" ht="15" customHeight="1" x14ac:dyDescent="0.2">
      <c r="A45" s="101" t="s">
        <v>37730</v>
      </c>
      <c r="B45" s="101" t="s">
        <v>37780</v>
      </c>
      <c r="C45" s="101" t="s">
        <v>46</v>
      </c>
      <c r="D45" s="101" t="s">
        <v>37679</v>
      </c>
      <c r="E45" s="101" t="s">
        <v>37787</v>
      </c>
      <c r="F45" s="101" t="s">
        <v>91</v>
      </c>
      <c r="G45" s="101" t="s">
        <v>37788</v>
      </c>
      <c r="H45" s="101" t="s">
        <v>37796</v>
      </c>
      <c r="I45" s="101" t="s">
        <v>37804</v>
      </c>
      <c r="J45" s="104" t="s">
        <v>11</v>
      </c>
      <c r="K45" s="101" t="s">
        <v>30109</v>
      </c>
      <c r="L45" s="101" t="s">
        <v>30025</v>
      </c>
      <c r="M45" s="101" t="s">
        <v>31087</v>
      </c>
      <c r="N45" s="101">
        <v>2184</v>
      </c>
      <c r="O45" s="100"/>
      <c r="R45" s="101">
        <v>15</v>
      </c>
    </row>
    <row r="46" spans="1:18" ht="15" customHeight="1" x14ac:dyDescent="0.2">
      <c r="A46" s="101" t="s">
        <v>37731</v>
      </c>
      <c r="B46" s="101" t="s">
        <v>37781</v>
      </c>
      <c r="C46" s="101" t="s">
        <v>46</v>
      </c>
      <c r="D46" s="101" t="s">
        <v>37679</v>
      </c>
      <c r="E46" s="101" t="s">
        <v>37787</v>
      </c>
      <c r="F46" s="101" t="s">
        <v>91</v>
      </c>
      <c r="G46" s="101" t="s">
        <v>37788</v>
      </c>
      <c r="H46" s="101" t="s">
        <v>37682</v>
      </c>
      <c r="I46" s="101" t="s">
        <v>174</v>
      </c>
      <c r="J46" s="104" t="s">
        <v>11</v>
      </c>
      <c r="K46" s="101" t="s">
        <v>30109</v>
      </c>
      <c r="L46" s="101" t="s">
        <v>30025</v>
      </c>
      <c r="M46" s="101" t="s">
        <v>31087</v>
      </c>
      <c r="N46" s="101">
        <v>2184</v>
      </c>
      <c r="O46" s="100"/>
      <c r="R46" s="101">
        <v>15</v>
      </c>
    </row>
    <row r="47" spans="1:18" ht="15" customHeight="1" x14ac:dyDescent="0.2">
      <c r="A47" s="101" t="s">
        <v>37732</v>
      </c>
      <c r="B47" s="101" t="s">
        <v>37782</v>
      </c>
      <c r="C47" s="101" t="s">
        <v>46</v>
      </c>
      <c r="D47" s="101" t="s">
        <v>37679</v>
      </c>
      <c r="E47" s="101" t="s">
        <v>37787</v>
      </c>
      <c r="F47" s="101" t="s">
        <v>91</v>
      </c>
      <c r="G47" s="101" t="s">
        <v>37788</v>
      </c>
      <c r="H47" s="101" t="s">
        <v>37797</v>
      </c>
      <c r="I47" s="101" t="s">
        <v>25520</v>
      </c>
      <c r="J47" s="104" t="s">
        <v>11</v>
      </c>
      <c r="K47" s="101" t="s">
        <v>30109</v>
      </c>
      <c r="L47" s="101" t="s">
        <v>30025</v>
      </c>
      <c r="M47" s="101" t="s">
        <v>31087</v>
      </c>
      <c r="N47" s="101">
        <v>2184</v>
      </c>
      <c r="O47" s="100"/>
      <c r="R47" s="101">
        <v>15</v>
      </c>
    </row>
    <row r="48" spans="1:18" ht="15" customHeight="1" x14ac:dyDescent="0.2">
      <c r="A48" s="101" t="s">
        <v>37733</v>
      </c>
      <c r="B48" s="101" t="s">
        <v>37783</v>
      </c>
      <c r="C48" s="101" t="s">
        <v>46</v>
      </c>
      <c r="D48" s="101" t="s">
        <v>37679</v>
      </c>
      <c r="E48" s="101" t="s">
        <v>37787</v>
      </c>
      <c r="F48" s="101" t="s">
        <v>91</v>
      </c>
      <c r="G48" s="101" t="s">
        <v>37788</v>
      </c>
      <c r="H48" s="101" t="s">
        <v>37799</v>
      </c>
      <c r="I48" s="101" t="s">
        <v>37805</v>
      </c>
      <c r="J48" s="104" t="s">
        <v>11</v>
      </c>
      <c r="K48" s="101" t="s">
        <v>30109</v>
      </c>
      <c r="L48" s="101" t="s">
        <v>30025</v>
      </c>
      <c r="M48" s="101" t="s">
        <v>31087</v>
      </c>
      <c r="N48" s="101">
        <v>2184</v>
      </c>
      <c r="O48" s="100"/>
      <c r="R48" s="101">
        <v>18</v>
      </c>
    </row>
    <row r="49" spans="1:18" ht="15" customHeight="1" x14ac:dyDescent="0.2">
      <c r="A49" s="101" t="s">
        <v>37734</v>
      </c>
      <c r="B49" s="101" t="s">
        <v>37784</v>
      </c>
      <c r="C49" s="101" t="s">
        <v>46</v>
      </c>
      <c r="D49" s="101" t="s">
        <v>37679</v>
      </c>
      <c r="E49" s="101" t="s">
        <v>37787</v>
      </c>
      <c r="F49" s="101" t="s">
        <v>91</v>
      </c>
      <c r="G49" s="101" t="s">
        <v>37788</v>
      </c>
      <c r="H49" s="101" t="s">
        <v>37798</v>
      </c>
      <c r="I49" s="101" t="s">
        <v>43</v>
      </c>
      <c r="J49" s="104" t="s">
        <v>11</v>
      </c>
      <c r="K49" s="101" t="s">
        <v>30109</v>
      </c>
      <c r="L49" s="101" t="s">
        <v>30025</v>
      </c>
      <c r="M49" s="101" t="s">
        <v>31087</v>
      </c>
      <c r="N49" s="101">
        <v>2184</v>
      </c>
      <c r="O49" s="100"/>
      <c r="R49" s="101">
        <v>15</v>
      </c>
    </row>
    <row r="50" spans="1:18" ht="15" customHeight="1" x14ac:dyDescent="0.2">
      <c r="A50" s="101" t="s">
        <v>37735</v>
      </c>
      <c r="B50" s="101" t="s">
        <v>37785</v>
      </c>
      <c r="C50" s="101" t="s">
        <v>46</v>
      </c>
      <c r="D50" s="101" t="s">
        <v>37679</v>
      </c>
      <c r="E50" s="101" t="s">
        <v>37787</v>
      </c>
      <c r="F50" s="101" t="s">
        <v>91</v>
      </c>
      <c r="G50" s="101" t="s">
        <v>37788</v>
      </c>
      <c r="H50" s="101" t="s">
        <v>37682</v>
      </c>
      <c r="I50" s="101" t="s">
        <v>174</v>
      </c>
      <c r="J50" s="104" t="s">
        <v>11</v>
      </c>
      <c r="K50" s="101" t="s">
        <v>30109</v>
      </c>
      <c r="L50" s="101" t="s">
        <v>30025</v>
      </c>
      <c r="M50" s="101" t="s">
        <v>31087</v>
      </c>
      <c r="N50" s="101">
        <v>2184</v>
      </c>
      <c r="O50" s="100"/>
      <c r="R50" s="101">
        <v>18</v>
      </c>
    </row>
    <row r="51" spans="1:18" ht="15" customHeight="1" x14ac:dyDescent="0.2">
      <c r="A51" s="101" t="s">
        <v>37736</v>
      </c>
      <c r="B51" s="101" t="s">
        <v>37786</v>
      </c>
      <c r="C51" s="101" t="s">
        <v>46</v>
      </c>
      <c r="D51" s="101" t="s">
        <v>37679</v>
      </c>
      <c r="E51" s="101" t="s">
        <v>37787</v>
      </c>
      <c r="F51" s="101" t="s">
        <v>91</v>
      </c>
      <c r="G51" s="101" t="s">
        <v>37788</v>
      </c>
      <c r="H51" s="101" t="s">
        <v>37800</v>
      </c>
      <c r="I51" s="101" t="s">
        <v>25454</v>
      </c>
      <c r="J51" s="104" t="s">
        <v>11</v>
      </c>
      <c r="K51" s="101" t="s">
        <v>30109</v>
      </c>
      <c r="L51" s="101" t="s">
        <v>30025</v>
      </c>
      <c r="M51" s="101" t="s">
        <v>31087</v>
      </c>
      <c r="N51" s="101">
        <v>2184</v>
      </c>
      <c r="O51" s="100"/>
      <c r="R51" s="101">
        <v>3</v>
      </c>
    </row>
    <row r="52" spans="1:18" ht="15" customHeight="1" x14ac:dyDescent="0.2">
      <c r="O52" s="100"/>
    </row>
    <row r="53" spans="1:18" ht="15" customHeight="1" x14ac:dyDescent="0.2">
      <c r="O53" s="100"/>
    </row>
    <row r="54" spans="1:18" ht="15" customHeight="1" x14ac:dyDescent="0.2">
      <c r="O54" s="100"/>
    </row>
    <row r="55" spans="1:18" ht="15" customHeight="1" x14ac:dyDescent="0.2">
      <c r="O55" s="100"/>
    </row>
    <row r="56" spans="1:18" ht="15" customHeight="1" x14ac:dyDescent="0.2">
      <c r="O56" s="100"/>
    </row>
    <row r="57" spans="1:18" ht="15" customHeight="1" x14ac:dyDescent="0.2">
      <c r="O57" s="100"/>
    </row>
    <row r="58" spans="1:18" ht="15" customHeight="1" x14ac:dyDescent="0.2">
      <c r="O58" s="100"/>
    </row>
    <row r="59" spans="1:18" ht="15" customHeight="1" x14ac:dyDescent="0.2">
      <c r="O59" s="100"/>
    </row>
    <row r="60" spans="1:18" ht="15" customHeight="1" x14ac:dyDescent="0.2">
      <c r="O60" s="100"/>
    </row>
    <row r="61" spans="1:18" ht="15" customHeight="1" x14ac:dyDescent="0.2">
      <c r="O61" s="100"/>
    </row>
    <row r="62" spans="1:18" ht="15" customHeight="1" x14ac:dyDescent="0.2">
      <c r="O62" s="100"/>
    </row>
    <row r="63" spans="1:18" ht="15" customHeight="1" x14ac:dyDescent="0.2">
      <c r="O63" s="100"/>
    </row>
    <row r="64" spans="1:18" ht="15" customHeight="1" x14ac:dyDescent="0.2">
      <c r="O64" s="100"/>
    </row>
    <row r="65" spans="15:15" ht="15" customHeight="1" x14ac:dyDescent="0.2">
      <c r="O65" s="100"/>
    </row>
    <row r="66" spans="15:15" ht="15" customHeight="1" x14ac:dyDescent="0.2">
      <c r="O66" s="100"/>
    </row>
    <row r="67" spans="15:15" ht="15" customHeight="1" x14ac:dyDescent="0.2">
      <c r="O67" s="100"/>
    </row>
    <row r="68" spans="15:15" ht="15" customHeight="1" x14ac:dyDescent="0.2">
      <c r="O68" s="100"/>
    </row>
    <row r="69" spans="15:15" ht="15" customHeight="1" x14ac:dyDescent="0.2">
      <c r="O69" s="100"/>
    </row>
    <row r="70" spans="15:15" ht="15" customHeight="1" x14ac:dyDescent="0.2">
      <c r="O70" s="100"/>
    </row>
    <row r="71" spans="15:15" ht="15" customHeight="1" x14ac:dyDescent="0.2">
      <c r="O71" s="100"/>
    </row>
    <row r="72" spans="15:15" ht="15" customHeight="1" x14ac:dyDescent="0.2">
      <c r="O72" s="100"/>
    </row>
    <row r="73" spans="15:15" ht="15" customHeight="1" x14ac:dyDescent="0.2">
      <c r="O73" s="100"/>
    </row>
    <row r="74" spans="15:15" ht="15" customHeight="1" x14ac:dyDescent="0.2">
      <c r="O74" s="100"/>
    </row>
    <row r="75" spans="15:15" ht="15" customHeight="1" x14ac:dyDescent="0.2">
      <c r="O75" s="100"/>
    </row>
    <row r="76" spans="15:15" ht="15" customHeight="1" x14ac:dyDescent="0.2">
      <c r="O76" s="100"/>
    </row>
    <row r="77" spans="15:15" ht="15" customHeight="1" x14ac:dyDescent="0.2">
      <c r="O77" s="100"/>
    </row>
    <row r="78" spans="15:15" ht="15" customHeight="1" x14ac:dyDescent="0.2">
      <c r="O78" s="100"/>
    </row>
    <row r="79" spans="15:15" ht="15" customHeight="1" x14ac:dyDescent="0.2">
      <c r="O79" s="100"/>
    </row>
    <row r="80" spans="15:15" ht="15" customHeight="1" x14ac:dyDescent="0.2">
      <c r="O80" s="100"/>
    </row>
    <row r="81" spans="15:15" ht="15" customHeight="1" x14ac:dyDescent="0.2">
      <c r="O81" s="100"/>
    </row>
    <row r="82" spans="15:15" ht="15" customHeight="1" x14ac:dyDescent="0.2">
      <c r="O82" s="100"/>
    </row>
    <row r="83" spans="15:15" ht="15" customHeight="1" x14ac:dyDescent="0.2">
      <c r="O83" s="100"/>
    </row>
    <row r="84" spans="15:15" ht="15" customHeight="1" x14ac:dyDescent="0.2">
      <c r="O84" s="100"/>
    </row>
    <row r="85" spans="15:15" ht="15" customHeight="1" x14ac:dyDescent="0.2">
      <c r="O85" s="100"/>
    </row>
    <row r="86" spans="15:15" ht="15" customHeight="1" x14ac:dyDescent="0.2">
      <c r="O86" s="100"/>
    </row>
    <row r="87" spans="15:15" ht="15" customHeight="1" x14ac:dyDescent="0.2">
      <c r="O87" s="100"/>
    </row>
    <row r="88" spans="15:15" ht="15" customHeight="1" x14ac:dyDescent="0.2">
      <c r="O88" s="100"/>
    </row>
    <row r="89" spans="15:15" ht="15" customHeight="1" x14ac:dyDescent="0.2">
      <c r="O89" s="100"/>
    </row>
    <row r="90" spans="15:15" ht="15" customHeight="1" x14ac:dyDescent="0.2">
      <c r="O90" s="100"/>
    </row>
    <row r="91" spans="15:15" ht="15" customHeight="1" x14ac:dyDescent="0.2">
      <c r="O91" s="100"/>
    </row>
    <row r="92" spans="15:15" ht="15" customHeight="1" x14ac:dyDescent="0.2">
      <c r="O92" s="100"/>
    </row>
    <row r="93" spans="15:15" ht="15" customHeight="1" x14ac:dyDescent="0.2">
      <c r="O93" s="100"/>
    </row>
    <row r="94" spans="15:15" ht="15" customHeight="1" x14ac:dyDescent="0.2">
      <c r="O94" s="100"/>
    </row>
    <row r="95" spans="15:15" ht="15" customHeight="1" x14ac:dyDescent="0.2">
      <c r="O95" s="100"/>
    </row>
    <row r="96" spans="15:15" ht="15" customHeight="1" x14ac:dyDescent="0.2">
      <c r="O96" s="100"/>
    </row>
    <row r="97" spans="15:15" ht="15" customHeight="1" x14ac:dyDescent="0.2">
      <c r="O97" s="100"/>
    </row>
    <row r="98" spans="15:15" ht="15" customHeight="1" x14ac:dyDescent="0.2">
      <c r="O98" s="100"/>
    </row>
    <row r="99" spans="15:15" ht="15" customHeight="1" x14ac:dyDescent="0.2">
      <c r="O99" s="100"/>
    </row>
    <row r="100" spans="15:15" ht="15" customHeight="1" x14ac:dyDescent="0.2">
      <c r="O100" s="100"/>
    </row>
    <row r="101" spans="15:15" ht="15" customHeight="1" x14ac:dyDescent="0.2">
      <c r="O101" s="100"/>
    </row>
    <row r="102" spans="15:15" ht="15" customHeight="1" x14ac:dyDescent="0.2">
      <c r="O102" s="100"/>
    </row>
    <row r="103" spans="15:15" ht="15" customHeight="1" x14ac:dyDescent="0.2">
      <c r="O103" s="100"/>
    </row>
    <row r="104" spans="15:15" ht="15" customHeight="1" x14ac:dyDescent="0.2">
      <c r="O104" s="100"/>
    </row>
    <row r="105" spans="15:15" ht="15" customHeight="1" x14ac:dyDescent="0.2">
      <c r="O105" s="100"/>
    </row>
    <row r="106" spans="15:15" ht="15" customHeight="1" x14ac:dyDescent="0.2">
      <c r="O106" s="100"/>
    </row>
    <row r="107" spans="15:15" ht="15" customHeight="1" x14ac:dyDescent="0.2">
      <c r="O107" s="100"/>
    </row>
    <row r="108" spans="15:15" ht="15" customHeight="1" x14ac:dyDescent="0.2">
      <c r="O108" s="100"/>
    </row>
    <row r="109" spans="15:15" ht="15" customHeight="1" x14ac:dyDescent="0.2">
      <c r="O109" s="100"/>
    </row>
    <row r="110" spans="15:15" ht="15" customHeight="1" x14ac:dyDescent="0.2">
      <c r="O110" s="100"/>
    </row>
    <row r="111" spans="15:15" ht="15" customHeight="1" x14ac:dyDescent="0.2">
      <c r="O111" s="100"/>
    </row>
    <row r="112" spans="15:15" ht="15" customHeight="1" x14ac:dyDescent="0.2">
      <c r="O112" s="100"/>
    </row>
    <row r="113" spans="15:15" ht="15" customHeight="1" x14ac:dyDescent="0.2">
      <c r="O113" s="100"/>
    </row>
    <row r="114" spans="15:15" ht="15" customHeight="1" x14ac:dyDescent="0.2">
      <c r="O114" s="100"/>
    </row>
    <row r="115" spans="15:15" ht="15" customHeight="1" x14ac:dyDescent="0.2">
      <c r="O115" s="100"/>
    </row>
    <row r="116" spans="15:15" ht="15" customHeight="1" x14ac:dyDescent="0.2">
      <c r="O116" s="100"/>
    </row>
    <row r="117" spans="15:15" ht="15" customHeight="1" x14ac:dyDescent="0.2">
      <c r="O117" s="100"/>
    </row>
    <row r="118" spans="15:15" ht="15" customHeight="1" x14ac:dyDescent="0.2">
      <c r="O118" s="100"/>
    </row>
    <row r="119" spans="15:15" ht="15" customHeight="1" x14ac:dyDescent="0.2">
      <c r="O119" s="100"/>
    </row>
    <row r="120" spans="15:15" ht="15" customHeight="1" x14ac:dyDescent="0.2">
      <c r="O120" s="100"/>
    </row>
    <row r="121" spans="15:15" ht="15" customHeight="1" x14ac:dyDescent="0.2">
      <c r="O121" s="100"/>
    </row>
    <row r="122" spans="15:15" ht="15" customHeight="1" x14ac:dyDescent="0.2">
      <c r="O122" s="100"/>
    </row>
    <row r="123" spans="15:15" ht="15" customHeight="1" x14ac:dyDescent="0.2">
      <c r="O123" s="100"/>
    </row>
    <row r="124" spans="15:15" ht="15" customHeight="1" x14ac:dyDescent="0.2">
      <c r="O124" s="100"/>
    </row>
    <row r="125" spans="15:15" ht="15" customHeight="1" x14ac:dyDescent="0.2">
      <c r="O125" s="100"/>
    </row>
    <row r="126" spans="15:15" ht="15" customHeight="1" x14ac:dyDescent="0.2">
      <c r="O126" s="100"/>
    </row>
    <row r="127" spans="15:15" ht="15" customHeight="1" x14ac:dyDescent="0.2">
      <c r="O127" s="100"/>
    </row>
    <row r="128" spans="15:15" ht="15" customHeight="1" x14ac:dyDescent="0.2">
      <c r="O128" s="100"/>
    </row>
    <row r="129" spans="15:15" ht="15" customHeight="1" x14ac:dyDescent="0.2">
      <c r="O129" s="100"/>
    </row>
    <row r="130" spans="15:15" ht="15" customHeight="1" x14ac:dyDescent="0.2">
      <c r="O130" s="100"/>
    </row>
    <row r="131" spans="15:15" ht="15" customHeight="1" x14ac:dyDescent="0.2">
      <c r="O131" s="100"/>
    </row>
    <row r="132" spans="15:15" ht="15" customHeight="1" x14ac:dyDescent="0.2">
      <c r="O132" s="100"/>
    </row>
    <row r="133" spans="15:15" ht="15" customHeight="1" x14ac:dyDescent="0.2">
      <c r="O133" s="100"/>
    </row>
    <row r="134" spans="15:15" ht="15" customHeight="1" x14ac:dyDescent="0.2">
      <c r="O134" s="100"/>
    </row>
    <row r="135" spans="15:15" ht="15" customHeight="1" x14ac:dyDescent="0.2">
      <c r="O135" s="100"/>
    </row>
    <row r="136" spans="15:15" ht="15" customHeight="1" x14ac:dyDescent="0.2">
      <c r="O136" s="100"/>
    </row>
    <row r="137" spans="15:15" ht="15" customHeight="1" x14ac:dyDescent="0.2">
      <c r="O137" s="100"/>
    </row>
    <row r="138" spans="15:15" ht="15" customHeight="1" x14ac:dyDescent="0.2">
      <c r="O138" s="100"/>
    </row>
    <row r="139" spans="15:15" ht="15" customHeight="1" x14ac:dyDescent="0.2">
      <c r="O139" s="100"/>
    </row>
    <row r="140" spans="15:15" ht="15" customHeight="1" x14ac:dyDescent="0.2">
      <c r="O140" s="100"/>
    </row>
    <row r="141" spans="15:15" ht="15" customHeight="1" x14ac:dyDescent="0.2">
      <c r="O141" s="100"/>
    </row>
    <row r="142" spans="15:15" ht="15" customHeight="1" x14ac:dyDescent="0.2">
      <c r="O142" s="100"/>
    </row>
    <row r="143" spans="15:15" ht="15" customHeight="1" x14ac:dyDescent="0.2">
      <c r="O143" s="100"/>
    </row>
    <row r="144" spans="15:15" ht="15" customHeight="1" x14ac:dyDescent="0.2">
      <c r="O144" s="100"/>
    </row>
    <row r="145" spans="15:15" ht="15" customHeight="1" x14ac:dyDescent="0.2">
      <c r="O145" s="100"/>
    </row>
    <row r="146" spans="15:15" ht="15" customHeight="1" x14ac:dyDescent="0.2">
      <c r="O146" s="100"/>
    </row>
    <row r="147" spans="15:15" ht="15" customHeight="1" x14ac:dyDescent="0.2">
      <c r="O147" s="100"/>
    </row>
    <row r="148" spans="15:15" ht="15" customHeight="1" x14ac:dyDescent="0.2">
      <c r="O148" s="100"/>
    </row>
    <row r="149" spans="15:15" ht="15" customHeight="1" x14ac:dyDescent="0.2">
      <c r="O149" s="100"/>
    </row>
    <row r="150" spans="15:15" ht="15" customHeight="1" x14ac:dyDescent="0.2">
      <c r="O150" s="100"/>
    </row>
    <row r="151" spans="15:15" ht="15" customHeight="1" x14ac:dyDescent="0.2">
      <c r="O151" s="100"/>
    </row>
    <row r="152" spans="15:15" ht="15" customHeight="1" x14ac:dyDescent="0.2">
      <c r="O152" s="100"/>
    </row>
    <row r="153" spans="15:15" ht="15" customHeight="1" x14ac:dyDescent="0.2">
      <c r="O153" s="100"/>
    </row>
    <row r="154" spans="15:15" ht="15" customHeight="1" x14ac:dyDescent="0.2">
      <c r="O154" s="100"/>
    </row>
    <row r="155" spans="15:15" ht="15" customHeight="1" x14ac:dyDescent="0.2">
      <c r="O155" s="100"/>
    </row>
    <row r="156" spans="15:15" ht="15" customHeight="1" x14ac:dyDescent="0.2">
      <c r="O156" s="100"/>
    </row>
    <row r="157" spans="15:15" ht="15" customHeight="1" x14ac:dyDescent="0.2">
      <c r="O157" s="100"/>
    </row>
    <row r="158" spans="15:15" ht="15" customHeight="1" x14ac:dyDescent="0.2">
      <c r="O158" s="100"/>
    </row>
    <row r="159" spans="15:15" ht="15" customHeight="1" x14ac:dyDescent="0.2">
      <c r="O159" s="100"/>
    </row>
    <row r="160" spans="15:15" ht="15" customHeight="1" x14ac:dyDescent="0.2">
      <c r="O160" s="100"/>
    </row>
    <row r="161" spans="15:15" ht="15" customHeight="1" x14ac:dyDescent="0.2">
      <c r="O161" s="100"/>
    </row>
    <row r="162" spans="15:15" ht="15" customHeight="1" x14ac:dyDescent="0.2">
      <c r="O162" s="100"/>
    </row>
    <row r="163" spans="15:15" ht="15" customHeight="1" x14ac:dyDescent="0.2">
      <c r="O163" s="100"/>
    </row>
    <row r="164" spans="15:15" ht="15" customHeight="1" x14ac:dyDescent="0.2">
      <c r="O164" s="100"/>
    </row>
    <row r="165" spans="15:15" ht="15" customHeight="1" x14ac:dyDescent="0.2">
      <c r="O165" s="100"/>
    </row>
    <row r="166" spans="15:15" ht="15" customHeight="1" x14ac:dyDescent="0.2">
      <c r="O166" s="100"/>
    </row>
    <row r="167" spans="15:15" ht="15" customHeight="1" x14ac:dyDescent="0.2">
      <c r="O167" s="100"/>
    </row>
    <row r="168" spans="15:15" ht="15" customHeight="1" x14ac:dyDescent="0.2">
      <c r="O168" s="100"/>
    </row>
    <row r="169" spans="15:15" ht="15" customHeight="1" x14ac:dyDescent="0.2">
      <c r="O169" s="100"/>
    </row>
    <row r="170" spans="15:15" ht="15" customHeight="1" x14ac:dyDescent="0.2">
      <c r="O170" s="100"/>
    </row>
    <row r="171" spans="15:15" ht="15" customHeight="1" x14ac:dyDescent="0.2">
      <c r="O171" s="100"/>
    </row>
    <row r="172" spans="15:15" ht="15" customHeight="1" x14ac:dyDescent="0.2">
      <c r="O172" s="100"/>
    </row>
    <row r="173" spans="15:15" ht="15" customHeight="1" x14ac:dyDescent="0.2">
      <c r="O173" s="100"/>
    </row>
    <row r="174" spans="15:15" ht="15" customHeight="1" x14ac:dyDescent="0.2">
      <c r="O174" s="100"/>
    </row>
    <row r="175" spans="15:15" ht="15" customHeight="1" x14ac:dyDescent="0.2">
      <c r="O175" s="100"/>
    </row>
    <row r="176" spans="15:15" ht="15" customHeight="1" x14ac:dyDescent="0.2">
      <c r="O176" s="100"/>
    </row>
    <row r="177" spans="15:15" ht="15" customHeight="1" x14ac:dyDescent="0.2">
      <c r="O177" s="100"/>
    </row>
    <row r="178" spans="15:15" ht="15" customHeight="1" x14ac:dyDescent="0.2">
      <c r="O178" s="100"/>
    </row>
    <row r="179" spans="15:15" ht="15" customHeight="1" x14ac:dyDescent="0.2">
      <c r="O179" s="100"/>
    </row>
    <row r="180" spans="15:15" ht="15" customHeight="1" x14ac:dyDescent="0.2">
      <c r="O180" s="100"/>
    </row>
    <row r="181" spans="15:15" ht="15" customHeight="1" x14ac:dyDescent="0.2">
      <c r="O181" s="100"/>
    </row>
    <row r="182" spans="15:15" ht="15" customHeight="1" x14ac:dyDescent="0.2">
      <c r="O182" s="100"/>
    </row>
    <row r="183" spans="15:15" ht="15" customHeight="1" x14ac:dyDescent="0.2">
      <c r="O183" s="100"/>
    </row>
    <row r="184" spans="15:15" ht="15" customHeight="1" x14ac:dyDescent="0.2">
      <c r="O184" s="100"/>
    </row>
    <row r="185" spans="15:15" ht="15" customHeight="1" x14ac:dyDescent="0.2">
      <c r="O185" s="100"/>
    </row>
    <row r="186" spans="15:15" ht="15" customHeight="1" x14ac:dyDescent="0.2">
      <c r="O186" s="100"/>
    </row>
    <row r="187" spans="15:15" ht="15" customHeight="1" x14ac:dyDescent="0.2">
      <c r="O187" s="100"/>
    </row>
    <row r="188" spans="15:15" ht="15" customHeight="1" x14ac:dyDescent="0.2">
      <c r="O188" s="100"/>
    </row>
    <row r="189" spans="15:15" ht="15" customHeight="1" x14ac:dyDescent="0.2">
      <c r="O189" s="100"/>
    </row>
    <row r="190" spans="15:15" ht="15" customHeight="1" x14ac:dyDescent="0.2">
      <c r="O190" s="100"/>
    </row>
    <row r="191" spans="15:15" ht="15" customHeight="1" x14ac:dyDescent="0.2">
      <c r="O191" s="100"/>
    </row>
    <row r="192" spans="15:15" ht="15" customHeight="1" x14ac:dyDescent="0.2">
      <c r="O192" s="100"/>
    </row>
    <row r="193" spans="15:15" ht="15" customHeight="1" x14ac:dyDescent="0.2">
      <c r="O193" s="100"/>
    </row>
    <row r="194" spans="15:15" ht="15" customHeight="1" x14ac:dyDescent="0.2">
      <c r="O194" s="100"/>
    </row>
    <row r="195" spans="15:15" ht="15" customHeight="1" x14ac:dyDescent="0.2">
      <c r="O195" s="100"/>
    </row>
    <row r="196" spans="15:15" ht="15" customHeight="1" x14ac:dyDescent="0.2">
      <c r="O196" s="100"/>
    </row>
    <row r="197" spans="15:15" ht="15" customHeight="1" x14ac:dyDescent="0.2">
      <c r="O197" s="100"/>
    </row>
    <row r="198" spans="15:15" ht="15" customHeight="1" x14ac:dyDescent="0.2">
      <c r="O198" s="100"/>
    </row>
    <row r="199" spans="15:15" ht="15" customHeight="1" x14ac:dyDescent="0.2">
      <c r="O199" s="100"/>
    </row>
    <row r="200" spans="15:15" ht="15" customHeight="1" x14ac:dyDescent="0.2">
      <c r="O200" s="100"/>
    </row>
    <row r="201" spans="15:15" ht="15" customHeight="1" x14ac:dyDescent="0.2">
      <c r="O201" s="100"/>
    </row>
    <row r="202" spans="15:15" ht="15" customHeight="1" x14ac:dyDescent="0.2">
      <c r="O202" s="100"/>
    </row>
    <row r="203" spans="15:15" ht="15" customHeight="1" x14ac:dyDescent="0.2">
      <c r="O203" s="100"/>
    </row>
    <row r="204" spans="15:15" ht="15" customHeight="1" x14ac:dyDescent="0.2">
      <c r="O204" s="100"/>
    </row>
    <row r="205" spans="15:15" ht="15" customHeight="1" x14ac:dyDescent="0.2">
      <c r="O205" s="100"/>
    </row>
    <row r="206" spans="15:15" ht="15" customHeight="1" x14ac:dyDescent="0.2">
      <c r="O206" s="100"/>
    </row>
    <row r="207" spans="15:15" ht="15" customHeight="1" x14ac:dyDescent="0.2">
      <c r="O207" s="100"/>
    </row>
    <row r="208" spans="15:15" ht="15" customHeight="1" x14ac:dyDescent="0.2">
      <c r="O208" s="100"/>
    </row>
    <row r="209" spans="15:15" ht="15" customHeight="1" x14ac:dyDescent="0.2">
      <c r="O209" s="100"/>
    </row>
    <row r="210" spans="15:15" ht="15" customHeight="1" x14ac:dyDescent="0.2">
      <c r="O210" s="100"/>
    </row>
    <row r="211" spans="15:15" ht="15" customHeight="1" x14ac:dyDescent="0.2">
      <c r="O211" s="100"/>
    </row>
    <row r="212" spans="15:15" ht="15" customHeight="1" x14ac:dyDescent="0.2">
      <c r="O212" s="100"/>
    </row>
    <row r="213" spans="15:15" ht="15" customHeight="1" x14ac:dyDescent="0.2">
      <c r="O213" s="100"/>
    </row>
    <row r="214" spans="15:15" ht="15" customHeight="1" x14ac:dyDescent="0.2">
      <c r="O214" s="100"/>
    </row>
    <row r="215" spans="15:15" ht="15" customHeight="1" x14ac:dyDescent="0.2">
      <c r="O215" s="100"/>
    </row>
    <row r="216" spans="15:15" ht="15" customHeight="1" x14ac:dyDescent="0.2">
      <c r="O216" s="100"/>
    </row>
    <row r="217" spans="15:15" ht="15" customHeight="1" x14ac:dyDescent="0.2">
      <c r="O217" s="100"/>
    </row>
    <row r="218" spans="15:15" ht="15" customHeight="1" x14ac:dyDescent="0.2">
      <c r="O218" s="100"/>
    </row>
    <row r="219" spans="15:15" ht="15" customHeight="1" x14ac:dyDescent="0.2">
      <c r="O219" s="100"/>
    </row>
    <row r="220" spans="15:15" ht="15" customHeight="1" x14ac:dyDescent="0.2">
      <c r="O220" s="100"/>
    </row>
    <row r="221" spans="15:15" ht="15" customHeight="1" x14ac:dyDescent="0.2">
      <c r="O221" s="100"/>
    </row>
    <row r="222" spans="15:15" ht="15" customHeight="1" x14ac:dyDescent="0.2">
      <c r="O222" s="100"/>
    </row>
    <row r="223" spans="15:15" ht="15" customHeight="1" x14ac:dyDescent="0.2">
      <c r="O223" s="100"/>
    </row>
    <row r="224" spans="15:15" ht="15" customHeight="1" x14ac:dyDescent="0.2">
      <c r="O224" s="100"/>
    </row>
    <row r="225" spans="15:15" ht="15" customHeight="1" x14ac:dyDescent="0.2">
      <c r="O225" s="100"/>
    </row>
    <row r="226" spans="15:15" ht="15" customHeight="1" x14ac:dyDescent="0.2">
      <c r="O226" s="100"/>
    </row>
    <row r="227" spans="15:15" ht="15" customHeight="1" x14ac:dyDescent="0.2">
      <c r="O227" s="100"/>
    </row>
    <row r="228" spans="15:15" ht="15" customHeight="1" x14ac:dyDescent="0.2">
      <c r="O228" s="100"/>
    </row>
    <row r="229" spans="15:15" ht="15" customHeight="1" x14ac:dyDescent="0.2">
      <c r="O229" s="100"/>
    </row>
    <row r="230" spans="15:15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51"/>
  <sheetViews>
    <sheetView workbookViewId="0">
      <pane ySplit="1" topLeftCell="A2" activePane="bottomLeft" state="frozen"/>
      <selection activeCell="C1" sqref="C1"/>
      <selection pane="bottomLeft" activeCell="B9" sqref="B9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37687</v>
      </c>
      <c r="B2" s="123" t="s">
        <v>37737</v>
      </c>
      <c r="C2" s="123" t="s">
        <v>46</v>
      </c>
      <c r="D2" s="123" t="s">
        <v>37679</v>
      </c>
      <c r="E2" s="123" t="s">
        <v>37787</v>
      </c>
      <c r="F2" s="123" t="s">
        <v>91</v>
      </c>
      <c r="G2" s="123" t="s">
        <v>37788</v>
      </c>
      <c r="H2" s="123" t="s">
        <v>37789</v>
      </c>
      <c r="I2" s="123" t="s">
        <v>1</v>
      </c>
      <c r="J2" s="123" t="s">
        <v>11</v>
      </c>
      <c r="K2" s="123" t="s">
        <v>30109</v>
      </c>
      <c r="L2" s="123" t="s">
        <v>30025</v>
      </c>
      <c r="M2" s="123" t="s">
        <v>31087</v>
      </c>
      <c r="N2" s="123">
        <v>1820</v>
      </c>
      <c r="P2" s="123" t="s">
        <v>25341</v>
      </c>
      <c r="Q2" s="123">
        <v>6</v>
      </c>
    </row>
    <row r="3" spans="1:17" x14ac:dyDescent="0.2">
      <c r="A3" s="123" t="s">
        <v>37688</v>
      </c>
      <c r="B3" s="123" t="s">
        <v>37738</v>
      </c>
      <c r="C3" s="123" t="s">
        <v>46</v>
      </c>
      <c r="D3" s="123" t="s">
        <v>37679</v>
      </c>
      <c r="E3" s="123" t="s">
        <v>37787</v>
      </c>
      <c r="F3" s="123" t="s">
        <v>91</v>
      </c>
      <c r="G3" s="123" t="s">
        <v>37788</v>
      </c>
      <c r="H3" s="123" t="s">
        <v>37789</v>
      </c>
      <c r="I3" s="123" t="s">
        <v>1</v>
      </c>
      <c r="J3" s="123" t="s">
        <v>11</v>
      </c>
      <c r="K3" s="123" t="s">
        <v>30109</v>
      </c>
      <c r="L3" s="123" t="s">
        <v>30025</v>
      </c>
      <c r="M3" s="123" t="s">
        <v>31087</v>
      </c>
      <c r="N3" s="123">
        <v>1820</v>
      </c>
      <c r="P3" s="123" t="s">
        <v>25341</v>
      </c>
      <c r="Q3" s="123">
        <v>6</v>
      </c>
    </row>
    <row r="4" spans="1:17" x14ac:dyDescent="0.2">
      <c r="A4" s="123" t="s">
        <v>37689</v>
      </c>
      <c r="B4" s="123" t="s">
        <v>37739</v>
      </c>
      <c r="C4" s="123" t="s">
        <v>46</v>
      </c>
      <c r="D4" s="123" t="s">
        <v>37679</v>
      </c>
      <c r="E4" s="123" t="s">
        <v>37787</v>
      </c>
      <c r="F4" s="123" t="s">
        <v>91</v>
      </c>
      <c r="G4" s="123" t="s">
        <v>37788</v>
      </c>
      <c r="H4" s="123" t="s">
        <v>37789</v>
      </c>
      <c r="I4" s="123" t="s">
        <v>1</v>
      </c>
      <c r="J4" s="123" t="s">
        <v>11</v>
      </c>
      <c r="K4" s="123" t="s">
        <v>30109</v>
      </c>
      <c r="L4" s="123" t="s">
        <v>30025</v>
      </c>
      <c r="M4" s="123" t="s">
        <v>31087</v>
      </c>
      <c r="N4" s="123">
        <v>1820</v>
      </c>
      <c r="P4" s="123" t="s">
        <v>25341</v>
      </c>
      <c r="Q4" s="123">
        <v>6</v>
      </c>
    </row>
    <row r="5" spans="1:17" x14ac:dyDescent="0.2">
      <c r="A5" s="123" t="s">
        <v>37690</v>
      </c>
      <c r="B5" s="123" t="s">
        <v>37740</v>
      </c>
      <c r="C5" s="123" t="s">
        <v>46</v>
      </c>
      <c r="D5" s="123" t="s">
        <v>37679</v>
      </c>
      <c r="E5" s="123" t="s">
        <v>37787</v>
      </c>
      <c r="F5" s="123" t="s">
        <v>91</v>
      </c>
      <c r="G5" s="123" t="s">
        <v>37788</v>
      </c>
      <c r="H5" s="123" t="s">
        <v>37789</v>
      </c>
      <c r="I5" s="123" t="s">
        <v>1</v>
      </c>
      <c r="J5" s="123" t="s">
        <v>11</v>
      </c>
      <c r="K5" s="123" t="s">
        <v>30109</v>
      </c>
      <c r="L5" s="123" t="s">
        <v>30025</v>
      </c>
      <c r="M5" s="123" t="s">
        <v>31087</v>
      </c>
      <c r="N5" s="123">
        <v>1820</v>
      </c>
      <c r="P5" s="123" t="s">
        <v>25341</v>
      </c>
      <c r="Q5" s="123">
        <v>6</v>
      </c>
    </row>
    <row r="6" spans="1:17" x14ac:dyDescent="0.2">
      <c r="A6" s="123" t="s">
        <v>37691</v>
      </c>
      <c r="B6" s="123" t="s">
        <v>37741</v>
      </c>
      <c r="C6" s="123" t="s">
        <v>46</v>
      </c>
      <c r="D6" s="123" t="s">
        <v>37679</v>
      </c>
      <c r="E6" s="123" t="s">
        <v>37787</v>
      </c>
      <c r="F6" s="123" t="s">
        <v>91</v>
      </c>
      <c r="G6" s="123" t="s">
        <v>37788</v>
      </c>
      <c r="H6" s="123" t="s">
        <v>37789</v>
      </c>
      <c r="I6" s="123" t="s">
        <v>1</v>
      </c>
      <c r="J6" s="123" t="s">
        <v>11</v>
      </c>
      <c r="K6" s="123" t="s">
        <v>30109</v>
      </c>
      <c r="L6" s="123" t="s">
        <v>30025</v>
      </c>
      <c r="M6" s="123" t="s">
        <v>31087</v>
      </c>
      <c r="N6" s="123">
        <v>1820</v>
      </c>
      <c r="P6" s="123" t="s">
        <v>25341</v>
      </c>
      <c r="Q6" s="123">
        <v>6</v>
      </c>
    </row>
    <row r="7" spans="1:17" x14ac:dyDescent="0.2">
      <c r="A7" s="123" t="s">
        <v>37692</v>
      </c>
      <c r="B7" s="123" t="s">
        <v>37742</v>
      </c>
      <c r="C7" s="123" t="s">
        <v>46</v>
      </c>
      <c r="D7" s="123" t="s">
        <v>37679</v>
      </c>
      <c r="E7" s="123" t="s">
        <v>37787</v>
      </c>
      <c r="F7" s="123" t="s">
        <v>91</v>
      </c>
      <c r="G7" s="123" t="s">
        <v>37788</v>
      </c>
      <c r="H7" s="123" t="s">
        <v>37789</v>
      </c>
      <c r="I7" s="123" t="s">
        <v>1</v>
      </c>
      <c r="J7" s="123" t="s">
        <v>11</v>
      </c>
      <c r="K7" s="123" t="s">
        <v>30109</v>
      </c>
      <c r="L7" s="123" t="s">
        <v>30025</v>
      </c>
      <c r="M7" s="123" t="s">
        <v>31087</v>
      </c>
      <c r="N7" s="123">
        <v>1820</v>
      </c>
      <c r="P7" s="123" t="s">
        <v>25341</v>
      </c>
      <c r="Q7" s="123">
        <v>6</v>
      </c>
    </row>
    <row r="8" spans="1:17" x14ac:dyDescent="0.2">
      <c r="A8" s="123" t="s">
        <v>37693</v>
      </c>
      <c r="B8" s="123" t="s">
        <v>37743</v>
      </c>
      <c r="C8" s="123" t="s">
        <v>46</v>
      </c>
      <c r="D8" s="123" t="s">
        <v>37679</v>
      </c>
      <c r="E8" s="123" t="s">
        <v>37787</v>
      </c>
      <c r="F8" s="123" t="s">
        <v>91</v>
      </c>
      <c r="G8" s="123" t="s">
        <v>37788</v>
      </c>
      <c r="H8" s="123" t="s">
        <v>37789</v>
      </c>
      <c r="I8" s="123" t="s">
        <v>1</v>
      </c>
      <c r="J8" s="123" t="s">
        <v>11</v>
      </c>
      <c r="K8" s="123" t="s">
        <v>30109</v>
      </c>
      <c r="L8" s="123" t="s">
        <v>30025</v>
      </c>
      <c r="M8" s="123" t="s">
        <v>31087</v>
      </c>
      <c r="N8" s="123">
        <v>1820</v>
      </c>
      <c r="P8" s="123" t="s">
        <v>25341</v>
      </c>
      <c r="Q8" s="123">
        <v>12</v>
      </c>
    </row>
    <row r="9" spans="1:17" x14ac:dyDescent="0.2">
      <c r="A9" s="123" t="s">
        <v>37694</v>
      </c>
      <c r="B9" s="123" t="s">
        <v>37744</v>
      </c>
      <c r="C9" s="123" t="s">
        <v>46</v>
      </c>
      <c r="D9" s="123" t="s">
        <v>37679</v>
      </c>
      <c r="E9" s="123" t="s">
        <v>37787</v>
      </c>
      <c r="F9" s="123" t="s">
        <v>91</v>
      </c>
      <c r="G9" s="123" t="s">
        <v>37788</v>
      </c>
      <c r="H9" s="123" t="s">
        <v>37789</v>
      </c>
      <c r="I9" s="123" t="s">
        <v>1</v>
      </c>
      <c r="J9" s="123" t="s">
        <v>11</v>
      </c>
      <c r="K9" s="123" t="s">
        <v>30109</v>
      </c>
      <c r="L9" s="123" t="s">
        <v>30025</v>
      </c>
      <c r="M9" s="123" t="s">
        <v>31087</v>
      </c>
      <c r="N9" s="123">
        <v>1820</v>
      </c>
      <c r="P9" s="123" t="s">
        <v>25341</v>
      </c>
      <c r="Q9" s="123">
        <v>12</v>
      </c>
    </row>
    <row r="10" spans="1:17" x14ac:dyDescent="0.2">
      <c r="A10" s="123" t="s">
        <v>37695</v>
      </c>
      <c r="B10" s="123" t="s">
        <v>37745</v>
      </c>
      <c r="C10" s="123" t="s">
        <v>46</v>
      </c>
      <c r="D10" s="123" t="s">
        <v>37679</v>
      </c>
      <c r="E10" s="123" t="s">
        <v>37787</v>
      </c>
      <c r="F10" s="123" t="s">
        <v>91</v>
      </c>
      <c r="G10" s="123" t="s">
        <v>37788</v>
      </c>
      <c r="H10" s="123" t="s">
        <v>37789</v>
      </c>
      <c r="I10" s="123" t="s">
        <v>1</v>
      </c>
      <c r="J10" s="123" t="s">
        <v>11</v>
      </c>
      <c r="K10" s="123" t="s">
        <v>30109</v>
      </c>
      <c r="L10" s="123" t="s">
        <v>30025</v>
      </c>
      <c r="M10" s="123" t="s">
        <v>31087</v>
      </c>
      <c r="N10" s="123">
        <v>1820</v>
      </c>
      <c r="P10" s="123" t="s">
        <v>25341</v>
      </c>
      <c r="Q10" s="123">
        <v>12</v>
      </c>
    </row>
    <row r="11" spans="1:17" x14ac:dyDescent="0.2">
      <c r="A11" s="123" t="s">
        <v>37696</v>
      </c>
      <c r="B11" s="123" t="s">
        <v>37746</v>
      </c>
      <c r="C11" s="123" t="s">
        <v>46</v>
      </c>
      <c r="D11" s="123" t="s">
        <v>37679</v>
      </c>
      <c r="E11" s="123" t="s">
        <v>37787</v>
      </c>
      <c r="F11" s="123" t="s">
        <v>91</v>
      </c>
      <c r="G11" s="123" t="s">
        <v>37788</v>
      </c>
      <c r="H11" s="123" t="s">
        <v>37789</v>
      </c>
      <c r="I11" s="123" t="s">
        <v>1</v>
      </c>
      <c r="J11" s="123" t="s">
        <v>11</v>
      </c>
      <c r="K11" s="123" t="s">
        <v>30109</v>
      </c>
      <c r="L11" s="123" t="s">
        <v>30025</v>
      </c>
      <c r="M11" s="123" t="s">
        <v>31087</v>
      </c>
      <c r="N11" s="123">
        <v>1820</v>
      </c>
      <c r="P11" s="123" t="s">
        <v>25341</v>
      </c>
      <c r="Q11" s="123">
        <v>12</v>
      </c>
    </row>
    <row r="12" spans="1:17" x14ac:dyDescent="0.2">
      <c r="A12" s="123" t="s">
        <v>37697</v>
      </c>
      <c r="B12" s="123" t="s">
        <v>37747</v>
      </c>
      <c r="C12" s="123" t="s">
        <v>46</v>
      </c>
      <c r="D12" s="123" t="s">
        <v>37679</v>
      </c>
      <c r="E12" s="123" t="s">
        <v>37787</v>
      </c>
      <c r="F12" s="123" t="s">
        <v>91</v>
      </c>
      <c r="G12" s="123" t="s">
        <v>37788</v>
      </c>
      <c r="H12" s="123" t="s">
        <v>37789</v>
      </c>
      <c r="I12" s="123" t="s">
        <v>1</v>
      </c>
      <c r="J12" s="123" t="s">
        <v>11</v>
      </c>
      <c r="K12" s="123" t="s">
        <v>30109</v>
      </c>
      <c r="L12" s="123" t="s">
        <v>30025</v>
      </c>
      <c r="M12" s="123" t="s">
        <v>31087</v>
      </c>
      <c r="N12" s="123">
        <v>1820</v>
      </c>
      <c r="P12" s="123" t="s">
        <v>25341</v>
      </c>
      <c r="Q12" s="123">
        <v>12</v>
      </c>
    </row>
    <row r="13" spans="1:17" x14ac:dyDescent="0.2">
      <c r="A13" s="123" t="s">
        <v>37698</v>
      </c>
      <c r="B13" s="123" t="s">
        <v>37748</v>
      </c>
      <c r="C13" s="123" t="s">
        <v>46</v>
      </c>
      <c r="D13" s="123" t="s">
        <v>37679</v>
      </c>
      <c r="E13" s="123" t="s">
        <v>37787</v>
      </c>
      <c r="F13" s="123" t="s">
        <v>91</v>
      </c>
      <c r="G13" s="123" t="s">
        <v>37788</v>
      </c>
      <c r="H13" s="123" t="s">
        <v>37789</v>
      </c>
      <c r="I13" s="123" t="s">
        <v>1</v>
      </c>
      <c r="J13" s="123" t="s">
        <v>11</v>
      </c>
      <c r="K13" s="123" t="s">
        <v>30109</v>
      </c>
      <c r="L13" s="123" t="s">
        <v>30025</v>
      </c>
      <c r="M13" s="123" t="s">
        <v>31087</v>
      </c>
      <c r="N13" s="123">
        <v>1820</v>
      </c>
      <c r="P13" s="123" t="s">
        <v>25341</v>
      </c>
      <c r="Q13" s="123">
        <v>12</v>
      </c>
    </row>
    <row r="14" spans="1:17" x14ac:dyDescent="0.2">
      <c r="A14" s="123" t="s">
        <v>37699</v>
      </c>
      <c r="B14" s="123" t="s">
        <v>37749</v>
      </c>
      <c r="C14" s="123" t="s">
        <v>46</v>
      </c>
      <c r="D14" s="123" t="s">
        <v>37679</v>
      </c>
      <c r="E14" s="123" t="s">
        <v>37787</v>
      </c>
      <c r="F14" s="123" t="s">
        <v>91</v>
      </c>
      <c r="G14" s="123" t="s">
        <v>37788</v>
      </c>
      <c r="H14" s="123" t="s">
        <v>37789</v>
      </c>
      <c r="I14" s="123" t="s">
        <v>1</v>
      </c>
      <c r="J14" s="123" t="s">
        <v>11</v>
      </c>
      <c r="K14" s="123" t="s">
        <v>30109</v>
      </c>
      <c r="L14" s="123" t="s">
        <v>30025</v>
      </c>
      <c r="M14" s="123" t="s">
        <v>31087</v>
      </c>
      <c r="N14" s="123">
        <v>1820</v>
      </c>
      <c r="P14" s="123" t="s">
        <v>25341</v>
      </c>
      <c r="Q14" s="123">
        <v>12</v>
      </c>
    </row>
    <row r="15" spans="1:17" x14ac:dyDescent="0.2">
      <c r="A15" s="123" t="s">
        <v>37700</v>
      </c>
      <c r="B15" s="123" t="s">
        <v>37750</v>
      </c>
      <c r="C15" s="123" t="s">
        <v>46</v>
      </c>
      <c r="D15" s="123" t="s">
        <v>37679</v>
      </c>
      <c r="E15" s="123" t="s">
        <v>37787</v>
      </c>
      <c r="F15" s="123" t="s">
        <v>91</v>
      </c>
      <c r="G15" s="123" t="s">
        <v>37788</v>
      </c>
      <c r="H15" s="123" t="s">
        <v>37682</v>
      </c>
      <c r="I15" s="123" t="s">
        <v>174</v>
      </c>
      <c r="J15" s="123" t="s">
        <v>53</v>
      </c>
      <c r="K15" s="123" t="s">
        <v>282</v>
      </c>
      <c r="L15" s="123" t="s">
        <v>30025</v>
      </c>
      <c r="M15" s="123" t="s">
        <v>31087</v>
      </c>
      <c r="N15" s="123">
        <v>2184</v>
      </c>
      <c r="P15" s="123" t="s">
        <v>25341</v>
      </c>
      <c r="Q15" s="123">
        <v>3</v>
      </c>
    </row>
    <row r="16" spans="1:17" x14ac:dyDescent="0.2">
      <c r="A16" s="123" t="s">
        <v>37701</v>
      </c>
      <c r="B16" s="123" t="s">
        <v>37751</v>
      </c>
      <c r="C16" s="123" t="s">
        <v>46</v>
      </c>
      <c r="D16" s="123" t="s">
        <v>37679</v>
      </c>
      <c r="E16" s="123" t="s">
        <v>37787</v>
      </c>
      <c r="F16" s="123" t="s">
        <v>91</v>
      </c>
      <c r="G16" s="123" t="s">
        <v>37788</v>
      </c>
      <c r="H16" s="123" t="s">
        <v>37682</v>
      </c>
      <c r="I16" s="123" t="s">
        <v>1</v>
      </c>
      <c r="J16" s="123" t="s">
        <v>53</v>
      </c>
      <c r="K16" s="123" t="s">
        <v>282</v>
      </c>
      <c r="L16" s="123" t="s">
        <v>30025</v>
      </c>
      <c r="M16" s="123" t="s">
        <v>31087</v>
      </c>
      <c r="N16" s="123">
        <v>2184</v>
      </c>
      <c r="P16" s="123" t="s">
        <v>25341</v>
      </c>
      <c r="Q16" s="123">
        <v>3</v>
      </c>
    </row>
    <row r="17" spans="1:17" x14ac:dyDescent="0.2">
      <c r="A17" s="123" t="s">
        <v>37702</v>
      </c>
      <c r="B17" s="123" t="s">
        <v>37752</v>
      </c>
      <c r="C17" s="123" t="s">
        <v>46</v>
      </c>
      <c r="D17" s="123" t="s">
        <v>37679</v>
      </c>
      <c r="E17" s="123" t="s">
        <v>37787</v>
      </c>
      <c r="F17" s="123" t="s">
        <v>91</v>
      </c>
      <c r="G17" s="123" t="s">
        <v>37788</v>
      </c>
      <c r="H17" s="123" t="s">
        <v>37682</v>
      </c>
      <c r="I17" s="123" t="s">
        <v>174</v>
      </c>
      <c r="J17" s="123" t="s">
        <v>53</v>
      </c>
      <c r="K17" s="123" t="s">
        <v>282</v>
      </c>
      <c r="L17" s="123" t="s">
        <v>30025</v>
      </c>
      <c r="M17" s="123" t="s">
        <v>31087</v>
      </c>
      <c r="N17" s="123">
        <v>2184</v>
      </c>
      <c r="P17" s="123" t="s">
        <v>25341</v>
      </c>
      <c r="Q17" s="123">
        <v>3</v>
      </c>
    </row>
    <row r="18" spans="1:17" x14ac:dyDescent="0.2">
      <c r="A18" s="123" t="s">
        <v>37703</v>
      </c>
      <c r="B18" s="123" t="s">
        <v>37753</v>
      </c>
      <c r="C18" s="123" t="s">
        <v>46</v>
      </c>
      <c r="D18" s="123" t="s">
        <v>37679</v>
      </c>
      <c r="E18" s="123" t="s">
        <v>37787</v>
      </c>
      <c r="F18" s="123" t="s">
        <v>91</v>
      </c>
      <c r="G18" s="123" t="s">
        <v>37788</v>
      </c>
      <c r="H18" s="123" t="s">
        <v>37682</v>
      </c>
      <c r="I18" s="123" t="s">
        <v>174</v>
      </c>
      <c r="J18" s="123" t="s">
        <v>53</v>
      </c>
      <c r="K18" s="123" t="s">
        <v>282</v>
      </c>
      <c r="L18" s="123" t="s">
        <v>30025</v>
      </c>
      <c r="M18" s="123" t="s">
        <v>31087</v>
      </c>
      <c r="N18" s="123">
        <v>2184</v>
      </c>
      <c r="P18" s="123" t="s">
        <v>25341</v>
      </c>
      <c r="Q18" s="123">
        <v>3</v>
      </c>
    </row>
    <row r="19" spans="1:17" x14ac:dyDescent="0.2">
      <c r="A19" s="123" t="s">
        <v>37704</v>
      </c>
      <c r="B19" s="123" t="s">
        <v>37754</v>
      </c>
      <c r="C19" s="123" t="s">
        <v>46</v>
      </c>
      <c r="D19" s="123" t="s">
        <v>37679</v>
      </c>
      <c r="E19" s="123" t="s">
        <v>37787</v>
      </c>
      <c r="F19" s="123" t="s">
        <v>91</v>
      </c>
      <c r="G19" s="123" t="s">
        <v>37788</v>
      </c>
      <c r="H19" s="123" t="s">
        <v>37681</v>
      </c>
      <c r="I19" s="123" t="s">
        <v>37504</v>
      </c>
      <c r="J19" s="123" t="s">
        <v>53</v>
      </c>
      <c r="K19" s="123" t="s">
        <v>282</v>
      </c>
      <c r="L19" s="123" t="s">
        <v>30025</v>
      </c>
      <c r="M19" s="123" t="s">
        <v>31087</v>
      </c>
      <c r="N19" s="123">
        <v>2184</v>
      </c>
      <c r="P19" s="123" t="s">
        <v>25341</v>
      </c>
      <c r="Q19" s="123">
        <v>3</v>
      </c>
    </row>
    <row r="20" spans="1:17" x14ac:dyDescent="0.2">
      <c r="A20" s="123" t="s">
        <v>37705</v>
      </c>
      <c r="B20" s="123" t="s">
        <v>37755</v>
      </c>
      <c r="C20" s="123" t="s">
        <v>46</v>
      </c>
      <c r="D20" s="123" t="s">
        <v>37679</v>
      </c>
      <c r="E20" s="123" t="s">
        <v>37787</v>
      </c>
      <c r="F20" s="123" t="s">
        <v>91</v>
      </c>
      <c r="G20" s="123" t="s">
        <v>37788</v>
      </c>
      <c r="H20" s="123" t="s">
        <v>37682</v>
      </c>
      <c r="I20" s="123" t="s">
        <v>174</v>
      </c>
      <c r="J20" s="123" t="s">
        <v>53</v>
      </c>
      <c r="K20" s="123" t="s">
        <v>282</v>
      </c>
      <c r="L20" s="123" t="s">
        <v>30025</v>
      </c>
      <c r="M20" s="123" t="s">
        <v>31087</v>
      </c>
      <c r="N20" s="123">
        <v>2184</v>
      </c>
      <c r="P20" s="123" t="s">
        <v>25341</v>
      </c>
      <c r="Q20" s="123">
        <v>6</v>
      </c>
    </row>
    <row r="21" spans="1:17" x14ac:dyDescent="0.2">
      <c r="A21" s="123" t="s">
        <v>37706</v>
      </c>
      <c r="B21" s="123" t="s">
        <v>37756</v>
      </c>
      <c r="C21" s="123" t="s">
        <v>46</v>
      </c>
      <c r="D21" s="123" t="s">
        <v>37679</v>
      </c>
      <c r="E21" s="123" t="s">
        <v>37787</v>
      </c>
      <c r="F21" s="123" t="s">
        <v>91</v>
      </c>
      <c r="G21" s="123" t="s">
        <v>37788</v>
      </c>
      <c r="H21" s="123" t="s">
        <v>37682</v>
      </c>
      <c r="I21" s="123" t="s">
        <v>55</v>
      </c>
      <c r="J21" s="123" t="s">
        <v>53</v>
      </c>
      <c r="K21" s="123" t="s">
        <v>282</v>
      </c>
      <c r="L21" s="123" t="s">
        <v>30025</v>
      </c>
      <c r="M21" s="123" t="s">
        <v>31087</v>
      </c>
      <c r="N21" s="123">
        <v>2184</v>
      </c>
      <c r="P21" s="123" t="s">
        <v>25341</v>
      </c>
      <c r="Q21" s="123">
        <v>3</v>
      </c>
    </row>
    <row r="22" spans="1:17" x14ac:dyDescent="0.2">
      <c r="A22" s="123" t="s">
        <v>37707</v>
      </c>
      <c r="B22" s="123" t="s">
        <v>37757</v>
      </c>
      <c r="C22" s="123" t="s">
        <v>46</v>
      </c>
      <c r="D22" s="123" t="s">
        <v>37679</v>
      </c>
      <c r="E22" s="123" t="s">
        <v>37787</v>
      </c>
      <c r="F22" s="123" t="s">
        <v>91</v>
      </c>
      <c r="G22" s="123" t="s">
        <v>37788</v>
      </c>
      <c r="H22" s="123" t="s">
        <v>37682</v>
      </c>
      <c r="I22" s="123" t="s">
        <v>140</v>
      </c>
      <c r="J22" s="123" t="s">
        <v>53</v>
      </c>
      <c r="K22" s="123" t="s">
        <v>282</v>
      </c>
      <c r="L22" s="123" t="s">
        <v>30025</v>
      </c>
      <c r="M22" s="123" t="s">
        <v>31087</v>
      </c>
      <c r="N22" s="123">
        <v>2184</v>
      </c>
      <c r="P22" s="123" t="s">
        <v>25341</v>
      </c>
      <c r="Q22" s="123">
        <v>3</v>
      </c>
    </row>
    <row r="23" spans="1:17" x14ac:dyDescent="0.2">
      <c r="A23" s="123" t="s">
        <v>37708</v>
      </c>
      <c r="B23" s="123" t="s">
        <v>37758</v>
      </c>
      <c r="C23" s="123" t="s">
        <v>46</v>
      </c>
      <c r="D23" s="123" t="s">
        <v>37679</v>
      </c>
      <c r="E23" s="123" t="s">
        <v>37787</v>
      </c>
      <c r="F23" s="123" t="s">
        <v>91</v>
      </c>
      <c r="G23" s="123" t="s">
        <v>37788</v>
      </c>
      <c r="H23" s="123" t="s">
        <v>37790</v>
      </c>
      <c r="I23" s="123" t="s">
        <v>25410</v>
      </c>
      <c r="J23" s="123" t="s">
        <v>53</v>
      </c>
      <c r="K23" s="123" t="s">
        <v>282</v>
      </c>
      <c r="L23" s="123" t="s">
        <v>30025</v>
      </c>
      <c r="M23" s="123" t="s">
        <v>31087</v>
      </c>
      <c r="N23" s="123">
        <v>2184</v>
      </c>
      <c r="P23" s="123" t="s">
        <v>25341</v>
      </c>
      <c r="Q23" s="123">
        <v>3</v>
      </c>
    </row>
    <row r="24" spans="1:17" x14ac:dyDescent="0.2">
      <c r="A24" s="123" t="s">
        <v>37709</v>
      </c>
      <c r="B24" s="123" t="s">
        <v>37759</v>
      </c>
      <c r="C24" s="123" t="s">
        <v>46</v>
      </c>
      <c r="D24" s="123" t="s">
        <v>37679</v>
      </c>
      <c r="E24" s="123" t="s">
        <v>37787</v>
      </c>
      <c r="F24" s="123" t="s">
        <v>91</v>
      </c>
      <c r="G24" s="123" t="s">
        <v>37788</v>
      </c>
      <c r="H24" s="123" t="s">
        <v>37791</v>
      </c>
      <c r="I24" s="123" t="s">
        <v>25515</v>
      </c>
      <c r="J24" s="123" t="s">
        <v>53</v>
      </c>
      <c r="K24" s="123" t="s">
        <v>282</v>
      </c>
      <c r="L24" s="123" t="s">
        <v>30025</v>
      </c>
      <c r="M24" s="123" t="s">
        <v>31087</v>
      </c>
      <c r="N24" s="123">
        <v>2184</v>
      </c>
      <c r="P24" s="123" t="s">
        <v>25341</v>
      </c>
      <c r="Q24" s="123">
        <v>3</v>
      </c>
    </row>
    <row r="25" spans="1:17" x14ac:dyDescent="0.2">
      <c r="A25" s="123" t="s">
        <v>37710</v>
      </c>
      <c r="B25" s="123" t="s">
        <v>37760</v>
      </c>
      <c r="C25" s="123" t="s">
        <v>46</v>
      </c>
      <c r="D25" s="123" t="s">
        <v>37679</v>
      </c>
      <c r="E25" s="123" t="s">
        <v>37787</v>
      </c>
      <c r="F25" s="123" t="s">
        <v>91</v>
      </c>
      <c r="G25" s="123" t="s">
        <v>37788</v>
      </c>
      <c r="H25" s="123" t="s">
        <v>37682</v>
      </c>
      <c r="I25" s="123" t="s">
        <v>174</v>
      </c>
      <c r="J25" s="123" t="s">
        <v>53</v>
      </c>
      <c r="K25" s="123" t="s">
        <v>282</v>
      </c>
      <c r="L25" s="123" t="s">
        <v>30025</v>
      </c>
      <c r="M25" s="123" t="s">
        <v>31087</v>
      </c>
      <c r="N25" s="123">
        <v>2184</v>
      </c>
      <c r="P25" s="123" t="s">
        <v>25341</v>
      </c>
      <c r="Q25" s="123">
        <v>3</v>
      </c>
    </row>
    <row r="26" spans="1:17" x14ac:dyDescent="0.2">
      <c r="A26" s="123" t="s">
        <v>37711</v>
      </c>
      <c r="B26" s="123" t="s">
        <v>37761</v>
      </c>
      <c r="C26" s="123" t="s">
        <v>46</v>
      </c>
      <c r="D26" s="123" t="s">
        <v>37679</v>
      </c>
      <c r="E26" s="123" t="s">
        <v>37787</v>
      </c>
      <c r="F26" s="123" t="s">
        <v>91</v>
      </c>
      <c r="G26" s="123" t="s">
        <v>37788</v>
      </c>
      <c r="H26" s="123" t="s">
        <v>37682</v>
      </c>
      <c r="I26" s="123" t="s">
        <v>140</v>
      </c>
      <c r="J26" s="123" t="s">
        <v>53</v>
      </c>
      <c r="K26" s="123" t="s">
        <v>282</v>
      </c>
      <c r="L26" s="123" t="s">
        <v>30025</v>
      </c>
      <c r="M26" s="123" t="s">
        <v>31087</v>
      </c>
      <c r="N26" s="123">
        <v>2184</v>
      </c>
      <c r="P26" s="123" t="s">
        <v>25341</v>
      </c>
      <c r="Q26" s="123">
        <v>3</v>
      </c>
    </row>
    <row r="27" spans="1:17" x14ac:dyDescent="0.2">
      <c r="A27" s="123" t="s">
        <v>37712</v>
      </c>
      <c r="B27" s="123" t="s">
        <v>37762</v>
      </c>
      <c r="C27" s="123" t="s">
        <v>46</v>
      </c>
      <c r="D27" s="123" t="s">
        <v>37679</v>
      </c>
      <c r="E27" s="123" t="s">
        <v>37787</v>
      </c>
      <c r="F27" s="123" t="s">
        <v>91</v>
      </c>
      <c r="G27" s="123" t="s">
        <v>37788</v>
      </c>
      <c r="H27" s="123" t="s">
        <v>37682</v>
      </c>
      <c r="I27" s="123" t="s">
        <v>37518</v>
      </c>
      <c r="J27" s="123" t="s">
        <v>53</v>
      </c>
      <c r="K27" s="123" t="s">
        <v>282</v>
      </c>
      <c r="L27" s="123" t="s">
        <v>30025</v>
      </c>
      <c r="M27" s="123" t="s">
        <v>31087</v>
      </c>
      <c r="N27" s="123">
        <v>2184</v>
      </c>
      <c r="P27" s="123" t="s">
        <v>25341</v>
      </c>
      <c r="Q27" s="123">
        <v>3</v>
      </c>
    </row>
    <row r="28" spans="1:17" x14ac:dyDescent="0.2">
      <c r="A28" s="123" t="s">
        <v>37713</v>
      </c>
      <c r="B28" s="123" t="s">
        <v>37763</v>
      </c>
      <c r="C28" s="123" t="s">
        <v>46</v>
      </c>
      <c r="D28" s="123" t="s">
        <v>37679</v>
      </c>
      <c r="E28" s="123" t="s">
        <v>37787</v>
      </c>
      <c r="F28" s="123" t="s">
        <v>91</v>
      </c>
      <c r="G28" s="123" t="s">
        <v>37788</v>
      </c>
      <c r="H28" s="123" t="s">
        <v>37681</v>
      </c>
      <c r="I28" s="123" t="s">
        <v>25549</v>
      </c>
      <c r="J28" s="123" t="s">
        <v>53</v>
      </c>
      <c r="K28" s="123" t="s">
        <v>282</v>
      </c>
      <c r="L28" s="123" t="s">
        <v>30025</v>
      </c>
      <c r="M28" s="123" t="s">
        <v>31087</v>
      </c>
      <c r="N28" s="123">
        <v>2184</v>
      </c>
      <c r="P28" s="123" t="s">
        <v>25341</v>
      </c>
      <c r="Q28" s="123">
        <v>3</v>
      </c>
    </row>
    <row r="29" spans="1:17" x14ac:dyDescent="0.2">
      <c r="A29" s="123" t="s">
        <v>37714</v>
      </c>
      <c r="B29" s="123" t="s">
        <v>37764</v>
      </c>
      <c r="C29" s="123" t="s">
        <v>46</v>
      </c>
      <c r="D29" s="123" t="s">
        <v>37679</v>
      </c>
      <c r="E29" s="123" t="s">
        <v>37787</v>
      </c>
      <c r="F29" s="123" t="s">
        <v>91</v>
      </c>
      <c r="G29" s="123" t="s">
        <v>37788</v>
      </c>
      <c r="H29" s="123" t="s">
        <v>37682</v>
      </c>
      <c r="I29" s="123" t="s">
        <v>1</v>
      </c>
      <c r="J29" s="123" t="s">
        <v>53</v>
      </c>
      <c r="K29" s="123" t="s">
        <v>282</v>
      </c>
      <c r="L29" s="123" t="s">
        <v>30025</v>
      </c>
      <c r="M29" s="123" t="s">
        <v>31087</v>
      </c>
      <c r="N29" s="123">
        <v>2184</v>
      </c>
      <c r="P29" s="123" t="s">
        <v>25341</v>
      </c>
      <c r="Q29" s="123">
        <v>3</v>
      </c>
    </row>
    <row r="30" spans="1:17" x14ac:dyDescent="0.2">
      <c r="A30" s="123" t="s">
        <v>37715</v>
      </c>
      <c r="B30" s="123" t="s">
        <v>37765</v>
      </c>
      <c r="C30" s="123" t="s">
        <v>46</v>
      </c>
      <c r="D30" s="123" t="s">
        <v>37679</v>
      </c>
      <c r="E30" s="123" t="s">
        <v>37787</v>
      </c>
      <c r="F30" s="123" t="s">
        <v>91</v>
      </c>
      <c r="G30" s="123" t="s">
        <v>37788</v>
      </c>
      <c r="H30" s="123" t="s">
        <v>37791</v>
      </c>
      <c r="I30" s="123" t="s">
        <v>25520</v>
      </c>
      <c r="J30" s="123" t="s">
        <v>53</v>
      </c>
      <c r="K30" s="123" t="s">
        <v>282</v>
      </c>
      <c r="L30" s="123" t="s">
        <v>30025</v>
      </c>
      <c r="M30" s="123" t="s">
        <v>31087</v>
      </c>
      <c r="N30" s="123">
        <v>2184</v>
      </c>
      <c r="P30" s="123" t="s">
        <v>25341</v>
      </c>
      <c r="Q30" s="123">
        <v>3</v>
      </c>
    </row>
    <row r="31" spans="1:17" x14ac:dyDescent="0.2">
      <c r="A31" s="123" t="s">
        <v>37716</v>
      </c>
      <c r="B31" s="123" t="s">
        <v>37766</v>
      </c>
      <c r="C31" s="123" t="s">
        <v>46</v>
      </c>
      <c r="D31" s="123" t="s">
        <v>37679</v>
      </c>
      <c r="E31" s="123" t="s">
        <v>37787</v>
      </c>
      <c r="F31" s="123" t="s">
        <v>91</v>
      </c>
      <c r="G31" s="123" t="s">
        <v>37788</v>
      </c>
      <c r="H31" s="123" t="s">
        <v>37792</v>
      </c>
      <c r="I31" s="123" t="s">
        <v>37801</v>
      </c>
      <c r="J31" s="123" t="s">
        <v>53</v>
      </c>
      <c r="K31" s="123" t="s">
        <v>282</v>
      </c>
      <c r="L31" s="123" t="s">
        <v>30025</v>
      </c>
      <c r="M31" s="123" t="s">
        <v>31087</v>
      </c>
      <c r="N31" s="123">
        <v>2184</v>
      </c>
      <c r="P31" s="123" t="s">
        <v>25341</v>
      </c>
      <c r="Q31" s="123">
        <v>6</v>
      </c>
    </row>
    <row r="32" spans="1:17" x14ac:dyDescent="0.2">
      <c r="A32" s="123" t="s">
        <v>37717</v>
      </c>
      <c r="B32" s="123" t="s">
        <v>37767</v>
      </c>
      <c r="C32" s="123" t="s">
        <v>46</v>
      </c>
      <c r="D32" s="123" t="s">
        <v>37679</v>
      </c>
      <c r="E32" s="123" t="s">
        <v>37787</v>
      </c>
      <c r="F32" s="123" t="s">
        <v>91</v>
      </c>
      <c r="G32" s="123" t="s">
        <v>37788</v>
      </c>
      <c r="H32" s="123" t="s">
        <v>37681</v>
      </c>
      <c r="I32" s="123" t="s">
        <v>37504</v>
      </c>
      <c r="J32" s="123" t="s">
        <v>53</v>
      </c>
      <c r="K32" s="123" t="s">
        <v>282</v>
      </c>
      <c r="L32" s="123" t="s">
        <v>30025</v>
      </c>
      <c r="M32" s="123" t="s">
        <v>31087</v>
      </c>
      <c r="N32" s="123">
        <v>2184</v>
      </c>
      <c r="P32" s="123" t="s">
        <v>25341</v>
      </c>
      <c r="Q32" s="123">
        <v>12</v>
      </c>
    </row>
    <row r="33" spans="1:17" x14ac:dyDescent="0.2">
      <c r="A33" s="123" t="s">
        <v>37718</v>
      </c>
      <c r="B33" s="123" t="s">
        <v>37768</v>
      </c>
      <c r="C33" s="123" t="s">
        <v>46</v>
      </c>
      <c r="D33" s="123" t="s">
        <v>37679</v>
      </c>
      <c r="E33" s="123" t="s">
        <v>37787</v>
      </c>
      <c r="F33" s="123" t="s">
        <v>91</v>
      </c>
      <c r="G33" s="123" t="s">
        <v>37788</v>
      </c>
      <c r="H33" s="123" t="s">
        <v>37793</v>
      </c>
      <c r="I33" s="123" t="s">
        <v>133</v>
      </c>
      <c r="J33" s="123" t="s">
        <v>53</v>
      </c>
      <c r="K33" s="123" t="s">
        <v>282</v>
      </c>
      <c r="L33" s="123" t="s">
        <v>30025</v>
      </c>
      <c r="M33" s="123" t="s">
        <v>31087</v>
      </c>
      <c r="N33" s="123">
        <v>2184</v>
      </c>
      <c r="P33" s="123" t="s">
        <v>25341</v>
      </c>
      <c r="Q33" s="123">
        <v>3</v>
      </c>
    </row>
    <row r="34" spans="1:17" x14ac:dyDescent="0.2">
      <c r="A34" s="123" t="s">
        <v>37719</v>
      </c>
      <c r="B34" s="123" t="s">
        <v>37769</v>
      </c>
      <c r="C34" s="123" t="s">
        <v>46</v>
      </c>
      <c r="D34" s="123" t="s">
        <v>37679</v>
      </c>
      <c r="E34" s="123" t="s">
        <v>37787</v>
      </c>
      <c r="F34" s="123" t="s">
        <v>91</v>
      </c>
      <c r="G34" s="123" t="s">
        <v>37788</v>
      </c>
      <c r="H34" s="123" t="s">
        <v>37791</v>
      </c>
      <c r="I34" s="123" t="s">
        <v>25519</v>
      </c>
      <c r="J34" s="123" t="s">
        <v>53</v>
      </c>
      <c r="K34" s="123" t="s">
        <v>282</v>
      </c>
      <c r="L34" s="123" t="s">
        <v>30025</v>
      </c>
      <c r="M34" s="123" t="s">
        <v>31087</v>
      </c>
      <c r="N34" s="123">
        <v>2184</v>
      </c>
      <c r="P34" s="123" t="s">
        <v>25341</v>
      </c>
      <c r="Q34" s="123">
        <v>3</v>
      </c>
    </row>
    <row r="35" spans="1:17" x14ac:dyDescent="0.2">
      <c r="A35" s="123" t="s">
        <v>37720</v>
      </c>
      <c r="B35" s="123" t="s">
        <v>37770</v>
      </c>
      <c r="C35" s="123" t="s">
        <v>46</v>
      </c>
      <c r="D35" s="123" t="s">
        <v>37679</v>
      </c>
      <c r="E35" s="123" t="s">
        <v>37787</v>
      </c>
      <c r="F35" s="123" t="s">
        <v>91</v>
      </c>
      <c r="G35" s="123" t="s">
        <v>37788</v>
      </c>
      <c r="H35" s="123" t="s">
        <v>37792</v>
      </c>
      <c r="I35" s="123" t="s">
        <v>37644</v>
      </c>
      <c r="J35" s="123" t="s">
        <v>53</v>
      </c>
      <c r="K35" s="123" t="s">
        <v>282</v>
      </c>
      <c r="L35" s="123" t="s">
        <v>30025</v>
      </c>
      <c r="M35" s="123" t="s">
        <v>31087</v>
      </c>
      <c r="N35" s="123">
        <v>2184</v>
      </c>
      <c r="P35" s="123" t="s">
        <v>25341</v>
      </c>
      <c r="Q35" s="123">
        <v>3</v>
      </c>
    </row>
    <row r="36" spans="1:17" x14ac:dyDescent="0.2">
      <c r="A36" s="123" t="s">
        <v>37721</v>
      </c>
      <c r="B36" s="123" t="s">
        <v>37771</v>
      </c>
      <c r="C36" s="123" t="s">
        <v>46</v>
      </c>
      <c r="D36" s="123" t="s">
        <v>37679</v>
      </c>
      <c r="E36" s="123" t="s">
        <v>37787</v>
      </c>
      <c r="F36" s="123" t="s">
        <v>91</v>
      </c>
      <c r="G36" s="123" t="s">
        <v>37788</v>
      </c>
      <c r="H36" s="123" t="s">
        <v>37794</v>
      </c>
      <c r="I36" s="123" t="s">
        <v>1</v>
      </c>
      <c r="J36" s="123" t="s">
        <v>53</v>
      </c>
      <c r="K36" s="123" t="s">
        <v>282</v>
      </c>
      <c r="L36" s="123" t="s">
        <v>30025</v>
      </c>
      <c r="M36" s="123" t="s">
        <v>31087</v>
      </c>
      <c r="N36" s="123">
        <v>2184</v>
      </c>
      <c r="P36" s="123" t="s">
        <v>25341</v>
      </c>
      <c r="Q36" s="123">
        <v>27</v>
      </c>
    </row>
    <row r="37" spans="1:17" x14ac:dyDescent="0.2">
      <c r="A37" s="123" t="s">
        <v>37722</v>
      </c>
      <c r="B37" s="123" t="s">
        <v>37772</v>
      </c>
      <c r="C37" s="123" t="s">
        <v>46</v>
      </c>
      <c r="D37" s="123" t="s">
        <v>37679</v>
      </c>
      <c r="E37" s="123" t="s">
        <v>37787</v>
      </c>
      <c r="F37" s="123" t="s">
        <v>91</v>
      </c>
      <c r="G37" s="123" t="s">
        <v>37788</v>
      </c>
      <c r="H37" s="123" t="s">
        <v>37795</v>
      </c>
      <c r="I37" s="123" t="s">
        <v>28</v>
      </c>
      <c r="J37" s="123" t="s">
        <v>53</v>
      </c>
      <c r="K37" s="123" t="s">
        <v>282</v>
      </c>
      <c r="L37" s="123" t="s">
        <v>30025</v>
      </c>
      <c r="M37" s="123" t="s">
        <v>31087</v>
      </c>
      <c r="N37" s="123">
        <v>2184</v>
      </c>
      <c r="P37" s="123" t="s">
        <v>25341</v>
      </c>
      <c r="Q37" s="123">
        <v>15</v>
      </c>
    </row>
    <row r="38" spans="1:17" x14ac:dyDescent="0.2">
      <c r="A38" s="123" t="s">
        <v>37723</v>
      </c>
      <c r="B38" s="123" t="s">
        <v>37773</v>
      </c>
      <c r="C38" s="123" t="s">
        <v>46</v>
      </c>
      <c r="D38" s="123" t="s">
        <v>37679</v>
      </c>
      <c r="E38" s="123" t="s">
        <v>37787</v>
      </c>
      <c r="F38" s="123" t="s">
        <v>91</v>
      </c>
      <c r="G38" s="123" t="s">
        <v>37788</v>
      </c>
      <c r="H38" s="123" t="s">
        <v>37789</v>
      </c>
      <c r="I38" s="123" t="s">
        <v>1</v>
      </c>
      <c r="J38" s="123" t="s">
        <v>53</v>
      </c>
      <c r="K38" s="123" t="s">
        <v>282</v>
      </c>
      <c r="L38" s="123" t="s">
        <v>30025</v>
      </c>
      <c r="M38" s="123" t="s">
        <v>31087</v>
      </c>
      <c r="N38" s="123">
        <v>2184</v>
      </c>
      <c r="P38" s="123" t="s">
        <v>25341</v>
      </c>
      <c r="Q38" s="123">
        <v>12</v>
      </c>
    </row>
    <row r="39" spans="1:17" x14ac:dyDescent="0.2">
      <c r="A39" s="123" t="s">
        <v>37724</v>
      </c>
      <c r="B39" s="123" t="s">
        <v>37774</v>
      </c>
      <c r="C39" s="123" t="s">
        <v>46</v>
      </c>
      <c r="D39" s="123" t="s">
        <v>37679</v>
      </c>
      <c r="E39" s="123" t="s">
        <v>37787</v>
      </c>
      <c r="F39" s="123" t="s">
        <v>91</v>
      </c>
      <c r="G39" s="123" t="s">
        <v>37788</v>
      </c>
      <c r="H39" s="123" t="s">
        <v>37789</v>
      </c>
      <c r="I39" s="123" t="s">
        <v>1</v>
      </c>
      <c r="J39" s="123" t="s">
        <v>53</v>
      </c>
      <c r="K39" s="123" t="s">
        <v>282</v>
      </c>
      <c r="L39" s="123" t="s">
        <v>30025</v>
      </c>
      <c r="M39" s="123" t="s">
        <v>31087</v>
      </c>
      <c r="N39" s="123">
        <v>2184</v>
      </c>
      <c r="P39" s="123" t="s">
        <v>25341</v>
      </c>
      <c r="Q39" s="123">
        <v>18</v>
      </c>
    </row>
    <row r="40" spans="1:17" x14ac:dyDescent="0.2">
      <c r="A40" s="123" t="s">
        <v>37725</v>
      </c>
      <c r="B40" s="123" t="s">
        <v>37775</v>
      </c>
      <c r="C40" s="123" t="s">
        <v>46</v>
      </c>
      <c r="D40" s="123" t="s">
        <v>37679</v>
      </c>
      <c r="E40" s="123" t="s">
        <v>37787</v>
      </c>
      <c r="F40" s="123" t="s">
        <v>91</v>
      </c>
      <c r="G40" s="123" t="s">
        <v>37788</v>
      </c>
      <c r="H40" s="123" t="s">
        <v>37794</v>
      </c>
      <c r="I40" s="123" t="s">
        <v>1</v>
      </c>
      <c r="J40" s="123" t="s">
        <v>53</v>
      </c>
      <c r="K40" s="123" t="s">
        <v>282</v>
      </c>
      <c r="L40" s="123" t="s">
        <v>30025</v>
      </c>
      <c r="M40" s="123" t="s">
        <v>31087</v>
      </c>
      <c r="N40" s="123">
        <v>2184</v>
      </c>
      <c r="P40" s="123" t="s">
        <v>25341</v>
      </c>
      <c r="Q40" s="123">
        <v>27</v>
      </c>
    </row>
    <row r="41" spans="1:17" x14ac:dyDescent="0.2">
      <c r="A41" s="123" t="s">
        <v>37726</v>
      </c>
      <c r="B41" s="123" t="s">
        <v>37776</v>
      </c>
      <c r="C41" s="123" t="s">
        <v>46</v>
      </c>
      <c r="D41" s="123" t="s">
        <v>37679</v>
      </c>
      <c r="E41" s="123" t="s">
        <v>37787</v>
      </c>
      <c r="F41" s="123" t="s">
        <v>91</v>
      </c>
      <c r="G41" s="123" t="s">
        <v>37788</v>
      </c>
      <c r="H41" s="123" t="s">
        <v>37796</v>
      </c>
      <c r="I41" s="123" t="s">
        <v>25380</v>
      </c>
      <c r="J41" s="123" t="s">
        <v>11</v>
      </c>
      <c r="K41" s="123" t="s">
        <v>30109</v>
      </c>
      <c r="L41" s="123" t="s">
        <v>30025</v>
      </c>
      <c r="M41" s="123" t="s">
        <v>31087</v>
      </c>
      <c r="N41" s="123">
        <v>2184</v>
      </c>
      <c r="P41" s="123" t="s">
        <v>25341</v>
      </c>
      <c r="Q41" s="123">
        <v>15</v>
      </c>
    </row>
    <row r="42" spans="1:17" x14ac:dyDescent="0.2">
      <c r="A42" s="123" t="s">
        <v>37727</v>
      </c>
      <c r="B42" s="123" t="s">
        <v>37777</v>
      </c>
      <c r="C42" s="123" t="s">
        <v>46</v>
      </c>
      <c r="D42" s="123" t="s">
        <v>37679</v>
      </c>
      <c r="E42" s="123" t="s">
        <v>37787</v>
      </c>
      <c r="F42" s="123" t="s">
        <v>91</v>
      </c>
      <c r="G42" s="123" t="s">
        <v>37788</v>
      </c>
      <c r="H42" s="123" t="s">
        <v>37796</v>
      </c>
      <c r="I42" s="123" t="s">
        <v>37802</v>
      </c>
      <c r="J42" s="123" t="s">
        <v>11</v>
      </c>
      <c r="K42" s="123" t="s">
        <v>30109</v>
      </c>
      <c r="L42" s="123" t="s">
        <v>30025</v>
      </c>
      <c r="M42" s="123" t="s">
        <v>31087</v>
      </c>
      <c r="N42" s="123">
        <v>2184</v>
      </c>
      <c r="P42" s="123" t="s">
        <v>25341</v>
      </c>
      <c r="Q42" s="123">
        <v>15</v>
      </c>
    </row>
    <row r="43" spans="1:17" x14ac:dyDescent="0.2">
      <c r="A43" s="123" t="s">
        <v>37728</v>
      </c>
      <c r="B43" s="123" t="s">
        <v>37778</v>
      </c>
      <c r="C43" s="123" t="s">
        <v>46</v>
      </c>
      <c r="D43" s="123" t="s">
        <v>37679</v>
      </c>
      <c r="E43" s="123" t="s">
        <v>37787</v>
      </c>
      <c r="F43" s="123" t="s">
        <v>91</v>
      </c>
      <c r="G43" s="123" t="s">
        <v>37788</v>
      </c>
      <c r="H43" s="123" t="s">
        <v>37797</v>
      </c>
      <c r="I43" s="123" t="s">
        <v>25515</v>
      </c>
      <c r="J43" s="123" t="s">
        <v>11</v>
      </c>
      <c r="K43" s="123" t="s">
        <v>30109</v>
      </c>
      <c r="L43" s="123" t="s">
        <v>30025</v>
      </c>
      <c r="M43" s="123" t="s">
        <v>31087</v>
      </c>
      <c r="N43" s="123">
        <v>2184</v>
      </c>
      <c r="P43" s="123" t="s">
        <v>25341</v>
      </c>
      <c r="Q43" s="123">
        <v>18</v>
      </c>
    </row>
    <row r="44" spans="1:17" x14ac:dyDescent="0.2">
      <c r="A44" s="123" t="s">
        <v>37729</v>
      </c>
      <c r="B44" s="123" t="s">
        <v>37779</v>
      </c>
      <c r="C44" s="123" t="s">
        <v>46</v>
      </c>
      <c r="D44" s="123" t="s">
        <v>37679</v>
      </c>
      <c r="E44" s="123" t="s">
        <v>37787</v>
      </c>
      <c r="F44" s="123" t="s">
        <v>91</v>
      </c>
      <c r="G44" s="123" t="s">
        <v>37788</v>
      </c>
      <c r="H44" s="123" t="s">
        <v>37798</v>
      </c>
      <c r="I44" s="123" t="s">
        <v>37803</v>
      </c>
      <c r="J44" s="123" t="s">
        <v>11</v>
      </c>
      <c r="K44" s="123" t="s">
        <v>30109</v>
      </c>
      <c r="L44" s="123" t="s">
        <v>30025</v>
      </c>
      <c r="M44" s="123" t="s">
        <v>31087</v>
      </c>
      <c r="N44" s="123">
        <v>2184</v>
      </c>
      <c r="P44" s="123" t="s">
        <v>25341</v>
      </c>
      <c r="Q44" s="123">
        <v>27</v>
      </c>
    </row>
    <row r="45" spans="1:17" x14ac:dyDescent="0.2">
      <c r="A45" s="123" t="s">
        <v>37730</v>
      </c>
      <c r="B45" s="123" t="s">
        <v>37780</v>
      </c>
      <c r="C45" s="123" t="s">
        <v>46</v>
      </c>
      <c r="D45" s="123" t="s">
        <v>37679</v>
      </c>
      <c r="E45" s="123" t="s">
        <v>37787</v>
      </c>
      <c r="F45" s="123" t="s">
        <v>91</v>
      </c>
      <c r="G45" s="123" t="s">
        <v>37788</v>
      </c>
      <c r="H45" s="123" t="s">
        <v>37796</v>
      </c>
      <c r="I45" s="123" t="s">
        <v>37804</v>
      </c>
      <c r="J45" s="123" t="s">
        <v>11</v>
      </c>
      <c r="K45" s="123" t="s">
        <v>30109</v>
      </c>
      <c r="L45" s="123" t="s">
        <v>30025</v>
      </c>
      <c r="M45" s="123" t="s">
        <v>31087</v>
      </c>
      <c r="N45" s="123">
        <v>2184</v>
      </c>
      <c r="P45" s="123" t="s">
        <v>25341</v>
      </c>
      <c r="Q45" s="123">
        <v>15</v>
      </c>
    </row>
    <row r="46" spans="1:17" x14ac:dyDescent="0.2">
      <c r="A46" s="123" t="s">
        <v>37731</v>
      </c>
      <c r="B46" s="123" t="s">
        <v>37781</v>
      </c>
      <c r="C46" s="123" t="s">
        <v>46</v>
      </c>
      <c r="D46" s="123" t="s">
        <v>37679</v>
      </c>
      <c r="E46" s="123" t="s">
        <v>37787</v>
      </c>
      <c r="F46" s="123" t="s">
        <v>91</v>
      </c>
      <c r="G46" s="123" t="s">
        <v>37788</v>
      </c>
      <c r="H46" s="123" t="s">
        <v>37682</v>
      </c>
      <c r="I46" s="123" t="s">
        <v>174</v>
      </c>
      <c r="J46" s="123" t="s">
        <v>11</v>
      </c>
      <c r="K46" s="123" t="s">
        <v>30109</v>
      </c>
      <c r="L46" s="123" t="s">
        <v>30025</v>
      </c>
      <c r="M46" s="123" t="s">
        <v>31087</v>
      </c>
      <c r="N46" s="123">
        <v>2184</v>
      </c>
      <c r="P46" s="123" t="s">
        <v>25341</v>
      </c>
      <c r="Q46" s="123">
        <v>15</v>
      </c>
    </row>
    <row r="47" spans="1:17" x14ac:dyDescent="0.2">
      <c r="A47" s="123" t="s">
        <v>37732</v>
      </c>
      <c r="B47" s="123" t="s">
        <v>37782</v>
      </c>
      <c r="C47" s="123" t="s">
        <v>46</v>
      </c>
      <c r="D47" s="123" t="s">
        <v>37679</v>
      </c>
      <c r="E47" s="123" t="s">
        <v>37787</v>
      </c>
      <c r="F47" s="123" t="s">
        <v>91</v>
      </c>
      <c r="G47" s="123" t="s">
        <v>37788</v>
      </c>
      <c r="H47" s="123" t="s">
        <v>37797</v>
      </c>
      <c r="I47" s="123" t="s">
        <v>25520</v>
      </c>
      <c r="J47" s="123" t="s">
        <v>11</v>
      </c>
      <c r="K47" s="123" t="s">
        <v>30109</v>
      </c>
      <c r="L47" s="123" t="s">
        <v>30025</v>
      </c>
      <c r="M47" s="123" t="s">
        <v>31087</v>
      </c>
      <c r="N47" s="123">
        <v>2184</v>
      </c>
      <c r="P47" s="123" t="s">
        <v>25341</v>
      </c>
      <c r="Q47" s="123">
        <v>15</v>
      </c>
    </row>
    <row r="48" spans="1:17" x14ac:dyDescent="0.2">
      <c r="A48" s="123" t="s">
        <v>37733</v>
      </c>
      <c r="B48" s="123" t="s">
        <v>37783</v>
      </c>
      <c r="C48" s="123" t="s">
        <v>46</v>
      </c>
      <c r="D48" s="123" t="s">
        <v>37679</v>
      </c>
      <c r="E48" s="123" t="s">
        <v>37787</v>
      </c>
      <c r="F48" s="123" t="s">
        <v>91</v>
      </c>
      <c r="G48" s="123" t="s">
        <v>37788</v>
      </c>
      <c r="H48" s="123" t="s">
        <v>37799</v>
      </c>
      <c r="I48" s="123" t="s">
        <v>37805</v>
      </c>
      <c r="J48" s="123" t="s">
        <v>11</v>
      </c>
      <c r="K48" s="123" t="s">
        <v>30109</v>
      </c>
      <c r="L48" s="123" t="s">
        <v>30025</v>
      </c>
      <c r="M48" s="123" t="s">
        <v>31087</v>
      </c>
      <c r="N48" s="123">
        <v>2184</v>
      </c>
      <c r="P48" s="123" t="s">
        <v>25341</v>
      </c>
      <c r="Q48" s="123">
        <v>18</v>
      </c>
    </row>
    <row r="49" spans="1:17" x14ac:dyDescent="0.2">
      <c r="A49" s="123" t="s">
        <v>37734</v>
      </c>
      <c r="B49" s="123" t="s">
        <v>37784</v>
      </c>
      <c r="C49" s="123" t="s">
        <v>46</v>
      </c>
      <c r="D49" s="123" t="s">
        <v>37679</v>
      </c>
      <c r="E49" s="123" t="s">
        <v>37787</v>
      </c>
      <c r="F49" s="123" t="s">
        <v>91</v>
      </c>
      <c r="G49" s="123" t="s">
        <v>37788</v>
      </c>
      <c r="H49" s="123" t="s">
        <v>37798</v>
      </c>
      <c r="I49" s="123" t="s">
        <v>43</v>
      </c>
      <c r="J49" s="123" t="s">
        <v>11</v>
      </c>
      <c r="K49" s="123" t="s">
        <v>30109</v>
      </c>
      <c r="L49" s="123" t="s">
        <v>30025</v>
      </c>
      <c r="M49" s="123" t="s">
        <v>31087</v>
      </c>
      <c r="N49" s="123">
        <v>2184</v>
      </c>
      <c r="P49" s="123" t="s">
        <v>25341</v>
      </c>
      <c r="Q49" s="123">
        <v>15</v>
      </c>
    </row>
    <row r="50" spans="1:17" x14ac:dyDescent="0.2">
      <c r="A50" s="123" t="s">
        <v>37735</v>
      </c>
      <c r="B50" s="123" t="s">
        <v>37785</v>
      </c>
      <c r="C50" s="123" t="s">
        <v>46</v>
      </c>
      <c r="D50" s="123" t="s">
        <v>37679</v>
      </c>
      <c r="E50" s="123" t="s">
        <v>37787</v>
      </c>
      <c r="F50" s="123" t="s">
        <v>91</v>
      </c>
      <c r="G50" s="123" t="s">
        <v>37788</v>
      </c>
      <c r="H50" s="123" t="s">
        <v>37682</v>
      </c>
      <c r="I50" s="123" t="s">
        <v>174</v>
      </c>
      <c r="J50" s="123" t="s">
        <v>11</v>
      </c>
      <c r="K50" s="123" t="s">
        <v>30109</v>
      </c>
      <c r="L50" s="123" t="s">
        <v>30025</v>
      </c>
      <c r="M50" s="123" t="s">
        <v>31087</v>
      </c>
      <c r="N50" s="123">
        <v>2184</v>
      </c>
      <c r="P50" s="123" t="s">
        <v>25341</v>
      </c>
      <c r="Q50" s="123">
        <v>18</v>
      </c>
    </row>
    <row r="51" spans="1:17" x14ac:dyDescent="0.2">
      <c r="A51" s="123" t="s">
        <v>37736</v>
      </c>
      <c r="B51" s="123" t="s">
        <v>37786</v>
      </c>
      <c r="C51" s="123" t="s">
        <v>46</v>
      </c>
      <c r="D51" s="123" t="s">
        <v>37679</v>
      </c>
      <c r="E51" s="123" t="s">
        <v>37787</v>
      </c>
      <c r="F51" s="123" t="s">
        <v>91</v>
      </c>
      <c r="G51" s="123" t="s">
        <v>37788</v>
      </c>
      <c r="H51" s="123" t="s">
        <v>37800</v>
      </c>
      <c r="I51" s="123" t="s">
        <v>25454</v>
      </c>
      <c r="J51" s="123" t="s">
        <v>11</v>
      </c>
      <c r="K51" s="123" t="s">
        <v>30109</v>
      </c>
      <c r="L51" s="123" t="s">
        <v>30025</v>
      </c>
      <c r="M51" s="123" t="s">
        <v>31087</v>
      </c>
      <c r="N51" s="123">
        <v>2184</v>
      </c>
      <c r="P51" s="123" t="s">
        <v>25341</v>
      </c>
      <c r="Q51" s="123">
        <v>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HOOD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2022-02-25T12:55:31Z</dcterms:modified>
</cp:coreProperties>
</file>